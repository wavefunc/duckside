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fa330324e67cbc6/coding/duckside/demo/"/>
    </mc:Choice>
  </mc:AlternateContent>
  <xr:revisionPtr revIDLastSave="0" documentId="8_{FA7E2F6B-16D8-4E18-B44F-8EBADE4F46DF}" xr6:coauthVersionLast="47" xr6:coauthVersionMax="47" xr10:uidLastSave="{00000000-0000-0000-0000-000000000000}"/>
  <bookViews>
    <workbookView xWindow="-120" yWindow="-120" windowWidth="29040" windowHeight="15840" tabRatio="599" activeTab="10" xr2:uid="{00000000-000D-0000-FFFF-FFFF00000000}"/>
  </bookViews>
  <sheets>
    <sheet name="匯入" sheetId="44" r:id="rId1"/>
    <sheet name="交易明細" sheetId="31" r:id="rId2"/>
    <sheet name="進出策略" sheetId="47" r:id="rId3"/>
    <sheet name="部位明細" sheetId="34" r:id="rId4"/>
    <sheet name="資產明細" sheetId="30" r:id="rId5"/>
    <sheet name="資產配置" sheetId="46" r:id="rId6"/>
    <sheet name="資產變動" sheetId="38" r:id="rId7"/>
    <sheet name="TWN" sheetId="37" r:id="rId8"/>
    <sheet name="TWO" sheetId="36" r:id="rId9"/>
    <sheet name="TW" sheetId="35" r:id="rId10"/>
    <sheet name="自訂" sheetId="45" r:id="rId11"/>
    <sheet name="利潤率試算" sheetId="39" state="hidden" r:id="rId12"/>
    <sheet name="風險控制" sheetId="40" state="hidden" r:id="rId13"/>
    <sheet name="聚和" sheetId="41" state="hidden" r:id="rId14"/>
    <sheet name="台肥" sheetId="42" state="hidden" r:id="rId15"/>
  </sheets>
  <definedNames>
    <definedName name="_xlnm._FilterDatabase" localSheetId="1" hidden="1">交易明細!$B$1:$K$137</definedName>
    <definedName name="_xlnm._FilterDatabase" localSheetId="0" hidden="1">匯入!$A$6:$X$1162</definedName>
    <definedName name="_xlnm._FilterDatabase" localSheetId="4" hidden="1">資產明細!$A$1:$K$4</definedName>
    <definedName name="_xlchart.v1.0" hidden="1">部位明細!$U$19:$U$37</definedName>
    <definedName name="_xlchart.v1.1" hidden="1">部位明細!$V$19:$V$37</definedName>
    <definedName name="NativeTimeline_日期">#N/A</definedName>
    <definedName name="代號1">TW!$B:$B</definedName>
    <definedName name="代號2">TWO!$B:$B</definedName>
    <definedName name="代號3">TWN!$B:$B</definedName>
    <definedName name="代號4">自訂!$B:$B</definedName>
    <definedName name="交易部位" localSheetId="14">交易[數量]</definedName>
    <definedName name="交易部位">交易[數量]</definedName>
    <definedName name="交易部位類型" localSheetId="14">交易[部位類型]</definedName>
    <definedName name="交易部位類型">交易[部位類型]</definedName>
    <definedName name="交易摘要" localSheetId="14">交易[摘要]</definedName>
    <definedName name="交易摘要">交易[摘要]</definedName>
    <definedName name="交易標的代號" localSheetId="14">交易[代號]</definedName>
    <definedName name="交易標的代號">交易[代號]</definedName>
    <definedName name="多單代號">部位明細!$A$4:$A$1005</definedName>
    <definedName name="多單市值">部位明細!$D$4:$D$1005</definedName>
    <definedName name="多單輔助欄">部位明細!$E$4:$E$1005</definedName>
    <definedName name="多單標的">部位明細!$B$4:$B$1005</definedName>
    <definedName name="多單類型">部位明細!$A$4:$A$1005</definedName>
    <definedName name="收盤1">TW!$J:$J</definedName>
    <definedName name="收盤2">TWO!$D:$D</definedName>
    <definedName name="收盤3">TWN!$L:$L</definedName>
    <definedName name="收盤4">自訂!$F:$F</definedName>
    <definedName name="明細日期" localSheetId="14">明細[日期]</definedName>
    <definedName name="明細日期">明細[日期]</definedName>
    <definedName name="明細未入帳款" localSheetId="14">明細[現金-未入帳款]</definedName>
    <definedName name="明細未入帳款">明細[現金-未入帳款]</definedName>
    <definedName name="明細其他投資" localSheetId="14">明細[長期部位-其他]</definedName>
    <definedName name="明細其他增減" localSheetId="14">明細[現金-其他增減]</definedName>
    <definedName name="明細其他增減">明細[現金-其他增減]</definedName>
    <definedName name="明細其他權益">明細[非長期部位-其他權益]</definedName>
    <definedName name="明細長持其他">明細[長期部位-其他]</definedName>
    <definedName name="明細長持證券">明細[長期部位-證券]</definedName>
    <definedName name="明細長期部位" localSheetId="14">明細[長期部位-證券]</definedName>
    <definedName name="明細非長持現股">明細[非長期部位-現股]</definedName>
    <definedName name="明細期貨權益" localSheetId="14">明細[非長期部位-其他權益]</definedName>
    <definedName name="明細資產總值" localSheetId="14">明細[資產總值]</definedName>
    <definedName name="明細資產總值">明細[資產總值]</definedName>
    <definedName name="明細銀行餘額" localSheetId="14">明細[現金-銀行餘額]</definedName>
    <definedName name="明細銀行餘額">明細[現金-銀行餘額]</definedName>
    <definedName name="空單市值">部位明細!$I$4:$I$1005</definedName>
    <definedName name="空單輔助欄">部位明細!$J$4:$J$1005</definedName>
    <definedName name="空單標的">部位明細!$G$4:$G$1005</definedName>
    <definedName name="股名1">TW!$C:$C</definedName>
    <definedName name="股名2">TWO!$C:$C</definedName>
    <definedName name="股名3">TWN!$C:$C</definedName>
    <definedName name="股名4">自訂!$C:$C</definedName>
    <definedName name="篩選">#REF!</definedName>
  </definedNames>
  <calcPr calcId="191028"/>
  <pivotCaches>
    <pivotCache cacheId="28" r:id="rId16"/>
    <pivotCache cacheId="3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8" i="35" l="1"/>
  <c r="B229" i="35"/>
  <c r="B230" i="35"/>
  <c r="B231" i="35"/>
  <c r="B232" i="35"/>
  <c r="B233" i="35"/>
  <c r="B234" i="35"/>
  <c r="B235" i="35"/>
  <c r="B236" i="35"/>
  <c r="B237" i="35"/>
  <c r="B238" i="35"/>
  <c r="B239" i="35"/>
  <c r="B240" i="35"/>
  <c r="B241" i="35"/>
  <c r="B242" i="35"/>
  <c r="B243" i="35"/>
  <c r="B244" i="35"/>
  <c r="B245" i="35"/>
  <c r="B246" i="35"/>
  <c r="B247" i="35"/>
  <c r="B248" i="35"/>
  <c r="B249" i="35"/>
  <c r="B250" i="35"/>
  <c r="B251" i="35"/>
  <c r="B252" i="35"/>
  <c r="B253" i="35"/>
  <c r="B254" i="35"/>
  <c r="B255" i="35"/>
  <c r="B256" i="35"/>
  <c r="B257" i="35"/>
  <c r="B258" i="35"/>
  <c r="B259" i="35"/>
  <c r="B260" i="35"/>
  <c r="B261" i="35"/>
  <c r="B262" i="35"/>
  <c r="B263" i="35"/>
  <c r="B264" i="35"/>
  <c r="B265" i="35"/>
  <c r="B266" i="35"/>
  <c r="B267" i="35"/>
  <c r="B268" i="35"/>
  <c r="B269" i="35"/>
  <c r="B270" i="35"/>
  <c r="B271" i="35"/>
  <c r="B272" i="35"/>
  <c r="B273" i="35"/>
  <c r="B274" i="35"/>
  <c r="B275" i="35"/>
  <c r="B276" i="35"/>
  <c r="B277" i="35"/>
  <c r="B278" i="35"/>
  <c r="B279" i="35"/>
  <c r="B280" i="35"/>
  <c r="B281" i="35"/>
  <c r="B282" i="35"/>
  <c r="B283" i="35"/>
  <c r="B284" i="35"/>
  <c r="B285" i="35"/>
  <c r="B286" i="35"/>
  <c r="B287" i="35"/>
  <c r="B288" i="35"/>
  <c r="B289" i="35"/>
  <c r="B290" i="35"/>
  <c r="B291" i="35"/>
  <c r="B292" i="35"/>
  <c r="B293" i="35"/>
  <c r="B294" i="35"/>
  <c r="B295" i="35"/>
  <c r="B296" i="35"/>
  <c r="B297" i="35"/>
  <c r="B298" i="35"/>
  <c r="B299" i="35"/>
  <c r="B300" i="35"/>
  <c r="B301" i="35"/>
  <c r="B302" i="35"/>
  <c r="B303" i="35"/>
  <c r="B304" i="35"/>
  <c r="B305" i="35"/>
  <c r="B306" i="35"/>
  <c r="B307" i="35"/>
  <c r="B308" i="35"/>
  <c r="B309" i="35"/>
  <c r="B310" i="35"/>
  <c r="B311" i="35"/>
  <c r="B312" i="35"/>
  <c r="B313" i="35"/>
  <c r="B314" i="35"/>
  <c r="B315" i="35"/>
  <c r="B316" i="35"/>
  <c r="B317" i="35"/>
  <c r="B318" i="35"/>
  <c r="B319" i="35"/>
  <c r="B320" i="35"/>
  <c r="B321" i="35"/>
  <c r="B322" i="35"/>
  <c r="B323" i="35"/>
  <c r="B324" i="35"/>
  <c r="B325" i="35"/>
  <c r="B326" i="35"/>
  <c r="B327" i="35"/>
  <c r="B328" i="35"/>
  <c r="B329" i="35"/>
  <c r="B330" i="35"/>
  <c r="B331" i="35"/>
  <c r="B332" i="35"/>
  <c r="B333" i="35"/>
  <c r="B334" i="35"/>
  <c r="B335" i="35"/>
  <c r="B336" i="35"/>
  <c r="B337" i="35"/>
  <c r="B338" i="35"/>
  <c r="B339" i="35"/>
  <c r="B340" i="35"/>
  <c r="B341" i="35"/>
  <c r="B342" i="35"/>
  <c r="B343" i="35"/>
  <c r="B344" i="35"/>
  <c r="B345" i="35"/>
  <c r="B346" i="35"/>
  <c r="B347" i="35"/>
  <c r="B348" i="35"/>
  <c r="B349" i="35"/>
  <c r="B350" i="35"/>
  <c r="B351" i="35"/>
  <c r="B352" i="35"/>
  <c r="B353" i="35"/>
  <c r="B354" i="35"/>
  <c r="B355" i="35"/>
  <c r="B356" i="35"/>
  <c r="B357" i="35"/>
  <c r="B358" i="35"/>
  <c r="B359" i="35"/>
  <c r="B360" i="35"/>
  <c r="B361" i="35"/>
  <c r="B362" i="35"/>
  <c r="B363" i="35"/>
  <c r="B364" i="35"/>
  <c r="B365" i="35"/>
  <c r="B366" i="35"/>
  <c r="B367" i="35"/>
  <c r="B368" i="35"/>
  <c r="B369" i="35"/>
  <c r="B370" i="35"/>
  <c r="B371" i="35"/>
  <c r="B372" i="35"/>
  <c r="B373" i="35"/>
  <c r="B374" i="35"/>
  <c r="B375" i="35"/>
  <c r="B376" i="35"/>
  <c r="B377" i="35"/>
  <c r="B378" i="35"/>
  <c r="B379" i="35"/>
  <c r="B380" i="35"/>
  <c r="B381" i="35"/>
  <c r="B382" i="35"/>
  <c r="B383" i="35"/>
  <c r="B384" i="35"/>
  <c r="B385" i="35"/>
  <c r="B386" i="35"/>
  <c r="B387" i="35"/>
  <c r="I4" i="30"/>
  <c r="I3" i="30"/>
  <c r="I2" i="30"/>
  <c r="I5" i="30"/>
  <c r="F12" i="47"/>
  <c r="F11" i="47"/>
  <c r="L28" i="47" l="1"/>
  <c r="M28" i="47"/>
  <c r="L27" i="47"/>
  <c r="M27" i="47"/>
  <c r="L25" i="47"/>
  <c r="L26" i="47"/>
  <c r="M25" i="47"/>
  <c r="M26" i="47"/>
  <c r="L17" i="47"/>
  <c r="L18" i="47"/>
  <c r="L19" i="47"/>
  <c r="L20" i="47"/>
  <c r="L21" i="47"/>
  <c r="L22" i="47"/>
  <c r="L23" i="47"/>
  <c r="L24" i="47"/>
  <c r="M17" i="47"/>
  <c r="M18" i="47"/>
  <c r="M19" i="47"/>
  <c r="M20" i="47"/>
  <c r="M21" i="47"/>
  <c r="M22" i="47"/>
  <c r="M23" i="47"/>
  <c r="M24" i="47"/>
  <c r="L16" i="47"/>
  <c r="M16" i="47"/>
  <c r="L15" i="47"/>
  <c r="M15" i="47"/>
  <c r="L14" i="47"/>
  <c r="M14" i="47"/>
  <c r="L13" i="47"/>
  <c r="M13" i="47"/>
  <c r="J756" i="31" l="1"/>
  <c r="J757" i="31"/>
  <c r="J755" i="31"/>
  <c r="J754" i="31"/>
  <c r="J749" i="31"/>
  <c r="J750" i="31"/>
  <c r="J751" i="31"/>
  <c r="J752" i="31"/>
  <c r="J753" i="31"/>
  <c r="J746" i="31"/>
  <c r="J747" i="31"/>
  <c r="J748" i="31"/>
  <c r="J744" i="31"/>
  <c r="J745" i="31"/>
  <c r="J743" i="31"/>
  <c r="J742" i="31"/>
  <c r="J741" i="31"/>
  <c r="J740" i="31"/>
  <c r="J739" i="31"/>
  <c r="J734" i="31"/>
  <c r="J738" i="31"/>
  <c r="J737" i="31"/>
  <c r="J732" i="31"/>
  <c r="J733" i="31"/>
  <c r="J736" i="31"/>
  <c r="J730" i="31"/>
  <c r="J731" i="31"/>
  <c r="J735" i="31"/>
  <c r="J729" i="31"/>
  <c r="J727" i="31"/>
  <c r="J728" i="31"/>
  <c r="J725" i="31"/>
  <c r="J726" i="31"/>
  <c r="J724" i="31"/>
  <c r="J721" i="31"/>
  <c r="J722" i="31"/>
  <c r="J723" i="31"/>
  <c r="J720" i="31"/>
  <c r="J719" i="31"/>
  <c r="J718" i="31"/>
  <c r="J715" i="31"/>
  <c r="J716" i="31"/>
  <c r="J717" i="31"/>
  <c r="J714" i="31"/>
  <c r="J709" i="31"/>
  <c r="J710" i="31"/>
  <c r="J711" i="31"/>
  <c r="J712" i="31"/>
  <c r="J713" i="31"/>
  <c r="R17" i="34"/>
  <c r="J708" i="31"/>
  <c r="J704" i="31"/>
  <c r="J705" i="31"/>
  <c r="J706" i="31"/>
  <c r="J707" i="31"/>
  <c r="J703" i="31"/>
  <c r="J702" i="31"/>
  <c r="J701" i="31"/>
  <c r="J697" i="31"/>
  <c r="J698" i="31"/>
  <c r="J699" i="31"/>
  <c r="J700" i="31"/>
  <c r="J694" i="31"/>
  <c r="J696" i="31"/>
  <c r="J689" i="31"/>
  <c r="J690" i="31"/>
  <c r="J691" i="31"/>
  <c r="J692" i="31"/>
  <c r="J693" i="31"/>
  <c r="J695" i="31"/>
  <c r="J688" i="31"/>
  <c r="J687" i="31"/>
  <c r="J686" i="31"/>
  <c r="J685" i="31"/>
  <c r="J684" i="31"/>
  <c r="J683" i="31"/>
  <c r="J682" i="31"/>
  <c r="J681" i="31"/>
  <c r="J680" i="31"/>
  <c r="J679" i="31"/>
  <c r="J678" i="31"/>
  <c r="J676" i="31"/>
  <c r="J677" i="31"/>
  <c r="J673" i="31"/>
  <c r="J674" i="31"/>
  <c r="J675" i="31"/>
  <c r="J668" i="31"/>
  <c r="J669" i="31"/>
  <c r="J670" i="31"/>
  <c r="J671" i="31"/>
  <c r="J672" i="31"/>
  <c r="J667" i="31"/>
  <c r="J658" i="31"/>
  <c r="J659" i="31"/>
  <c r="J660" i="31"/>
  <c r="J661" i="31"/>
  <c r="J662" i="31"/>
  <c r="J663" i="31"/>
  <c r="J664" i="31"/>
  <c r="J666" i="31"/>
  <c r="J665" i="31"/>
  <c r="J655" i="31"/>
  <c r="J657" i="31"/>
  <c r="J654" i="31"/>
  <c r="J656" i="31"/>
  <c r="J651" i="31"/>
  <c r="J652" i="31"/>
  <c r="J653" i="31"/>
  <c r="J650" i="31"/>
  <c r="J649" i="31"/>
  <c r="R20" i="34"/>
  <c r="R19" i="34"/>
  <c r="J648" i="31"/>
  <c r="J647" i="31"/>
  <c r="J646" i="31"/>
  <c r="J645" i="31"/>
  <c r="J644" i="31"/>
  <c r="J643" i="31"/>
  <c r="J642" i="31"/>
  <c r="J640" i="31"/>
  <c r="J641" i="31"/>
  <c r="J639" i="31"/>
  <c r="F9" i="47"/>
  <c r="F10" i="47"/>
  <c r="F2" i="47"/>
  <c r="F3" i="47"/>
  <c r="F5" i="47"/>
  <c r="F6" i="47"/>
  <c r="F7" i="47"/>
  <c r="F8" i="47"/>
  <c r="F4" i="47"/>
  <c r="T37" i="34"/>
  <c r="J638" i="31"/>
  <c r="J637" i="31"/>
  <c r="J636" i="31"/>
  <c r="J633" i="31"/>
  <c r="J630" i="31"/>
  <c r="J635" i="31"/>
  <c r="J632" i="31"/>
  <c r="J634" i="31"/>
  <c r="J631" i="31"/>
  <c r="K1" i="44"/>
  <c r="H1" i="44"/>
  <c r="G1" i="44"/>
  <c r="X1124" i="44"/>
  <c r="X1125" i="44"/>
  <c r="X1126" i="44"/>
  <c r="X1127" i="44"/>
  <c r="X1128" i="44"/>
  <c r="X1129" i="44"/>
  <c r="X1130" i="44"/>
  <c r="X1131" i="44"/>
  <c r="X1132" i="44"/>
  <c r="X1133" i="44"/>
  <c r="X1134" i="44"/>
  <c r="X1135" i="44"/>
  <c r="X1136" i="44"/>
  <c r="X1137" i="44"/>
  <c r="X1138" i="44"/>
  <c r="X1139" i="44"/>
  <c r="X1140" i="44"/>
  <c r="X1141" i="44"/>
  <c r="X1142" i="44"/>
  <c r="X1143" i="44"/>
  <c r="X1144" i="44"/>
  <c r="X1145" i="44"/>
  <c r="X1146" i="44"/>
  <c r="X1147" i="44"/>
  <c r="X1148" i="44"/>
  <c r="X1149" i="44"/>
  <c r="X1150" i="44"/>
  <c r="X1151" i="44"/>
  <c r="X1152" i="44"/>
  <c r="X1153" i="44"/>
  <c r="X1154" i="44"/>
  <c r="X1155" i="44"/>
  <c r="X1156" i="44"/>
  <c r="X1157" i="44"/>
  <c r="X1158" i="44"/>
  <c r="X1159" i="44"/>
  <c r="X1160" i="44"/>
  <c r="X1161" i="44"/>
  <c r="X1123" i="44"/>
  <c r="X1122" i="44"/>
  <c r="X1121" i="44"/>
  <c r="X1120" i="44"/>
  <c r="X1119" i="44"/>
  <c r="X1118" i="44"/>
  <c r="X1117" i="44"/>
  <c r="X1116" i="44"/>
  <c r="X1115" i="44"/>
  <c r="X1114" i="44"/>
  <c r="X1113" i="44"/>
  <c r="X1112" i="44"/>
  <c r="X1111" i="44"/>
  <c r="X1110" i="44"/>
  <c r="X1109" i="44"/>
  <c r="X1108" i="44"/>
  <c r="X1107" i="44"/>
  <c r="X1106" i="44"/>
  <c r="X1105" i="44"/>
  <c r="X1104" i="44"/>
  <c r="X1103" i="44"/>
  <c r="X1102" i="44"/>
  <c r="X1101" i="44"/>
  <c r="X1100" i="44"/>
  <c r="X1099" i="44"/>
  <c r="X1098" i="44"/>
  <c r="X1097" i="44"/>
  <c r="X1096" i="44"/>
  <c r="X1095" i="44"/>
  <c r="X1094" i="44"/>
  <c r="X1093" i="44"/>
  <c r="X1092" i="44"/>
  <c r="X1091" i="44"/>
  <c r="X1090" i="44"/>
  <c r="X1089" i="44"/>
  <c r="X1088" i="44"/>
  <c r="X1087" i="44"/>
  <c r="X1086" i="44"/>
  <c r="X1085" i="44"/>
  <c r="X1084" i="44"/>
  <c r="X1083" i="44"/>
  <c r="X1082" i="44"/>
  <c r="X1081" i="44"/>
  <c r="X1080" i="44"/>
  <c r="X1079" i="44"/>
  <c r="X1078" i="44"/>
  <c r="X1077" i="44"/>
  <c r="X1076" i="44"/>
  <c r="X1075" i="44"/>
  <c r="X1074" i="44"/>
  <c r="X1073" i="44"/>
  <c r="X1072" i="44"/>
  <c r="X1071" i="44"/>
  <c r="X1070" i="44"/>
  <c r="X1069" i="44"/>
  <c r="X1068" i="44"/>
  <c r="X1067" i="44"/>
  <c r="X1066" i="44"/>
  <c r="X1065" i="44"/>
  <c r="X1064" i="44"/>
  <c r="X1063" i="44"/>
  <c r="X1062" i="44"/>
  <c r="X1061" i="44"/>
  <c r="X1060" i="44"/>
  <c r="X1059" i="44"/>
  <c r="X1058" i="44"/>
  <c r="X1057" i="44"/>
  <c r="X1056" i="44"/>
  <c r="X1055" i="44"/>
  <c r="X1054" i="44"/>
  <c r="X1053" i="44"/>
  <c r="X1052" i="44"/>
  <c r="X1051" i="44"/>
  <c r="X1050" i="44"/>
  <c r="X1049" i="44"/>
  <c r="X1048" i="44"/>
  <c r="X1047" i="44"/>
  <c r="X1046" i="44"/>
  <c r="X1045" i="44"/>
  <c r="X1044" i="44"/>
  <c r="X1043" i="44"/>
  <c r="X1042" i="44"/>
  <c r="X1041" i="44"/>
  <c r="X1040" i="44"/>
  <c r="X1039" i="44"/>
  <c r="X1038" i="44"/>
  <c r="X1037" i="44"/>
  <c r="X1036" i="44"/>
  <c r="X1035" i="44"/>
  <c r="X1034" i="44"/>
  <c r="X1033" i="44"/>
  <c r="X1032" i="44"/>
  <c r="X1031" i="44"/>
  <c r="X1030" i="44"/>
  <c r="X1029" i="44"/>
  <c r="X1028" i="44"/>
  <c r="X1027" i="44"/>
  <c r="X1026" i="44"/>
  <c r="X1025" i="44"/>
  <c r="X1024" i="44"/>
  <c r="X1023" i="44"/>
  <c r="X1022" i="44"/>
  <c r="X1021" i="44"/>
  <c r="X1020" i="44"/>
  <c r="X1019" i="44"/>
  <c r="X1018" i="44"/>
  <c r="X1017" i="44"/>
  <c r="X1016" i="44"/>
  <c r="X1015" i="44"/>
  <c r="X1014" i="44"/>
  <c r="X1013" i="44"/>
  <c r="X1012" i="44"/>
  <c r="X1011" i="44"/>
  <c r="X1010" i="44"/>
  <c r="X1009" i="44"/>
  <c r="X1008" i="44"/>
  <c r="X1007" i="44"/>
  <c r="X1006" i="44"/>
  <c r="X1005" i="44"/>
  <c r="X1004" i="44"/>
  <c r="X1003" i="44"/>
  <c r="X1002" i="44"/>
  <c r="X1001" i="44"/>
  <c r="X1000" i="44"/>
  <c r="X999" i="44"/>
  <c r="X998" i="44"/>
  <c r="X997" i="44"/>
  <c r="X996" i="44"/>
  <c r="X995" i="44"/>
  <c r="X994" i="44"/>
  <c r="X993" i="44"/>
  <c r="X992" i="44"/>
  <c r="X991" i="44"/>
  <c r="X990" i="44"/>
  <c r="X989" i="44"/>
  <c r="X988" i="44"/>
  <c r="X987" i="44"/>
  <c r="X986" i="44"/>
  <c r="X985" i="44"/>
  <c r="X984" i="44"/>
  <c r="X983" i="44"/>
  <c r="X982" i="44"/>
  <c r="X981" i="44"/>
  <c r="X980" i="44"/>
  <c r="X979" i="44"/>
  <c r="X978" i="44"/>
  <c r="X977" i="44"/>
  <c r="X976" i="44"/>
  <c r="X975" i="44"/>
  <c r="X974" i="44"/>
  <c r="X973" i="44"/>
  <c r="X972" i="44"/>
  <c r="X971" i="44"/>
  <c r="X970" i="44"/>
  <c r="X969" i="44"/>
  <c r="X968" i="44"/>
  <c r="X967" i="44"/>
  <c r="X966" i="44"/>
  <c r="X965" i="44"/>
  <c r="X964" i="44"/>
  <c r="X963" i="44"/>
  <c r="X962" i="44"/>
  <c r="X961" i="44"/>
  <c r="X960" i="44"/>
  <c r="X959" i="44"/>
  <c r="X958" i="44"/>
  <c r="X957" i="44"/>
  <c r="X956" i="44"/>
  <c r="X955" i="44"/>
  <c r="X954" i="44"/>
  <c r="X953" i="44"/>
  <c r="X952" i="44"/>
  <c r="X951" i="44"/>
  <c r="X950" i="44"/>
  <c r="X949" i="44"/>
  <c r="X948" i="44"/>
  <c r="X947" i="44"/>
  <c r="X946" i="44"/>
  <c r="X945" i="44"/>
  <c r="X944" i="44"/>
  <c r="X943" i="44"/>
  <c r="X942" i="44"/>
  <c r="X941" i="44"/>
  <c r="X940" i="44"/>
  <c r="X939" i="44"/>
  <c r="X938" i="44"/>
  <c r="X937" i="44"/>
  <c r="X936" i="44"/>
  <c r="X935" i="44"/>
  <c r="X934" i="44"/>
  <c r="X933" i="44"/>
  <c r="X932" i="44"/>
  <c r="X931" i="44"/>
  <c r="X930" i="44"/>
  <c r="X929" i="44"/>
  <c r="X928" i="44"/>
  <c r="X927" i="44"/>
  <c r="X926" i="44"/>
  <c r="X925" i="44"/>
  <c r="X924" i="44"/>
  <c r="X923" i="44"/>
  <c r="X922" i="44"/>
  <c r="X921" i="44"/>
  <c r="X920" i="44"/>
  <c r="X919" i="44"/>
  <c r="X918" i="44"/>
  <c r="X917" i="44"/>
  <c r="X916" i="44"/>
  <c r="X915" i="44"/>
  <c r="X914" i="44"/>
  <c r="X913" i="44"/>
  <c r="X912" i="44"/>
  <c r="X911" i="44"/>
  <c r="X910" i="44"/>
  <c r="X909" i="44"/>
  <c r="X908" i="44"/>
  <c r="X907" i="44"/>
  <c r="X906" i="44"/>
  <c r="X905" i="44"/>
  <c r="X904" i="44"/>
  <c r="X903" i="44"/>
  <c r="X902" i="44"/>
  <c r="X901" i="44"/>
  <c r="X900" i="44"/>
  <c r="X899" i="44"/>
  <c r="X898" i="44"/>
  <c r="X897" i="44"/>
  <c r="X896" i="44"/>
  <c r="X895" i="44"/>
  <c r="X894" i="44"/>
  <c r="X893" i="44"/>
  <c r="X892" i="44"/>
  <c r="X891" i="44"/>
  <c r="X890" i="44"/>
  <c r="X889" i="44"/>
  <c r="X888" i="44"/>
  <c r="X887" i="44"/>
  <c r="X886" i="44"/>
  <c r="X885" i="44"/>
  <c r="X884" i="44"/>
  <c r="X883" i="44"/>
  <c r="X882" i="44"/>
  <c r="X881" i="44"/>
  <c r="X880" i="44"/>
  <c r="X879" i="44"/>
  <c r="X878" i="44"/>
  <c r="X877" i="44"/>
  <c r="X876" i="44"/>
  <c r="X875" i="44"/>
  <c r="X874" i="44"/>
  <c r="X873" i="44"/>
  <c r="X872" i="44"/>
  <c r="X871" i="44"/>
  <c r="X870" i="44"/>
  <c r="X869" i="44"/>
  <c r="X868" i="44"/>
  <c r="X867" i="44"/>
  <c r="X866" i="44"/>
  <c r="X865" i="44"/>
  <c r="X864" i="44"/>
  <c r="X863" i="44"/>
  <c r="X862" i="44"/>
  <c r="X861" i="44"/>
  <c r="X860" i="44"/>
  <c r="X859" i="44"/>
  <c r="X858" i="44"/>
  <c r="X857" i="44"/>
  <c r="X856" i="44"/>
  <c r="X855" i="44"/>
  <c r="X854" i="44"/>
  <c r="X853" i="44"/>
  <c r="X852" i="44"/>
  <c r="X851" i="44"/>
  <c r="X850" i="44"/>
  <c r="X849" i="44"/>
  <c r="X848" i="44"/>
  <c r="X847" i="44"/>
  <c r="X846" i="44"/>
  <c r="X845" i="44"/>
  <c r="X844" i="44"/>
  <c r="X843" i="44"/>
  <c r="X842" i="44"/>
  <c r="X841" i="44"/>
  <c r="X840" i="44"/>
  <c r="X839" i="44"/>
  <c r="X838" i="44"/>
  <c r="X837" i="44"/>
  <c r="X836" i="44"/>
  <c r="X835" i="44"/>
  <c r="X834" i="44"/>
  <c r="X833" i="44"/>
  <c r="X832" i="44"/>
  <c r="X831" i="44"/>
  <c r="X830" i="44"/>
  <c r="X829" i="44"/>
  <c r="X828" i="44"/>
  <c r="X827" i="44"/>
  <c r="X826" i="44"/>
  <c r="X825" i="44"/>
  <c r="X824" i="44"/>
  <c r="X823" i="44"/>
  <c r="X822" i="44"/>
  <c r="X821" i="44"/>
  <c r="X820" i="44"/>
  <c r="X819" i="44"/>
  <c r="X818" i="44"/>
  <c r="X817" i="44"/>
  <c r="X816" i="44"/>
  <c r="X815" i="44"/>
  <c r="X814" i="44"/>
  <c r="X813" i="44"/>
  <c r="X812" i="44"/>
  <c r="X811" i="44"/>
  <c r="X810" i="44"/>
  <c r="X809" i="44"/>
  <c r="X808" i="44"/>
  <c r="X807" i="44"/>
  <c r="X806" i="44"/>
  <c r="X805" i="44"/>
  <c r="X804" i="44"/>
  <c r="X803" i="44"/>
  <c r="X802" i="44"/>
  <c r="X801" i="44"/>
  <c r="X800" i="44"/>
  <c r="X799" i="44"/>
  <c r="X798" i="44"/>
  <c r="X797" i="44"/>
  <c r="X796" i="44"/>
  <c r="X795" i="44"/>
  <c r="X794" i="44"/>
  <c r="X793" i="44"/>
  <c r="X792" i="44"/>
  <c r="X791" i="44"/>
  <c r="X790" i="44"/>
  <c r="X789" i="44"/>
  <c r="X788" i="44"/>
  <c r="X787" i="44"/>
  <c r="X786" i="44"/>
  <c r="X785" i="44"/>
  <c r="X784" i="44"/>
  <c r="X783" i="44"/>
  <c r="X782" i="44"/>
  <c r="X781" i="44"/>
  <c r="X780" i="44"/>
  <c r="X779" i="44"/>
  <c r="X778" i="44"/>
  <c r="X777" i="44"/>
  <c r="X776" i="44"/>
  <c r="X775" i="44"/>
  <c r="X774" i="44"/>
  <c r="X773" i="44"/>
  <c r="X772" i="44"/>
  <c r="X771" i="44"/>
  <c r="X770" i="44"/>
  <c r="X769" i="44"/>
  <c r="X768" i="44"/>
  <c r="X767" i="44"/>
  <c r="X766" i="44"/>
  <c r="X765" i="44"/>
  <c r="X764" i="44"/>
  <c r="X763" i="44"/>
  <c r="X762" i="44"/>
  <c r="X761" i="44"/>
  <c r="X760" i="44"/>
  <c r="X759" i="44"/>
  <c r="X758" i="44"/>
  <c r="X757" i="44"/>
  <c r="X756" i="44"/>
  <c r="X755" i="44"/>
  <c r="X754" i="44"/>
  <c r="X753" i="44"/>
  <c r="X752" i="44"/>
  <c r="X751" i="44"/>
  <c r="X750" i="44"/>
  <c r="X749" i="44"/>
  <c r="X748" i="44"/>
  <c r="X747" i="44"/>
  <c r="X746" i="44"/>
  <c r="X745" i="44"/>
  <c r="X744" i="44"/>
  <c r="X743" i="44"/>
  <c r="X742" i="44"/>
  <c r="X741" i="44"/>
  <c r="X740" i="44"/>
  <c r="X739" i="44"/>
  <c r="X738" i="44"/>
  <c r="X737" i="44"/>
  <c r="X736" i="44"/>
  <c r="X735" i="44"/>
  <c r="X734" i="44"/>
  <c r="X733" i="44"/>
  <c r="X732" i="44"/>
  <c r="X731" i="44"/>
  <c r="X730" i="44"/>
  <c r="X729" i="44"/>
  <c r="X728" i="44"/>
  <c r="X727" i="44"/>
  <c r="X726" i="44"/>
  <c r="X725" i="44"/>
  <c r="X724" i="44"/>
  <c r="X723" i="44"/>
  <c r="X722" i="44"/>
  <c r="X721" i="44"/>
  <c r="X720" i="44"/>
  <c r="X719" i="44"/>
  <c r="X718" i="44"/>
  <c r="X717" i="44"/>
  <c r="X716" i="44"/>
  <c r="X715" i="44"/>
  <c r="X714" i="44"/>
  <c r="X713" i="44"/>
  <c r="X712" i="44"/>
  <c r="X711" i="44"/>
  <c r="X710" i="44"/>
  <c r="X709" i="44"/>
  <c r="X708" i="44"/>
  <c r="X707" i="44"/>
  <c r="X706" i="44"/>
  <c r="X705" i="44"/>
  <c r="X704" i="44"/>
  <c r="X703" i="44"/>
  <c r="X702" i="44"/>
  <c r="X701" i="44"/>
  <c r="X700" i="44"/>
  <c r="X699" i="44"/>
  <c r="X698" i="44"/>
  <c r="X697" i="44"/>
  <c r="X696" i="44"/>
  <c r="X695" i="44"/>
  <c r="X694" i="44"/>
  <c r="X693" i="44"/>
  <c r="X692" i="44"/>
  <c r="X691" i="44"/>
  <c r="X690" i="44"/>
  <c r="X689" i="44"/>
  <c r="X688" i="44"/>
  <c r="X687" i="44"/>
  <c r="X686" i="44"/>
  <c r="X685" i="44"/>
  <c r="X684" i="44"/>
  <c r="X683" i="44"/>
  <c r="X682" i="44"/>
  <c r="X681" i="44"/>
  <c r="X680" i="44"/>
  <c r="X679" i="44"/>
  <c r="X678" i="44"/>
  <c r="X677" i="44"/>
  <c r="X676" i="44"/>
  <c r="X675" i="44"/>
  <c r="X674" i="44"/>
  <c r="X673" i="44"/>
  <c r="X672" i="44"/>
  <c r="X671" i="44"/>
  <c r="X670" i="44"/>
  <c r="X669" i="44"/>
  <c r="X668" i="44"/>
  <c r="X667" i="44"/>
  <c r="X666" i="44"/>
  <c r="X665" i="44"/>
  <c r="X664" i="44"/>
  <c r="X663" i="44"/>
  <c r="X662" i="44"/>
  <c r="X661" i="44"/>
  <c r="X660" i="44"/>
  <c r="X659" i="44"/>
  <c r="X658" i="44"/>
  <c r="X657" i="44"/>
  <c r="X656" i="44"/>
  <c r="X655" i="44"/>
  <c r="X654" i="44"/>
  <c r="X653" i="44"/>
  <c r="X652" i="44"/>
  <c r="X651" i="44"/>
  <c r="X650" i="44"/>
  <c r="X649" i="44"/>
  <c r="X648" i="44"/>
  <c r="X647" i="44"/>
  <c r="X646" i="44"/>
  <c r="X645" i="44"/>
  <c r="X644" i="44"/>
  <c r="X643" i="44"/>
  <c r="X642" i="44"/>
  <c r="X641" i="44"/>
  <c r="X640" i="44"/>
  <c r="X639" i="44"/>
  <c r="X638" i="44"/>
  <c r="X637" i="44"/>
  <c r="X636" i="44"/>
  <c r="X635" i="44"/>
  <c r="X634" i="44"/>
  <c r="X633" i="44"/>
  <c r="X632" i="44"/>
  <c r="X631" i="44"/>
  <c r="X630" i="44"/>
  <c r="X629" i="44"/>
  <c r="X628" i="44"/>
  <c r="X627" i="44"/>
  <c r="X626" i="44"/>
  <c r="X625" i="44"/>
  <c r="X624" i="44"/>
  <c r="X623" i="44"/>
  <c r="X622" i="44"/>
  <c r="X621" i="44"/>
  <c r="X620" i="44"/>
  <c r="X619" i="44"/>
  <c r="X618" i="44"/>
  <c r="X617" i="44"/>
  <c r="X616" i="44"/>
  <c r="X615" i="44"/>
  <c r="X614" i="44"/>
  <c r="X613" i="44"/>
  <c r="X612" i="44"/>
  <c r="X611" i="44"/>
  <c r="X610" i="44"/>
  <c r="X609" i="44"/>
  <c r="X608" i="44"/>
  <c r="X607" i="44"/>
  <c r="X606" i="44"/>
  <c r="X605" i="44"/>
  <c r="X604" i="44"/>
  <c r="X603" i="44"/>
  <c r="X602" i="44"/>
  <c r="X601" i="44"/>
  <c r="X600" i="44"/>
  <c r="X599" i="44"/>
  <c r="X598" i="44"/>
  <c r="X597" i="44"/>
  <c r="X596" i="44"/>
  <c r="X595" i="44"/>
  <c r="X594" i="44"/>
  <c r="X593" i="44"/>
  <c r="X592" i="44"/>
  <c r="X591" i="44"/>
  <c r="X590" i="44"/>
  <c r="X589" i="44"/>
  <c r="X588" i="44"/>
  <c r="X587" i="44"/>
  <c r="X586" i="44"/>
  <c r="X585" i="44"/>
  <c r="X584" i="44"/>
  <c r="X583" i="44"/>
  <c r="X582" i="44"/>
  <c r="X581" i="44"/>
  <c r="X580" i="44"/>
  <c r="X579" i="44"/>
  <c r="X578" i="44"/>
  <c r="X577" i="44"/>
  <c r="X576" i="44"/>
  <c r="X575" i="44"/>
  <c r="X574" i="44"/>
  <c r="X573" i="44"/>
  <c r="X572" i="44"/>
  <c r="X571" i="44"/>
  <c r="X570" i="44"/>
  <c r="X569" i="44"/>
  <c r="X568" i="44"/>
  <c r="X567" i="44"/>
  <c r="X566" i="44"/>
  <c r="X565" i="44"/>
  <c r="X564" i="44"/>
  <c r="X563" i="44"/>
  <c r="X562" i="44"/>
  <c r="X561" i="44"/>
  <c r="X560" i="44"/>
  <c r="X559" i="44"/>
  <c r="X558" i="44"/>
  <c r="X557" i="44"/>
  <c r="X556" i="44"/>
  <c r="X555" i="44"/>
  <c r="X554" i="44"/>
  <c r="X553" i="44"/>
  <c r="X552" i="44"/>
  <c r="X551" i="44"/>
  <c r="X550" i="44"/>
  <c r="X549" i="44"/>
  <c r="X548" i="44"/>
  <c r="X547" i="44"/>
  <c r="X546" i="44"/>
  <c r="X545" i="44"/>
  <c r="X544" i="44"/>
  <c r="X543" i="44"/>
  <c r="X542" i="44"/>
  <c r="X541" i="44"/>
  <c r="X540" i="44"/>
  <c r="X539" i="44"/>
  <c r="X538" i="44"/>
  <c r="X537" i="44"/>
  <c r="X536" i="44"/>
  <c r="X535" i="44"/>
  <c r="X534" i="44"/>
  <c r="X533" i="44"/>
  <c r="X532" i="44"/>
  <c r="X531" i="44"/>
  <c r="X530" i="44"/>
  <c r="X529" i="44"/>
  <c r="X528" i="44"/>
  <c r="X527" i="44"/>
  <c r="X526" i="44"/>
  <c r="X525" i="44"/>
  <c r="X524" i="44"/>
  <c r="X523" i="44"/>
  <c r="X522" i="44"/>
  <c r="X521" i="44"/>
  <c r="X520" i="44"/>
  <c r="X519" i="44"/>
  <c r="X518" i="44"/>
  <c r="X517" i="44"/>
  <c r="X516" i="44"/>
  <c r="X515" i="44"/>
  <c r="X514" i="44"/>
  <c r="X513" i="44"/>
  <c r="X512" i="44"/>
  <c r="X511" i="44"/>
  <c r="X510" i="44"/>
  <c r="X509" i="44"/>
  <c r="X508" i="44"/>
  <c r="X507" i="44"/>
  <c r="X506" i="44"/>
  <c r="X505" i="44"/>
  <c r="X504" i="44"/>
  <c r="X503" i="44"/>
  <c r="X502" i="44"/>
  <c r="X501" i="44"/>
  <c r="X500" i="44"/>
  <c r="X499" i="44"/>
  <c r="X498" i="44"/>
  <c r="X497" i="44"/>
  <c r="X496" i="44"/>
  <c r="X495" i="44"/>
  <c r="X494" i="44"/>
  <c r="X493" i="44"/>
  <c r="X492" i="44"/>
  <c r="X491" i="44"/>
  <c r="X490" i="44"/>
  <c r="X489" i="44"/>
  <c r="X488" i="44"/>
  <c r="X487" i="44"/>
  <c r="X486" i="44"/>
  <c r="X485" i="44"/>
  <c r="X484" i="44"/>
  <c r="X483" i="44"/>
  <c r="X482" i="44"/>
  <c r="X481" i="44"/>
  <c r="X480" i="44"/>
  <c r="X479" i="44"/>
  <c r="X478" i="44"/>
  <c r="X477" i="44"/>
  <c r="X476" i="44"/>
  <c r="X475" i="44"/>
  <c r="X474" i="44"/>
  <c r="X473" i="44"/>
  <c r="X472" i="44"/>
  <c r="X471" i="44"/>
  <c r="X470" i="44"/>
  <c r="X469" i="44"/>
  <c r="X468" i="44"/>
  <c r="X467" i="44"/>
  <c r="X466" i="44"/>
  <c r="X465" i="44"/>
  <c r="X464" i="44"/>
  <c r="X463" i="44"/>
  <c r="X462" i="44"/>
  <c r="X461" i="44"/>
  <c r="X460" i="44"/>
  <c r="X459" i="44"/>
  <c r="X458" i="44"/>
  <c r="X457" i="44"/>
  <c r="X456" i="44"/>
  <c r="X455" i="44"/>
  <c r="X454" i="44"/>
  <c r="X453" i="44"/>
  <c r="X452" i="44"/>
  <c r="X451" i="44"/>
  <c r="X450" i="44"/>
  <c r="X449" i="44"/>
  <c r="X448" i="44"/>
  <c r="X447" i="44"/>
  <c r="X446" i="44"/>
  <c r="X445" i="44"/>
  <c r="X444" i="44"/>
  <c r="X443" i="44"/>
  <c r="X442" i="44"/>
  <c r="X441" i="44"/>
  <c r="X440" i="44"/>
  <c r="X439" i="44"/>
  <c r="X438" i="44"/>
  <c r="X437" i="44"/>
  <c r="X436" i="44"/>
  <c r="X435" i="44"/>
  <c r="X434" i="44"/>
  <c r="X433" i="44"/>
  <c r="X432" i="44"/>
  <c r="X431" i="44"/>
  <c r="X430" i="44"/>
  <c r="X429" i="44"/>
  <c r="X428" i="44"/>
  <c r="X427" i="44"/>
  <c r="X426" i="44"/>
  <c r="X425" i="44"/>
  <c r="X424" i="44"/>
  <c r="X423" i="44"/>
  <c r="X422" i="44"/>
  <c r="X421" i="44"/>
  <c r="X420" i="44"/>
  <c r="X419" i="44"/>
  <c r="X418" i="44"/>
  <c r="X417" i="44"/>
  <c r="X416" i="44"/>
  <c r="X415" i="44"/>
  <c r="X414" i="44"/>
  <c r="X413" i="44"/>
  <c r="X412" i="44"/>
  <c r="X411" i="44"/>
  <c r="X410" i="44"/>
  <c r="X409" i="44"/>
  <c r="X408" i="44"/>
  <c r="X407" i="44"/>
  <c r="X406" i="44"/>
  <c r="X405" i="44"/>
  <c r="X404" i="44"/>
  <c r="X403" i="44"/>
  <c r="X402" i="44"/>
  <c r="X401" i="44"/>
  <c r="X400" i="44"/>
  <c r="X399" i="44"/>
  <c r="X398" i="44"/>
  <c r="X397" i="44"/>
  <c r="X396" i="44"/>
  <c r="X395" i="44"/>
  <c r="X394" i="44"/>
  <c r="X393" i="44"/>
  <c r="X392" i="44"/>
  <c r="X391" i="44"/>
  <c r="X390" i="44"/>
  <c r="X389" i="44"/>
  <c r="X388" i="44"/>
  <c r="X387" i="44"/>
  <c r="X386" i="44"/>
  <c r="X385" i="44"/>
  <c r="X384" i="44"/>
  <c r="X383" i="44"/>
  <c r="X382" i="44"/>
  <c r="X381" i="44"/>
  <c r="X380" i="44"/>
  <c r="X379" i="44"/>
  <c r="X378" i="44"/>
  <c r="X377" i="44"/>
  <c r="X376" i="44"/>
  <c r="X375" i="44"/>
  <c r="X374" i="44"/>
  <c r="X373" i="44"/>
  <c r="X372" i="44"/>
  <c r="X371" i="44"/>
  <c r="X370" i="44"/>
  <c r="X369" i="44"/>
  <c r="X368" i="44"/>
  <c r="X367" i="44"/>
  <c r="X366" i="44"/>
  <c r="X365" i="44"/>
  <c r="X364" i="44"/>
  <c r="X363" i="44"/>
  <c r="X362" i="44"/>
  <c r="X361" i="44"/>
  <c r="X360" i="44"/>
  <c r="X359" i="44"/>
  <c r="X358" i="44"/>
  <c r="X357" i="44"/>
  <c r="X356" i="44"/>
  <c r="X355" i="44"/>
  <c r="X354" i="44"/>
  <c r="X353" i="44"/>
  <c r="X352" i="44"/>
  <c r="X351" i="44"/>
  <c r="X350" i="44"/>
  <c r="X349" i="44"/>
  <c r="X348" i="44"/>
  <c r="X347" i="44"/>
  <c r="X346" i="44"/>
  <c r="X345" i="44"/>
  <c r="X344" i="44"/>
  <c r="X343" i="44"/>
  <c r="X342" i="44"/>
  <c r="X341" i="44"/>
  <c r="X340" i="44"/>
  <c r="X339" i="44"/>
  <c r="X338" i="44"/>
  <c r="X337" i="44"/>
  <c r="X336" i="44"/>
  <c r="X335" i="44"/>
  <c r="X334" i="44"/>
  <c r="X333" i="44"/>
  <c r="X332" i="44"/>
  <c r="X331" i="44"/>
  <c r="X330" i="44"/>
  <c r="X329" i="44"/>
  <c r="X328" i="44"/>
  <c r="X327" i="44"/>
  <c r="X326" i="44"/>
  <c r="X325" i="44"/>
  <c r="X324" i="44"/>
  <c r="X323" i="44"/>
  <c r="X322" i="44"/>
  <c r="X321" i="44"/>
  <c r="X320" i="44"/>
  <c r="X319" i="44"/>
  <c r="X318" i="44"/>
  <c r="X317" i="44"/>
  <c r="X316" i="44"/>
  <c r="X315" i="44"/>
  <c r="X314" i="44"/>
  <c r="X313" i="44"/>
  <c r="X312" i="44"/>
  <c r="X311" i="44"/>
  <c r="X310" i="44"/>
  <c r="X309" i="44"/>
  <c r="X308" i="44"/>
  <c r="X307" i="44"/>
  <c r="X306" i="44"/>
  <c r="X305" i="44"/>
  <c r="X304" i="44"/>
  <c r="X303" i="44"/>
  <c r="X302" i="44"/>
  <c r="X301" i="44"/>
  <c r="X300" i="44"/>
  <c r="X299" i="44"/>
  <c r="X298" i="44"/>
  <c r="X297" i="44"/>
  <c r="X296" i="44"/>
  <c r="X295" i="44"/>
  <c r="X294" i="44"/>
  <c r="X293" i="44"/>
  <c r="X292" i="44"/>
  <c r="X291" i="44"/>
  <c r="X290" i="44"/>
  <c r="X289" i="44"/>
  <c r="X288" i="44"/>
  <c r="X287" i="44"/>
  <c r="X286" i="44"/>
  <c r="X285" i="44"/>
  <c r="X284" i="44"/>
  <c r="X283" i="44"/>
  <c r="X282" i="44"/>
  <c r="X281" i="44"/>
  <c r="X280" i="44"/>
  <c r="X279" i="44"/>
  <c r="X278" i="44"/>
  <c r="X277" i="44"/>
  <c r="X276" i="44"/>
  <c r="X275" i="44"/>
  <c r="X274" i="44"/>
  <c r="X273" i="44"/>
  <c r="X272" i="44"/>
  <c r="X271" i="44"/>
  <c r="X270" i="44"/>
  <c r="X269" i="44"/>
  <c r="X268" i="44"/>
  <c r="X267" i="44"/>
  <c r="X266" i="44"/>
  <c r="X265" i="44"/>
  <c r="X264" i="44"/>
  <c r="X263" i="44"/>
  <c r="X262" i="44"/>
  <c r="X261" i="44"/>
  <c r="X260" i="44"/>
  <c r="X259" i="44"/>
  <c r="X258" i="44"/>
  <c r="X257" i="44"/>
  <c r="X256" i="44"/>
  <c r="X255" i="44"/>
  <c r="X254" i="44"/>
  <c r="X253" i="44"/>
  <c r="X252" i="44"/>
  <c r="X251" i="44"/>
  <c r="X250" i="44"/>
  <c r="X249" i="44"/>
  <c r="X248" i="44"/>
  <c r="X247" i="44"/>
  <c r="X246" i="44"/>
  <c r="X245" i="44"/>
  <c r="X244" i="44"/>
  <c r="X243" i="44"/>
  <c r="X242" i="44"/>
  <c r="X241" i="44"/>
  <c r="X240" i="44"/>
  <c r="X239" i="44"/>
  <c r="X238" i="44"/>
  <c r="X237" i="44"/>
  <c r="X236" i="44"/>
  <c r="X235" i="44"/>
  <c r="X234" i="44"/>
  <c r="X233" i="44"/>
  <c r="X232" i="44"/>
  <c r="X231" i="44"/>
  <c r="X230" i="44"/>
  <c r="X229" i="44"/>
  <c r="X228" i="44"/>
  <c r="X227" i="44"/>
  <c r="X226" i="44"/>
  <c r="X225" i="44"/>
  <c r="X224" i="44"/>
  <c r="X223" i="44"/>
  <c r="X222" i="44"/>
  <c r="X221" i="44"/>
  <c r="X220" i="44"/>
  <c r="X219" i="44"/>
  <c r="X218" i="44"/>
  <c r="X217" i="44"/>
  <c r="X216" i="44"/>
  <c r="X215" i="44"/>
  <c r="X214" i="44"/>
  <c r="X213" i="44"/>
  <c r="X212" i="44"/>
  <c r="X211" i="44"/>
  <c r="X210" i="44"/>
  <c r="X209" i="44"/>
  <c r="X208" i="44"/>
  <c r="X207" i="44"/>
  <c r="X206" i="44"/>
  <c r="X205" i="44"/>
  <c r="X204" i="44"/>
  <c r="X203" i="44"/>
  <c r="X202" i="44"/>
  <c r="X201" i="44"/>
  <c r="X200" i="44"/>
  <c r="X199" i="44"/>
  <c r="X198" i="44"/>
  <c r="X197" i="44"/>
  <c r="X196" i="44"/>
  <c r="X195" i="44"/>
  <c r="X194" i="44"/>
  <c r="X193" i="44"/>
  <c r="X192" i="44"/>
  <c r="X191" i="44"/>
  <c r="X190" i="44"/>
  <c r="X189" i="44"/>
  <c r="X188" i="44"/>
  <c r="X187" i="44"/>
  <c r="X186" i="44"/>
  <c r="X185" i="44"/>
  <c r="X184" i="44"/>
  <c r="X183" i="44"/>
  <c r="X182" i="44"/>
  <c r="X181" i="44"/>
  <c r="X180" i="44"/>
  <c r="X179" i="44"/>
  <c r="X178" i="44"/>
  <c r="X177" i="44"/>
  <c r="X176" i="44"/>
  <c r="X175" i="44"/>
  <c r="X174" i="44"/>
  <c r="X173" i="44"/>
  <c r="X172" i="44"/>
  <c r="X171" i="44"/>
  <c r="X170" i="44"/>
  <c r="X169" i="44"/>
  <c r="X168" i="44"/>
  <c r="X167" i="44"/>
  <c r="X166" i="44"/>
  <c r="X165" i="44"/>
  <c r="X164" i="44"/>
  <c r="X163" i="44"/>
  <c r="X162" i="44"/>
  <c r="X161" i="44"/>
  <c r="X160" i="44"/>
  <c r="X159" i="44"/>
  <c r="X158" i="44"/>
  <c r="X157" i="44"/>
  <c r="X156" i="44"/>
  <c r="X155" i="44"/>
  <c r="X154" i="44"/>
  <c r="X153" i="44"/>
  <c r="X152" i="44"/>
  <c r="X151" i="44"/>
  <c r="X150" i="44"/>
  <c r="X149" i="44"/>
  <c r="X148" i="44"/>
  <c r="X147" i="44"/>
  <c r="X146" i="44"/>
  <c r="X145" i="44"/>
  <c r="X144" i="44"/>
  <c r="X143" i="44"/>
  <c r="X142" i="44"/>
  <c r="X141" i="44"/>
  <c r="X140" i="44"/>
  <c r="X139" i="44"/>
  <c r="X138" i="44"/>
  <c r="X137" i="44"/>
  <c r="X136" i="44"/>
  <c r="X135" i="44"/>
  <c r="X134" i="44"/>
  <c r="X133" i="44"/>
  <c r="X132" i="44"/>
  <c r="X131" i="44"/>
  <c r="X130" i="44"/>
  <c r="X129" i="44"/>
  <c r="X128" i="44"/>
  <c r="X127" i="44"/>
  <c r="X126" i="44"/>
  <c r="X125" i="44"/>
  <c r="X124" i="44"/>
  <c r="X123" i="44"/>
  <c r="X122" i="44"/>
  <c r="X121" i="44"/>
  <c r="X120" i="44"/>
  <c r="X119" i="44"/>
  <c r="X118" i="44"/>
  <c r="X117" i="44"/>
  <c r="X116" i="44"/>
  <c r="X115" i="44"/>
  <c r="X114" i="44"/>
  <c r="X113" i="44"/>
  <c r="X112" i="44"/>
  <c r="X111" i="44"/>
  <c r="X110" i="44"/>
  <c r="X109" i="44"/>
  <c r="X108" i="44"/>
  <c r="X107" i="44"/>
  <c r="X106" i="44"/>
  <c r="X105" i="44"/>
  <c r="X104" i="44"/>
  <c r="X103" i="44"/>
  <c r="X102" i="44"/>
  <c r="X101" i="44"/>
  <c r="X100" i="44"/>
  <c r="X99" i="44"/>
  <c r="X98" i="44"/>
  <c r="X97" i="44"/>
  <c r="X96" i="44"/>
  <c r="X95" i="44"/>
  <c r="X94" i="44"/>
  <c r="X93" i="44"/>
  <c r="X92" i="44"/>
  <c r="X91" i="44"/>
  <c r="X90" i="44"/>
  <c r="X89" i="44"/>
  <c r="X88" i="44"/>
  <c r="X87" i="44"/>
  <c r="X86" i="44"/>
  <c r="X85" i="44"/>
  <c r="X84" i="44"/>
  <c r="X83" i="44"/>
  <c r="X82" i="44"/>
  <c r="X81" i="44"/>
  <c r="X80" i="44"/>
  <c r="X79" i="44"/>
  <c r="X78" i="44"/>
  <c r="X77" i="44"/>
  <c r="X76" i="44"/>
  <c r="X75" i="44"/>
  <c r="X74" i="44"/>
  <c r="X73" i="44"/>
  <c r="X72" i="44"/>
  <c r="X71" i="44"/>
  <c r="X70" i="44"/>
  <c r="X69" i="44"/>
  <c r="X68" i="44"/>
  <c r="X67" i="44"/>
  <c r="X66" i="44"/>
  <c r="X65" i="44"/>
  <c r="X64" i="44"/>
  <c r="X63" i="44"/>
  <c r="X62" i="44"/>
  <c r="X61" i="44"/>
  <c r="X60" i="44"/>
  <c r="X59" i="44"/>
  <c r="X58" i="44"/>
  <c r="X57" i="44"/>
  <c r="X56" i="44"/>
  <c r="X55" i="44"/>
  <c r="X54" i="44"/>
  <c r="X53" i="44"/>
  <c r="X52" i="44"/>
  <c r="X51" i="44"/>
  <c r="X50" i="44"/>
  <c r="X49" i="44"/>
  <c r="X48" i="44"/>
  <c r="X47" i="44"/>
  <c r="X46" i="44"/>
  <c r="X45" i="44"/>
  <c r="X44" i="44"/>
  <c r="X43" i="44"/>
  <c r="X42" i="44"/>
  <c r="X41" i="44"/>
  <c r="X40" i="44"/>
  <c r="X39" i="44"/>
  <c r="X38" i="44"/>
  <c r="X37" i="44"/>
  <c r="X36" i="44"/>
  <c r="X35" i="44"/>
  <c r="X34" i="44"/>
  <c r="X33" i="44"/>
  <c r="X32" i="44"/>
  <c r="X31" i="44"/>
  <c r="X30" i="44"/>
  <c r="X29" i="44"/>
  <c r="X28" i="44"/>
  <c r="X27" i="44"/>
  <c r="X26" i="44"/>
  <c r="X25" i="44"/>
  <c r="X24" i="44"/>
  <c r="X23" i="44"/>
  <c r="X22" i="44"/>
  <c r="X21" i="44"/>
  <c r="X20" i="44"/>
  <c r="X19" i="44"/>
  <c r="X18" i="44"/>
  <c r="X17" i="44"/>
  <c r="X16" i="44"/>
  <c r="X15" i="44"/>
  <c r="X14" i="44"/>
  <c r="X13" i="44"/>
  <c r="X12" i="44"/>
  <c r="X11" i="44"/>
  <c r="X10" i="44"/>
  <c r="X9" i="44"/>
  <c r="X8" i="44"/>
  <c r="X7" i="44"/>
  <c r="X5" i="44"/>
  <c r="Q8" i="44"/>
  <c r="R8" i="44"/>
  <c r="T8" i="44"/>
  <c r="U8" i="44"/>
  <c r="S8" i="44"/>
  <c r="Q9" i="44"/>
  <c r="R9" i="44"/>
  <c r="T9" i="44"/>
  <c r="U9" i="44"/>
  <c r="S9" i="44"/>
  <c r="Q10" i="44"/>
  <c r="R10" i="44"/>
  <c r="T10" i="44"/>
  <c r="U10" i="44"/>
  <c r="S10" i="44"/>
  <c r="Q11" i="44"/>
  <c r="R11" i="44"/>
  <c r="T11" i="44"/>
  <c r="U11" i="44"/>
  <c r="S11" i="44"/>
  <c r="Q12" i="44"/>
  <c r="R12" i="44"/>
  <c r="T12" i="44"/>
  <c r="U12" i="44"/>
  <c r="S12" i="44"/>
  <c r="Q13" i="44"/>
  <c r="R13" i="44"/>
  <c r="T13" i="44"/>
  <c r="U13" i="44"/>
  <c r="S13" i="44"/>
  <c r="Q14" i="44"/>
  <c r="R14" i="44"/>
  <c r="T14" i="44"/>
  <c r="U14" i="44"/>
  <c r="S14" i="44"/>
  <c r="Q15" i="44"/>
  <c r="R15" i="44"/>
  <c r="T15" i="44"/>
  <c r="U15" i="44"/>
  <c r="S15" i="44"/>
  <c r="Q16" i="44"/>
  <c r="R16" i="44"/>
  <c r="T16" i="44"/>
  <c r="U16" i="44"/>
  <c r="S16" i="44"/>
  <c r="Q17" i="44"/>
  <c r="R17" i="44"/>
  <c r="T17" i="44"/>
  <c r="U17" i="44"/>
  <c r="S17" i="44"/>
  <c r="Q18" i="44"/>
  <c r="R18" i="44"/>
  <c r="T18" i="44"/>
  <c r="U18" i="44"/>
  <c r="S18" i="44"/>
  <c r="Q19" i="44"/>
  <c r="R19" i="44"/>
  <c r="T19" i="44"/>
  <c r="U19" i="44"/>
  <c r="S19" i="44"/>
  <c r="Q20" i="44"/>
  <c r="R20" i="44"/>
  <c r="T20" i="44"/>
  <c r="U20" i="44"/>
  <c r="S20" i="44"/>
  <c r="Q21" i="44"/>
  <c r="R21" i="44"/>
  <c r="T21" i="44"/>
  <c r="U21" i="44"/>
  <c r="S21" i="44"/>
  <c r="Q22" i="44"/>
  <c r="R22" i="44"/>
  <c r="T22" i="44"/>
  <c r="U22" i="44"/>
  <c r="S22" i="44"/>
  <c r="Q23" i="44"/>
  <c r="R23" i="44"/>
  <c r="T23" i="44"/>
  <c r="U23" i="44"/>
  <c r="S23" i="44"/>
  <c r="Q24" i="44"/>
  <c r="R24" i="44"/>
  <c r="T24" i="44"/>
  <c r="U24" i="44"/>
  <c r="S24" i="44"/>
  <c r="Q25" i="44"/>
  <c r="R25" i="44"/>
  <c r="T25" i="44"/>
  <c r="U25" i="44"/>
  <c r="S25" i="44"/>
  <c r="Q26" i="44"/>
  <c r="R26" i="44"/>
  <c r="T26" i="44"/>
  <c r="U26" i="44"/>
  <c r="S26" i="44"/>
  <c r="Q27" i="44"/>
  <c r="R27" i="44"/>
  <c r="T27" i="44"/>
  <c r="U27" i="44"/>
  <c r="S27" i="44"/>
  <c r="Q28" i="44"/>
  <c r="R28" i="44"/>
  <c r="T28" i="44"/>
  <c r="U28" i="44"/>
  <c r="S28" i="44"/>
  <c r="Q29" i="44"/>
  <c r="R29" i="44"/>
  <c r="T29" i="44"/>
  <c r="U29" i="44"/>
  <c r="S29" i="44"/>
  <c r="Q30" i="44"/>
  <c r="R30" i="44"/>
  <c r="T30" i="44"/>
  <c r="U30" i="44"/>
  <c r="S30" i="44"/>
  <c r="Q31" i="44"/>
  <c r="R31" i="44"/>
  <c r="T31" i="44"/>
  <c r="U31" i="44"/>
  <c r="S31" i="44"/>
  <c r="Q32" i="44"/>
  <c r="R32" i="44"/>
  <c r="T32" i="44"/>
  <c r="U32" i="44"/>
  <c r="S32" i="44"/>
  <c r="Q33" i="44"/>
  <c r="R33" i="44"/>
  <c r="T33" i="44"/>
  <c r="U33" i="44"/>
  <c r="S33" i="44"/>
  <c r="Q34" i="44"/>
  <c r="R34" i="44"/>
  <c r="T34" i="44"/>
  <c r="U34" i="44"/>
  <c r="S34" i="44"/>
  <c r="Q35" i="44"/>
  <c r="R35" i="44"/>
  <c r="T35" i="44"/>
  <c r="U35" i="44"/>
  <c r="S35" i="44"/>
  <c r="Q36" i="44"/>
  <c r="R36" i="44"/>
  <c r="T36" i="44"/>
  <c r="U36" i="44"/>
  <c r="S36" i="44"/>
  <c r="Q37" i="44"/>
  <c r="R37" i="44"/>
  <c r="T37" i="44"/>
  <c r="U37" i="44"/>
  <c r="S37" i="44"/>
  <c r="Q38" i="44"/>
  <c r="R38" i="44"/>
  <c r="T38" i="44"/>
  <c r="U38" i="44"/>
  <c r="S38" i="44"/>
  <c r="Q39" i="44"/>
  <c r="R39" i="44"/>
  <c r="T39" i="44"/>
  <c r="U39" i="44"/>
  <c r="S39" i="44"/>
  <c r="Q40" i="44"/>
  <c r="R40" i="44"/>
  <c r="T40" i="44"/>
  <c r="U40" i="44"/>
  <c r="S40" i="44"/>
  <c r="Q41" i="44"/>
  <c r="R41" i="44"/>
  <c r="T41" i="44"/>
  <c r="U41" i="44"/>
  <c r="S41" i="44"/>
  <c r="Q42" i="44"/>
  <c r="R42" i="44"/>
  <c r="T42" i="44"/>
  <c r="U42" i="44"/>
  <c r="S42" i="44"/>
  <c r="Q43" i="44"/>
  <c r="R43" i="44"/>
  <c r="T43" i="44"/>
  <c r="U43" i="44"/>
  <c r="S43" i="44"/>
  <c r="Q44" i="44"/>
  <c r="R44" i="44"/>
  <c r="T44" i="44"/>
  <c r="U44" i="44"/>
  <c r="S44" i="44"/>
  <c r="Q45" i="44"/>
  <c r="R45" i="44"/>
  <c r="T45" i="44"/>
  <c r="U45" i="44"/>
  <c r="S45" i="44"/>
  <c r="Q46" i="44"/>
  <c r="R46" i="44"/>
  <c r="T46" i="44"/>
  <c r="U46" i="44"/>
  <c r="S46" i="44"/>
  <c r="Q47" i="44"/>
  <c r="R47" i="44"/>
  <c r="T47" i="44"/>
  <c r="U47" i="44"/>
  <c r="S47" i="44"/>
  <c r="Q48" i="44"/>
  <c r="R48" i="44"/>
  <c r="T48" i="44"/>
  <c r="U48" i="44"/>
  <c r="S48" i="44"/>
  <c r="Q49" i="44"/>
  <c r="V49" i="44" s="1"/>
  <c r="R49" i="44"/>
  <c r="T49" i="44"/>
  <c r="U49" i="44"/>
  <c r="S49" i="44"/>
  <c r="Q50" i="44"/>
  <c r="R50" i="44"/>
  <c r="T50" i="44"/>
  <c r="U50" i="44"/>
  <c r="S50" i="44"/>
  <c r="Q51" i="44"/>
  <c r="R51" i="44"/>
  <c r="T51" i="44"/>
  <c r="U51" i="44"/>
  <c r="S51" i="44"/>
  <c r="Q52" i="44"/>
  <c r="R52" i="44"/>
  <c r="T52" i="44"/>
  <c r="U52" i="44"/>
  <c r="S52" i="44"/>
  <c r="Q53" i="44"/>
  <c r="V53" i="44" s="1"/>
  <c r="R53" i="44"/>
  <c r="T53" i="44"/>
  <c r="U53" i="44"/>
  <c r="S53" i="44"/>
  <c r="Q54" i="44"/>
  <c r="R54" i="44"/>
  <c r="T54" i="44"/>
  <c r="U54" i="44"/>
  <c r="S54" i="44"/>
  <c r="Q55" i="44"/>
  <c r="R55" i="44"/>
  <c r="T55" i="44"/>
  <c r="U55" i="44"/>
  <c r="S55" i="44"/>
  <c r="Q56" i="44"/>
  <c r="R56" i="44"/>
  <c r="T56" i="44"/>
  <c r="U56" i="44"/>
  <c r="S56" i="44"/>
  <c r="Q57" i="44"/>
  <c r="R57" i="44"/>
  <c r="T57" i="44"/>
  <c r="U57" i="44"/>
  <c r="S57" i="44"/>
  <c r="Q58" i="44"/>
  <c r="R58" i="44"/>
  <c r="T58" i="44"/>
  <c r="U58" i="44"/>
  <c r="S58" i="44"/>
  <c r="Q59" i="44"/>
  <c r="R59" i="44"/>
  <c r="T59" i="44"/>
  <c r="U59" i="44"/>
  <c r="S59" i="44"/>
  <c r="Q60" i="44"/>
  <c r="R60" i="44"/>
  <c r="T60" i="44"/>
  <c r="U60" i="44"/>
  <c r="S60" i="44"/>
  <c r="Q61" i="44"/>
  <c r="R61" i="44"/>
  <c r="T61" i="44"/>
  <c r="U61" i="44"/>
  <c r="S61" i="44"/>
  <c r="Q62" i="44"/>
  <c r="V62" i="44" s="1"/>
  <c r="R62" i="44"/>
  <c r="T62" i="44"/>
  <c r="U62" i="44"/>
  <c r="S62" i="44"/>
  <c r="Q63" i="44"/>
  <c r="R63" i="44"/>
  <c r="T63" i="44"/>
  <c r="U63" i="44"/>
  <c r="S63" i="44"/>
  <c r="Q64" i="44"/>
  <c r="R64" i="44"/>
  <c r="T64" i="44"/>
  <c r="U64" i="44"/>
  <c r="S64" i="44"/>
  <c r="Q65" i="44"/>
  <c r="R65" i="44"/>
  <c r="T65" i="44"/>
  <c r="U65" i="44"/>
  <c r="S65" i="44"/>
  <c r="Q66" i="44"/>
  <c r="R66" i="44"/>
  <c r="T66" i="44"/>
  <c r="U66" i="44"/>
  <c r="S66" i="44"/>
  <c r="Q67" i="44"/>
  <c r="R67" i="44"/>
  <c r="T67" i="44"/>
  <c r="U67" i="44"/>
  <c r="S67" i="44"/>
  <c r="Q68" i="44"/>
  <c r="R68" i="44"/>
  <c r="T68" i="44"/>
  <c r="U68" i="44"/>
  <c r="S68" i="44"/>
  <c r="Q69" i="44"/>
  <c r="R69" i="44"/>
  <c r="T69" i="44"/>
  <c r="U69" i="44"/>
  <c r="S69" i="44"/>
  <c r="Q70" i="44"/>
  <c r="R70" i="44"/>
  <c r="T70" i="44"/>
  <c r="U70" i="44"/>
  <c r="S70" i="44"/>
  <c r="Q71" i="44"/>
  <c r="R71" i="44"/>
  <c r="T71" i="44"/>
  <c r="U71" i="44"/>
  <c r="S71" i="44"/>
  <c r="Q72" i="44"/>
  <c r="R72" i="44"/>
  <c r="T72" i="44"/>
  <c r="U72" i="44"/>
  <c r="S72" i="44"/>
  <c r="Q73" i="44"/>
  <c r="V73" i="44" s="1"/>
  <c r="R73" i="44"/>
  <c r="T73" i="44"/>
  <c r="U73" i="44"/>
  <c r="S73" i="44"/>
  <c r="Q74" i="44"/>
  <c r="R74" i="44"/>
  <c r="T74" i="44"/>
  <c r="U74" i="44"/>
  <c r="S74" i="44"/>
  <c r="Q75" i="44"/>
  <c r="V75" i="44" s="1"/>
  <c r="R75" i="44"/>
  <c r="T75" i="44"/>
  <c r="U75" i="44"/>
  <c r="S75" i="44"/>
  <c r="Q76" i="44"/>
  <c r="R76" i="44"/>
  <c r="T76" i="44"/>
  <c r="U76" i="44"/>
  <c r="S76" i="44"/>
  <c r="Q77" i="44"/>
  <c r="V77" i="44" s="1"/>
  <c r="R77" i="44"/>
  <c r="T77" i="44"/>
  <c r="U77" i="44"/>
  <c r="S77" i="44"/>
  <c r="Q78" i="44"/>
  <c r="R78" i="44"/>
  <c r="T78" i="44"/>
  <c r="U78" i="44"/>
  <c r="S78" i="44"/>
  <c r="Q79" i="44"/>
  <c r="V79" i="44" s="1"/>
  <c r="R79" i="44"/>
  <c r="T79" i="44"/>
  <c r="U79" i="44"/>
  <c r="S79" i="44"/>
  <c r="Q80" i="44"/>
  <c r="R80" i="44"/>
  <c r="T80" i="44"/>
  <c r="U80" i="44"/>
  <c r="S80" i="44"/>
  <c r="Q81" i="44"/>
  <c r="V81" i="44" s="1"/>
  <c r="R81" i="44"/>
  <c r="T81" i="44"/>
  <c r="U81" i="44"/>
  <c r="S81" i="44"/>
  <c r="Q82" i="44"/>
  <c r="V82" i="44" s="1"/>
  <c r="R82" i="44"/>
  <c r="T82" i="44"/>
  <c r="U82" i="44"/>
  <c r="S82" i="44"/>
  <c r="Q83" i="44"/>
  <c r="V83" i="44" s="1"/>
  <c r="R83" i="44"/>
  <c r="T83" i="44"/>
  <c r="U83" i="44"/>
  <c r="S83" i="44"/>
  <c r="Q84" i="44"/>
  <c r="V84" i="44" s="1"/>
  <c r="R84" i="44"/>
  <c r="T84" i="44"/>
  <c r="U84" i="44"/>
  <c r="S84" i="44"/>
  <c r="Q85" i="44"/>
  <c r="V85" i="44" s="1"/>
  <c r="R85" i="44"/>
  <c r="T85" i="44"/>
  <c r="U85" i="44"/>
  <c r="S85" i="44"/>
  <c r="Q86" i="44"/>
  <c r="V86" i="44" s="1"/>
  <c r="R86" i="44"/>
  <c r="T86" i="44"/>
  <c r="U86" i="44"/>
  <c r="S86" i="44"/>
  <c r="Q87" i="44"/>
  <c r="V87" i="44" s="1"/>
  <c r="R87" i="44"/>
  <c r="T87" i="44"/>
  <c r="U87" i="44"/>
  <c r="S87" i="44"/>
  <c r="Q88" i="44"/>
  <c r="V88" i="44" s="1"/>
  <c r="R88" i="44"/>
  <c r="T88" i="44"/>
  <c r="U88" i="44"/>
  <c r="S88" i="44"/>
  <c r="Q89" i="44"/>
  <c r="V89" i="44" s="1"/>
  <c r="R89" i="44"/>
  <c r="T89" i="44"/>
  <c r="U89" i="44"/>
  <c r="S89" i="44"/>
  <c r="Q90" i="44"/>
  <c r="V90" i="44" s="1"/>
  <c r="R90" i="44"/>
  <c r="T90" i="44"/>
  <c r="U90" i="44"/>
  <c r="S90" i="44"/>
  <c r="Q91" i="44"/>
  <c r="V91" i="44" s="1"/>
  <c r="R91" i="44"/>
  <c r="T91" i="44"/>
  <c r="U91" i="44"/>
  <c r="S91" i="44"/>
  <c r="Q92" i="44"/>
  <c r="V92" i="44" s="1"/>
  <c r="R92" i="44"/>
  <c r="T92" i="44"/>
  <c r="U92" i="44"/>
  <c r="S92" i="44"/>
  <c r="Q93" i="44"/>
  <c r="V93" i="44" s="1"/>
  <c r="R93" i="44"/>
  <c r="T93" i="44"/>
  <c r="U93" i="44"/>
  <c r="S93" i="44"/>
  <c r="Q94" i="44"/>
  <c r="V94" i="44" s="1"/>
  <c r="R94" i="44"/>
  <c r="T94" i="44"/>
  <c r="U94" i="44"/>
  <c r="S94" i="44"/>
  <c r="Q95" i="44"/>
  <c r="V95" i="44" s="1"/>
  <c r="R95" i="44"/>
  <c r="T95" i="44"/>
  <c r="U95" i="44"/>
  <c r="S95" i="44"/>
  <c r="Q96" i="44"/>
  <c r="V96" i="44" s="1"/>
  <c r="R96" i="44"/>
  <c r="T96" i="44"/>
  <c r="U96" i="44"/>
  <c r="S96" i="44"/>
  <c r="Q97" i="44"/>
  <c r="V97" i="44" s="1"/>
  <c r="R97" i="44"/>
  <c r="T97" i="44"/>
  <c r="U97" i="44"/>
  <c r="S97" i="44"/>
  <c r="Q98" i="44"/>
  <c r="V98" i="44" s="1"/>
  <c r="R98" i="44"/>
  <c r="T98" i="44"/>
  <c r="U98" i="44"/>
  <c r="S98" i="44"/>
  <c r="Q99" i="44"/>
  <c r="V99" i="44" s="1"/>
  <c r="R99" i="44"/>
  <c r="T99" i="44"/>
  <c r="U99" i="44"/>
  <c r="S99" i="44"/>
  <c r="Q100" i="44"/>
  <c r="V100" i="44" s="1"/>
  <c r="R100" i="44"/>
  <c r="T100" i="44"/>
  <c r="U100" i="44"/>
  <c r="S100" i="44"/>
  <c r="Q101" i="44"/>
  <c r="V101" i="44" s="1"/>
  <c r="R101" i="44"/>
  <c r="T101" i="44"/>
  <c r="U101" i="44"/>
  <c r="S101" i="44"/>
  <c r="Q102" i="44"/>
  <c r="V102" i="44" s="1"/>
  <c r="R102" i="44"/>
  <c r="T102" i="44"/>
  <c r="U102" i="44"/>
  <c r="S102" i="44"/>
  <c r="Q103" i="44"/>
  <c r="V103" i="44" s="1"/>
  <c r="R103" i="44"/>
  <c r="T103" i="44"/>
  <c r="U103" i="44"/>
  <c r="S103" i="44"/>
  <c r="Q104" i="44"/>
  <c r="V104" i="44" s="1"/>
  <c r="R104" i="44"/>
  <c r="T104" i="44"/>
  <c r="U104" i="44"/>
  <c r="S104" i="44"/>
  <c r="Q105" i="44"/>
  <c r="V105" i="44" s="1"/>
  <c r="R105" i="44"/>
  <c r="T105" i="44"/>
  <c r="U105" i="44"/>
  <c r="S105" i="44"/>
  <c r="Q106" i="44"/>
  <c r="V106" i="44" s="1"/>
  <c r="R106" i="44"/>
  <c r="T106" i="44"/>
  <c r="U106" i="44"/>
  <c r="S106" i="44"/>
  <c r="Q107" i="44"/>
  <c r="V107" i="44" s="1"/>
  <c r="R107" i="44"/>
  <c r="T107" i="44"/>
  <c r="U107" i="44"/>
  <c r="S107" i="44"/>
  <c r="Q108" i="44"/>
  <c r="V108" i="44" s="1"/>
  <c r="R108" i="44"/>
  <c r="T108" i="44"/>
  <c r="U108" i="44"/>
  <c r="S108" i="44"/>
  <c r="Q109" i="44"/>
  <c r="V109" i="44" s="1"/>
  <c r="R109" i="44"/>
  <c r="T109" i="44"/>
  <c r="U109" i="44"/>
  <c r="S109" i="44"/>
  <c r="Q110" i="44"/>
  <c r="V110" i="44" s="1"/>
  <c r="R110" i="44"/>
  <c r="T110" i="44"/>
  <c r="U110" i="44"/>
  <c r="S110" i="44"/>
  <c r="Q111" i="44"/>
  <c r="V111" i="44" s="1"/>
  <c r="R111" i="44"/>
  <c r="T111" i="44"/>
  <c r="U111" i="44"/>
  <c r="S111" i="44"/>
  <c r="Q112" i="44"/>
  <c r="V112" i="44" s="1"/>
  <c r="R112" i="44"/>
  <c r="T112" i="44"/>
  <c r="U112" i="44"/>
  <c r="S112" i="44"/>
  <c r="Q113" i="44"/>
  <c r="V113" i="44" s="1"/>
  <c r="R113" i="44"/>
  <c r="T113" i="44"/>
  <c r="U113" i="44"/>
  <c r="S113" i="44"/>
  <c r="Q114" i="44"/>
  <c r="V114" i="44" s="1"/>
  <c r="R114" i="44"/>
  <c r="T114" i="44"/>
  <c r="U114" i="44"/>
  <c r="S114" i="44"/>
  <c r="Q115" i="44"/>
  <c r="V115" i="44" s="1"/>
  <c r="R115" i="44"/>
  <c r="T115" i="44"/>
  <c r="U115" i="44"/>
  <c r="S115" i="44"/>
  <c r="Q116" i="44"/>
  <c r="V116" i="44" s="1"/>
  <c r="R116" i="44"/>
  <c r="T116" i="44"/>
  <c r="U116" i="44"/>
  <c r="S116" i="44"/>
  <c r="Q117" i="44"/>
  <c r="V117" i="44" s="1"/>
  <c r="R117" i="44"/>
  <c r="T117" i="44"/>
  <c r="U117" i="44"/>
  <c r="S117" i="44"/>
  <c r="Q118" i="44"/>
  <c r="V118" i="44" s="1"/>
  <c r="R118" i="44"/>
  <c r="T118" i="44"/>
  <c r="U118" i="44"/>
  <c r="S118" i="44"/>
  <c r="Q119" i="44"/>
  <c r="V119" i="44" s="1"/>
  <c r="R119" i="44"/>
  <c r="T119" i="44"/>
  <c r="U119" i="44"/>
  <c r="S119" i="44"/>
  <c r="Q120" i="44"/>
  <c r="V120" i="44" s="1"/>
  <c r="R120" i="44"/>
  <c r="T120" i="44"/>
  <c r="U120" i="44"/>
  <c r="S120" i="44"/>
  <c r="Q121" i="44"/>
  <c r="V121" i="44" s="1"/>
  <c r="R121" i="44"/>
  <c r="T121" i="44"/>
  <c r="U121" i="44"/>
  <c r="S121" i="44"/>
  <c r="Q122" i="44"/>
  <c r="V122" i="44" s="1"/>
  <c r="R122" i="44"/>
  <c r="T122" i="44"/>
  <c r="U122" i="44"/>
  <c r="S122" i="44"/>
  <c r="Q123" i="44"/>
  <c r="V123" i="44" s="1"/>
  <c r="R123" i="44"/>
  <c r="T123" i="44"/>
  <c r="U123" i="44"/>
  <c r="S123" i="44"/>
  <c r="Q124" i="44"/>
  <c r="V124" i="44" s="1"/>
  <c r="R124" i="44"/>
  <c r="T124" i="44"/>
  <c r="U124" i="44"/>
  <c r="S124" i="44"/>
  <c r="Q125" i="44"/>
  <c r="V125" i="44" s="1"/>
  <c r="R125" i="44"/>
  <c r="T125" i="44"/>
  <c r="U125" i="44"/>
  <c r="S125" i="44"/>
  <c r="Q126" i="44"/>
  <c r="V126" i="44" s="1"/>
  <c r="R126" i="44"/>
  <c r="T126" i="44"/>
  <c r="U126" i="44"/>
  <c r="S126" i="44"/>
  <c r="Q127" i="44"/>
  <c r="V127" i="44" s="1"/>
  <c r="R127" i="44"/>
  <c r="T127" i="44"/>
  <c r="U127" i="44"/>
  <c r="S127" i="44"/>
  <c r="Q128" i="44"/>
  <c r="V128" i="44" s="1"/>
  <c r="R128" i="44"/>
  <c r="T128" i="44"/>
  <c r="U128" i="44"/>
  <c r="S128" i="44"/>
  <c r="Q129" i="44"/>
  <c r="V129" i="44" s="1"/>
  <c r="R129" i="44"/>
  <c r="T129" i="44"/>
  <c r="U129" i="44"/>
  <c r="S129" i="44"/>
  <c r="Q130" i="44"/>
  <c r="V130" i="44" s="1"/>
  <c r="R130" i="44"/>
  <c r="T130" i="44"/>
  <c r="U130" i="44"/>
  <c r="S130" i="44"/>
  <c r="Q131" i="44"/>
  <c r="V131" i="44" s="1"/>
  <c r="R131" i="44"/>
  <c r="T131" i="44"/>
  <c r="U131" i="44"/>
  <c r="S131" i="44"/>
  <c r="Q132" i="44"/>
  <c r="V132" i="44" s="1"/>
  <c r="R132" i="44"/>
  <c r="T132" i="44"/>
  <c r="U132" i="44"/>
  <c r="S132" i="44"/>
  <c r="Q133" i="44"/>
  <c r="V133" i="44" s="1"/>
  <c r="R133" i="44"/>
  <c r="T133" i="44"/>
  <c r="U133" i="44"/>
  <c r="S133" i="44"/>
  <c r="Q134" i="44"/>
  <c r="V134" i="44" s="1"/>
  <c r="R134" i="44"/>
  <c r="T134" i="44"/>
  <c r="U134" i="44"/>
  <c r="S134" i="44"/>
  <c r="Q135" i="44"/>
  <c r="V135" i="44" s="1"/>
  <c r="R135" i="44"/>
  <c r="T135" i="44"/>
  <c r="U135" i="44"/>
  <c r="S135" i="44"/>
  <c r="Q136" i="44"/>
  <c r="V136" i="44" s="1"/>
  <c r="R136" i="44"/>
  <c r="T136" i="44"/>
  <c r="U136" i="44"/>
  <c r="S136" i="44"/>
  <c r="Q137" i="44"/>
  <c r="V137" i="44" s="1"/>
  <c r="R137" i="44"/>
  <c r="T137" i="44"/>
  <c r="U137" i="44"/>
  <c r="S137" i="44"/>
  <c r="Q138" i="44"/>
  <c r="V138" i="44" s="1"/>
  <c r="R138" i="44"/>
  <c r="T138" i="44"/>
  <c r="U138" i="44"/>
  <c r="S138" i="44"/>
  <c r="Q139" i="44"/>
  <c r="V139" i="44" s="1"/>
  <c r="R139" i="44"/>
  <c r="T139" i="44"/>
  <c r="U139" i="44"/>
  <c r="S139" i="44"/>
  <c r="Q140" i="44"/>
  <c r="V140" i="44" s="1"/>
  <c r="R140" i="44"/>
  <c r="T140" i="44"/>
  <c r="U140" i="44"/>
  <c r="S140" i="44"/>
  <c r="Q141" i="44"/>
  <c r="V141" i="44" s="1"/>
  <c r="R141" i="44"/>
  <c r="T141" i="44"/>
  <c r="U141" i="44"/>
  <c r="S141" i="44"/>
  <c r="Q142" i="44"/>
  <c r="V142" i="44" s="1"/>
  <c r="R142" i="44"/>
  <c r="T142" i="44"/>
  <c r="U142" i="44"/>
  <c r="S142" i="44"/>
  <c r="Q143" i="44"/>
  <c r="V143" i="44" s="1"/>
  <c r="R143" i="44"/>
  <c r="T143" i="44"/>
  <c r="U143" i="44"/>
  <c r="S143" i="44"/>
  <c r="Q144" i="44"/>
  <c r="V144" i="44" s="1"/>
  <c r="R144" i="44"/>
  <c r="T144" i="44"/>
  <c r="U144" i="44"/>
  <c r="S144" i="44"/>
  <c r="Q145" i="44"/>
  <c r="V145" i="44" s="1"/>
  <c r="R145" i="44"/>
  <c r="T145" i="44"/>
  <c r="U145" i="44"/>
  <c r="S145" i="44"/>
  <c r="Q146" i="44"/>
  <c r="V146" i="44" s="1"/>
  <c r="R146" i="44"/>
  <c r="T146" i="44"/>
  <c r="U146" i="44"/>
  <c r="S146" i="44"/>
  <c r="Q147" i="44"/>
  <c r="V147" i="44" s="1"/>
  <c r="R147" i="44"/>
  <c r="T147" i="44"/>
  <c r="U147" i="44"/>
  <c r="S147" i="44"/>
  <c r="Q148" i="44"/>
  <c r="V148" i="44" s="1"/>
  <c r="R148" i="44"/>
  <c r="T148" i="44"/>
  <c r="U148" i="44"/>
  <c r="S148" i="44"/>
  <c r="Q149" i="44"/>
  <c r="V149" i="44" s="1"/>
  <c r="R149" i="44"/>
  <c r="T149" i="44"/>
  <c r="U149" i="44"/>
  <c r="S149" i="44"/>
  <c r="Q150" i="44"/>
  <c r="V150" i="44" s="1"/>
  <c r="R150" i="44"/>
  <c r="T150" i="44"/>
  <c r="U150" i="44"/>
  <c r="S150" i="44"/>
  <c r="Q151" i="44"/>
  <c r="V151" i="44" s="1"/>
  <c r="R151" i="44"/>
  <c r="T151" i="44"/>
  <c r="U151" i="44"/>
  <c r="S151" i="44"/>
  <c r="Q152" i="44"/>
  <c r="V152" i="44" s="1"/>
  <c r="R152" i="44"/>
  <c r="T152" i="44"/>
  <c r="U152" i="44"/>
  <c r="S152" i="44"/>
  <c r="Q153" i="44"/>
  <c r="V153" i="44" s="1"/>
  <c r="R153" i="44"/>
  <c r="T153" i="44"/>
  <c r="U153" i="44"/>
  <c r="S153" i="44"/>
  <c r="Q154" i="44"/>
  <c r="V154" i="44" s="1"/>
  <c r="R154" i="44"/>
  <c r="T154" i="44"/>
  <c r="U154" i="44"/>
  <c r="S154" i="44"/>
  <c r="Q155" i="44"/>
  <c r="V155" i="44" s="1"/>
  <c r="R155" i="44"/>
  <c r="T155" i="44"/>
  <c r="U155" i="44"/>
  <c r="S155" i="44"/>
  <c r="Q156" i="44"/>
  <c r="V156" i="44" s="1"/>
  <c r="R156" i="44"/>
  <c r="T156" i="44"/>
  <c r="U156" i="44"/>
  <c r="S156" i="44"/>
  <c r="Q157" i="44"/>
  <c r="V157" i="44" s="1"/>
  <c r="R157" i="44"/>
  <c r="T157" i="44"/>
  <c r="U157" i="44"/>
  <c r="S157" i="44"/>
  <c r="Q158" i="44"/>
  <c r="V158" i="44" s="1"/>
  <c r="R158" i="44"/>
  <c r="T158" i="44"/>
  <c r="U158" i="44"/>
  <c r="S158" i="44"/>
  <c r="Q159" i="44"/>
  <c r="V159" i="44" s="1"/>
  <c r="R159" i="44"/>
  <c r="T159" i="44"/>
  <c r="U159" i="44"/>
  <c r="S159" i="44"/>
  <c r="Q160" i="44"/>
  <c r="V160" i="44" s="1"/>
  <c r="R160" i="44"/>
  <c r="T160" i="44"/>
  <c r="U160" i="44"/>
  <c r="S160" i="44"/>
  <c r="Q161" i="44"/>
  <c r="V161" i="44" s="1"/>
  <c r="R161" i="44"/>
  <c r="T161" i="44"/>
  <c r="U161" i="44"/>
  <c r="S161" i="44"/>
  <c r="Q162" i="44"/>
  <c r="V162" i="44" s="1"/>
  <c r="R162" i="44"/>
  <c r="T162" i="44"/>
  <c r="U162" i="44"/>
  <c r="S162" i="44"/>
  <c r="Q163" i="44"/>
  <c r="V163" i="44" s="1"/>
  <c r="R163" i="44"/>
  <c r="T163" i="44"/>
  <c r="U163" i="44"/>
  <c r="S163" i="44"/>
  <c r="Q164" i="44"/>
  <c r="V164" i="44" s="1"/>
  <c r="R164" i="44"/>
  <c r="T164" i="44"/>
  <c r="U164" i="44"/>
  <c r="S164" i="44"/>
  <c r="Q165" i="44"/>
  <c r="V165" i="44" s="1"/>
  <c r="R165" i="44"/>
  <c r="T165" i="44"/>
  <c r="U165" i="44"/>
  <c r="S165" i="44"/>
  <c r="Q166" i="44"/>
  <c r="V166" i="44" s="1"/>
  <c r="R166" i="44"/>
  <c r="T166" i="44"/>
  <c r="U166" i="44"/>
  <c r="S166" i="44"/>
  <c r="Q167" i="44"/>
  <c r="V167" i="44" s="1"/>
  <c r="R167" i="44"/>
  <c r="T167" i="44"/>
  <c r="U167" i="44"/>
  <c r="S167" i="44"/>
  <c r="Q168" i="44"/>
  <c r="V168" i="44" s="1"/>
  <c r="R168" i="44"/>
  <c r="T168" i="44"/>
  <c r="U168" i="44"/>
  <c r="S168" i="44"/>
  <c r="Q169" i="44"/>
  <c r="V169" i="44" s="1"/>
  <c r="R169" i="44"/>
  <c r="T169" i="44"/>
  <c r="U169" i="44"/>
  <c r="S169" i="44"/>
  <c r="Q170" i="44"/>
  <c r="V170" i="44" s="1"/>
  <c r="R170" i="44"/>
  <c r="T170" i="44"/>
  <c r="U170" i="44"/>
  <c r="S170" i="44"/>
  <c r="Q171" i="44"/>
  <c r="V171" i="44" s="1"/>
  <c r="R171" i="44"/>
  <c r="T171" i="44"/>
  <c r="U171" i="44"/>
  <c r="S171" i="44"/>
  <c r="Q172" i="44"/>
  <c r="V172" i="44" s="1"/>
  <c r="R172" i="44"/>
  <c r="T172" i="44"/>
  <c r="U172" i="44"/>
  <c r="S172" i="44"/>
  <c r="Q173" i="44"/>
  <c r="V173" i="44" s="1"/>
  <c r="R173" i="44"/>
  <c r="T173" i="44"/>
  <c r="U173" i="44"/>
  <c r="S173" i="44"/>
  <c r="Q174" i="44"/>
  <c r="V174" i="44" s="1"/>
  <c r="R174" i="44"/>
  <c r="T174" i="44"/>
  <c r="U174" i="44"/>
  <c r="S174" i="44"/>
  <c r="Q175" i="44"/>
  <c r="V175" i="44" s="1"/>
  <c r="R175" i="44"/>
  <c r="T175" i="44"/>
  <c r="U175" i="44"/>
  <c r="S175" i="44"/>
  <c r="Q176" i="44"/>
  <c r="V176" i="44" s="1"/>
  <c r="R176" i="44"/>
  <c r="T176" i="44"/>
  <c r="U176" i="44"/>
  <c r="S176" i="44"/>
  <c r="Q177" i="44"/>
  <c r="V177" i="44" s="1"/>
  <c r="R177" i="44"/>
  <c r="T177" i="44"/>
  <c r="U177" i="44"/>
  <c r="S177" i="44"/>
  <c r="Q178" i="44"/>
  <c r="V178" i="44" s="1"/>
  <c r="R178" i="44"/>
  <c r="T178" i="44"/>
  <c r="U178" i="44"/>
  <c r="S178" i="44"/>
  <c r="Q179" i="44"/>
  <c r="V179" i="44" s="1"/>
  <c r="R179" i="44"/>
  <c r="T179" i="44"/>
  <c r="U179" i="44"/>
  <c r="S179" i="44"/>
  <c r="Q180" i="44"/>
  <c r="V180" i="44" s="1"/>
  <c r="R180" i="44"/>
  <c r="T180" i="44"/>
  <c r="U180" i="44"/>
  <c r="S180" i="44"/>
  <c r="Q181" i="44"/>
  <c r="V181" i="44" s="1"/>
  <c r="R181" i="44"/>
  <c r="T181" i="44"/>
  <c r="U181" i="44"/>
  <c r="S181" i="44"/>
  <c r="Q182" i="44"/>
  <c r="V182" i="44" s="1"/>
  <c r="R182" i="44"/>
  <c r="T182" i="44"/>
  <c r="U182" i="44"/>
  <c r="S182" i="44"/>
  <c r="Q183" i="44"/>
  <c r="V183" i="44" s="1"/>
  <c r="R183" i="44"/>
  <c r="T183" i="44"/>
  <c r="U183" i="44"/>
  <c r="S183" i="44"/>
  <c r="Q184" i="44"/>
  <c r="V184" i="44" s="1"/>
  <c r="R184" i="44"/>
  <c r="T184" i="44"/>
  <c r="U184" i="44"/>
  <c r="S184" i="44"/>
  <c r="Q185" i="44"/>
  <c r="V185" i="44" s="1"/>
  <c r="R185" i="44"/>
  <c r="T185" i="44"/>
  <c r="U185" i="44"/>
  <c r="S185" i="44"/>
  <c r="Q186" i="44"/>
  <c r="V186" i="44" s="1"/>
  <c r="R186" i="44"/>
  <c r="T186" i="44"/>
  <c r="U186" i="44"/>
  <c r="S186" i="44"/>
  <c r="Q187" i="44"/>
  <c r="V187" i="44" s="1"/>
  <c r="R187" i="44"/>
  <c r="T187" i="44"/>
  <c r="U187" i="44"/>
  <c r="S187" i="44"/>
  <c r="Q188" i="44"/>
  <c r="V188" i="44" s="1"/>
  <c r="R188" i="44"/>
  <c r="T188" i="44"/>
  <c r="U188" i="44"/>
  <c r="S188" i="44"/>
  <c r="Q189" i="44"/>
  <c r="V189" i="44" s="1"/>
  <c r="R189" i="44"/>
  <c r="T189" i="44"/>
  <c r="U189" i="44"/>
  <c r="S189" i="44"/>
  <c r="Q190" i="44"/>
  <c r="V190" i="44" s="1"/>
  <c r="R190" i="44"/>
  <c r="T190" i="44"/>
  <c r="U190" i="44"/>
  <c r="S190" i="44"/>
  <c r="Q191" i="44"/>
  <c r="V191" i="44" s="1"/>
  <c r="R191" i="44"/>
  <c r="T191" i="44"/>
  <c r="U191" i="44"/>
  <c r="S191" i="44"/>
  <c r="Q192" i="44"/>
  <c r="V192" i="44" s="1"/>
  <c r="R192" i="44"/>
  <c r="T192" i="44"/>
  <c r="U192" i="44"/>
  <c r="S192" i="44"/>
  <c r="Q193" i="44"/>
  <c r="V193" i="44" s="1"/>
  <c r="R193" i="44"/>
  <c r="T193" i="44"/>
  <c r="U193" i="44"/>
  <c r="S193" i="44"/>
  <c r="Q194" i="44"/>
  <c r="V194" i="44" s="1"/>
  <c r="R194" i="44"/>
  <c r="T194" i="44"/>
  <c r="U194" i="44"/>
  <c r="S194" i="44"/>
  <c r="Q195" i="44"/>
  <c r="V195" i="44" s="1"/>
  <c r="R195" i="44"/>
  <c r="T195" i="44"/>
  <c r="U195" i="44"/>
  <c r="S195" i="44"/>
  <c r="Q196" i="44"/>
  <c r="V196" i="44" s="1"/>
  <c r="R196" i="44"/>
  <c r="T196" i="44"/>
  <c r="U196" i="44"/>
  <c r="S196" i="44"/>
  <c r="Q197" i="44"/>
  <c r="V197" i="44" s="1"/>
  <c r="R197" i="44"/>
  <c r="T197" i="44"/>
  <c r="U197" i="44"/>
  <c r="S197" i="44"/>
  <c r="Q198" i="44"/>
  <c r="V198" i="44" s="1"/>
  <c r="R198" i="44"/>
  <c r="T198" i="44"/>
  <c r="U198" i="44"/>
  <c r="S198" i="44"/>
  <c r="Q199" i="44"/>
  <c r="V199" i="44" s="1"/>
  <c r="R199" i="44"/>
  <c r="T199" i="44"/>
  <c r="U199" i="44"/>
  <c r="S199" i="44"/>
  <c r="Q200" i="44"/>
  <c r="V200" i="44" s="1"/>
  <c r="R200" i="44"/>
  <c r="T200" i="44"/>
  <c r="U200" i="44"/>
  <c r="S200" i="44"/>
  <c r="Q201" i="44"/>
  <c r="V201" i="44" s="1"/>
  <c r="R201" i="44"/>
  <c r="T201" i="44"/>
  <c r="U201" i="44"/>
  <c r="S201" i="44"/>
  <c r="Q202" i="44"/>
  <c r="V202" i="44" s="1"/>
  <c r="R202" i="44"/>
  <c r="T202" i="44"/>
  <c r="U202" i="44"/>
  <c r="S202" i="44"/>
  <c r="Q203" i="44"/>
  <c r="V203" i="44" s="1"/>
  <c r="R203" i="44"/>
  <c r="T203" i="44"/>
  <c r="U203" i="44"/>
  <c r="S203" i="44"/>
  <c r="Q204" i="44"/>
  <c r="V204" i="44" s="1"/>
  <c r="R204" i="44"/>
  <c r="T204" i="44"/>
  <c r="U204" i="44"/>
  <c r="S204" i="44"/>
  <c r="Q205" i="44"/>
  <c r="V205" i="44" s="1"/>
  <c r="R205" i="44"/>
  <c r="T205" i="44"/>
  <c r="U205" i="44"/>
  <c r="S205" i="44"/>
  <c r="Q206" i="44"/>
  <c r="V206" i="44" s="1"/>
  <c r="R206" i="44"/>
  <c r="T206" i="44"/>
  <c r="U206" i="44"/>
  <c r="S206" i="44"/>
  <c r="Q207" i="44"/>
  <c r="V207" i="44" s="1"/>
  <c r="R207" i="44"/>
  <c r="T207" i="44"/>
  <c r="U207" i="44"/>
  <c r="S207" i="44"/>
  <c r="Q208" i="44"/>
  <c r="V208" i="44" s="1"/>
  <c r="R208" i="44"/>
  <c r="T208" i="44"/>
  <c r="U208" i="44"/>
  <c r="S208" i="44"/>
  <c r="Q209" i="44"/>
  <c r="V209" i="44" s="1"/>
  <c r="R209" i="44"/>
  <c r="T209" i="44"/>
  <c r="U209" i="44"/>
  <c r="S209" i="44"/>
  <c r="Q210" i="44"/>
  <c r="V210" i="44" s="1"/>
  <c r="R210" i="44"/>
  <c r="T210" i="44"/>
  <c r="U210" i="44"/>
  <c r="S210" i="44"/>
  <c r="Q211" i="44"/>
  <c r="V211" i="44" s="1"/>
  <c r="R211" i="44"/>
  <c r="T211" i="44"/>
  <c r="U211" i="44"/>
  <c r="S211" i="44"/>
  <c r="Q212" i="44"/>
  <c r="V212" i="44" s="1"/>
  <c r="R212" i="44"/>
  <c r="T212" i="44"/>
  <c r="U212" i="44"/>
  <c r="S212" i="44"/>
  <c r="Q213" i="44"/>
  <c r="V213" i="44" s="1"/>
  <c r="R213" i="44"/>
  <c r="T213" i="44"/>
  <c r="U213" i="44"/>
  <c r="S213" i="44"/>
  <c r="Q214" i="44"/>
  <c r="V214" i="44" s="1"/>
  <c r="R214" i="44"/>
  <c r="T214" i="44"/>
  <c r="U214" i="44"/>
  <c r="S214" i="44"/>
  <c r="Q215" i="44"/>
  <c r="V215" i="44" s="1"/>
  <c r="R215" i="44"/>
  <c r="T215" i="44"/>
  <c r="U215" i="44"/>
  <c r="S215" i="44"/>
  <c r="Q216" i="44"/>
  <c r="V216" i="44" s="1"/>
  <c r="R216" i="44"/>
  <c r="T216" i="44"/>
  <c r="U216" i="44"/>
  <c r="S216" i="44"/>
  <c r="Q217" i="44"/>
  <c r="V217" i="44" s="1"/>
  <c r="R217" i="44"/>
  <c r="T217" i="44"/>
  <c r="U217" i="44"/>
  <c r="S217" i="44"/>
  <c r="Q218" i="44"/>
  <c r="V218" i="44" s="1"/>
  <c r="R218" i="44"/>
  <c r="T218" i="44"/>
  <c r="U218" i="44"/>
  <c r="S218" i="44"/>
  <c r="Q219" i="44"/>
  <c r="V219" i="44" s="1"/>
  <c r="R219" i="44"/>
  <c r="T219" i="44"/>
  <c r="U219" i="44"/>
  <c r="S219" i="44"/>
  <c r="Q220" i="44"/>
  <c r="V220" i="44" s="1"/>
  <c r="R220" i="44"/>
  <c r="T220" i="44"/>
  <c r="U220" i="44"/>
  <c r="S220" i="44"/>
  <c r="Q221" i="44"/>
  <c r="V221" i="44" s="1"/>
  <c r="R221" i="44"/>
  <c r="T221" i="44"/>
  <c r="U221" i="44"/>
  <c r="S221" i="44"/>
  <c r="Q222" i="44"/>
  <c r="V222" i="44" s="1"/>
  <c r="R222" i="44"/>
  <c r="T222" i="44"/>
  <c r="U222" i="44"/>
  <c r="S222" i="44"/>
  <c r="Q223" i="44"/>
  <c r="V223" i="44" s="1"/>
  <c r="R223" i="44"/>
  <c r="T223" i="44"/>
  <c r="U223" i="44"/>
  <c r="S223" i="44"/>
  <c r="Q224" i="44"/>
  <c r="V224" i="44" s="1"/>
  <c r="R224" i="44"/>
  <c r="T224" i="44"/>
  <c r="U224" i="44"/>
  <c r="S224" i="44"/>
  <c r="Q225" i="44"/>
  <c r="V225" i="44" s="1"/>
  <c r="R225" i="44"/>
  <c r="T225" i="44"/>
  <c r="U225" i="44"/>
  <c r="S225" i="44"/>
  <c r="Q226" i="44"/>
  <c r="V226" i="44" s="1"/>
  <c r="R226" i="44"/>
  <c r="T226" i="44"/>
  <c r="U226" i="44"/>
  <c r="S226" i="44"/>
  <c r="Q227" i="44"/>
  <c r="V227" i="44" s="1"/>
  <c r="R227" i="44"/>
  <c r="T227" i="44"/>
  <c r="U227" i="44"/>
  <c r="S227" i="44"/>
  <c r="Q228" i="44"/>
  <c r="V228" i="44" s="1"/>
  <c r="R228" i="44"/>
  <c r="T228" i="44"/>
  <c r="U228" i="44"/>
  <c r="S228" i="44"/>
  <c r="Q229" i="44"/>
  <c r="V229" i="44" s="1"/>
  <c r="R229" i="44"/>
  <c r="T229" i="44"/>
  <c r="U229" i="44"/>
  <c r="S229" i="44"/>
  <c r="Q230" i="44"/>
  <c r="V230" i="44" s="1"/>
  <c r="R230" i="44"/>
  <c r="T230" i="44"/>
  <c r="U230" i="44"/>
  <c r="S230" i="44"/>
  <c r="Q231" i="44"/>
  <c r="V231" i="44" s="1"/>
  <c r="R231" i="44"/>
  <c r="T231" i="44"/>
  <c r="U231" i="44"/>
  <c r="S231" i="44"/>
  <c r="Q232" i="44"/>
  <c r="V232" i="44" s="1"/>
  <c r="R232" i="44"/>
  <c r="T232" i="44"/>
  <c r="U232" i="44"/>
  <c r="S232" i="44"/>
  <c r="Q233" i="44"/>
  <c r="V233" i="44" s="1"/>
  <c r="R233" i="44"/>
  <c r="T233" i="44"/>
  <c r="U233" i="44"/>
  <c r="S233" i="44"/>
  <c r="Q234" i="44"/>
  <c r="V234" i="44" s="1"/>
  <c r="R234" i="44"/>
  <c r="T234" i="44"/>
  <c r="U234" i="44"/>
  <c r="S234" i="44"/>
  <c r="Q235" i="44"/>
  <c r="V235" i="44" s="1"/>
  <c r="R235" i="44"/>
  <c r="T235" i="44"/>
  <c r="U235" i="44"/>
  <c r="S235" i="44"/>
  <c r="Q236" i="44"/>
  <c r="V236" i="44" s="1"/>
  <c r="R236" i="44"/>
  <c r="T236" i="44"/>
  <c r="U236" i="44"/>
  <c r="S236" i="44"/>
  <c r="Q237" i="44"/>
  <c r="V237" i="44" s="1"/>
  <c r="R237" i="44"/>
  <c r="T237" i="44"/>
  <c r="U237" i="44"/>
  <c r="S237" i="44"/>
  <c r="Q238" i="44"/>
  <c r="V238" i="44" s="1"/>
  <c r="R238" i="44"/>
  <c r="T238" i="44"/>
  <c r="U238" i="44"/>
  <c r="S238" i="44"/>
  <c r="Q239" i="44"/>
  <c r="V239" i="44" s="1"/>
  <c r="R239" i="44"/>
  <c r="T239" i="44"/>
  <c r="U239" i="44"/>
  <c r="S239" i="44"/>
  <c r="Q240" i="44"/>
  <c r="V240" i="44" s="1"/>
  <c r="R240" i="44"/>
  <c r="T240" i="44"/>
  <c r="U240" i="44"/>
  <c r="S240" i="44"/>
  <c r="Q241" i="44"/>
  <c r="V241" i="44" s="1"/>
  <c r="R241" i="44"/>
  <c r="T241" i="44"/>
  <c r="U241" i="44"/>
  <c r="S241" i="44"/>
  <c r="Q242" i="44"/>
  <c r="V242" i="44" s="1"/>
  <c r="R242" i="44"/>
  <c r="T242" i="44"/>
  <c r="U242" i="44"/>
  <c r="S242" i="44"/>
  <c r="Q243" i="44"/>
  <c r="V243" i="44" s="1"/>
  <c r="R243" i="44"/>
  <c r="T243" i="44"/>
  <c r="U243" i="44"/>
  <c r="S243" i="44"/>
  <c r="Q244" i="44"/>
  <c r="V244" i="44" s="1"/>
  <c r="R244" i="44"/>
  <c r="T244" i="44"/>
  <c r="U244" i="44"/>
  <c r="S244" i="44"/>
  <c r="Q245" i="44"/>
  <c r="V245" i="44" s="1"/>
  <c r="R245" i="44"/>
  <c r="T245" i="44"/>
  <c r="U245" i="44"/>
  <c r="S245" i="44"/>
  <c r="Q246" i="44"/>
  <c r="V246" i="44" s="1"/>
  <c r="R246" i="44"/>
  <c r="T246" i="44"/>
  <c r="U246" i="44"/>
  <c r="S246" i="44"/>
  <c r="Q247" i="44"/>
  <c r="V247" i="44" s="1"/>
  <c r="R247" i="44"/>
  <c r="T247" i="44"/>
  <c r="U247" i="44"/>
  <c r="S247" i="44"/>
  <c r="Q248" i="44"/>
  <c r="V248" i="44" s="1"/>
  <c r="R248" i="44"/>
  <c r="T248" i="44"/>
  <c r="U248" i="44"/>
  <c r="S248" i="44"/>
  <c r="Q249" i="44"/>
  <c r="V249" i="44" s="1"/>
  <c r="R249" i="44"/>
  <c r="T249" i="44"/>
  <c r="U249" i="44"/>
  <c r="S249" i="44"/>
  <c r="Q250" i="44"/>
  <c r="V250" i="44" s="1"/>
  <c r="R250" i="44"/>
  <c r="T250" i="44"/>
  <c r="U250" i="44"/>
  <c r="S250" i="44"/>
  <c r="Q251" i="44"/>
  <c r="V251" i="44" s="1"/>
  <c r="R251" i="44"/>
  <c r="T251" i="44"/>
  <c r="U251" i="44"/>
  <c r="S251" i="44"/>
  <c r="Q252" i="44"/>
  <c r="V252" i="44" s="1"/>
  <c r="R252" i="44"/>
  <c r="T252" i="44"/>
  <c r="U252" i="44"/>
  <c r="S252" i="44"/>
  <c r="Q253" i="44"/>
  <c r="V253" i="44" s="1"/>
  <c r="R253" i="44"/>
  <c r="T253" i="44"/>
  <c r="U253" i="44"/>
  <c r="S253" i="44"/>
  <c r="Q254" i="44"/>
  <c r="V254" i="44" s="1"/>
  <c r="R254" i="44"/>
  <c r="T254" i="44"/>
  <c r="U254" i="44"/>
  <c r="S254" i="44"/>
  <c r="Q255" i="44"/>
  <c r="V255" i="44" s="1"/>
  <c r="R255" i="44"/>
  <c r="T255" i="44"/>
  <c r="U255" i="44"/>
  <c r="S255" i="44"/>
  <c r="Q256" i="44"/>
  <c r="V256" i="44" s="1"/>
  <c r="R256" i="44"/>
  <c r="T256" i="44"/>
  <c r="U256" i="44"/>
  <c r="S256" i="44"/>
  <c r="Q257" i="44"/>
  <c r="V257" i="44" s="1"/>
  <c r="R257" i="44"/>
  <c r="T257" i="44"/>
  <c r="U257" i="44"/>
  <c r="S257" i="44"/>
  <c r="Q258" i="44"/>
  <c r="V258" i="44" s="1"/>
  <c r="R258" i="44"/>
  <c r="T258" i="44"/>
  <c r="U258" i="44"/>
  <c r="S258" i="44"/>
  <c r="Q259" i="44"/>
  <c r="V259" i="44" s="1"/>
  <c r="R259" i="44"/>
  <c r="T259" i="44"/>
  <c r="U259" i="44"/>
  <c r="S259" i="44"/>
  <c r="Q260" i="44"/>
  <c r="V260" i="44" s="1"/>
  <c r="R260" i="44"/>
  <c r="T260" i="44"/>
  <c r="U260" i="44"/>
  <c r="S260" i="44"/>
  <c r="Q261" i="44"/>
  <c r="V261" i="44" s="1"/>
  <c r="R261" i="44"/>
  <c r="T261" i="44"/>
  <c r="U261" i="44"/>
  <c r="S261" i="44"/>
  <c r="Q262" i="44"/>
  <c r="V262" i="44" s="1"/>
  <c r="R262" i="44"/>
  <c r="T262" i="44"/>
  <c r="U262" i="44"/>
  <c r="S262" i="44"/>
  <c r="Q263" i="44"/>
  <c r="V263" i="44" s="1"/>
  <c r="R263" i="44"/>
  <c r="T263" i="44"/>
  <c r="U263" i="44"/>
  <c r="S263" i="44"/>
  <c r="Q264" i="44"/>
  <c r="V264" i="44" s="1"/>
  <c r="R264" i="44"/>
  <c r="T264" i="44"/>
  <c r="U264" i="44"/>
  <c r="S264" i="44"/>
  <c r="Q265" i="44"/>
  <c r="V265" i="44" s="1"/>
  <c r="R265" i="44"/>
  <c r="T265" i="44"/>
  <c r="U265" i="44"/>
  <c r="S265" i="44"/>
  <c r="Q266" i="44"/>
  <c r="V266" i="44" s="1"/>
  <c r="R266" i="44"/>
  <c r="T266" i="44"/>
  <c r="U266" i="44"/>
  <c r="S266" i="44"/>
  <c r="Q267" i="44"/>
  <c r="V267" i="44" s="1"/>
  <c r="R267" i="44"/>
  <c r="T267" i="44"/>
  <c r="U267" i="44"/>
  <c r="S267" i="44"/>
  <c r="Q268" i="44"/>
  <c r="V268" i="44" s="1"/>
  <c r="R268" i="44"/>
  <c r="T268" i="44"/>
  <c r="U268" i="44"/>
  <c r="S268" i="44"/>
  <c r="Q269" i="44"/>
  <c r="V269" i="44" s="1"/>
  <c r="R269" i="44"/>
  <c r="T269" i="44"/>
  <c r="U269" i="44"/>
  <c r="S269" i="44"/>
  <c r="Q270" i="44"/>
  <c r="V270" i="44" s="1"/>
  <c r="R270" i="44"/>
  <c r="T270" i="44"/>
  <c r="U270" i="44"/>
  <c r="S270" i="44"/>
  <c r="Q271" i="44"/>
  <c r="V271" i="44" s="1"/>
  <c r="R271" i="44"/>
  <c r="T271" i="44"/>
  <c r="U271" i="44"/>
  <c r="S271" i="44"/>
  <c r="Q272" i="44"/>
  <c r="V272" i="44" s="1"/>
  <c r="R272" i="44"/>
  <c r="T272" i="44"/>
  <c r="U272" i="44"/>
  <c r="S272" i="44"/>
  <c r="Q273" i="44"/>
  <c r="V273" i="44" s="1"/>
  <c r="R273" i="44"/>
  <c r="T273" i="44"/>
  <c r="U273" i="44"/>
  <c r="S273" i="44"/>
  <c r="Q274" i="44"/>
  <c r="V274" i="44" s="1"/>
  <c r="R274" i="44"/>
  <c r="T274" i="44"/>
  <c r="U274" i="44"/>
  <c r="S274" i="44"/>
  <c r="Q275" i="44"/>
  <c r="V275" i="44" s="1"/>
  <c r="R275" i="44"/>
  <c r="T275" i="44"/>
  <c r="U275" i="44"/>
  <c r="S275" i="44"/>
  <c r="Q276" i="44"/>
  <c r="V276" i="44" s="1"/>
  <c r="R276" i="44"/>
  <c r="T276" i="44"/>
  <c r="U276" i="44"/>
  <c r="S276" i="44"/>
  <c r="Q277" i="44"/>
  <c r="V277" i="44" s="1"/>
  <c r="R277" i="44"/>
  <c r="T277" i="44"/>
  <c r="U277" i="44"/>
  <c r="S277" i="44"/>
  <c r="Q278" i="44"/>
  <c r="V278" i="44" s="1"/>
  <c r="R278" i="44"/>
  <c r="T278" i="44"/>
  <c r="U278" i="44"/>
  <c r="S278" i="44"/>
  <c r="Q279" i="44"/>
  <c r="V279" i="44" s="1"/>
  <c r="R279" i="44"/>
  <c r="T279" i="44"/>
  <c r="U279" i="44"/>
  <c r="S279" i="44"/>
  <c r="Q280" i="44"/>
  <c r="V280" i="44" s="1"/>
  <c r="R280" i="44"/>
  <c r="T280" i="44"/>
  <c r="U280" i="44"/>
  <c r="S280" i="44"/>
  <c r="Q281" i="44"/>
  <c r="V281" i="44" s="1"/>
  <c r="R281" i="44"/>
  <c r="T281" i="44"/>
  <c r="U281" i="44"/>
  <c r="S281" i="44"/>
  <c r="Q282" i="44"/>
  <c r="V282" i="44" s="1"/>
  <c r="R282" i="44"/>
  <c r="T282" i="44"/>
  <c r="U282" i="44"/>
  <c r="S282" i="44"/>
  <c r="Q283" i="44"/>
  <c r="V283" i="44" s="1"/>
  <c r="R283" i="44"/>
  <c r="T283" i="44"/>
  <c r="U283" i="44"/>
  <c r="S283" i="44"/>
  <c r="Q284" i="44"/>
  <c r="V284" i="44" s="1"/>
  <c r="R284" i="44"/>
  <c r="T284" i="44"/>
  <c r="U284" i="44"/>
  <c r="S284" i="44"/>
  <c r="Q285" i="44"/>
  <c r="V285" i="44" s="1"/>
  <c r="R285" i="44"/>
  <c r="T285" i="44"/>
  <c r="U285" i="44"/>
  <c r="S285" i="44"/>
  <c r="Q286" i="44"/>
  <c r="V286" i="44" s="1"/>
  <c r="R286" i="44"/>
  <c r="T286" i="44"/>
  <c r="U286" i="44"/>
  <c r="S286" i="44"/>
  <c r="Q287" i="44"/>
  <c r="V287" i="44" s="1"/>
  <c r="R287" i="44"/>
  <c r="T287" i="44"/>
  <c r="U287" i="44"/>
  <c r="S287" i="44"/>
  <c r="Q288" i="44"/>
  <c r="V288" i="44" s="1"/>
  <c r="R288" i="44"/>
  <c r="T288" i="44"/>
  <c r="U288" i="44"/>
  <c r="S288" i="44"/>
  <c r="Q289" i="44"/>
  <c r="V289" i="44" s="1"/>
  <c r="R289" i="44"/>
  <c r="T289" i="44"/>
  <c r="U289" i="44"/>
  <c r="S289" i="44"/>
  <c r="Q290" i="44"/>
  <c r="V290" i="44" s="1"/>
  <c r="R290" i="44"/>
  <c r="T290" i="44"/>
  <c r="U290" i="44"/>
  <c r="S290" i="44"/>
  <c r="Q291" i="44"/>
  <c r="V291" i="44" s="1"/>
  <c r="R291" i="44"/>
  <c r="T291" i="44"/>
  <c r="U291" i="44"/>
  <c r="S291" i="44"/>
  <c r="Q292" i="44"/>
  <c r="V292" i="44" s="1"/>
  <c r="R292" i="44"/>
  <c r="T292" i="44"/>
  <c r="U292" i="44"/>
  <c r="S292" i="44"/>
  <c r="Q293" i="44"/>
  <c r="V293" i="44" s="1"/>
  <c r="R293" i="44"/>
  <c r="T293" i="44"/>
  <c r="U293" i="44"/>
  <c r="S293" i="44"/>
  <c r="Q294" i="44"/>
  <c r="V294" i="44" s="1"/>
  <c r="R294" i="44"/>
  <c r="T294" i="44"/>
  <c r="U294" i="44"/>
  <c r="S294" i="44"/>
  <c r="Q295" i="44"/>
  <c r="V295" i="44" s="1"/>
  <c r="R295" i="44"/>
  <c r="T295" i="44"/>
  <c r="U295" i="44"/>
  <c r="S295" i="44"/>
  <c r="Q296" i="44"/>
  <c r="V296" i="44" s="1"/>
  <c r="R296" i="44"/>
  <c r="T296" i="44"/>
  <c r="U296" i="44"/>
  <c r="S296" i="44"/>
  <c r="Q297" i="44"/>
  <c r="V297" i="44" s="1"/>
  <c r="R297" i="44"/>
  <c r="T297" i="44"/>
  <c r="U297" i="44"/>
  <c r="S297" i="44"/>
  <c r="Q298" i="44"/>
  <c r="V298" i="44" s="1"/>
  <c r="R298" i="44"/>
  <c r="T298" i="44"/>
  <c r="U298" i="44"/>
  <c r="S298" i="44"/>
  <c r="Q299" i="44"/>
  <c r="V299" i="44" s="1"/>
  <c r="R299" i="44"/>
  <c r="T299" i="44"/>
  <c r="U299" i="44"/>
  <c r="S299" i="44"/>
  <c r="Q300" i="44"/>
  <c r="V300" i="44" s="1"/>
  <c r="R300" i="44"/>
  <c r="T300" i="44"/>
  <c r="U300" i="44"/>
  <c r="S300" i="44"/>
  <c r="Q301" i="44"/>
  <c r="V301" i="44" s="1"/>
  <c r="R301" i="44"/>
  <c r="T301" i="44"/>
  <c r="U301" i="44"/>
  <c r="S301" i="44"/>
  <c r="Q302" i="44"/>
  <c r="V302" i="44" s="1"/>
  <c r="R302" i="44"/>
  <c r="T302" i="44"/>
  <c r="U302" i="44"/>
  <c r="S302" i="44"/>
  <c r="Q303" i="44"/>
  <c r="V303" i="44" s="1"/>
  <c r="R303" i="44"/>
  <c r="T303" i="44"/>
  <c r="U303" i="44"/>
  <c r="S303" i="44"/>
  <c r="Q304" i="44"/>
  <c r="V304" i="44" s="1"/>
  <c r="R304" i="44"/>
  <c r="T304" i="44"/>
  <c r="U304" i="44"/>
  <c r="S304" i="44"/>
  <c r="Q305" i="44"/>
  <c r="V305" i="44" s="1"/>
  <c r="R305" i="44"/>
  <c r="T305" i="44"/>
  <c r="U305" i="44"/>
  <c r="S305" i="44"/>
  <c r="Q306" i="44"/>
  <c r="V306" i="44" s="1"/>
  <c r="R306" i="44"/>
  <c r="T306" i="44"/>
  <c r="U306" i="44"/>
  <c r="S306" i="44"/>
  <c r="Q307" i="44"/>
  <c r="V307" i="44" s="1"/>
  <c r="R307" i="44"/>
  <c r="T307" i="44"/>
  <c r="U307" i="44"/>
  <c r="S307" i="44"/>
  <c r="Q308" i="44"/>
  <c r="V308" i="44" s="1"/>
  <c r="R308" i="44"/>
  <c r="T308" i="44"/>
  <c r="U308" i="44"/>
  <c r="S308" i="44"/>
  <c r="Q309" i="44"/>
  <c r="V309" i="44" s="1"/>
  <c r="R309" i="44"/>
  <c r="T309" i="44"/>
  <c r="U309" i="44"/>
  <c r="S309" i="44"/>
  <c r="Q310" i="44"/>
  <c r="V310" i="44" s="1"/>
  <c r="R310" i="44"/>
  <c r="T310" i="44"/>
  <c r="U310" i="44"/>
  <c r="S310" i="44"/>
  <c r="Q311" i="44"/>
  <c r="V311" i="44" s="1"/>
  <c r="R311" i="44"/>
  <c r="T311" i="44"/>
  <c r="U311" i="44"/>
  <c r="S311" i="44"/>
  <c r="Q312" i="44"/>
  <c r="V312" i="44" s="1"/>
  <c r="R312" i="44"/>
  <c r="T312" i="44"/>
  <c r="U312" i="44"/>
  <c r="S312" i="44"/>
  <c r="Q313" i="44"/>
  <c r="V313" i="44" s="1"/>
  <c r="R313" i="44"/>
  <c r="T313" i="44"/>
  <c r="U313" i="44"/>
  <c r="S313" i="44"/>
  <c r="Q314" i="44"/>
  <c r="V314" i="44" s="1"/>
  <c r="R314" i="44"/>
  <c r="T314" i="44"/>
  <c r="U314" i="44"/>
  <c r="S314" i="44"/>
  <c r="Q315" i="44"/>
  <c r="V315" i="44" s="1"/>
  <c r="R315" i="44"/>
  <c r="T315" i="44"/>
  <c r="U315" i="44"/>
  <c r="S315" i="44"/>
  <c r="Q316" i="44"/>
  <c r="V316" i="44" s="1"/>
  <c r="R316" i="44"/>
  <c r="T316" i="44"/>
  <c r="U316" i="44"/>
  <c r="S316" i="44"/>
  <c r="Q317" i="44"/>
  <c r="V317" i="44" s="1"/>
  <c r="R317" i="44"/>
  <c r="T317" i="44"/>
  <c r="U317" i="44"/>
  <c r="S317" i="44"/>
  <c r="Q318" i="44"/>
  <c r="V318" i="44" s="1"/>
  <c r="R318" i="44"/>
  <c r="T318" i="44"/>
  <c r="U318" i="44"/>
  <c r="S318" i="44"/>
  <c r="Q319" i="44"/>
  <c r="V319" i="44" s="1"/>
  <c r="R319" i="44"/>
  <c r="T319" i="44"/>
  <c r="U319" i="44"/>
  <c r="S319" i="44"/>
  <c r="Q320" i="44"/>
  <c r="V320" i="44" s="1"/>
  <c r="R320" i="44"/>
  <c r="T320" i="44"/>
  <c r="U320" i="44"/>
  <c r="S320" i="44"/>
  <c r="Q321" i="44"/>
  <c r="V321" i="44" s="1"/>
  <c r="R321" i="44"/>
  <c r="T321" i="44"/>
  <c r="U321" i="44"/>
  <c r="S321" i="44"/>
  <c r="Q322" i="44"/>
  <c r="V322" i="44" s="1"/>
  <c r="R322" i="44"/>
  <c r="T322" i="44"/>
  <c r="U322" i="44"/>
  <c r="S322" i="44"/>
  <c r="Q323" i="44"/>
  <c r="V323" i="44" s="1"/>
  <c r="R323" i="44"/>
  <c r="T323" i="44"/>
  <c r="U323" i="44"/>
  <c r="S323" i="44"/>
  <c r="Q324" i="44"/>
  <c r="V324" i="44" s="1"/>
  <c r="R324" i="44"/>
  <c r="T324" i="44"/>
  <c r="U324" i="44"/>
  <c r="S324" i="44"/>
  <c r="Q325" i="44"/>
  <c r="V325" i="44" s="1"/>
  <c r="R325" i="44"/>
  <c r="T325" i="44"/>
  <c r="U325" i="44"/>
  <c r="S325" i="44"/>
  <c r="Q326" i="44"/>
  <c r="V326" i="44" s="1"/>
  <c r="R326" i="44"/>
  <c r="T326" i="44"/>
  <c r="U326" i="44"/>
  <c r="S326" i="44"/>
  <c r="Q327" i="44"/>
  <c r="V327" i="44" s="1"/>
  <c r="R327" i="44"/>
  <c r="T327" i="44"/>
  <c r="U327" i="44"/>
  <c r="S327" i="44"/>
  <c r="Q328" i="44"/>
  <c r="V328" i="44" s="1"/>
  <c r="R328" i="44"/>
  <c r="T328" i="44"/>
  <c r="U328" i="44"/>
  <c r="S328" i="44"/>
  <c r="Q329" i="44"/>
  <c r="V329" i="44" s="1"/>
  <c r="R329" i="44"/>
  <c r="T329" i="44"/>
  <c r="U329" i="44"/>
  <c r="S329" i="44"/>
  <c r="Q330" i="44"/>
  <c r="V330" i="44" s="1"/>
  <c r="R330" i="44"/>
  <c r="T330" i="44"/>
  <c r="U330" i="44"/>
  <c r="S330" i="44"/>
  <c r="Q331" i="44"/>
  <c r="V331" i="44" s="1"/>
  <c r="R331" i="44"/>
  <c r="T331" i="44"/>
  <c r="U331" i="44"/>
  <c r="S331" i="44"/>
  <c r="Q332" i="44"/>
  <c r="V332" i="44" s="1"/>
  <c r="R332" i="44"/>
  <c r="T332" i="44"/>
  <c r="U332" i="44"/>
  <c r="S332" i="44"/>
  <c r="Q333" i="44"/>
  <c r="V333" i="44" s="1"/>
  <c r="R333" i="44"/>
  <c r="T333" i="44"/>
  <c r="U333" i="44"/>
  <c r="S333" i="44"/>
  <c r="Q334" i="44"/>
  <c r="V334" i="44" s="1"/>
  <c r="R334" i="44"/>
  <c r="T334" i="44"/>
  <c r="U334" i="44"/>
  <c r="S334" i="44"/>
  <c r="Q335" i="44"/>
  <c r="V335" i="44" s="1"/>
  <c r="R335" i="44"/>
  <c r="T335" i="44"/>
  <c r="U335" i="44"/>
  <c r="S335" i="44"/>
  <c r="Q336" i="44"/>
  <c r="V336" i="44" s="1"/>
  <c r="R336" i="44"/>
  <c r="T336" i="44"/>
  <c r="U336" i="44"/>
  <c r="S336" i="44"/>
  <c r="Q337" i="44"/>
  <c r="V337" i="44" s="1"/>
  <c r="R337" i="44"/>
  <c r="T337" i="44"/>
  <c r="U337" i="44"/>
  <c r="S337" i="44"/>
  <c r="Q338" i="44"/>
  <c r="V338" i="44" s="1"/>
  <c r="R338" i="44"/>
  <c r="T338" i="44"/>
  <c r="U338" i="44"/>
  <c r="S338" i="44"/>
  <c r="Q339" i="44"/>
  <c r="V339" i="44" s="1"/>
  <c r="R339" i="44"/>
  <c r="T339" i="44"/>
  <c r="U339" i="44"/>
  <c r="S339" i="44"/>
  <c r="Q340" i="44"/>
  <c r="V340" i="44" s="1"/>
  <c r="R340" i="44"/>
  <c r="T340" i="44"/>
  <c r="U340" i="44"/>
  <c r="S340" i="44"/>
  <c r="Q341" i="44"/>
  <c r="V341" i="44" s="1"/>
  <c r="R341" i="44"/>
  <c r="T341" i="44"/>
  <c r="U341" i="44"/>
  <c r="S341" i="44"/>
  <c r="Q342" i="44"/>
  <c r="V342" i="44" s="1"/>
  <c r="R342" i="44"/>
  <c r="T342" i="44"/>
  <c r="U342" i="44"/>
  <c r="S342" i="44"/>
  <c r="Q343" i="44"/>
  <c r="V343" i="44" s="1"/>
  <c r="R343" i="44"/>
  <c r="T343" i="44"/>
  <c r="U343" i="44"/>
  <c r="S343" i="44"/>
  <c r="Q344" i="44"/>
  <c r="V344" i="44" s="1"/>
  <c r="R344" i="44"/>
  <c r="T344" i="44"/>
  <c r="U344" i="44"/>
  <c r="S344" i="44"/>
  <c r="Q345" i="44"/>
  <c r="V345" i="44" s="1"/>
  <c r="R345" i="44"/>
  <c r="T345" i="44"/>
  <c r="U345" i="44"/>
  <c r="S345" i="44"/>
  <c r="Q346" i="44"/>
  <c r="V346" i="44" s="1"/>
  <c r="R346" i="44"/>
  <c r="T346" i="44"/>
  <c r="U346" i="44"/>
  <c r="S346" i="44"/>
  <c r="Q347" i="44"/>
  <c r="V347" i="44" s="1"/>
  <c r="R347" i="44"/>
  <c r="T347" i="44"/>
  <c r="U347" i="44"/>
  <c r="S347" i="44"/>
  <c r="Q348" i="44"/>
  <c r="V348" i="44" s="1"/>
  <c r="R348" i="44"/>
  <c r="T348" i="44"/>
  <c r="U348" i="44"/>
  <c r="S348" i="44"/>
  <c r="Q349" i="44"/>
  <c r="V349" i="44" s="1"/>
  <c r="R349" i="44"/>
  <c r="T349" i="44"/>
  <c r="U349" i="44"/>
  <c r="S349" i="44"/>
  <c r="Q350" i="44"/>
  <c r="V350" i="44" s="1"/>
  <c r="R350" i="44"/>
  <c r="T350" i="44"/>
  <c r="U350" i="44"/>
  <c r="S350" i="44"/>
  <c r="Q351" i="44"/>
  <c r="V351" i="44" s="1"/>
  <c r="R351" i="44"/>
  <c r="T351" i="44"/>
  <c r="U351" i="44"/>
  <c r="S351" i="44"/>
  <c r="Q352" i="44"/>
  <c r="V352" i="44" s="1"/>
  <c r="R352" i="44"/>
  <c r="T352" i="44"/>
  <c r="U352" i="44"/>
  <c r="S352" i="44"/>
  <c r="Q353" i="44"/>
  <c r="V353" i="44" s="1"/>
  <c r="R353" i="44"/>
  <c r="T353" i="44"/>
  <c r="U353" i="44"/>
  <c r="S353" i="44"/>
  <c r="Q354" i="44"/>
  <c r="V354" i="44" s="1"/>
  <c r="R354" i="44"/>
  <c r="T354" i="44"/>
  <c r="U354" i="44"/>
  <c r="S354" i="44"/>
  <c r="Q355" i="44"/>
  <c r="V355" i="44" s="1"/>
  <c r="R355" i="44"/>
  <c r="T355" i="44"/>
  <c r="U355" i="44"/>
  <c r="S355" i="44"/>
  <c r="Q356" i="44"/>
  <c r="V356" i="44" s="1"/>
  <c r="R356" i="44"/>
  <c r="T356" i="44"/>
  <c r="U356" i="44"/>
  <c r="S356" i="44"/>
  <c r="Q357" i="44"/>
  <c r="V357" i="44" s="1"/>
  <c r="R357" i="44"/>
  <c r="T357" i="44"/>
  <c r="U357" i="44"/>
  <c r="S357" i="44"/>
  <c r="Q358" i="44"/>
  <c r="V358" i="44" s="1"/>
  <c r="R358" i="44"/>
  <c r="T358" i="44"/>
  <c r="U358" i="44"/>
  <c r="S358" i="44"/>
  <c r="Q359" i="44"/>
  <c r="V359" i="44" s="1"/>
  <c r="R359" i="44"/>
  <c r="T359" i="44"/>
  <c r="U359" i="44"/>
  <c r="S359" i="44"/>
  <c r="Q360" i="44"/>
  <c r="V360" i="44" s="1"/>
  <c r="R360" i="44"/>
  <c r="T360" i="44"/>
  <c r="U360" i="44"/>
  <c r="S360" i="44"/>
  <c r="Q361" i="44"/>
  <c r="V361" i="44" s="1"/>
  <c r="R361" i="44"/>
  <c r="T361" i="44"/>
  <c r="U361" i="44"/>
  <c r="S361" i="44"/>
  <c r="Q362" i="44"/>
  <c r="V362" i="44" s="1"/>
  <c r="R362" i="44"/>
  <c r="T362" i="44"/>
  <c r="U362" i="44"/>
  <c r="S362" i="44"/>
  <c r="Q363" i="44"/>
  <c r="V363" i="44" s="1"/>
  <c r="R363" i="44"/>
  <c r="T363" i="44"/>
  <c r="U363" i="44"/>
  <c r="S363" i="44"/>
  <c r="Q364" i="44"/>
  <c r="V364" i="44" s="1"/>
  <c r="R364" i="44"/>
  <c r="T364" i="44"/>
  <c r="U364" i="44"/>
  <c r="S364" i="44"/>
  <c r="Q365" i="44"/>
  <c r="V365" i="44" s="1"/>
  <c r="R365" i="44"/>
  <c r="T365" i="44"/>
  <c r="U365" i="44"/>
  <c r="S365" i="44"/>
  <c r="Q366" i="44"/>
  <c r="V366" i="44" s="1"/>
  <c r="R366" i="44"/>
  <c r="T366" i="44"/>
  <c r="U366" i="44"/>
  <c r="S366" i="44"/>
  <c r="Q367" i="44"/>
  <c r="V367" i="44" s="1"/>
  <c r="R367" i="44"/>
  <c r="T367" i="44"/>
  <c r="U367" i="44"/>
  <c r="S367" i="44"/>
  <c r="Q368" i="44"/>
  <c r="V368" i="44" s="1"/>
  <c r="R368" i="44"/>
  <c r="T368" i="44"/>
  <c r="U368" i="44"/>
  <c r="S368" i="44"/>
  <c r="Q369" i="44"/>
  <c r="V369" i="44" s="1"/>
  <c r="R369" i="44"/>
  <c r="T369" i="44"/>
  <c r="U369" i="44"/>
  <c r="S369" i="44"/>
  <c r="Q370" i="44"/>
  <c r="V370" i="44" s="1"/>
  <c r="R370" i="44"/>
  <c r="T370" i="44"/>
  <c r="U370" i="44"/>
  <c r="S370" i="44"/>
  <c r="Q371" i="44"/>
  <c r="V371" i="44" s="1"/>
  <c r="R371" i="44"/>
  <c r="T371" i="44"/>
  <c r="U371" i="44"/>
  <c r="S371" i="44"/>
  <c r="Q372" i="44"/>
  <c r="V372" i="44" s="1"/>
  <c r="R372" i="44"/>
  <c r="T372" i="44"/>
  <c r="U372" i="44"/>
  <c r="S372" i="44"/>
  <c r="Q373" i="44"/>
  <c r="V373" i="44" s="1"/>
  <c r="R373" i="44"/>
  <c r="T373" i="44"/>
  <c r="U373" i="44"/>
  <c r="S373" i="44"/>
  <c r="Q374" i="44"/>
  <c r="V374" i="44" s="1"/>
  <c r="R374" i="44"/>
  <c r="T374" i="44"/>
  <c r="U374" i="44"/>
  <c r="S374" i="44"/>
  <c r="Q375" i="44"/>
  <c r="V375" i="44" s="1"/>
  <c r="R375" i="44"/>
  <c r="T375" i="44"/>
  <c r="U375" i="44"/>
  <c r="S375" i="44"/>
  <c r="Q376" i="44"/>
  <c r="V376" i="44" s="1"/>
  <c r="R376" i="44"/>
  <c r="T376" i="44"/>
  <c r="U376" i="44"/>
  <c r="S376" i="44"/>
  <c r="Q377" i="44"/>
  <c r="V377" i="44" s="1"/>
  <c r="R377" i="44"/>
  <c r="T377" i="44"/>
  <c r="U377" i="44"/>
  <c r="S377" i="44"/>
  <c r="Q378" i="44"/>
  <c r="V378" i="44" s="1"/>
  <c r="R378" i="44"/>
  <c r="T378" i="44"/>
  <c r="U378" i="44"/>
  <c r="S378" i="44"/>
  <c r="Q379" i="44"/>
  <c r="V379" i="44" s="1"/>
  <c r="R379" i="44"/>
  <c r="T379" i="44"/>
  <c r="U379" i="44"/>
  <c r="S379" i="44"/>
  <c r="Q380" i="44"/>
  <c r="V380" i="44" s="1"/>
  <c r="R380" i="44"/>
  <c r="T380" i="44"/>
  <c r="U380" i="44"/>
  <c r="S380" i="44"/>
  <c r="Q381" i="44"/>
  <c r="V381" i="44" s="1"/>
  <c r="R381" i="44"/>
  <c r="T381" i="44"/>
  <c r="U381" i="44"/>
  <c r="S381" i="44"/>
  <c r="Q382" i="44"/>
  <c r="V382" i="44" s="1"/>
  <c r="R382" i="44"/>
  <c r="T382" i="44"/>
  <c r="U382" i="44"/>
  <c r="S382" i="44"/>
  <c r="Q383" i="44"/>
  <c r="V383" i="44" s="1"/>
  <c r="R383" i="44"/>
  <c r="T383" i="44"/>
  <c r="U383" i="44"/>
  <c r="S383" i="44"/>
  <c r="Q384" i="44"/>
  <c r="V384" i="44" s="1"/>
  <c r="R384" i="44"/>
  <c r="T384" i="44"/>
  <c r="U384" i="44"/>
  <c r="S384" i="44"/>
  <c r="Q385" i="44"/>
  <c r="V385" i="44" s="1"/>
  <c r="R385" i="44"/>
  <c r="T385" i="44"/>
  <c r="U385" i="44"/>
  <c r="S385" i="44"/>
  <c r="Q386" i="44"/>
  <c r="V386" i="44" s="1"/>
  <c r="R386" i="44"/>
  <c r="T386" i="44"/>
  <c r="U386" i="44"/>
  <c r="S386" i="44"/>
  <c r="Q387" i="44"/>
  <c r="V387" i="44" s="1"/>
  <c r="R387" i="44"/>
  <c r="T387" i="44"/>
  <c r="U387" i="44"/>
  <c r="S387" i="44"/>
  <c r="Q388" i="44"/>
  <c r="V388" i="44" s="1"/>
  <c r="R388" i="44"/>
  <c r="T388" i="44"/>
  <c r="U388" i="44"/>
  <c r="S388" i="44"/>
  <c r="Q389" i="44"/>
  <c r="V389" i="44" s="1"/>
  <c r="R389" i="44"/>
  <c r="T389" i="44"/>
  <c r="U389" i="44"/>
  <c r="S389" i="44"/>
  <c r="Q390" i="44"/>
  <c r="V390" i="44" s="1"/>
  <c r="R390" i="44"/>
  <c r="T390" i="44"/>
  <c r="U390" i="44"/>
  <c r="S390" i="44"/>
  <c r="Q391" i="44"/>
  <c r="V391" i="44" s="1"/>
  <c r="R391" i="44"/>
  <c r="T391" i="44"/>
  <c r="U391" i="44"/>
  <c r="S391" i="44"/>
  <c r="Q392" i="44"/>
  <c r="V392" i="44" s="1"/>
  <c r="R392" i="44"/>
  <c r="T392" i="44"/>
  <c r="U392" i="44"/>
  <c r="S392" i="44"/>
  <c r="Q393" i="44"/>
  <c r="V393" i="44" s="1"/>
  <c r="R393" i="44"/>
  <c r="T393" i="44"/>
  <c r="U393" i="44"/>
  <c r="S393" i="44"/>
  <c r="Q394" i="44"/>
  <c r="V394" i="44" s="1"/>
  <c r="R394" i="44"/>
  <c r="T394" i="44"/>
  <c r="U394" i="44"/>
  <c r="S394" i="44"/>
  <c r="Q395" i="44"/>
  <c r="V395" i="44" s="1"/>
  <c r="R395" i="44"/>
  <c r="T395" i="44"/>
  <c r="U395" i="44"/>
  <c r="S395" i="44"/>
  <c r="Q396" i="44"/>
  <c r="V396" i="44" s="1"/>
  <c r="R396" i="44"/>
  <c r="T396" i="44"/>
  <c r="U396" i="44"/>
  <c r="S396" i="44"/>
  <c r="Q397" i="44"/>
  <c r="V397" i="44" s="1"/>
  <c r="R397" i="44"/>
  <c r="T397" i="44"/>
  <c r="U397" i="44"/>
  <c r="S397" i="44"/>
  <c r="Q398" i="44"/>
  <c r="V398" i="44" s="1"/>
  <c r="R398" i="44"/>
  <c r="T398" i="44"/>
  <c r="U398" i="44"/>
  <c r="S398" i="44"/>
  <c r="Q399" i="44"/>
  <c r="V399" i="44" s="1"/>
  <c r="R399" i="44"/>
  <c r="T399" i="44"/>
  <c r="U399" i="44"/>
  <c r="S399" i="44"/>
  <c r="Q400" i="44"/>
  <c r="V400" i="44" s="1"/>
  <c r="R400" i="44"/>
  <c r="T400" i="44"/>
  <c r="U400" i="44"/>
  <c r="S400" i="44"/>
  <c r="Q401" i="44"/>
  <c r="V401" i="44" s="1"/>
  <c r="R401" i="44"/>
  <c r="T401" i="44"/>
  <c r="U401" i="44"/>
  <c r="S401" i="44"/>
  <c r="Q402" i="44"/>
  <c r="V402" i="44" s="1"/>
  <c r="R402" i="44"/>
  <c r="T402" i="44"/>
  <c r="U402" i="44"/>
  <c r="S402" i="44"/>
  <c r="Q403" i="44"/>
  <c r="V403" i="44" s="1"/>
  <c r="R403" i="44"/>
  <c r="T403" i="44"/>
  <c r="U403" i="44"/>
  <c r="S403" i="44"/>
  <c r="Q404" i="44"/>
  <c r="V404" i="44" s="1"/>
  <c r="R404" i="44"/>
  <c r="T404" i="44"/>
  <c r="U404" i="44"/>
  <c r="S404" i="44"/>
  <c r="Q405" i="44"/>
  <c r="V405" i="44" s="1"/>
  <c r="R405" i="44"/>
  <c r="T405" i="44"/>
  <c r="U405" i="44"/>
  <c r="S405" i="44"/>
  <c r="Q406" i="44"/>
  <c r="V406" i="44" s="1"/>
  <c r="R406" i="44"/>
  <c r="T406" i="44"/>
  <c r="U406" i="44"/>
  <c r="S406" i="44"/>
  <c r="Q407" i="44"/>
  <c r="V407" i="44" s="1"/>
  <c r="R407" i="44"/>
  <c r="T407" i="44"/>
  <c r="U407" i="44"/>
  <c r="S407" i="44"/>
  <c r="Q408" i="44"/>
  <c r="V408" i="44" s="1"/>
  <c r="R408" i="44"/>
  <c r="T408" i="44"/>
  <c r="U408" i="44"/>
  <c r="S408" i="44"/>
  <c r="Q409" i="44"/>
  <c r="V409" i="44" s="1"/>
  <c r="R409" i="44"/>
  <c r="T409" i="44"/>
  <c r="U409" i="44"/>
  <c r="S409" i="44"/>
  <c r="Q410" i="44"/>
  <c r="V410" i="44" s="1"/>
  <c r="R410" i="44"/>
  <c r="T410" i="44"/>
  <c r="U410" i="44"/>
  <c r="S410" i="44"/>
  <c r="Q411" i="44"/>
  <c r="V411" i="44" s="1"/>
  <c r="R411" i="44"/>
  <c r="T411" i="44"/>
  <c r="U411" i="44"/>
  <c r="S411" i="44"/>
  <c r="Q412" i="44"/>
  <c r="V412" i="44" s="1"/>
  <c r="R412" i="44"/>
  <c r="T412" i="44"/>
  <c r="U412" i="44"/>
  <c r="S412" i="44"/>
  <c r="Q413" i="44"/>
  <c r="V413" i="44" s="1"/>
  <c r="R413" i="44"/>
  <c r="T413" i="44"/>
  <c r="U413" i="44"/>
  <c r="S413" i="44"/>
  <c r="Q414" i="44"/>
  <c r="V414" i="44" s="1"/>
  <c r="R414" i="44"/>
  <c r="T414" i="44"/>
  <c r="U414" i="44"/>
  <c r="S414" i="44"/>
  <c r="Q415" i="44"/>
  <c r="V415" i="44" s="1"/>
  <c r="R415" i="44"/>
  <c r="T415" i="44"/>
  <c r="U415" i="44"/>
  <c r="S415" i="44"/>
  <c r="Q416" i="44"/>
  <c r="V416" i="44" s="1"/>
  <c r="R416" i="44"/>
  <c r="T416" i="44"/>
  <c r="U416" i="44"/>
  <c r="S416" i="44"/>
  <c r="Q417" i="44"/>
  <c r="V417" i="44" s="1"/>
  <c r="R417" i="44"/>
  <c r="T417" i="44"/>
  <c r="U417" i="44"/>
  <c r="S417" i="44"/>
  <c r="Q418" i="44"/>
  <c r="V418" i="44" s="1"/>
  <c r="R418" i="44"/>
  <c r="T418" i="44"/>
  <c r="U418" i="44"/>
  <c r="S418" i="44"/>
  <c r="Q419" i="44"/>
  <c r="V419" i="44" s="1"/>
  <c r="R419" i="44"/>
  <c r="T419" i="44"/>
  <c r="U419" i="44"/>
  <c r="S419" i="44"/>
  <c r="Q420" i="44"/>
  <c r="V420" i="44" s="1"/>
  <c r="R420" i="44"/>
  <c r="T420" i="44"/>
  <c r="U420" i="44"/>
  <c r="S420" i="44"/>
  <c r="Q421" i="44"/>
  <c r="V421" i="44" s="1"/>
  <c r="R421" i="44"/>
  <c r="T421" i="44"/>
  <c r="U421" i="44"/>
  <c r="S421" i="44"/>
  <c r="Q422" i="44"/>
  <c r="V422" i="44" s="1"/>
  <c r="R422" i="44"/>
  <c r="T422" i="44"/>
  <c r="U422" i="44"/>
  <c r="S422" i="44"/>
  <c r="Q423" i="44"/>
  <c r="V423" i="44" s="1"/>
  <c r="R423" i="44"/>
  <c r="T423" i="44"/>
  <c r="U423" i="44"/>
  <c r="S423" i="44"/>
  <c r="Q424" i="44"/>
  <c r="V424" i="44" s="1"/>
  <c r="R424" i="44"/>
  <c r="T424" i="44"/>
  <c r="U424" i="44"/>
  <c r="S424" i="44"/>
  <c r="Q425" i="44"/>
  <c r="V425" i="44" s="1"/>
  <c r="R425" i="44"/>
  <c r="T425" i="44"/>
  <c r="U425" i="44"/>
  <c r="S425" i="44"/>
  <c r="Q426" i="44"/>
  <c r="V426" i="44" s="1"/>
  <c r="R426" i="44"/>
  <c r="T426" i="44"/>
  <c r="U426" i="44"/>
  <c r="S426" i="44"/>
  <c r="Q427" i="44"/>
  <c r="V427" i="44" s="1"/>
  <c r="R427" i="44"/>
  <c r="T427" i="44"/>
  <c r="U427" i="44"/>
  <c r="S427" i="44"/>
  <c r="Q428" i="44"/>
  <c r="V428" i="44" s="1"/>
  <c r="R428" i="44"/>
  <c r="T428" i="44"/>
  <c r="U428" i="44"/>
  <c r="S428" i="44"/>
  <c r="Q429" i="44"/>
  <c r="V429" i="44" s="1"/>
  <c r="R429" i="44"/>
  <c r="T429" i="44"/>
  <c r="U429" i="44"/>
  <c r="S429" i="44"/>
  <c r="Q430" i="44"/>
  <c r="V430" i="44" s="1"/>
  <c r="R430" i="44"/>
  <c r="T430" i="44"/>
  <c r="U430" i="44"/>
  <c r="S430" i="44"/>
  <c r="Q431" i="44"/>
  <c r="V431" i="44" s="1"/>
  <c r="R431" i="44"/>
  <c r="T431" i="44"/>
  <c r="U431" i="44"/>
  <c r="S431" i="44"/>
  <c r="Q432" i="44"/>
  <c r="V432" i="44" s="1"/>
  <c r="R432" i="44"/>
  <c r="T432" i="44"/>
  <c r="U432" i="44"/>
  <c r="S432" i="44"/>
  <c r="Q433" i="44"/>
  <c r="V433" i="44" s="1"/>
  <c r="R433" i="44"/>
  <c r="T433" i="44"/>
  <c r="U433" i="44"/>
  <c r="S433" i="44"/>
  <c r="Q434" i="44"/>
  <c r="V434" i="44" s="1"/>
  <c r="R434" i="44"/>
  <c r="T434" i="44"/>
  <c r="U434" i="44"/>
  <c r="S434" i="44"/>
  <c r="Q435" i="44"/>
  <c r="V435" i="44" s="1"/>
  <c r="R435" i="44"/>
  <c r="T435" i="44"/>
  <c r="U435" i="44"/>
  <c r="S435" i="44"/>
  <c r="Q436" i="44"/>
  <c r="V436" i="44" s="1"/>
  <c r="R436" i="44"/>
  <c r="T436" i="44"/>
  <c r="U436" i="44"/>
  <c r="S436" i="44"/>
  <c r="Q437" i="44"/>
  <c r="V437" i="44" s="1"/>
  <c r="R437" i="44"/>
  <c r="T437" i="44"/>
  <c r="U437" i="44"/>
  <c r="S437" i="44"/>
  <c r="Q438" i="44"/>
  <c r="V438" i="44" s="1"/>
  <c r="R438" i="44"/>
  <c r="T438" i="44"/>
  <c r="U438" i="44"/>
  <c r="S438" i="44"/>
  <c r="Q439" i="44"/>
  <c r="V439" i="44" s="1"/>
  <c r="R439" i="44"/>
  <c r="T439" i="44"/>
  <c r="U439" i="44"/>
  <c r="S439" i="44"/>
  <c r="Q440" i="44"/>
  <c r="V440" i="44" s="1"/>
  <c r="R440" i="44"/>
  <c r="T440" i="44"/>
  <c r="U440" i="44"/>
  <c r="S440" i="44"/>
  <c r="Q441" i="44"/>
  <c r="V441" i="44" s="1"/>
  <c r="R441" i="44"/>
  <c r="T441" i="44"/>
  <c r="U441" i="44"/>
  <c r="S441" i="44"/>
  <c r="Q442" i="44"/>
  <c r="V442" i="44" s="1"/>
  <c r="R442" i="44"/>
  <c r="T442" i="44"/>
  <c r="U442" i="44"/>
  <c r="S442" i="44"/>
  <c r="Q443" i="44"/>
  <c r="V443" i="44" s="1"/>
  <c r="R443" i="44"/>
  <c r="T443" i="44"/>
  <c r="U443" i="44"/>
  <c r="S443" i="44"/>
  <c r="Q444" i="44"/>
  <c r="V444" i="44" s="1"/>
  <c r="R444" i="44"/>
  <c r="T444" i="44"/>
  <c r="U444" i="44"/>
  <c r="S444" i="44"/>
  <c r="Q445" i="44"/>
  <c r="V445" i="44" s="1"/>
  <c r="R445" i="44"/>
  <c r="T445" i="44"/>
  <c r="U445" i="44"/>
  <c r="S445" i="44"/>
  <c r="Q446" i="44"/>
  <c r="V446" i="44" s="1"/>
  <c r="R446" i="44"/>
  <c r="T446" i="44"/>
  <c r="U446" i="44"/>
  <c r="S446" i="44"/>
  <c r="Q447" i="44"/>
  <c r="V447" i="44" s="1"/>
  <c r="R447" i="44"/>
  <c r="T447" i="44"/>
  <c r="U447" i="44"/>
  <c r="S447" i="44"/>
  <c r="Q448" i="44"/>
  <c r="V448" i="44" s="1"/>
  <c r="R448" i="44"/>
  <c r="T448" i="44"/>
  <c r="U448" i="44"/>
  <c r="S448" i="44"/>
  <c r="Q449" i="44"/>
  <c r="V449" i="44" s="1"/>
  <c r="R449" i="44"/>
  <c r="T449" i="44"/>
  <c r="U449" i="44"/>
  <c r="S449" i="44"/>
  <c r="Q450" i="44"/>
  <c r="V450" i="44" s="1"/>
  <c r="R450" i="44"/>
  <c r="T450" i="44"/>
  <c r="U450" i="44"/>
  <c r="S450" i="44"/>
  <c r="Q451" i="44"/>
  <c r="V451" i="44" s="1"/>
  <c r="R451" i="44"/>
  <c r="T451" i="44"/>
  <c r="U451" i="44"/>
  <c r="S451" i="44"/>
  <c r="Q452" i="44"/>
  <c r="V452" i="44" s="1"/>
  <c r="R452" i="44"/>
  <c r="T452" i="44"/>
  <c r="U452" i="44"/>
  <c r="S452" i="44"/>
  <c r="Q453" i="44"/>
  <c r="V453" i="44" s="1"/>
  <c r="R453" i="44"/>
  <c r="T453" i="44"/>
  <c r="U453" i="44"/>
  <c r="S453" i="44"/>
  <c r="Q454" i="44"/>
  <c r="V454" i="44" s="1"/>
  <c r="R454" i="44"/>
  <c r="T454" i="44"/>
  <c r="U454" i="44"/>
  <c r="S454" i="44"/>
  <c r="Q455" i="44"/>
  <c r="V455" i="44" s="1"/>
  <c r="R455" i="44"/>
  <c r="T455" i="44"/>
  <c r="U455" i="44"/>
  <c r="S455" i="44"/>
  <c r="Q456" i="44"/>
  <c r="V456" i="44" s="1"/>
  <c r="R456" i="44"/>
  <c r="T456" i="44"/>
  <c r="U456" i="44"/>
  <c r="S456" i="44"/>
  <c r="Q457" i="44"/>
  <c r="V457" i="44" s="1"/>
  <c r="R457" i="44"/>
  <c r="T457" i="44"/>
  <c r="U457" i="44"/>
  <c r="S457" i="44"/>
  <c r="Q458" i="44"/>
  <c r="V458" i="44" s="1"/>
  <c r="R458" i="44"/>
  <c r="T458" i="44"/>
  <c r="U458" i="44"/>
  <c r="S458" i="44"/>
  <c r="Q459" i="44"/>
  <c r="V459" i="44" s="1"/>
  <c r="R459" i="44"/>
  <c r="T459" i="44"/>
  <c r="U459" i="44"/>
  <c r="S459" i="44"/>
  <c r="Q460" i="44"/>
  <c r="V460" i="44" s="1"/>
  <c r="R460" i="44"/>
  <c r="T460" i="44"/>
  <c r="U460" i="44"/>
  <c r="S460" i="44"/>
  <c r="Q461" i="44"/>
  <c r="V461" i="44" s="1"/>
  <c r="R461" i="44"/>
  <c r="T461" i="44"/>
  <c r="U461" i="44"/>
  <c r="S461" i="44"/>
  <c r="Q462" i="44"/>
  <c r="V462" i="44" s="1"/>
  <c r="R462" i="44"/>
  <c r="T462" i="44"/>
  <c r="U462" i="44"/>
  <c r="S462" i="44"/>
  <c r="Q463" i="44"/>
  <c r="V463" i="44" s="1"/>
  <c r="R463" i="44"/>
  <c r="T463" i="44"/>
  <c r="U463" i="44"/>
  <c r="S463" i="44"/>
  <c r="Q464" i="44"/>
  <c r="V464" i="44" s="1"/>
  <c r="R464" i="44"/>
  <c r="T464" i="44"/>
  <c r="U464" i="44"/>
  <c r="S464" i="44"/>
  <c r="Q465" i="44"/>
  <c r="V465" i="44" s="1"/>
  <c r="R465" i="44"/>
  <c r="T465" i="44"/>
  <c r="U465" i="44"/>
  <c r="S465" i="44"/>
  <c r="Q466" i="44"/>
  <c r="V466" i="44" s="1"/>
  <c r="R466" i="44"/>
  <c r="T466" i="44"/>
  <c r="U466" i="44"/>
  <c r="S466" i="44"/>
  <c r="Q467" i="44"/>
  <c r="V467" i="44" s="1"/>
  <c r="R467" i="44"/>
  <c r="T467" i="44"/>
  <c r="U467" i="44"/>
  <c r="S467" i="44"/>
  <c r="Q468" i="44"/>
  <c r="V468" i="44" s="1"/>
  <c r="R468" i="44"/>
  <c r="T468" i="44"/>
  <c r="U468" i="44"/>
  <c r="S468" i="44"/>
  <c r="Q469" i="44"/>
  <c r="V469" i="44" s="1"/>
  <c r="R469" i="44"/>
  <c r="T469" i="44"/>
  <c r="U469" i="44"/>
  <c r="S469" i="44"/>
  <c r="Q470" i="44"/>
  <c r="V470" i="44" s="1"/>
  <c r="R470" i="44"/>
  <c r="T470" i="44"/>
  <c r="U470" i="44"/>
  <c r="S470" i="44"/>
  <c r="Q471" i="44"/>
  <c r="V471" i="44" s="1"/>
  <c r="R471" i="44"/>
  <c r="T471" i="44"/>
  <c r="U471" i="44"/>
  <c r="S471" i="44"/>
  <c r="Q472" i="44"/>
  <c r="V472" i="44" s="1"/>
  <c r="R472" i="44"/>
  <c r="T472" i="44"/>
  <c r="U472" i="44"/>
  <c r="S472" i="44"/>
  <c r="Q473" i="44"/>
  <c r="V473" i="44" s="1"/>
  <c r="R473" i="44"/>
  <c r="T473" i="44"/>
  <c r="U473" i="44"/>
  <c r="S473" i="44"/>
  <c r="Q474" i="44"/>
  <c r="V474" i="44" s="1"/>
  <c r="R474" i="44"/>
  <c r="T474" i="44"/>
  <c r="U474" i="44"/>
  <c r="S474" i="44"/>
  <c r="Q475" i="44"/>
  <c r="V475" i="44" s="1"/>
  <c r="R475" i="44"/>
  <c r="T475" i="44"/>
  <c r="U475" i="44"/>
  <c r="S475" i="44"/>
  <c r="Q476" i="44"/>
  <c r="V476" i="44" s="1"/>
  <c r="R476" i="44"/>
  <c r="T476" i="44"/>
  <c r="U476" i="44"/>
  <c r="S476" i="44"/>
  <c r="Q477" i="44"/>
  <c r="V477" i="44" s="1"/>
  <c r="R477" i="44"/>
  <c r="T477" i="44"/>
  <c r="U477" i="44"/>
  <c r="S477" i="44"/>
  <c r="Q478" i="44"/>
  <c r="V478" i="44" s="1"/>
  <c r="R478" i="44"/>
  <c r="T478" i="44"/>
  <c r="U478" i="44"/>
  <c r="S478" i="44"/>
  <c r="Q479" i="44"/>
  <c r="V479" i="44" s="1"/>
  <c r="R479" i="44"/>
  <c r="T479" i="44"/>
  <c r="U479" i="44"/>
  <c r="S479" i="44"/>
  <c r="Q480" i="44"/>
  <c r="V480" i="44" s="1"/>
  <c r="R480" i="44"/>
  <c r="T480" i="44"/>
  <c r="U480" i="44"/>
  <c r="S480" i="44"/>
  <c r="Q481" i="44"/>
  <c r="V481" i="44" s="1"/>
  <c r="R481" i="44"/>
  <c r="T481" i="44"/>
  <c r="U481" i="44"/>
  <c r="S481" i="44"/>
  <c r="Q482" i="44"/>
  <c r="V482" i="44" s="1"/>
  <c r="R482" i="44"/>
  <c r="T482" i="44"/>
  <c r="U482" i="44"/>
  <c r="S482" i="44"/>
  <c r="Q483" i="44"/>
  <c r="V483" i="44" s="1"/>
  <c r="R483" i="44"/>
  <c r="T483" i="44"/>
  <c r="U483" i="44"/>
  <c r="S483" i="44"/>
  <c r="Q484" i="44"/>
  <c r="V484" i="44" s="1"/>
  <c r="R484" i="44"/>
  <c r="T484" i="44"/>
  <c r="U484" i="44"/>
  <c r="S484" i="44"/>
  <c r="Q485" i="44"/>
  <c r="V485" i="44" s="1"/>
  <c r="R485" i="44"/>
  <c r="T485" i="44"/>
  <c r="U485" i="44"/>
  <c r="S485" i="44"/>
  <c r="Q486" i="44"/>
  <c r="V486" i="44" s="1"/>
  <c r="R486" i="44"/>
  <c r="T486" i="44"/>
  <c r="U486" i="44"/>
  <c r="S486" i="44"/>
  <c r="Q487" i="44"/>
  <c r="V487" i="44" s="1"/>
  <c r="R487" i="44"/>
  <c r="T487" i="44"/>
  <c r="U487" i="44"/>
  <c r="S487" i="44"/>
  <c r="Q488" i="44"/>
  <c r="V488" i="44" s="1"/>
  <c r="R488" i="44"/>
  <c r="T488" i="44"/>
  <c r="U488" i="44"/>
  <c r="S488" i="44"/>
  <c r="Q489" i="44"/>
  <c r="V489" i="44" s="1"/>
  <c r="R489" i="44"/>
  <c r="T489" i="44"/>
  <c r="U489" i="44"/>
  <c r="S489" i="44"/>
  <c r="Q490" i="44"/>
  <c r="V490" i="44" s="1"/>
  <c r="R490" i="44"/>
  <c r="T490" i="44"/>
  <c r="U490" i="44"/>
  <c r="S490" i="44"/>
  <c r="Q491" i="44"/>
  <c r="V491" i="44" s="1"/>
  <c r="R491" i="44"/>
  <c r="T491" i="44"/>
  <c r="U491" i="44"/>
  <c r="S491" i="44"/>
  <c r="Q492" i="44"/>
  <c r="V492" i="44" s="1"/>
  <c r="R492" i="44"/>
  <c r="T492" i="44"/>
  <c r="U492" i="44"/>
  <c r="S492" i="44"/>
  <c r="Q493" i="44"/>
  <c r="V493" i="44" s="1"/>
  <c r="R493" i="44"/>
  <c r="T493" i="44"/>
  <c r="U493" i="44"/>
  <c r="S493" i="44"/>
  <c r="Q494" i="44"/>
  <c r="V494" i="44" s="1"/>
  <c r="R494" i="44"/>
  <c r="T494" i="44"/>
  <c r="U494" i="44"/>
  <c r="S494" i="44"/>
  <c r="Q495" i="44"/>
  <c r="V495" i="44" s="1"/>
  <c r="R495" i="44"/>
  <c r="T495" i="44"/>
  <c r="U495" i="44"/>
  <c r="S495" i="44"/>
  <c r="Q496" i="44"/>
  <c r="V496" i="44" s="1"/>
  <c r="R496" i="44"/>
  <c r="T496" i="44"/>
  <c r="U496" i="44"/>
  <c r="S496" i="44"/>
  <c r="Q497" i="44"/>
  <c r="V497" i="44" s="1"/>
  <c r="R497" i="44"/>
  <c r="T497" i="44"/>
  <c r="U497" i="44"/>
  <c r="S497" i="44"/>
  <c r="Q498" i="44"/>
  <c r="V498" i="44" s="1"/>
  <c r="R498" i="44"/>
  <c r="T498" i="44"/>
  <c r="U498" i="44"/>
  <c r="S498" i="44"/>
  <c r="Q499" i="44"/>
  <c r="V499" i="44" s="1"/>
  <c r="R499" i="44"/>
  <c r="T499" i="44"/>
  <c r="U499" i="44"/>
  <c r="S499" i="44"/>
  <c r="Q500" i="44"/>
  <c r="V500" i="44" s="1"/>
  <c r="R500" i="44"/>
  <c r="T500" i="44"/>
  <c r="U500" i="44"/>
  <c r="S500" i="44"/>
  <c r="Q501" i="44"/>
  <c r="V501" i="44" s="1"/>
  <c r="R501" i="44"/>
  <c r="T501" i="44"/>
  <c r="U501" i="44"/>
  <c r="S501" i="44"/>
  <c r="Q502" i="44"/>
  <c r="V502" i="44" s="1"/>
  <c r="R502" i="44"/>
  <c r="T502" i="44"/>
  <c r="U502" i="44"/>
  <c r="S502" i="44"/>
  <c r="Q503" i="44"/>
  <c r="V503" i="44" s="1"/>
  <c r="R503" i="44"/>
  <c r="T503" i="44"/>
  <c r="U503" i="44"/>
  <c r="S503" i="44"/>
  <c r="Q504" i="44"/>
  <c r="V504" i="44" s="1"/>
  <c r="R504" i="44"/>
  <c r="T504" i="44"/>
  <c r="U504" i="44"/>
  <c r="S504" i="44"/>
  <c r="Q505" i="44"/>
  <c r="V505" i="44" s="1"/>
  <c r="R505" i="44"/>
  <c r="T505" i="44"/>
  <c r="U505" i="44"/>
  <c r="S505" i="44"/>
  <c r="Q506" i="44"/>
  <c r="V506" i="44" s="1"/>
  <c r="R506" i="44"/>
  <c r="T506" i="44"/>
  <c r="U506" i="44"/>
  <c r="S506" i="44"/>
  <c r="Q507" i="44"/>
  <c r="V507" i="44" s="1"/>
  <c r="R507" i="44"/>
  <c r="T507" i="44"/>
  <c r="U507" i="44"/>
  <c r="S507" i="44"/>
  <c r="Q508" i="44"/>
  <c r="V508" i="44" s="1"/>
  <c r="R508" i="44"/>
  <c r="T508" i="44"/>
  <c r="U508" i="44"/>
  <c r="S508" i="44"/>
  <c r="Q509" i="44"/>
  <c r="V509" i="44" s="1"/>
  <c r="R509" i="44"/>
  <c r="T509" i="44"/>
  <c r="U509" i="44"/>
  <c r="S509" i="44"/>
  <c r="Q510" i="44"/>
  <c r="V510" i="44" s="1"/>
  <c r="R510" i="44"/>
  <c r="T510" i="44"/>
  <c r="U510" i="44"/>
  <c r="S510" i="44"/>
  <c r="Q511" i="44"/>
  <c r="V511" i="44" s="1"/>
  <c r="R511" i="44"/>
  <c r="T511" i="44"/>
  <c r="U511" i="44"/>
  <c r="S511" i="44"/>
  <c r="Q512" i="44"/>
  <c r="V512" i="44" s="1"/>
  <c r="R512" i="44"/>
  <c r="T512" i="44"/>
  <c r="U512" i="44"/>
  <c r="S512" i="44"/>
  <c r="Q513" i="44"/>
  <c r="V513" i="44" s="1"/>
  <c r="R513" i="44"/>
  <c r="T513" i="44"/>
  <c r="U513" i="44"/>
  <c r="S513" i="44"/>
  <c r="Q514" i="44"/>
  <c r="V514" i="44" s="1"/>
  <c r="R514" i="44"/>
  <c r="T514" i="44"/>
  <c r="U514" i="44"/>
  <c r="S514" i="44"/>
  <c r="Q515" i="44"/>
  <c r="V515" i="44" s="1"/>
  <c r="R515" i="44"/>
  <c r="T515" i="44"/>
  <c r="U515" i="44"/>
  <c r="S515" i="44"/>
  <c r="Q516" i="44"/>
  <c r="V516" i="44" s="1"/>
  <c r="R516" i="44"/>
  <c r="T516" i="44"/>
  <c r="U516" i="44"/>
  <c r="S516" i="44"/>
  <c r="Q517" i="44"/>
  <c r="V517" i="44" s="1"/>
  <c r="R517" i="44"/>
  <c r="T517" i="44"/>
  <c r="U517" i="44"/>
  <c r="S517" i="44"/>
  <c r="Q518" i="44"/>
  <c r="V518" i="44" s="1"/>
  <c r="R518" i="44"/>
  <c r="T518" i="44"/>
  <c r="U518" i="44"/>
  <c r="S518" i="44"/>
  <c r="Q519" i="44"/>
  <c r="V519" i="44" s="1"/>
  <c r="R519" i="44"/>
  <c r="T519" i="44"/>
  <c r="U519" i="44"/>
  <c r="S519" i="44"/>
  <c r="Q520" i="44"/>
  <c r="V520" i="44" s="1"/>
  <c r="R520" i="44"/>
  <c r="T520" i="44"/>
  <c r="U520" i="44"/>
  <c r="S520" i="44"/>
  <c r="Q521" i="44"/>
  <c r="V521" i="44" s="1"/>
  <c r="R521" i="44"/>
  <c r="T521" i="44"/>
  <c r="U521" i="44"/>
  <c r="S521" i="44"/>
  <c r="Q522" i="44"/>
  <c r="V522" i="44" s="1"/>
  <c r="R522" i="44"/>
  <c r="T522" i="44"/>
  <c r="U522" i="44"/>
  <c r="S522" i="44"/>
  <c r="Q523" i="44"/>
  <c r="V523" i="44" s="1"/>
  <c r="R523" i="44"/>
  <c r="T523" i="44"/>
  <c r="U523" i="44"/>
  <c r="S523" i="44"/>
  <c r="Q524" i="44"/>
  <c r="V524" i="44" s="1"/>
  <c r="R524" i="44"/>
  <c r="T524" i="44"/>
  <c r="U524" i="44"/>
  <c r="S524" i="44"/>
  <c r="Q525" i="44"/>
  <c r="V525" i="44" s="1"/>
  <c r="R525" i="44"/>
  <c r="T525" i="44"/>
  <c r="U525" i="44"/>
  <c r="S525" i="44"/>
  <c r="Q526" i="44"/>
  <c r="V526" i="44" s="1"/>
  <c r="R526" i="44"/>
  <c r="T526" i="44"/>
  <c r="U526" i="44"/>
  <c r="S526" i="44"/>
  <c r="Q527" i="44"/>
  <c r="V527" i="44" s="1"/>
  <c r="R527" i="44"/>
  <c r="T527" i="44"/>
  <c r="U527" i="44"/>
  <c r="S527" i="44"/>
  <c r="Q528" i="44"/>
  <c r="V528" i="44" s="1"/>
  <c r="R528" i="44"/>
  <c r="T528" i="44"/>
  <c r="U528" i="44"/>
  <c r="S528" i="44"/>
  <c r="Q529" i="44"/>
  <c r="V529" i="44" s="1"/>
  <c r="R529" i="44"/>
  <c r="T529" i="44"/>
  <c r="U529" i="44"/>
  <c r="S529" i="44"/>
  <c r="Q530" i="44"/>
  <c r="V530" i="44" s="1"/>
  <c r="R530" i="44"/>
  <c r="T530" i="44"/>
  <c r="U530" i="44"/>
  <c r="S530" i="44"/>
  <c r="Q531" i="44"/>
  <c r="V531" i="44" s="1"/>
  <c r="R531" i="44"/>
  <c r="T531" i="44"/>
  <c r="U531" i="44"/>
  <c r="S531" i="44"/>
  <c r="Q532" i="44"/>
  <c r="V532" i="44" s="1"/>
  <c r="R532" i="44"/>
  <c r="T532" i="44"/>
  <c r="U532" i="44"/>
  <c r="S532" i="44"/>
  <c r="Q533" i="44"/>
  <c r="V533" i="44" s="1"/>
  <c r="R533" i="44"/>
  <c r="T533" i="44"/>
  <c r="U533" i="44"/>
  <c r="S533" i="44"/>
  <c r="Q534" i="44"/>
  <c r="V534" i="44" s="1"/>
  <c r="R534" i="44"/>
  <c r="T534" i="44"/>
  <c r="U534" i="44"/>
  <c r="S534" i="44"/>
  <c r="Q535" i="44"/>
  <c r="V535" i="44" s="1"/>
  <c r="R535" i="44"/>
  <c r="T535" i="44"/>
  <c r="U535" i="44"/>
  <c r="S535" i="44"/>
  <c r="Q536" i="44"/>
  <c r="V536" i="44" s="1"/>
  <c r="R536" i="44"/>
  <c r="T536" i="44"/>
  <c r="U536" i="44"/>
  <c r="S536" i="44"/>
  <c r="Q537" i="44"/>
  <c r="V537" i="44" s="1"/>
  <c r="R537" i="44"/>
  <c r="T537" i="44"/>
  <c r="U537" i="44"/>
  <c r="S537" i="44"/>
  <c r="Q538" i="44"/>
  <c r="V538" i="44" s="1"/>
  <c r="R538" i="44"/>
  <c r="T538" i="44"/>
  <c r="U538" i="44"/>
  <c r="S538" i="44"/>
  <c r="Q539" i="44"/>
  <c r="V539" i="44" s="1"/>
  <c r="R539" i="44"/>
  <c r="T539" i="44"/>
  <c r="U539" i="44"/>
  <c r="S539" i="44"/>
  <c r="Q540" i="44"/>
  <c r="V540" i="44" s="1"/>
  <c r="R540" i="44"/>
  <c r="T540" i="44"/>
  <c r="U540" i="44"/>
  <c r="S540" i="44"/>
  <c r="Q541" i="44"/>
  <c r="V541" i="44" s="1"/>
  <c r="R541" i="44"/>
  <c r="T541" i="44"/>
  <c r="U541" i="44"/>
  <c r="S541" i="44"/>
  <c r="Q542" i="44"/>
  <c r="V542" i="44" s="1"/>
  <c r="R542" i="44"/>
  <c r="T542" i="44"/>
  <c r="U542" i="44"/>
  <c r="S542" i="44"/>
  <c r="Q543" i="44"/>
  <c r="V543" i="44" s="1"/>
  <c r="R543" i="44"/>
  <c r="T543" i="44"/>
  <c r="U543" i="44"/>
  <c r="S543" i="44"/>
  <c r="Q544" i="44"/>
  <c r="V544" i="44" s="1"/>
  <c r="R544" i="44"/>
  <c r="T544" i="44"/>
  <c r="U544" i="44"/>
  <c r="S544" i="44"/>
  <c r="Q545" i="44"/>
  <c r="V545" i="44" s="1"/>
  <c r="R545" i="44"/>
  <c r="T545" i="44"/>
  <c r="U545" i="44"/>
  <c r="S545" i="44"/>
  <c r="Q546" i="44"/>
  <c r="V546" i="44" s="1"/>
  <c r="R546" i="44"/>
  <c r="T546" i="44"/>
  <c r="U546" i="44"/>
  <c r="S546" i="44"/>
  <c r="Q547" i="44"/>
  <c r="V547" i="44" s="1"/>
  <c r="R547" i="44"/>
  <c r="T547" i="44"/>
  <c r="U547" i="44"/>
  <c r="S547" i="44"/>
  <c r="Q548" i="44"/>
  <c r="V548" i="44" s="1"/>
  <c r="R548" i="44"/>
  <c r="T548" i="44"/>
  <c r="U548" i="44"/>
  <c r="S548" i="44"/>
  <c r="Q549" i="44"/>
  <c r="V549" i="44" s="1"/>
  <c r="R549" i="44"/>
  <c r="T549" i="44"/>
  <c r="U549" i="44"/>
  <c r="S549" i="44"/>
  <c r="Q550" i="44"/>
  <c r="V550" i="44" s="1"/>
  <c r="R550" i="44"/>
  <c r="T550" i="44"/>
  <c r="U550" i="44"/>
  <c r="S550" i="44"/>
  <c r="Q551" i="44"/>
  <c r="V551" i="44" s="1"/>
  <c r="R551" i="44"/>
  <c r="T551" i="44"/>
  <c r="U551" i="44"/>
  <c r="S551" i="44"/>
  <c r="Q552" i="44"/>
  <c r="V552" i="44" s="1"/>
  <c r="R552" i="44"/>
  <c r="T552" i="44"/>
  <c r="U552" i="44"/>
  <c r="S552" i="44"/>
  <c r="Q553" i="44"/>
  <c r="V553" i="44" s="1"/>
  <c r="R553" i="44"/>
  <c r="T553" i="44"/>
  <c r="U553" i="44"/>
  <c r="S553" i="44"/>
  <c r="Q554" i="44"/>
  <c r="V554" i="44" s="1"/>
  <c r="R554" i="44"/>
  <c r="T554" i="44"/>
  <c r="U554" i="44"/>
  <c r="S554" i="44"/>
  <c r="Q555" i="44"/>
  <c r="V555" i="44" s="1"/>
  <c r="R555" i="44"/>
  <c r="T555" i="44"/>
  <c r="U555" i="44"/>
  <c r="S555" i="44"/>
  <c r="Q556" i="44"/>
  <c r="V556" i="44" s="1"/>
  <c r="R556" i="44"/>
  <c r="T556" i="44"/>
  <c r="U556" i="44"/>
  <c r="S556" i="44"/>
  <c r="Q557" i="44"/>
  <c r="V557" i="44" s="1"/>
  <c r="R557" i="44"/>
  <c r="T557" i="44"/>
  <c r="U557" i="44"/>
  <c r="S557" i="44"/>
  <c r="Q558" i="44"/>
  <c r="V558" i="44" s="1"/>
  <c r="R558" i="44"/>
  <c r="T558" i="44"/>
  <c r="U558" i="44"/>
  <c r="S558" i="44"/>
  <c r="Q559" i="44"/>
  <c r="V559" i="44" s="1"/>
  <c r="R559" i="44"/>
  <c r="T559" i="44"/>
  <c r="U559" i="44"/>
  <c r="S559" i="44"/>
  <c r="Q560" i="44"/>
  <c r="V560" i="44" s="1"/>
  <c r="R560" i="44"/>
  <c r="T560" i="44"/>
  <c r="U560" i="44"/>
  <c r="S560" i="44"/>
  <c r="Q561" i="44"/>
  <c r="V561" i="44" s="1"/>
  <c r="R561" i="44"/>
  <c r="T561" i="44"/>
  <c r="U561" i="44"/>
  <c r="S561" i="44"/>
  <c r="Q562" i="44"/>
  <c r="V562" i="44" s="1"/>
  <c r="R562" i="44"/>
  <c r="T562" i="44"/>
  <c r="U562" i="44"/>
  <c r="S562" i="44"/>
  <c r="Q563" i="44"/>
  <c r="V563" i="44" s="1"/>
  <c r="R563" i="44"/>
  <c r="T563" i="44"/>
  <c r="U563" i="44"/>
  <c r="S563" i="44"/>
  <c r="Q564" i="44"/>
  <c r="V564" i="44" s="1"/>
  <c r="R564" i="44"/>
  <c r="T564" i="44"/>
  <c r="U564" i="44"/>
  <c r="S564" i="44"/>
  <c r="Q565" i="44"/>
  <c r="V565" i="44" s="1"/>
  <c r="R565" i="44"/>
  <c r="T565" i="44"/>
  <c r="U565" i="44"/>
  <c r="S565" i="44"/>
  <c r="Q566" i="44"/>
  <c r="V566" i="44" s="1"/>
  <c r="R566" i="44"/>
  <c r="T566" i="44"/>
  <c r="U566" i="44"/>
  <c r="S566" i="44"/>
  <c r="Q567" i="44"/>
  <c r="V567" i="44" s="1"/>
  <c r="R567" i="44"/>
  <c r="T567" i="44"/>
  <c r="U567" i="44"/>
  <c r="S567" i="44"/>
  <c r="Q568" i="44"/>
  <c r="V568" i="44" s="1"/>
  <c r="R568" i="44"/>
  <c r="T568" i="44"/>
  <c r="U568" i="44"/>
  <c r="S568" i="44"/>
  <c r="Q569" i="44"/>
  <c r="V569" i="44" s="1"/>
  <c r="R569" i="44"/>
  <c r="T569" i="44"/>
  <c r="U569" i="44"/>
  <c r="S569" i="44"/>
  <c r="Q570" i="44"/>
  <c r="V570" i="44" s="1"/>
  <c r="R570" i="44"/>
  <c r="T570" i="44"/>
  <c r="U570" i="44"/>
  <c r="S570" i="44"/>
  <c r="Q571" i="44"/>
  <c r="V571" i="44" s="1"/>
  <c r="R571" i="44"/>
  <c r="T571" i="44"/>
  <c r="U571" i="44"/>
  <c r="S571" i="44"/>
  <c r="Q572" i="44"/>
  <c r="V572" i="44" s="1"/>
  <c r="R572" i="44"/>
  <c r="T572" i="44"/>
  <c r="U572" i="44"/>
  <c r="S572" i="44"/>
  <c r="Q573" i="44"/>
  <c r="V573" i="44" s="1"/>
  <c r="R573" i="44"/>
  <c r="T573" i="44"/>
  <c r="U573" i="44"/>
  <c r="S573" i="44"/>
  <c r="Q574" i="44"/>
  <c r="V574" i="44" s="1"/>
  <c r="R574" i="44"/>
  <c r="T574" i="44"/>
  <c r="U574" i="44"/>
  <c r="S574" i="44"/>
  <c r="Q575" i="44"/>
  <c r="V575" i="44" s="1"/>
  <c r="R575" i="44"/>
  <c r="T575" i="44"/>
  <c r="U575" i="44"/>
  <c r="S575" i="44"/>
  <c r="Q576" i="44"/>
  <c r="V576" i="44" s="1"/>
  <c r="R576" i="44"/>
  <c r="T576" i="44"/>
  <c r="U576" i="44"/>
  <c r="S576" i="44"/>
  <c r="Q577" i="44"/>
  <c r="V577" i="44" s="1"/>
  <c r="R577" i="44"/>
  <c r="T577" i="44"/>
  <c r="U577" i="44"/>
  <c r="S577" i="44"/>
  <c r="Q578" i="44"/>
  <c r="V578" i="44" s="1"/>
  <c r="R578" i="44"/>
  <c r="T578" i="44"/>
  <c r="U578" i="44"/>
  <c r="S578" i="44"/>
  <c r="Q579" i="44"/>
  <c r="V579" i="44" s="1"/>
  <c r="R579" i="44"/>
  <c r="T579" i="44"/>
  <c r="U579" i="44"/>
  <c r="S579" i="44"/>
  <c r="Q580" i="44"/>
  <c r="V580" i="44" s="1"/>
  <c r="R580" i="44"/>
  <c r="T580" i="44"/>
  <c r="U580" i="44"/>
  <c r="S580" i="44"/>
  <c r="Q581" i="44"/>
  <c r="V581" i="44" s="1"/>
  <c r="R581" i="44"/>
  <c r="T581" i="44"/>
  <c r="U581" i="44"/>
  <c r="S581" i="44"/>
  <c r="Q582" i="44"/>
  <c r="V582" i="44" s="1"/>
  <c r="R582" i="44"/>
  <c r="T582" i="44"/>
  <c r="U582" i="44"/>
  <c r="S582" i="44"/>
  <c r="Q583" i="44"/>
  <c r="V583" i="44" s="1"/>
  <c r="R583" i="44"/>
  <c r="T583" i="44"/>
  <c r="U583" i="44"/>
  <c r="S583" i="44"/>
  <c r="Q584" i="44"/>
  <c r="V584" i="44" s="1"/>
  <c r="R584" i="44"/>
  <c r="T584" i="44"/>
  <c r="U584" i="44"/>
  <c r="S584" i="44"/>
  <c r="Q585" i="44"/>
  <c r="V585" i="44" s="1"/>
  <c r="R585" i="44"/>
  <c r="T585" i="44"/>
  <c r="U585" i="44"/>
  <c r="S585" i="44"/>
  <c r="Q586" i="44"/>
  <c r="V586" i="44" s="1"/>
  <c r="R586" i="44"/>
  <c r="T586" i="44"/>
  <c r="U586" i="44"/>
  <c r="S586" i="44"/>
  <c r="Q587" i="44"/>
  <c r="V587" i="44" s="1"/>
  <c r="R587" i="44"/>
  <c r="T587" i="44"/>
  <c r="U587" i="44"/>
  <c r="S587" i="44"/>
  <c r="Q588" i="44"/>
  <c r="V588" i="44" s="1"/>
  <c r="R588" i="44"/>
  <c r="T588" i="44"/>
  <c r="U588" i="44"/>
  <c r="S588" i="44"/>
  <c r="Q589" i="44"/>
  <c r="V589" i="44" s="1"/>
  <c r="R589" i="44"/>
  <c r="T589" i="44"/>
  <c r="U589" i="44"/>
  <c r="S589" i="44"/>
  <c r="Q590" i="44"/>
  <c r="V590" i="44" s="1"/>
  <c r="R590" i="44"/>
  <c r="T590" i="44"/>
  <c r="U590" i="44"/>
  <c r="S590" i="44"/>
  <c r="Q591" i="44"/>
  <c r="V591" i="44" s="1"/>
  <c r="R591" i="44"/>
  <c r="T591" i="44"/>
  <c r="U591" i="44"/>
  <c r="S591" i="44"/>
  <c r="Q592" i="44"/>
  <c r="V592" i="44" s="1"/>
  <c r="R592" i="44"/>
  <c r="T592" i="44"/>
  <c r="U592" i="44"/>
  <c r="S592" i="44"/>
  <c r="Q593" i="44"/>
  <c r="V593" i="44" s="1"/>
  <c r="R593" i="44"/>
  <c r="T593" i="44"/>
  <c r="U593" i="44"/>
  <c r="S593" i="44"/>
  <c r="Q594" i="44"/>
  <c r="V594" i="44" s="1"/>
  <c r="R594" i="44"/>
  <c r="T594" i="44"/>
  <c r="U594" i="44"/>
  <c r="S594" i="44"/>
  <c r="Q595" i="44"/>
  <c r="V595" i="44" s="1"/>
  <c r="R595" i="44"/>
  <c r="T595" i="44"/>
  <c r="U595" i="44"/>
  <c r="S595" i="44"/>
  <c r="Q596" i="44"/>
  <c r="V596" i="44" s="1"/>
  <c r="R596" i="44"/>
  <c r="T596" i="44"/>
  <c r="U596" i="44"/>
  <c r="S596" i="44"/>
  <c r="Q597" i="44"/>
  <c r="V597" i="44" s="1"/>
  <c r="R597" i="44"/>
  <c r="T597" i="44"/>
  <c r="U597" i="44"/>
  <c r="S597" i="44"/>
  <c r="Q598" i="44"/>
  <c r="V598" i="44" s="1"/>
  <c r="R598" i="44"/>
  <c r="T598" i="44"/>
  <c r="U598" i="44"/>
  <c r="S598" i="44"/>
  <c r="Q599" i="44"/>
  <c r="V599" i="44" s="1"/>
  <c r="R599" i="44"/>
  <c r="T599" i="44"/>
  <c r="U599" i="44"/>
  <c r="S599" i="44"/>
  <c r="Q600" i="44"/>
  <c r="V600" i="44" s="1"/>
  <c r="R600" i="44"/>
  <c r="T600" i="44"/>
  <c r="U600" i="44"/>
  <c r="S600" i="44"/>
  <c r="Q601" i="44"/>
  <c r="V601" i="44" s="1"/>
  <c r="R601" i="44"/>
  <c r="T601" i="44"/>
  <c r="U601" i="44"/>
  <c r="S601" i="44"/>
  <c r="Q602" i="44"/>
  <c r="V602" i="44" s="1"/>
  <c r="R602" i="44"/>
  <c r="T602" i="44"/>
  <c r="U602" i="44"/>
  <c r="S602" i="44"/>
  <c r="Q603" i="44"/>
  <c r="V603" i="44" s="1"/>
  <c r="R603" i="44"/>
  <c r="T603" i="44"/>
  <c r="U603" i="44"/>
  <c r="S603" i="44"/>
  <c r="Q604" i="44"/>
  <c r="V604" i="44" s="1"/>
  <c r="R604" i="44"/>
  <c r="T604" i="44"/>
  <c r="U604" i="44"/>
  <c r="S604" i="44"/>
  <c r="Q605" i="44"/>
  <c r="V605" i="44" s="1"/>
  <c r="R605" i="44"/>
  <c r="T605" i="44"/>
  <c r="U605" i="44"/>
  <c r="S605" i="44"/>
  <c r="Q606" i="44"/>
  <c r="V606" i="44" s="1"/>
  <c r="R606" i="44"/>
  <c r="T606" i="44"/>
  <c r="U606" i="44"/>
  <c r="S606" i="44"/>
  <c r="Q607" i="44"/>
  <c r="V607" i="44" s="1"/>
  <c r="R607" i="44"/>
  <c r="T607" i="44"/>
  <c r="U607" i="44"/>
  <c r="S607" i="44"/>
  <c r="Q608" i="44"/>
  <c r="V608" i="44" s="1"/>
  <c r="R608" i="44"/>
  <c r="T608" i="44"/>
  <c r="U608" i="44"/>
  <c r="S608" i="44"/>
  <c r="Q609" i="44"/>
  <c r="V609" i="44" s="1"/>
  <c r="R609" i="44"/>
  <c r="T609" i="44"/>
  <c r="U609" i="44"/>
  <c r="S609" i="44"/>
  <c r="Q610" i="44"/>
  <c r="V610" i="44" s="1"/>
  <c r="R610" i="44"/>
  <c r="T610" i="44"/>
  <c r="U610" i="44"/>
  <c r="S610" i="44"/>
  <c r="Q611" i="44"/>
  <c r="V611" i="44" s="1"/>
  <c r="R611" i="44"/>
  <c r="T611" i="44"/>
  <c r="U611" i="44"/>
  <c r="S611" i="44"/>
  <c r="Q612" i="44"/>
  <c r="V612" i="44" s="1"/>
  <c r="R612" i="44"/>
  <c r="T612" i="44"/>
  <c r="U612" i="44"/>
  <c r="S612" i="44"/>
  <c r="Q613" i="44"/>
  <c r="V613" i="44" s="1"/>
  <c r="R613" i="44"/>
  <c r="T613" i="44"/>
  <c r="U613" i="44"/>
  <c r="S613" i="44"/>
  <c r="Q614" i="44"/>
  <c r="V614" i="44" s="1"/>
  <c r="R614" i="44"/>
  <c r="T614" i="44"/>
  <c r="U614" i="44"/>
  <c r="S614" i="44"/>
  <c r="Q615" i="44"/>
  <c r="V615" i="44" s="1"/>
  <c r="R615" i="44"/>
  <c r="T615" i="44"/>
  <c r="U615" i="44"/>
  <c r="S615" i="44"/>
  <c r="Q616" i="44"/>
  <c r="V616" i="44" s="1"/>
  <c r="R616" i="44"/>
  <c r="T616" i="44"/>
  <c r="U616" i="44"/>
  <c r="S616" i="44"/>
  <c r="Q617" i="44"/>
  <c r="V617" i="44" s="1"/>
  <c r="R617" i="44"/>
  <c r="T617" i="44"/>
  <c r="U617" i="44"/>
  <c r="S617" i="44"/>
  <c r="Q618" i="44"/>
  <c r="V618" i="44" s="1"/>
  <c r="R618" i="44"/>
  <c r="T618" i="44"/>
  <c r="U618" i="44"/>
  <c r="S618" i="44"/>
  <c r="Q619" i="44"/>
  <c r="V619" i="44" s="1"/>
  <c r="R619" i="44"/>
  <c r="T619" i="44"/>
  <c r="U619" i="44"/>
  <c r="S619" i="44"/>
  <c r="Q620" i="44"/>
  <c r="V620" i="44" s="1"/>
  <c r="R620" i="44"/>
  <c r="T620" i="44"/>
  <c r="U620" i="44"/>
  <c r="S620" i="44"/>
  <c r="Q621" i="44"/>
  <c r="V621" i="44" s="1"/>
  <c r="R621" i="44"/>
  <c r="T621" i="44"/>
  <c r="U621" i="44"/>
  <c r="S621" i="44"/>
  <c r="Q622" i="44"/>
  <c r="V622" i="44" s="1"/>
  <c r="R622" i="44"/>
  <c r="T622" i="44"/>
  <c r="U622" i="44"/>
  <c r="S622" i="44"/>
  <c r="Q623" i="44"/>
  <c r="V623" i="44" s="1"/>
  <c r="R623" i="44"/>
  <c r="T623" i="44"/>
  <c r="U623" i="44"/>
  <c r="S623" i="44"/>
  <c r="Q624" i="44"/>
  <c r="V624" i="44" s="1"/>
  <c r="R624" i="44"/>
  <c r="T624" i="44"/>
  <c r="U624" i="44"/>
  <c r="S624" i="44"/>
  <c r="Q625" i="44"/>
  <c r="V625" i="44" s="1"/>
  <c r="R625" i="44"/>
  <c r="T625" i="44"/>
  <c r="U625" i="44"/>
  <c r="S625" i="44"/>
  <c r="Q626" i="44"/>
  <c r="V626" i="44" s="1"/>
  <c r="R626" i="44"/>
  <c r="T626" i="44"/>
  <c r="U626" i="44"/>
  <c r="S626" i="44"/>
  <c r="Q627" i="44"/>
  <c r="V627" i="44" s="1"/>
  <c r="R627" i="44"/>
  <c r="T627" i="44"/>
  <c r="U627" i="44"/>
  <c r="S627" i="44"/>
  <c r="Q628" i="44"/>
  <c r="V628" i="44" s="1"/>
  <c r="R628" i="44"/>
  <c r="T628" i="44"/>
  <c r="U628" i="44"/>
  <c r="S628" i="44"/>
  <c r="Q629" i="44"/>
  <c r="V629" i="44" s="1"/>
  <c r="R629" i="44"/>
  <c r="T629" i="44"/>
  <c r="U629" i="44"/>
  <c r="S629" i="44"/>
  <c r="Q630" i="44"/>
  <c r="V630" i="44" s="1"/>
  <c r="R630" i="44"/>
  <c r="T630" i="44"/>
  <c r="U630" i="44"/>
  <c r="S630" i="44"/>
  <c r="Q631" i="44"/>
  <c r="V631" i="44" s="1"/>
  <c r="R631" i="44"/>
  <c r="T631" i="44"/>
  <c r="U631" i="44"/>
  <c r="S631" i="44"/>
  <c r="Q632" i="44"/>
  <c r="V632" i="44" s="1"/>
  <c r="R632" i="44"/>
  <c r="T632" i="44"/>
  <c r="U632" i="44"/>
  <c r="S632" i="44"/>
  <c r="Q633" i="44"/>
  <c r="V633" i="44" s="1"/>
  <c r="R633" i="44"/>
  <c r="T633" i="44"/>
  <c r="U633" i="44"/>
  <c r="S633" i="44"/>
  <c r="Q634" i="44"/>
  <c r="V634" i="44" s="1"/>
  <c r="R634" i="44"/>
  <c r="T634" i="44"/>
  <c r="U634" i="44"/>
  <c r="S634" i="44"/>
  <c r="Q635" i="44"/>
  <c r="V635" i="44" s="1"/>
  <c r="R635" i="44"/>
  <c r="T635" i="44"/>
  <c r="U635" i="44"/>
  <c r="S635" i="44"/>
  <c r="Q636" i="44"/>
  <c r="V636" i="44" s="1"/>
  <c r="R636" i="44"/>
  <c r="T636" i="44"/>
  <c r="U636" i="44"/>
  <c r="S636" i="44"/>
  <c r="Q637" i="44"/>
  <c r="V637" i="44" s="1"/>
  <c r="R637" i="44"/>
  <c r="T637" i="44"/>
  <c r="U637" i="44"/>
  <c r="S637" i="44"/>
  <c r="Q638" i="44"/>
  <c r="V638" i="44" s="1"/>
  <c r="R638" i="44"/>
  <c r="T638" i="44"/>
  <c r="U638" i="44"/>
  <c r="S638" i="44"/>
  <c r="Q639" i="44"/>
  <c r="V639" i="44" s="1"/>
  <c r="R639" i="44"/>
  <c r="T639" i="44"/>
  <c r="U639" i="44"/>
  <c r="S639" i="44"/>
  <c r="Q640" i="44"/>
  <c r="V640" i="44" s="1"/>
  <c r="R640" i="44"/>
  <c r="T640" i="44"/>
  <c r="U640" i="44"/>
  <c r="S640" i="44"/>
  <c r="Q641" i="44"/>
  <c r="V641" i="44" s="1"/>
  <c r="R641" i="44"/>
  <c r="T641" i="44"/>
  <c r="U641" i="44"/>
  <c r="S641" i="44"/>
  <c r="Q642" i="44"/>
  <c r="V642" i="44" s="1"/>
  <c r="R642" i="44"/>
  <c r="T642" i="44"/>
  <c r="U642" i="44"/>
  <c r="S642" i="44"/>
  <c r="Q643" i="44"/>
  <c r="V643" i="44" s="1"/>
  <c r="R643" i="44"/>
  <c r="T643" i="44"/>
  <c r="U643" i="44"/>
  <c r="S643" i="44"/>
  <c r="Q644" i="44"/>
  <c r="V644" i="44" s="1"/>
  <c r="R644" i="44"/>
  <c r="T644" i="44"/>
  <c r="U644" i="44"/>
  <c r="S644" i="44"/>
  <c r="Q645" i="44"/>
  <c r="V645" i="44" s="1"/>
  <c r="R645" i="44"/>
  <c r="T645" i="44"/>
  <c r="U645" i="44"/>
  <c r="S645" i="44"/>
  <c r="Q646" i="44"/>
  <c r="V646" i="44" s="1"/>
  <c r="R646" i="44"/>
  <c r="T646" i="44"/>
  <c r="U646" i="44"/>
  <c r="S646" i="44"/>
  <c r="Q647" i="44"/>
  <c r="V647" i="44" s="1"/>
  <c r="R647" i="44"/>
  <c r="T647" i="44"/>
  <c r="U647" i="44"/>
  <c r="S647" i="44"/>
  <c r="Q648" i="44"/>
  <c r="V648" i="44" s="1"/>
  <c r="R648" i="44"/>
  <c r="T648" i="44"/>
  <c r="U648" i="44"/>
  <c r="S648" i="44"/>
  <c r="Q649" i="44"/>
  <c r="V649" i="44" s="1"/>
  <c r="R649" i="44"/>
  <c r="T649" i="44"/>
  <c r="U649" i="44"/>
  <c r="S649" i="44"/>
  <c r="Q650" i="44"/>
  <c r="V650" i="44" s="1"/>
  <c r="R650" i="44"/>
  <c r="T650" i="44"/>
  <c r="U650" i="44"/>
  <c r="S650" i="44"/>
  <c r="Q651" i="44"/>
  <c r="V651" i="44" s="1"/>
  <c r="R651" i="44"/>
  <c r="T651" i="44"/>
  <c r="U651" i="44"/>
  <c r="S651" i="44"/>
  <c r="Q652" i="44"/>
  <c r="V652" i="44" s="1"/>
  <c r="R652" i="44"/>
  <c r="T652" i="44"/>
  <c r="U652" i="44"/>
  <c r="S652" i="44"/>
  <c r="Q653" i="44"/>
  <c r="V653" i="44" s="1"/>
  <c r="R653" i="44"/>
  <c r="T653" i="44"/>
  <c r="U653" i="44"/>
  <c r="S653" i="44"/>
  <c r="Q654" i="44"/>
  <c r="V654" i="44" s="1"/>
  <c r="R654" i="44"/>
  <c r="T654" i="44"/>
  <c r="U654" i="44"/>
  <c r="S654" i="44"/>
  <c r="Q655" i="44"/>
  <c r="V655" i="44" s="1"/>
  <c r="R655" i="44"/>
  <c r="T655" i="44"/>
  <c r="U655" i="44"/>
  <c r="S655" i="44"/>
  <c r="Q656" i="44"/>
  <c r="V656" i="44" s="1"/>
  <c r="R656" i="44"/>
  <c r="T656" i="44"/>
  <c r="U656" i="44"/>
  <c r="S656" i="44"/>
  <c r="Q657" i="44"/>
  <c r="V657" i="44" s="1"/>
  <c r="R657" i="44"/>
  <c r="T657" i="44"/>
  <c r="U657" i="44"/>
  <c r="S657" i="44"/>
  <c r="Q658" i="44"/>
  <c r="V658" i="44" s="1"/>
  <c r="R658" i="44"/>
  <c r="T658" i="44"/>
  <c r="U658" i="44"/>
  <c r="S658" i="44"/>
  <c r="Q659" i="44"/>
  <c r="V659" i="44" s="1"/>
  <c r="R659" i="44"/>
  <c r="T659" i="44"/>
  <c r="U659" i="44"/>
  <c r="S659" i="44"/>
  <c r="Q660" i="44"/>
  <c r="V660" i="44" s="1"/>
  <c r="R660" i="44"/>
  <c r="T660" i="44"/>
  <c r="U660" i="44"/>
  <c r="S660" i="44"/>
  <c r="Q661" i="44"/>
  <c r="V661" i="44" s="1"/>
  <c r="R661" i="44"/>
  <c r="T661" i="44"/>
  <c r="U661" i="44"/>
  <c r="S661" i="44"/>
  <c r="Q662" i="44"/>
  <c r="V662" i="44" s="1"/>
  <c r="R662" i="44"/>
  <c r="T662" i="44"/>
  <c r="U662" i="44"/>
  <c r="S662" i="44"/>
  <c r="Q663" i="44"/>
  <c r="V663" i="44" s="1"/>
  <c r="R663" i="44"/>
  <c r="T663" i="44"/>
  <c r="U663" i="44"/>
  <c r="S663" i="44"/>
  <c r="Q664" i="44"/>
  <c r="V664" i="44" s="1"/>
  <c r="R664" i="44"/>
  <c r="T664" i="44"/>
  <c r="U664" i="44"/>
  <c r="S664" i="44"/>
  <c r="Q665" i="44"/>
  <c r="V665" i="44" s="1"/>
  <c r="R665" i="44"/>
  <c r="T665" i="44"/>
  <c r="U665" i="44"/>
  <c r="S665" i="44"/>
  <c r="Q666" i="44"/>
  <c r="V666" i="44" s="1"/>
  <c r="R666" i="44"/>
  <c r="T666" i="44"/>
  <c r="U666" i="44"/>
  <c r="S666" i="44"/>
  <c r="Q667" i="44"/>
  <c r="V667" i="44" s="1"/>
  <c r="R667" i="44"/>
  <c r="T667" i="44"/>
  <c r="U667" i="44"/>
  <c r="S667" i="44"/>
  <c r="Q668" i="44"/>
  <c r="V668" i="44" s="1"/>
  <c r="R668" i="44"/>
  <c r="T668" i="44"/>
  <c r="U668" i="44"/>
  <c r="S668" i="44"/>
  <c r="Q669" i="44"/>
  <c r="V669" i="44" s="1"/>
  <c r="R669" i="44"/>
  <c r="T669" i="44"/>
  <c r="U669" i="44"/>
  <c r="S669" i="44"/>
  <c r="Q670" i="44"/>
  <c r="V670" i="44" s="1"/>
  <c r="R670" i="44"/>
  <c r="T670" i="44"/>
  <c r="U670" i="44"/>
  <c r="S670" i="44"/>
  <c r="Q671" i="44"/>
  <c r="V671" i="44" s="1"/>
  <c r="R671" i="44"/>
  <c r="T671" i="44"/>
  <c r="U671" i="44"/>
  <c r="S671" i="44"/>
  <c r="Q672" i="44"/>
  <c r="V672" i="44" s="1"/>
  <c r="R672" i="44"/>
  <c r="T672" i="44"/>
  <c r="U672" i="44"/>
  <c r="S672" i="44"/>
  <c r="Q673" i="44"/>
  <c r="V673" i="44" s="1"/>
  <c r="R673" i="44"/>
  <c r="T673" i="44"/>
  <c r="U673" i="44"/>
  <c r="S673" i="44"/>
  <c r="Q674" i="44"/>
  <c r="V674" i="44" s="1"/>
  <c r="R674" i="44"/>
  <c r="T674" i="44"/>
  <c r="U674" i="44"/>
  <c r="S674" i="44"/>
  <c r="Q675" i="44"/>
  <c r="V675" i="44" s="1"/>
  <c r="R675" i="44"/>
  <c r="T675" i="44"/>
  <c r="U675" i="44"/>
  <c r="S675" i="44"/>
  <c r="Q676" i="44"/>
  <c r="V676" i="44" s="1"/>
  <c r="R676" i="44"/>
  <c r="T676" i="44"/>
  <c r="U676" i="44"/>
  <c r="S676" i="44"/>
  <c r="Q677" i="44"/>
  <c r="V677" i="44" s="1"/>
  <c r="R677" i="44"/>
  <c r="T677" i="44"/>
  <c r="U677" i="44"/>
  <c r="S677" i="44"/>
  <c r="Q678" i="44"/>
  <c r="V678" i="44" s="1"/>
  <c r="R678" i="44"/>
  <c r="T678" i="44"/>
  <c r="U678" i="44"/>
  <c r="S678" i="44"/>
  <c r="Q679" i="44"/>
  <c r="V679" i="44" s="1"/>
  <c r="R679" i="44"/>
  <c r="T679" i="44"/>
  <c r="U679" i="44"/>
  <c r="S679" i="44"/>
  <c r="Q680" i="44"/>
  <c r="V680" i="44" s="1"/>
  <c r="R680" i="44"/>
  <c r="T680" i="44"/>
  <c r="U680" i="44"/>
  <c r="S680" i="44"/>
  <c r="Q681" i="44"/>
  <c r="V681" i="44" s="1"/>
  <c r="R681" i="44"/>
  <c r="T681" i="44"/>
  <c r="U681" i="44"/>
  <c r="S681" i="44"/>
  <c r="Q682" i="44"/>
  <c r="V682" i="44" s="1"/>
  <c r="R682" i="44"/>
  <c r="T682" i="44"/>
  <c r="U682" i="44"/>
  <c r="S682" i="44"/>
  <c r="Q683" i="44"/>
  <c r="V683" i="44" s="1"/>
  <c r="R683" i="44"/>
  <c r="T683" i="44"/>
  <c r="U683" i="44"/>
  <c r="S683" i="44"/>
  <c r="Q684" i="44"/>
  <c r="V684" i="44" s="1"/>
  <c r="R684" i="44"/>
  <c r="T684" i="44"/>
  <c r="U684" i="44"/>
  <c r="S684" i="44"/>
  <c r="Q685" i="44"/>
  <c r="V685" i="44" s="1"/>
  <c r="R685" i="44"/>
  <c r="T685" i="44"/>
  <c r="U685" i="44"/>
  <c r="S685" i="44"/>
  <c r="Q686" i="44"/>
  <c r="V686" i="44" s="1"/>
  <c r="R686" i="44"/>
  <c r="T686" i="44"/>
  <c r="U686" i="44"/>
  <c r="S686" i="44"/>
  <c r="Q687" i="44"/>
  <c r="V687" i="44" s="1"/>
  <c r="R687" i="44"/>
  <c r="T687" i="44"/>
  <c r="U687" i="44"/>
  <c r="S687" i="44"/>
  <c r="Q688" i="44"/>
  <c r="V688" i="44" s="1"/>
  <c r="R688" i="44"/>
  <c r="T688" i="44"/>
  <c r="U688" i="44"/>
  <c r="S688" i="44"/>
  <c r="Q689" i="44"/>
  <c r="V689" i="44" s="1"/>
  <c r="R689" i="44"/>
  <c r="T689" i="44"/>
  <c r="U689" i="44"/>
  <c r="S689" i="44"/>
  <c r="Q690" i="44"/>
  <c r="V690" i="44" s="1"/>
  <c r="R690" i="44"/>
  <c r="T690" i="44"/>
  <c r="U690" i="44"/>
  <c r="S690" i="44"/>
  <c r="Q691" i="44"/>
  <c r="V691" i="44" s="1"/>
  <c r="R691" i="44"/>
  <c r="T691" i="44"/>
  <c r="U691" i="44"/>
  <c r="S691" i="44"/>
  <c r="Q692" i="44"/>
  <c r="V692" i="44" s="1"/>
  <c r="R692" i="44"/>
  <c r="T692" i="44"/>
  <c r="U692" i="44"/>
  <c r="S692" i="44"/>
  <c r="Q693" i="44"/>
  <c r="V693" i="44" s="1"/>
  <c r="R693" i="44"/>
  <c r="T693" i="44"/>
  <c r="U693" i="44"/>
  <c r="S693" i="44"/>
  <c r="Q694" i="44"/>
  <c r="V694" i="44" s="1"/>
  <c r="R694" i="44"/>
  <c r="T694" i="44"/>
  <c r="U694" i="44"/>
  <c r="S694" i="44"/>
  <c r="Q695" i="44"/>
  <c r="V695" i="44" s="1"/>
  <c r="R695" i="44"/>
  <c r="T695" i="44"/>
  <c r="U695" i="44"/>
  <c r="S695" i="44"/>
  <c r="Q696" i="44"/>
  <c r="V696" i="44" s="1"/>
  <c r="R696" i="44"/>
  <c r="T696" i="44"/>
  <c r="U696" i="44"/>
  <c r="S696" i="44"/>
  <c r="Q697" i="44"/>
  <c r="V697" i="44" s="1"/>
  <c r="R697" i="44"/>
  <c r="T697" i="44"/>
  <c r="U697" i="44"/>
  <c r="S697" i="44"/>
  <c r="Q698" i="44"/>
  <c r="V698" i="44" s="1"/>
  <c r="R698" i="44"/>
  <c r="T698" i="44"/>
  <c r="U698" i="44"/>
  <c r="S698" i="44"/>
  <c r="Q699" i="44"/>
  <c r="V699" i="44" s="1"/>
  <c r="R699" i="44"/>
  <c r="T699" i="44"/>
  <c r="U699" i="44"/>
  <c r="S699" i="44"/>
  <c r="Q700" i="44"/>
  <c r="V700" i="44" s="1"/>
  <c r="R700" i="44"/>
  <c r="T700" i="44"/>
  <c r="U700" i="44"/>
  <c r="S700" i="44"/>
  <c r="Q701" i="44"/>
  <c r="V701" i="44" s="1"/>
  <c r="R701" i="44"/>
  <c r="T701" i="44"/>
  <c r="U701" i="44"/>
  <c r="S701" i="44"/>
  <c r="Q702" i="44"/>
  <c r="V702" i="44" s="1"/>
  <c r="R702" i="44"/>
  <c r="T702" i="44"/>
  <c r="U702" i="44"/>
  <c r="S702" i="44"/>
  <c r="Q703" i="44"/>
  <c r="V703" i="44" s="1"/>
  <c r="R703" i="44"/>
  <c r="T703" i="44"/>
  <c r="U703" i="44"/>
  <c r="S703" i="44"/>
  <c r="Q704" i="44"/>
  <c r="V704" i="44" s="1"/>
  <c r="R704" i="44"/>
  <c r="T704" i="44"/>
  <c r="U704" i="44"/>
  <c r="S704" i="44"/>
  <c r="Q705" i="44"/>
  <c r="V705" i="44" s="1"/>
  <c r="R705" i="44"/>
  <c r="T705" i="44"/>
  <c r="U705" i="44"/>
  <c r="S705" i="44"/>
  <c r="Q706" i="44"/>
  <c r="V706" i="44" s="1"/>
  <c r="R706" i="44"/>
  <c r="T706" i="44"/>
  <c r="U706" i="44"/>
  <c r="S706" i="44"/>
  <c r="Q707" i="44"/>
  <c r="V707" i="44" s="1"/>
  <c r="R707" i="44"/>
  <c r="T707" i="44"/>
  <c r="U707" i="44"/>
  <c r="S707" i="44"/>
  <c r="Q708" i="44"/>
  <c r="V708" i="44" s="1"/>
  <c r="R708" i="44"/>
  <c r="T708" i="44"/>
  <c r="U708" i="44"/>
  <c r="S708" i="44"/>
  <c r="Q709" i="44"/>
  <c r="V709" i="44" s="1"/>
  <c r="R709" i="44"/>
  <c r="T709" i="44"/>
  <c r="U709" i="44"/>
  <c r="S709" i="44"/>
  <c r="Q710" i="44"/>
  <c r="V710" i="44" s="1"/>
  <c r="R710" i="44"/>
  <c r="T710" i="44"/>
  <c r="U710" i="44"/>
  <c r="S710" i="44"/>
  <c r="Q711" i="44"/>
  <c r="V711" i="44" s="1"/>
  <c r="R711" i="44"/>
  <c r="T711" i="44"/>
  <c r="U711" i="44"/>
  <c r="S711" i="44"/>
  <c r="Q712" i="44"/>
  <c r="V712" i="44" s="1"/>
  <c r="R712" i="44"/>
  <c r="T712" i="44"/>
  <c r="U712" i="44"/>
  <c r="S712" i="44"/>
  <c r="Q713" i="44"/>
  <c r="V713" i="44" s="1"/>
  <c r="R713" i="44"/>
  <c r="T713" i="44"/>
  <c r="U713" i="44"/>
  <c r="S713" i="44"/>
  <c r="Q714" i="44"/>
  <c r="V714" i="44" s="1"/>
  <c r="R714" i="44"/>
  <c r="T714" i="44"/>
  <c r="U714" i="44"/>
  <c r="S714" i="44"/>
  <c r="Q715" i="44"/>
  <c r="V715" i="44" s="1"/>
  <c r="R715" i="44"/>
  <c r="T715" i="44"/>
  <c r="U715" i="44"/>
  <c r="S715" i="44"/>
  <c r="Q716" i="44"/>
  <c r="V716" i="44" s="1"/>
  <c r="R716" i="44"/>
  <c r="T716" i="44"/>
  <c r="U716" i="44"/>
  <c r="S716" i="44"/>
  <c r="Q717" i="44"/>
  <c r="V717" i="44" s="1"/>
  <c r="R717" i="44"/>
  <c r="T717" i="44"/>
  <c r="U717" i="44"/>
  <c r="S717" i="44"/>
  <c r="Q718" i="44"/>
  <c r="V718" i="44" s="1"/>
  <c r="R718" i="44"/>
  <c r="T718" i="44"/>
  <c r="U718" i="44"/>
  <c r="S718" i="44"/>
  <c r="Q719" i="44"/>
  <c r="V719" i="44" s="1"/>
  <c r="R719" i="44"/>
  <c r="T719" i="44"/>
  <c r="U719" i="44"/>
  <c r="S719" i="44"/>
  <c r="Q720" i="44"/>
  <c r="V720" i="44" s="1"/>
  <c r="R720" i="44"/>
  <c r="T720" i="44"/>
  <c r="U720" i="44"/>
  <c r="S720" i="44"/>
  <c r="Q721" i="44"/>
  <c r="V721" i="44" s="1"/>
  <c r="R721" i="44"/>
  <c r="T721" i="44"/>
  <c r="U721" i="44"/>
  <c r="S721" i="44"/>
  <c r="Q722" i="44"/>
  <c r="V722" i="44" s="1"/>
  <c r="R722" i="44"/>
  <c r="T722" i="44"/>
  <c r="U722" i="44"/>
  <c r="S722" i="44"/>
  <c r="Q723" i="44"/>
  <c r="V723" i="44" s="1"/>
  <c r="R723" i="44"/>
  <c r="T723" i="44"/>
  <c r="U723" i="44"/>
  <c r="S723" i="44"/>
  <c r="Q724" i="44"/>
  <c r="V724" i="44" s="1"/>
  <c r="R724" i="44"/>
  <c r="T724" i="44"/>
  <c r="U724" i="44"/>
  <c r="S724" i="44"/>
  <c r="Q725" i="44"/>
  <c r="V725" i="44" s="1"/>
  <c r="R725" i="44"/>
  <c r="T725" i="44"/>
  <c r="U725" i="44"/>
  <c r="S725" i="44"/>
  <c r="Q726" i="44"/>
  <c r="V726" i="44" s="1"/>
  <c r="R726" i="44"/>
  <c r="T726" i="44"/>
  <c r="U726" i="44"/>
  <c r="S726" i="44"/>
  <c r="Q727" i="44"/>
  <c r="V727" i="44" s="1"/>
  <c r="R727" i="44"/>
  <c r="T727" i="44"/>
  <c r="U727" i="44"/>
  <c r="S727" i="44"/>
  <c r="Q728" i="44"/>
  <c r="V728" i="44" s="1"/>
  <c r="R728" i="44"/>
  <c r="T728" i="44"/>
  <c r="U728" i="44"/>
  <c r="S728" i="44"/>
  <c r="Q729" i="44"/>
  <c r="V729" i="44" s="1"/>
  <c r="R729" i="44"/>
  <c r="T729" i="44"/>
  <c r="U729" i="44"/>
  <c r="S729" i="44"/>
  <c r="Q730" i="44"/>
  <c r="V730" i="44" s="1"/>
  <c r="R730" i="44"/>
  <c r="T730" i="44"/>
  <c r="U730" i="44"/>
  <c r="S730" i="44"/>
  <c r="Q731" i="44"/>
  <c r="V731" i="44" s="1"/>
  <c r="R731" i="44"/>
  <c r="T731" i="44"/>
  <c r="U731" i="44"/>
  <c r="S731" i="44"/>
  <c r="Q732" i="44"/>
  <c r="V732" i="44" s="1"/>
  <c r="R732" i="44"/>
  <c r="T732" i="44"/>
  <c r="U732" i="44"/>
  <c r="S732" i="44"/>
  <c r="Q733" i="44"/>
  <c r="V733" i="44" s="1"/>
  <c r="R733" i="44"/>
  <c r="T733" i="44"/>
  <c r="U733" i="44"/>
  <c r="S733" i="44"/>
  <c r="Q734" i="44"/>
  <c r="V734" i="44" s="1"/>
  <c r="R734" i="44"/>
  <c r="T734" i="44"/>
  <c r="U734" i="44"/>
  <c r="S734" i="44"/>
  <c r="Q735" i="44"/>
  <c r="V735" i="44" s="1"/>
  <c r="R735" i="44"/>
  <c r="T735" i="44"/>
  <c r="U735" i="44"/>
  <c r="S735" i="44"/>
  <c r="Q736" i="44"/>
  <c r="V736" i="44" s="1"/>
  <c r="R736" i="44"/>
  <c r="T736" i="44"/>
  <c r="U736" i="44"/>
  <c r="S736" i="44"/>
  <c r="Q737" i="44"/>
  <c r="V737" i="44" s="1"/>
  <c r="R737" i="44"/>
  <c r="T737" i="44"/>
  <c r="U737" i="44"/>
  <c r="S737" i="44"/>
  <c r="Q738" i="44"/>
  <c r="V738" i="44" s="1"/>
  <c r="R738" i="44"/>
  <c r="T738" i="44"/>
  <c r="U738" i="44"/>
  <c r="S738" i="44"/>
  <c r="Q739" i="44"/>
  <c r="V739" i="44" s="1"/>
  <c r="R739" i="44"/>
  <c r="T739" i="44"/>
  <c r="U739" i="44"/>
  <c r="S739" i="44"/>
  <c r="Q740" i="44"/>
  <c r="V740" i="44" s="1"/>
  <c r="R740" i="44"/>
  <c r="T740" i="44"/>
  <c r="U740" i="44"/>
  <c r="S740" i="44"/>
  <c r="Q741" i="44"/>
  <c r="V741" i="44" s="1"/>
  <c r="R741" i="44"/>
  <c r="T741" i="44"/>
  <c r="U741" i="44"/>
  <c r="S741" i="44"/>
  <c r="Q742" i="44"/>
  <c r="V742" i="44" s="1"/>
  <c r="R742" i="44"/>
  <c r="T742" i="44"/>
  <c r="U742" i="44"/>
  <c r="S742" i="44"/>
  <c r="Q743" i="44"/>
  <c r="V743" i="44" s="1"/>
  <c r="R743" i="44"/>
  <c r="T743" i="44"/>
  <c r="U743" i="44"/>
  <c r="S743" i="44"/>
  <c r="Q744" i="44"/>
  <c r="V744" i="44" s="1"/>
  <c r="R744" i="44"/>
  <c r="T744" i="44"/>
  <c r="U744" i="44"/>
  <c r="S744" i="44"/>
  <c r="Q745" i="44"/>
  <c r="V745" i="44" s="1"/>
  <c r="R745" i="44"/>
  <c r="T745" i="44"/>
  <c r="U745" i="44"/>
  <c r="S745" i="44"/>
  <c r="Q746" i="44"/>
  <c r="V746" i="44" s="1"/>
  <c r="R746" i="44"/>
  <c r="T746" i="44"/>
  <c r="U746" i="44"/>
  <c r="S746" i="44"/>
  <c r="Q747" i="44"/>
  <c r="V747" i="44" s="1"/>
  <c r="R747" i="44"/>
  <c r="T747" i="44"/>
  <c r="U747" i="44"/>
  <c r="S747" i="44"/>
  <c r="Q748" i="44"/>
  <c r="V748" i="44" s="1"/>
  <c r="R748" i="44"/>
  <c r="T748" i="44"/>
  <c r="U748" i="44"/>
  <c r="S748" i="44"/>
  <c r="Q749" i="44"/>
  <c r="V749" i="44" s="1"/>
  <c r="R749" i="44"/>
  <c r="T749" i="44"/>
  <c r="U749" i="44"/>
  <c r="S749" i="44"/>
  <c r="Q750" i="44"/>
  <c r="V750" i="44" s="1"/>
  <c r="R750" i="44"/>
  <c r="T750" i="44"/>
  <c r="U750" i="44"/>
  <c r="S750" i="44"/>
  <c r="Q751" i="44"/>
  <c r="V751" i="44" s="1"/>
  <c r="R751" i="44"/>
  <c r="T751" i="44"/>
  <c r="U751" i="44"/>
  <c r="S751" i="44"/>
  <c r="Q752" i="44"/>
  <c r="V752" i="44" s="1"/>
  <c r="R752" i="44"/>
  <c r="T752" i="44"/>
  <c r="U752" i="44"/>
  <c r="S752" i="44"/>
  <c r="Q753" i="44"/>
  <c r="V753" i="44" s="1"/>
  <c r="R753" i="44"/>
  <c r="T753" i="44"/>
  <c r="U753" i="44"/>
  <c r="S753" i="44"/>
  <c r="Q754" i="44"/>
  <c r="V754" i="44" s="1"/>
  <c r="R754" i="44"/>
  <c r="T754" i="44"/>
  <c r="U754" i="44"/>
  <c r="S754" i="44"/>
  <c r="Q755" i="44"/>
  <c r="V755" i="44" s="1"/>
  <c r="R755" i="44"/>
  <c r="T755" i="44"/>
  <c r="U755" i="44"/>
  <c r="S755" i="44"/>
  <c r="Q756" i="44"/>
  <c r="V756" i="44" s="1"/>
  <c r="R756" i="44"/>
  <c r="T756" i="44"/>
  <c r="U756" i="44"/>
  <c r="S756" i="44"/>
  <c r="Q757" i="44"/>
  <c r="V757" i="44" s="1"/>
  <c r="R757" i="44"/>
  <c r="T757" i="44"/>
  <c r="U757" i="44"/>
  <c r="S757" i="44"/>
  <c r="Q758" i="44"/>
  <c r="V758" i="44" s="1"/>
  <c r="R758" i="44"/>
  <c r="T758" i="44"/>
  <c r="U758" i="44"/>
  <c r="S758" i="44"/>
  <c r="Q759" i="44"/>
  <c r="V759" i="44" s="1"/>
  <c r="R759" i="44"/>
  <c r="T759" i="44"/>
  <c r="U759" i="44"/>
  <c r="S759" i="44"/>
  <c r="Q760" i="44"/>
  <c r="V760" i="44" s="1"/>
  <c r="R760" i="44"/>
  <c r="T760" i="44"/>
  <c r="U760" i="44"/>
  <c r="S760" i="44"/>
  <c r="Q761" i="44"/>
  <c r="V761" i="44" s="1"/>
  <c r="R761" i="44"/>
  <c r="T761" i="44"/>
  <c r="U761" i="44"/>
  <c r="S761" i="44"/>
  <c r="Q762" i="44"/>
  <c r="V762" i="44" s="1"/>
  <c r="R762" i="44"/>
  <c r="T762" i="44"/>
  <c r="U762" i="44"/>
  <c r="S762" i="44"/>
  <c r="Q763" i="44"/>
  <c r="V763" i="44" s="1"/>
  <c r="R763" i="44"/>
  <c r="T763" i="44"/>
  <c r="U763" i="44"/>
  <c r="S763" i="44"/>
  <c r="Q764" i="44"/>
  <c r="V764" i="44" s="1"/>
  <c r="R764" i="44"/>
  <c r="T764" i="44"/>
  <c r="U764" i="44"/>
  <c r="S764" i="44"/>
  <c r="Q765" i="44"/>
  <c r="V765" i="44" s="1"/>
  <c r="R765" i="44"/>
  <c r="T765" i="44"/>
  <c r="U765" i="44"/>
  <c r="S765" i="44"/>
  <c r="Q766" i="44"/>
  <c r="V766" i="44" s="1"/>
  <c r="R766" i="44"/>
  <c r="T766" i="44"/>
  <c r="U766" i="44"/>
  <c r="S766" i="44"/>
  <c r="Q767" i="44"/>
  <c r="V767" i="44" s="1"/>
  <c r="R767" i="44"/>
  <c r="T767" i="44"/>
  <c r="U767" i="44"/>
  <c r="S767" i="44"/>
  <c r="Q768" i="44"/>
  <c r="V768" i="44" s="1"/>
  <c r="R768" i="44"/>
  <c r="T768" i="44"/>
  <c r="U768" i="44"/>
  <c r="S768" i="44"/>
  <c r="Q769" i="44"/>
  <c r="V769" i="44" s="1"/>
  <c r="R769" i="44"/>
  <c r="T769" i="44"/>
  <c r="U769" i="44"/>
  <c r="S769" i="44"/>
  <c r="Q770" i="44"/>
  <c r="V770" i="44" s="1"/>
  <c r="R770" i="44"/>
  <c r="T770" i="44"/>
  <c r="U770" i="44"/>
  <c r="S770" i="44"/>
  <c r="Q771" i="44"/>
  <c r="V771" i="44" s="1"/>
  <c r="R771" i="44"/>
  <c r="T771" i="44"/>
  <c r="U771" i="44"/>
  <c r="S771" i="44"/>
  <c r="Q772" i="44"/>
  <c r="V772" i="44" s="1"/>
  <c r="R772" i="44"/>
  <c r="T772" i="44"/>
  <c r="U772" i="44"/>
  <c r="S772" i="44"/>
  <c r="Q773" i="44"/>
  <c r="V773" i="44" s="1"/>
  <c r="R773" i="44"/>
  <c r="T773" i="44"/>
  <c r="U773" i="44"/>
  <c r="S773" i="44"/>
  <c r="Q774" i="44"/>
  <c r="V774" i="44" s="1"/>
  <c r="R774" i="44"/>
  <c r="T774" i="44"/>
  <c r="U774" i="44"/>
  <c r="S774" i="44"/>
  <c r="Q775" i="44"/>
  <c r="V775" i="44" s="1"/>
  <c r="R775" i="44"/>
  <c r="T775" i="44"/>
  <c r="U775" i="44"/>
  <c r="S775" i="44"/>
  <c r="Q776" i="44"/>
  <c r="V776" i="44" s="1"/>
  <c r="R776" i="44"/>
  <c r="T776" i="44"/>
  <c r="U776" i="44"/>
  <c r="S776" i="44"/>
  <c r="Q777" i="44"/>
  <c r="V777" i="44" s="1"/>
  <c r="R777" i="44"/>
  <c r="T777" i="44"/>
  <c r="U777" i="44"/>
  <c r="S777" i="44"/>
  <c r="Q778" i="44"/>
  <c r="V778" i="44" s="1"/>
  <c r="R778" i="44"/>
  <c r="T778" i="44"/>
  <c r="U778" i="44"/>
  <c r="S778" i="44"/>
  <c r="Q779" i="44"/>
  <c r="V779" i="44" s="1"/>
  <c r="R779" i="44"/>
  <c r="T779" i="44"/>
  <c r="U779" i="44"/>
  <c r="S779" i="44"/>
  <c r="Q780" i="44"/>
  <c r="V780" i="44" s="1"/>
  <c r="R780" i="44"/>
  <c r="T780" i="44"/>
  <c r="U780" i="44"/>
  <c r="S780" i="44"/>
  <c r="Q781" i="44"/>
  <c r="V781" i="44" s="1"/>
  <c r="R781" i="44"/>
  <c r="T781" i="44"/>
  <c r="U781" i="44"/>
  <c r="S781" i="44"/>
  <c r="Q782" i="44"/>
  <c r="V782" i="44" s="1"/>
  <c r="R782" i="44"/>
  <c r="T782" i="44"/>
  <c r="U782" i="44"/>
  <c r="S782" i="44"/>
  <c r="Q783" i="44"/>
  <c r="V783" i="44" s="1"/>
  <c r="R783" i="44"/>
  <c r="T783" i="44"/>
  <c r="U783" i="44"/>
  <c r="S783" i="44"/>
  <c r="Q784" i="44"/>
  <c r="V784" i="44" s="1"/>
  <c r="R784" i="44"/>
  <c r="T784" i="44"/>
  <c r="U784" i="44"/>
  <c r="S784" i="44"/>
  <c r="Q785" i="44"/>
  <c r="V785" i="44" s="1"/>
  <c r="R785" i="44"/>
  <c r="T785" i="44"/>
  <c r="U785" i="44"/>
  <c r="S785" i="44"/>
  <c r="Q786" i="44"/>
  <c r="V786" i="44" s="1"/>
  <c r="R786" i="44"/>
  <c r="T786" i="44"/>
  <c r="U786" i="44"/>
  <c r="S786" i="44"/>
  <c r="Q787" i="44"/>
  <c r="V787" i="44" s="1"/>
  <c r="R787" i="44"/>
  <c r="T787" i="44"/>
  <c r="U787" i="44"/>
  <c r="S787" i="44"/>
  <c r="Q788" i="44"/>
  <c r="V788" i="44" s="1"/>
  <c r="R788" i="44"/>
  <c r="T788" i="44"/>
  <c r="U788" i="44"/>
  <c r="S788" i="44"/>
  <c r="Q789" i="44"/>
  <c r="V789" i="44" s="1"/>
  <c r="R789" i="44"/>
  <c r="T789" i="44"/>
  <c r="U789" i="44"/>
  <c r="S789" i="44"/>
  <c r="Q790" i="44"/>
  <c r="V790" i="44" s="1"/>
  <c r="R790" i="44"/>
  <c r="T790" i="44"/>
  <c r="U790" i="44"/>
  <c r="S790" i="44"/>
  <c r="Q791" i="44"/>
  <c r="V791" i="44" s="1"/>
  <c r="R791" i="44"/>
  <c r="T791" i="44"/>
  <c r="U791" i="44"/>
  <c r="S791" i="44"/>
  <c r="Q792" i="44"/>
  <c r="V792" i="44" s="1"/>
  <c r="R792" i="44"/>
  <c r="T792" i="44"/>
  <c r="U792" i="44"/>
  <c r="S792" i="44"/>
  <c r="Q793" i="44"/>
  <c r="V793" i="44" s="1"/>
  <c r="R793" i="44"/>
  <c r="T793" i="44"/>
  <c r="U793" i="44"/>
  <c r="S793" i="44"/>
  <c r="Q794" i="44"/>
  <c r="V794" i="44" s="1"/>
  <c r="R794" i="44"/>
  <c r="T794" i="44"/>
  <c r="U794" i="44"/>
  <c r="S794" i="44"/>
  <c r="Q795" i="44"/>
  <c r="V795" i="44" s="1"/>
  <c r="R795" i="44"/>
  <c r="T795" i="44"/>
  <c r="U795" i="44"/>
  <c r="S795" i="44"/>
  <c r="Q796" i="44"/>
  <c r="V796" i="44" s="1"/>
  <c r="R796" i="44"/>
  <c r="T796" i="44"/>
  <c r="U796" i="44"/>
  <c r="S796" i="44"/>
  <c r="Q797" i="44"/>
  <c r="V797" i="44" s="1"/>
  <c r="R797" i="44"/>
  <c r="T797" i="44"/>
  <c r="U797" i="44"/>
  <c r="S797" i="44"/>
  <c r="Q798" i="44"/>
  <c r="V798" i="44" s="1"/>
  <c r="R798" i="44"/>
  <c r="T798" i="44"/>
  <c r="U798" i="44"/>
  <c r="S798" i="44"/>
  <c r="Q799" i="44"/>
  <c r="V799" i="44" s="1"/>
  <c r="R799" i="44"/>
  <c r="T799" i="44"/>
  <c r="U799" i="44"/>
  <c r="S799" i="44"/>
  <c r="Q800" i="44"/>
  <c r="V800" i="44" s="1"/>
  <c r="R800" i="44"/>
  <c r="T800" i="44"/>
  <c r="U800" i="44"/>
  <c r="S800" i="44"/>
  <c r="Q801" i="44"/>
  <c r="V801" i="44" s="1"/>
  <c r="R801" i="44"/>
  <c r="T801" i="44"/>
  <c r="U801" i="44"/>
  <c r="S801" i="44"/>
  <c r="Q802" i="44"/>
  <c r="V802" i="44" s="1"/>
  <c r="R802" i="44"/>
  <c r="T802" i="44"/>
  <c r="U802" i="44"/>
  <c r="S802" i="44"/>
  <c r="Q803" i="44"/>
  <c r="V803" i="44" s="1"/>
  <c r="R803" i="44"/>
  <c r="T803" i="44"/>
  <c r="U803" i="44"/>
  <c r="S803" i="44"/>
  <c r="Q804" i="44"/>
  <c r="V804" i="44" s="1"/>
  <c r="R804" i="44"/>
  <c r="T804" i="44"/>
  <c r="U804" i="44"/>
  <c r="S804" i="44"/>
  <c r="Q805" i="44"/>
  <c r="V805" i="44" s="1"/>
  <c r="R805" i="44"/>
  <c r="T805" i="44"/>
  <c r="U805" i="44"/>
  <c r="S805" i="44"/>
  <c r="Q806" i="44"/>
  <c r="V806" i="44" s="1"/>
  <c r="R806" i="44"/>
  <c r="T806" i="44"/>
  <c r="U806" i="44"/>
  <c r="S806" i="44"/>
  <c r="Q807" i="44"/>
  <c r="V807" i="44" s="1"/>
  <c r="R807" i="44"/>
  <c r="T807" i="44"/>
  <c r="U807" i="44"/>
  <c r="S807" i="44"/>
  <c r="Q808" i="44"/>
  <c r="V808" i="44" s="1"/>
  <c r="R808" i="44"/>
  <c r="T808" i="44"/>
  <c r="U808" i="44"/>
  <c r="S808" i="44"/>
  <c r="Q809" i="44"/>
  <c r="V809" i="44" s="1"/>
  <c r="R809" i="44"/>
  <c r="T809" i="44"/>
  <c r="U809" i="44"/>
  <c r="S809" i="44"/>
  <c r="Q810" i="44"/>
  <c r="V810" i="44" s="1"/>
  <c r="R810" i="44"/>
  <c r="T810" i="44"/>
  <c r="U810" i="44"/>
  <c r="S810" i="44"/>
  <c r="Q811" i="44"/>
  <c r="V811" i="44" s="1"/>
  <c r="R811" i="44"/>
  <c r="T811" i="44"/>
  <c r="U811" i="44"/>
  <c r="S811" i="44"/>
  <c r="Q812" i="44"/>
  <c r="V812" i="44" s="1"/>
  <c r="R812" i="44"/>
  <c r="T812" i="44"/>
  <c r="U812" i="44"/>
  <c r="S812" i="44"/>
  <c r="Q813" i="44"/>
  <c r="V813" i="44" s="1"/>
  <c r="R813" i="44"/>
  <c r="T813" i="44"/>
  <c r="U813" i="44"/>
  <c r="S813" i="44"/>
  <c r="Q814" i="44"/>
  <c r="V814" i="44" s="1"/>
  <c r="R814" i="44"/>
  <c r="T814" i="44"/>
  <c r="U814" i="44"/>
  <c r="S814" i="44"/>
  <c r="Q815" i="44"/>
  <c r="V815" i="44" s="1"/>
  <c r="R815" i="44"/>
  <c r="T815" i="44"/>
  <c r="U815" i="44"/>
  <c r="S815" i="44"/>
  <c r="Q816" i="44"/>
  <c r="V816" i="44" s="1"/>
  <c r="R816" i="44"/>
  <c r="T816" i="44"/>
  <c r="U816" i="44"/>
  <c r="S816" i="44"/>
  <c r="Q817" i="44"/>
  <c r="V817" i="44" s="1"/>
  <c r="R817" i="44"/>
  <c r="T817" i="44"/>
  <c r="U817" i="44"/>
  <c r="S817" i="44"/>
  <c r="Q818" i="44"/>
  <c r="V818" i="44" s="1"/>
  <c r="R818" i="44"/>
  <c r="T818" i="44"/>
  <c r="U818" i="44"/>
  <c r="S818" i="44"/>
  <c r="Q819" i="44"/>
  <c r="V819" i="44" s="1"/>
  <c r="R819" i="44"/>
  <c r="T819" i="44"/>
  <c r="U819" i="44"/>
  <c r="S819" i="44"/>
  <c r="Q820" i="44"/>
  <c r="V820" i="44" s="1"/>
  <c r="R820" i="44"/>
  <c r="T820" i="44"/>
  <c r="U820" i="44"/>
  <c r="S820" i="44"/>
  <c r="Q821" i="44"/>
  <c r="V821" i="44" s="1"/>
  <c r="R821" i="44"/>
  <c r="T821" i="44"/>
  <c r="U821" i="44"/>
  <c r="S821" i="44"/>
  <c r="Q822" i="44"/>
  <c r="V822" i="44" s="1"/>
  <c r="R822" i="44"/>
  <c r="T822" i="44"/>
  <c r="U822" i="44"/>
  <c r="S822" i="44"/>
  <c r="Q823" i="44"/>
  <c r="V823" i="44" s="1"/>
  <c r="R823" i="44"/>
  <c r="T823" i="44"/>
  <c r="U823" i="44"/>
  <c r="S823" i="44"/>
  <c r="Q824" i="44"/>
  <c r="V824" i="44" s="1"/>
  <c r="R824" i="44"/>
  <c r="T824" i="44"/>
  <c r="U824" i="44"/>
  <c r="S824" i="44"/>
  <c r="Q825" i="44"/>
  <c r="V825" i="44" s="1"/>
  <c r="R825" i="44"/>
  <c r="T825" i="44"/>
  <c r="U825" i="44"/>
  <c r="S825" i="44"/>
  <c r="Q826" i="44"/>
  <c r="V826" i="44" s="1"/>
  <c r="R826" i="44"/>
  <c r="T826" i="44"/>
  <c r="U826" i="44"/>
  <c r="S826" i="44"/>
  <c r="Q827" i="44"/>
  <c r="V827" i="44" s="1"/>
  <c r="R827" i="44"/>
  <c r="T827" i="44"/>
  <c r="U827" i="44"/>
  <c r="S827" i="44"/>
  <c r="Q828" i="44"/>
  <c r="V828" i="44" s="1"/>
  <c r="R828" i="44"/>
  <c r="T828" i="44"/>
  <c r="U828" i="44"/>
  <c r="S828" i="44"/>
  <c r="Q829" i="44"/>
  <c r="V829" i="44" s="1"/>
  <c r="R829" i="44"/>
  <c r="T829" i="44"/>
  <c r="U829" i="44"/>
  <c r="S829" i="44"/>
  <c r="Q830" i="44"/>
  <c r="V830" i="44" s="1"/>
  <c r="R830" i="44"/>
  <c r="T830" i="44"/>
  <c r="U830" i="44"/>
  <c r="S830" i="44"/>
  <c r="Q831" i="44"/>
  <c r="V831" i="44" s="1"/>
  <c r="R831" i="44"/>
  <c r="T831" i="44"/>
  <c r="U831" i="44"/>
  <c r="S831" i="44"/>
  <c r="Q832" i="44"/>
  <c r="V832" i="44" s="1"/>
  <c r="R832" i="44"/>
  <c r="T832" i="44"/>
  <c r="U832" i="44"/>
  <c r="S832" i="44"/>
  <c r="Q833" i="44"/>
  <c r="V833" i="44" s="1"/>
  <c r="R833" i="44"/>
  <c r="T833" i="44"/>
  <c r="U833" i="44"/>
  <c r="S833" i="44"/>
  <c r="Q834" i="44"/>
  <c r="V834" i="44" s="1"/>
  <c r="R834" i="44"/>
  <c r="T834" i="44"/>
  <c r="U834" i="44"/>
  <c r="S834" i="44"/>
  <c r="Q835" i="44"/>
  <c r="V835" i="44" s="1"/>
  <c r="R835" i="44"/>
  <c r="T835" i="44"/>
  <c r="U835" i="44"/>
  <c r="S835" i="44"/>
  <c r="Q836" i="44"/>
  <c r="V836" i="44" s="1"/>
  <c r="R836" i="44"/>
  <c r="T836" i="44"/>
  <c r="U836" i="44"/>
  <c r="S836" i="44"/>
  <c r="Q837" i="44"/>
  <c r="V837" i="44" s="1"/>
  <c r="R837" i="44"/>
  <c r="T837" i="44"/>
  <c r="U837" i="44"/>
  <c r="S837" i="44"/>
  <c r="Q838" i="44"/>
  <c r="V838" i="44" s="1"/>
  <c r="R838" i="44"/>
  <c r="T838" i="44"/>
  <c r="U838" i="44"/>
  <c r="S838" i="44"/>
  <c r="Q839" i="44"/>
  <c r="V839" i="44" s="1"/>
  <c r="R839" i="44"/>
  <c r="T839" i="44"/>
  <c r="U839" i="44"/>
  <c r="S839" i="44"/>
  <c r="Q840" i="44"/>
  <c r="V840" i="44" s="1"/>
  <c r="R840" i="44"/>
  <c r="T840" i="44"/>
  <c r="U840" i="44"/>
  <c r="S840" i="44"/>
  <c r="Q841" i="44"/>
  <c r="V841" i="44" s="1"/>
  <c r="R841" i="44"/>
  <c r="T841" i="44"/>
  <c r="U841" i="44"/>
  <c r="S841" i="44"/>
  <c r="Q842" i="44"/>
  <c r="V842" i="44" s="1"/>
  <c r="R842" i="44"/>
  <c r="T842" i="44"/>
  <c r="U842" i="44"/>
  <c r="S842" i="44"/>
  <c r="Q843" i="44"/>
  <c r="V843" i="44" s="1"/>
  <c r="R843" i="44"/>
  <c r="T843" i="44"/>
  <c r="U843" i="44"/>
  <c r="S843" i="44"/>
  <c r="Q844" i="44"/>
  <c r="V844" i="44" s="1"/>
  <c r="R844" i="44"/>
  <c r="T844" i="44"/>
  <c r="U844" i="44"/>
  <c r="S844" i="44"/>
  <c r="Q845" i="44"/>
  <c r="V845" i="44" s="1"/>
  <c r="R845" i="44"/>
  <c r="T845" i="44"/>
  <c r="U845" i="44"/>
  <c r="S845" i="44"/>
  <c r="Q846" i="44"/>
  <c r="V846" i="44" s="1"/>
  <c r="R846" i="44"/>
  <c r="T846" i="44"/>
  <c r="U846" i="44"/>
  <c r="S846" i="44"/>
  <c r="Q847" i="44"/>
  <c r="V847" i="44" s="1"/>
  <c r="R847" i="44"/>
  <c r="T847" i="44"/>
  <c r="U847" i="44"/>
  <c r="S847" i="44"/>
  <c r="Q848" i="44"/>
  <c r="V848" i="44" s="1"/>
  <c r="R848" i="44"/>
  <c r="T848" i="44"/>
  <c r="U848" i="44"/>
  <c r="S848" i="44"/>
  <c r="Q849" i="44"/>
  <c r="V849" i="44" s="1"/>
  <c r="R849" i="44"/>
  <c r="T849" i="44"/>
  <c r="U849" i="44"/>
  <c r="S849" i="44"/>
  <c r="Q850" i="44"/>
  <c r="V850" i="44" s="1"/>
  <c r="R850" i="44"/>
  <c r="T850" i="44"/>
  <c r="U850" i="44"/>
  <c r="S850" i="44"/>
  <c r="Q851" i="44"/>
  <c r="V851" i="44" s="1"/>
  <c r="R851" i="44"/>
  <c r="T851" i="44"/>
  <c r="U851" i="44"/>
  <c r="S851" i="44"/>
  <c r="Q852" i="44"/>
  <c r="V852" i="44" s="1"/>
  <c r="R852" i="44"/>
  <c r="T852" i="44"/>
  <c r="U852" i="44"/>
  <c r="S852" i="44"/>
  <c r="Q853" i="44"/>
  <c r="V853" i="44" s="1"/>
  <c r="R853" i="44"/>
  <c r="T853" i="44"/>
  <c r="U853" i="44"/>
  <c r="S853" i="44"/>
  <c r="Q854" i="44"/>
  <c r="V854" i="44" s="1"/>
  <c r="R854" i="44"/>
  <c r="T854" i="44"/>
  <c r="U854" i="44"/>
  <c r="S854" i="44"/>
  <c r="Q855" i="44"/>
  <c r="V855" i="44" s="1"/>
  <c r="R855" i="44"/>
  <c r="T855" i="44"/>
  <c r="U855" i="44"/>
  <c r="S855" i="44"/>
  <c r="Q856" i="44"/>
  <c r="V856" i="44" s="1"/>
  <c r="R856" i="44"/>
  <c r="T856" i="44"/>
  <c r="U856" i="44"/>
  <c r="S856" i="44"/>
  <c r="Q857" i="44"/>
  <c r="V857" i="44" s="1"/>
  <c r="R857" i="44"/>
  <c r="T857" i="44"/>
  <c r="U857" i="44"/>
  <c r="S857" i="44"/>
  <c r="Q858" i="44"/>
  <c r="V858" i="44" s="1"/>
  <c r="R858" i="44"/>
  <c r="T858" i="44"/>
  <c r="U858" i="44"/>
  <c r="S858" i="44"/>
  <c r="Q859" i="44"/>
  <c r="V859" i="44" s="1"/>
  <c r="R859" i="44"/>
  <c r="T859" i="44"/>
  <c r="U859" i="44"/>
  <c r="S859" i="44"/>
  <c r="Q860" i="44"/>
  <c r="V860" i="44" s="1"/>
  <c r="R860" i="44"/>
  <c r="T860" i="44"/>
  <c r="U860" i="44"/>
  <c r="S860" i="44"/>
  <c r="Q861" i="44"/>
  <c r="V861" i="44" s="1"/>
  <c r="R861" i="44"/>
  <c r="T861" i="44"/>
  <c r="U861" i="44"/>
  <c r="S861" i="44"/>
  <c r="Q862" i="44"/>
  <c r="V862" i="44" s="1"/>
  <c r="R862" i="44"/>
  <c r="T862" i="44"/>
  <c r="U862" i="44"/>
  <c r="S862" i="44"/>
  <c r="Q863" i="44"/>
  <c r="V863" i="44" s="1"/>
  <c r="R863" i="44"/>
  <c r="T863" i="44"/>
  <c r="U863" i="44"/>
  <c r="S863" i="44"/>
  <c r="Q864" i="44"/>
  <c r="V864" i="44" s="1"/>
  <c r="R864" i="44"/>
  <c r="T864" i="44"/>
  <c r="U864" i="44"/>
  <c r="S864" i="44"/>
  <c r="Q865" i="44"/>
  <c r="V865" i="44" s="1"/>
  <c r="R865" i="44"/>
  <c r="T865" i="44"/>
  <c r="U865" i="44"/>
  <c r="S865" i="44"/>
  <c r="Q866" i="44"/>
  <c r="V866" i="44" s="1"/>
  <c r="R866" i="44"/>
  <c r="T866" i="44"/>
  <c r="U866" i="44"/>
  <c r="S866" i="44"/>
  <c r="Q867" i="44"/>
  <c r="V867" i="44" s="1"/>
  <c r="R867" i="44"/>
  <c r="T867" i="44"/>
  <c r="U867" i="44"/>
  <c r="S867" i="44"/>
  <c r="Q868" i="44"/>
  <c r="V868" i="44" s="1"/>
  <c r="R868" i="44"/>
  <c r="T868" i="44"/>
  <c r="U868" i="44"/>
  <c r="S868" i="44"/>
  <c r="Q869" i="44"/>
  <c r="V869" i="44" s="1"/>
  <c r="R869" i="44"/>
  <c r="T869" i="44"/>
  <c r="U869" i="44"/>
  <c r="S869" i="44"/>
  <c r="Q870" i="44"/>
  <c r="V870" i="44" s="1"/>
  <c r="R870" i="44"/>
  <c r="T870" i="44"/>
  <c r="U870" i="44"/>
  <c r="S870" i="44"/>
  <c r="Q871" i="44"/>
  <c r="V871" i="44" s="1"/>
  <c r="R871" i="44"/>
  <c r="T871" i="44"/>
  <c r="U871" i="44"/>
  <c r="S871" i="44"/>
  <c r="Q872" i="44"/>
  <c r="V872" i="44" s="1"/>
  <c r="R872" i="44"/>
  <c r="T872" i="44"/>
  <c r="U872" i="44"/>
  <c r="S872" i="44"/>
  <c r="Q873" i="44"/>
  <c r="V873" i="44" s="1"/>
  <c r="R873" i="44"/>
  <c r="T873" i="44"/>
  <c r="U873" i="44"/>
  <c r="S873" i="44"/>
  <c r="Q874" i="44"/>
  <c r="V874" i="44" s="1"/>
  <c r="R874" i="44"/>
  <c r="T874" i="44"/>
  <c r="U874" i="44"/>
  <c r="S874" i="44"/>
  <c r="Q875" i="44"/>
  <c r="V875" i="44" s="1"/>
  <c r="R875" i="44"/>
  <c r="T875" i="44"/>
  <c r="U875" i="44"/>
  <c r="S875" i="44"/>
  <c r="Q876" i="44"/>
  <c r="V876" i="44" s="1"/>
  <c r="R876" i="44"/>
  <c r="T876" i="44"/>
  <c r="U876" i="44"/>
  <c r="S876" i="44"/>
  <c r="Q877" i="44"/>
  <c r="V877" i="44" s="1"/>
  <c r="R877" i="44"/>
  <c r="T877" i="44"/>
  <c r="U877" i="44"/>
  <c r="S877" i="44"/>
  <c r="Q878" i="44"/>
  <c r="V878" i="44" s="1"/>
  <c r="R878" i="44"/>
  <c r="T878" i="44"/>
  <c r="U878" i="44"/>
  <c r="S878" i="44"/>
  <c r="Q879" i="44"/>
  <c r="V879" i="44" s="1"/>
  <c r="R879" i="44"/>
  <c r="T879" i="44"/>
  <c r="U879" i="44"/>
  <c r="S879" i="44"/>
  <c r="Q880" i="44"/>
  <c r="V880" i="44" s="1"/>
  <c r="R880" i="44"/>
  <c r="T880" i="44"/>
  <c r="U880" i="44"/>
  <c r="S880" i="44"/>
  <c r="Q881" i="44"/>
  <c r="V881" i="44" s="1"/>
  <c r="R881" i="44"/>
  <c r="T881" i="44"/>
  <c r="U881" i="44"/>
  <c r="S881" i="44"/>
  <c r="Q882" i="44"/>
  <c r="V882" i="44" s="1"/>
  <c r="R882" i="44"/>
  <c r="T882" i="44"/>
  <c r="U882" i="44"/>
  <c r="S882" i="44"/>
  <c r="Q883" i="44"/>
  <c r="V883" i="44" s="1"/>
  <c r="R883" i="44"/>
  <c r="T883" i="44"/>
  <c r="U883" i="44"/>
  <c r="S883" i="44"/>
  <c r="Q884" i="44"/>
  <c r="V884" i="44" s="1"/>
  <c r="R884" i="44"/>
  <c r="T884" i="44"/>
  <c r="U884" i="44"/>
  <c r="S884" i="44"/>
  <c r="Q885" i="44"/>
  <c r="V885" i="44" s="1"/>
  <c r="R885" i="44"/>
  <c r="T885" i="44"/>
  <c r="U885" i="44"/>
  <c r="S885" i="44"/>
  <c r="Q886" i="44"/>
  <c r="V886" i="44" s="1"/>
  <c r="R886" i="44"/>
  <c r="T886" i="44"/>
  <c r="U886" i="44"/>
  <c r="S886" i="44"/>
  <c r="Q887" i="44"/>
  <c r="V887" i="44" s="1"/>
  <c r="R887" i="44"/>
  <c r="T887" i="44"/>
  <c r="U887" i="44"/>
  <c r="S887" i="44"/>
  <c r="Q888" i="44"/>
  <c r="V888" i="44" s="1"/>
  <c r="R888" i="44"/>
  <c r="T888" i="44"/>
  <c r="U888" i="44"/>
  <c r="S888" i="44"/>
  <c r="Q889" i="44"/>
  <c r="V889" i="44" s="1"/>
  <c r="R889" i="44"/>
  <c r="T889" i="44"/>
  <c r="U889" i="44"/>
  <c r="S889" i="44"/>
  <c r="Q890" i="44"/>
  <c r="V890" i="44" s="1"/>
  <c r="R890" i="44"/>
  <c r="T890" i="44"/>
  <c r="U890" i="44"/>
  <c r="S890" i="44"/>
  <c r="Q891" i="44"/>
  <c r="V891" i="44" s="1"/>
  <c r="R891" i="44"/>
  <c r="T891" i="44"/>
  <c r="U891" i="44"/>
  <c r="S891" i="44"/>
  <c r="Q892" i="44"/>
  <c r="V892" i="44" s="1"/>
  <c r="R892" i="44"/>
  <c r="T892" i="44"/>
  <c r="U892" i="44"/>
  <c r="S892" i="44"/>
  <c r="Q893" i="44"/>
  <c r="V893" i="44" s="1"/>
  <c r="R893" i="44"/>
  <c r="T893" i="44"/>
  <c r="U893" i="44"/>
  <c r="S893" i="44"/>
  <c r="Q894" i="44"/>
  <c r="V894" i="44" s="1"/>
  <c r="R894" i="44"/>
  <c r="T894" i="44"/>
  <c r="U894" i="44"/>
  <c r="S894" i="44"/>
  <c r="Q895" i="44"/>
  <c r="V895" i="44" s="1"/>
  <c r="R895" i="44"/>
  <c r="T895" i="44"/>
  <c r="U895" i="44"/>
  <c r="S895" i="44"/>
  <c r="Q896" i="44"/>
  <c r="V896" i="44" s="1"/>
  <c r="R896" i="44"/>
  <c r="T896" i="44"/>
  <c r="U896" i="44"/>
  <c r="S896" i="44"/>
  <c r="Q897" i="44"/>
  <c r="V897" i="44" s="1"/>
  <c r="R897" i="44"/>
  <c r="T897" i="44"/>
  <c r="U897" i="44"/>
  <c r="S897" i="44"/>
  <c r="Q898" i="44"/>
  <c r="V898" i="44" s="1"/>
  <c r="R898" i="44"/>
  <c r="T898" i="44"/>
  <c r="U898" i="44"/>
  <c r="S898" i="44"/>
  <c r="Q899" i="44"/>
  <c r="V899" i="44" s="1"/>
  <c r="R899" i="44"/>
  <c r="T899" i="44"/>
  <c r="U899" i="44"/>
  <c r="S899" i="44"/>
  <c r="Q900" i="44"/>
  <c r="V900" i="44" s="1"/>
  <c r="R900" i="44"/>
  <c r="T900" i="44"/>
  <c r="U900" i="44"/>
  <c r="S900" i="44"/>
  <c r="Q901" i="44"/>
  <c r="V901" i="44" s="1"/>
  <c r="R901" i="44"/>
  <c r="T901" i="44"/>
  <c r="U901" i="44"/>
  <c r="S901" i="44"/>
  <c r="Q902" i="44"/>
  <c r="V902" i="44" s="1"/>
  <c r="R902" i="44"/>
  <c r="T902" i="44"/>
  <c r="U902" i="44"/>
  <c r="S902" i="44"/>
  <c r="Q903" i="44"/>
  <c r="V903" i="44" s="1"/>
  <c r="R903" i="44"/>
  <c r="T903" i="44"/>
  <c r="U903" i="44"/>
  <c r="S903" i="44"/>
  <c r="Q904" i="44"/>
  <c r="V904" i="44" s="1"/>
  <c r="R904" i="44"/>
  <c r="T904" i="44"/>
  <c r="U904" i="44"/>
  <c r="S904" i="44"/>
  <c r="Q905" i="44"/>
  <c r="V905" i="44" s="1"/>
  <c r="R905" i="44"/>
  <c r="T905" i="44"/>
  <c r="U905" i="44"/>
  <c r="S905" i="44"/>
  <c r="Q906" i="44"/>
  <c r="V906" i="44" s="1"/>
  <c r="R906" i="44"/>
  <c r="T906" i="44"/>
  <c r="U906" i="44"/>
  <c r="S906" i="44"/>
  <c r="Q907" i="44"/>
  <c r="V907" i="44" s="1"/>
  <c r="R907" i="44"/>
  <c r="T907" i="44"/>
  <c r="U907" i="44"/>
  <c r="S907" i="44"/>
  <c r="Q908" i="44"/>
  <c r="V908" i="44" s="1"/>
  <c r="R908" i="44"/>
  <c r="T908" i="44"/>
  <c r="U908" i="44"/>
  <c r="S908" i="44"/>
  <c r="Q909" i="44"/>
  <c r="V909" i="44" s="1"/>
  <c r="R909" i="44"/>
  <c r="T909" i="44"/>
  <c r="U909" i="44"/>
  <c r="S909" i="44"/>
  <c r="Q910" i="44"/>
  <c r="V910" i="44" s="1"/>
  <c r="R910" i="44"/>
  <c r="T910" i="44"/>
  <c r="U910" i="44"/>
  <c r="S910" i="44"/>
  <c r="Q911" i="44"/>
  <c r="V911" i="44" s="1"/>
  <c r="R911" i="44"/>
  <c r="T911" i="44"/>
  <c r="U911" i="44"/>
  <c r="S911" i="44"/>
  <c r="Q912" i="44"/>
  <c r="V912" i="44" s="1"/>
  <c r="R912" i="44"/>
  <c r="T912" i="44"/>
  <c r="U912" i="44"/>
  <c r="S912" i="44"/>
  <c r="Q913" i="44"/>
  <c r="V913" i="44" s="1"/>
  <c r="R913" i="44"/>
  <c r="T913" i="44"/>
  <c r="U913" i="44"/>
  <c r="S913" i="44"/>
  <c r="Q914" i="44"/>
  <c r="V914" i="44" s="1"/>
  <c r="R914" i="44"/>
  <c r="T914" i="44"/>
  <c r="U914" i="44"/>
  <c r="S914" i="44"/>
  <c r="Q915" i="44"/>
  <c r="V915" i="44" s="1"/>
  <c r="R915" i="44"/>
  <c r="T915" i="44"/>
  <c r="U915" i="44"/>
  <c r="S915" i="44"/>
  <c r="Q916" i="44"/>
  <c r="V916" i="44" s="1"/>
  <c r="R916" i="44"/>
  <c r="T916" i="44"/>
  <c r="U916" i="44"/>
  <c r="S916" i="44"/>
  <c r="Q917" i="44"/>
  <c r="V917" i="44" s="1"/>
  <c r="R917" i="44"/>
  <c r="T917" i="44"/>
  <c r="U917" i="44"/>
  <c r="S917" i="44"/>
  <c r="Q918" i="44"/>
  <c r="V918" i="44" s="1"/>
  <c r="R918" i="44"/>
  <c r="T918" i="44"/>
  <c r="U918" i="44"/>
  <c r="S918" i="44"/>
  <c r="Q919" i="44"/>
  <c r="V919" i="44" s="1"/>
  <c r="R919" i="44"/>
  <c r="T919" i="44"/>
  <c r="U919" i="44"/>
  <c r="S919" i="44"/>
  <c r="Q920" i="44"/>
  <c r="V920" i="44" s="1"/>
  <c r="R920" i="44"/>
  <c r="T920" i="44"/>
  <c r="U920" i="44"/>
  <c r="S920" i="44"/>
  <c r="Q921" i="44"/>
  <c r="V921" i="44" s="1"/>
  <c r="R921" i="44"/>
  <c r="T921" i="44"/>
  <c r="U921" i="44"/>
  <c r="S921" i="44"/>
  <c r="Q922" i="44"/>
  <c r="V922" i="44" s="1"/>
  <c r="R922" i="44"/>
  <c r="T922" i="44"/>
  <c r="U922" i="44"/>
  <c r="S922" i="44"/>
  <c r="Q923" i="44"/>
  <c r="V923" i="44" s="1"/>
  <c r="R923" i="44"/>
  <c r="T923" i="44"/>
  <c r="U923" i="44"/>
  <c r="S923" i="44"/>
  <c r="Q924" i="44"/>
  <c r="V924" i="44" s="1"/>
  <c r="R924" i="44"/>
  <c r="T924" i="44"/>
  <c r="U924" i="44"/>
  <c r="S924" i="44"/>
  <c r="Q925" i="44"/>
  <c r="V925" i="44" s="1"/>
  <c r="R925" i="44"/>
  <c r="T925" i="44"/>
  <c r="U925" i="44"/>
  <c r="S925" i="44"/>
  <c r="Q926" i="44"/>
  <c r="V926" i="44" s="1"/>
  <c r="R926" i="44"/>
  <c r="T926" i="44"/>
  <c r="U926" i="44"/>
  <c r="S926" i="44"/>
  <c r="Q927" i="44"/>
  <c r="V927" i="44" s="1"/>
  <c r="R927" i="44"/>
  <c r="T927" i="44"/>
  <c r="U927" i="44"/>
  <c r="S927" i="44"/>
  <c r="Q928" i="44"/>
  <c r="V928" i="44" s="1"/>
  <c r="R928" i="44"/>
  <c r="T928" i="44"/>
  <c r="U928" i="44"/>
  <c r="S928" i="44"/>
  <c r="Q929" i="44"/>
  <c r="V929" i="44" s="1"/>
  <c r="R929" i="44"/>
  <c r="T929" i="44"/>
  <c r="U929" i="44"/>
  <c r="S929" i="44"/>
  <c r="Q930" i="44"/>
  <c r="V930" i="44" s="1"/>
  <c r="R930" i="44"/>
  <c r="T930" i="44"/>
  <c r="U930" i="44"/>
  <c r="S930" i="44"/>
  <c r="Q931" i="44"/>
  <c r="V931" i="44" s="1"/>
  <c r="R931" i="44"/>
  <c r="T931" i="44"/>
  <c r="U931" i="44"/>
  <c r="S931" i="44"/>
  <c r="Q932" i="44"/>
  <c r="V932" i="44" s="1"/>
  <c r="R932" i="44"/>
  <c r="T932" i="44"/>
  <c r="U932" i="44"/>
  <c r="S932" i="44"/>
  <c r="Q933" i="44"/>
  <c r="V933" i="44" s="1"/>
  <c r="R933" i="44"/>
  <c r="T933" i="44"/>
  <c r="U933" i="44"/>
  <c r="S933" i="44"/>
  <c r="Q934" i="44"/>
  <c r="V934" i="44" s="1"/>
  <c r="R934" i="44"/>
  <c r="T934" i="44"/>
  <c r="U934" i="44"/>
  <c r="S934" i="44"/>
  <c r="Q935" i="44"/>
  <c r="V935" i="44" s="1"/>
  <c r="R935" i="44"/>
  <c r="T935" i="44"/>
  <c r="U935" i="44"/>
  <c r="S935" i="44"/>
  <c r="Q936" i="44"/>
  <c r="V936" i="44" s="1"/>
  <c r="R936" i="44"/>
  <c r="T936" i="44"/>
  <c r="U936" i="44"/>
  <c r="S936" i="44"/>
  <c r="Q937" i="44"/>
  <c r="V937" i="44" s="1"/>
  <c r="R937" i="44"/>
  <c r="T937" i="44"/>
  <c r="U937" i="44"/>
  <c r="S937" i="44"/>
  <c r="Q938" i="44"/>
  <c r="V938" i="44" s="1"/>
  <c r="R938" i="44"/>
  <c r="T938" i="44"/>
  <c r="U938" i="44"/>
  <c r="S938" i="44"/>
  <c r="Q939" i="44"/>
  <c r="V939" i="44" s="1"/>
  <c r="R939" i="44"/>
  <c r="T939" i="44"/>
  <c r="U939" i="44"/>
  <c r="S939" i="44"/>
  <c r="Q940" i="44"/>
  <c r="V940" i="44" s="1"/>
  <c r="R940" i="44"/>
  <c r="T940" i="44"/>
  <c r="U940" i="44"/>
  <c r="S940" i="44"/>
  <c r="Q941" i="44"/>
  <c r="V941" i="44" s="1"/>
  <c r="R941" i="44"/>
  <c r="T941" i="44"/>
  <c r="U941" i="44"/>
  <c r="S941" i="44"/>
  <c r="Q942" i="44"/>
  <c r="V942" i="44" s="1"/>
  <c r="R942" i="44"/>
  <c r="T942" i="44"/>
  <c r="U942" i="44"/>
  <c r="S942" i="44"/>
  <c r="Q943" i="44"/>
  <c r="V943" i="44" s="1"/>
  <c r="R943" i="44"/>
  <c r="T943" i="44"/>
  <c r="U943" i="44"/>
  <c r="S943" i="44"/>
  <c r="Q944" i="44"/>
  <c r="V944" i="44" s="1"/>
  <c r="R944" i="44"/>
  <c r="T944" i="44"/>
  <c r="U944" i="44"/>
  <c r="S944" i="44"/>
  <c r="Q945" i="44"/>
  <c r="V945" i="44" s="1"/>
  <c r="R945" i="44"/>
  <c r="T945" i="44"/>
  <c r="U945" i="44"/>
  <c r="S945" i="44"/>
  <c r="Q946" i="44"/>
  <c r="V946" i="44" s="1"/>
  <c r="R946" i="44"/>
  <c r="T946" i="44"/>
  <c r="U946" i="44"/>
  <c r="S946" i="44"/>
  <c r="Q947" i="44"/>
  <c r="V947" i="44" s="1"/>
  <c r="R947" i="44"/>
  <c r="T947" i="44"/>
  <c r="U947" i="44"/>
  <c r="S947" i="44"/>
  <c r="Q948" i="44"/>
  <c r="V948" i="44" s="1"/>
  <c r="R948" i="44"/>
  <c r="T948" i="44"/>
  <c r="U948" i="44"/>
  <c r="S948" i="44"/>
  <c r="Q949" i="44"/>
  <c r="V949" i="44" s="1"/>
  <c r="R949" i="44"/>
  <c r="T949" i="44"/>
  <c r="U949" i="44"/>
  <c r="S949" i="44"/>
  <c r="Q950" i="44"/>
  <c r="V950" i="44" s="1"/>
  <c r="R950" i="44"/>
  <c r="T950" i="44"/>
  <c r="U950" i="44"/>
  <c r="S950" i="44"/>
  <c r="Q951" i="44"/>
  <c r="V951" i="44" s="1"/>
  <c r="R951" i="44"/>
  <c r="T951" i="44"/>
  <c r="U951" i="44"/>
  <c r="S951" i="44"/>
  <c r="Q952" i="44"/>
  <c r="V952" i="44" s="1"/>
  <c r="R952" i="44"/>
  <c r="T952" i="44"/>
  <c r="U952" i="44"/>
  <c r="S952" i="44"/>
  <c r="Q953" i="44"/>
  <c r="V953" i="44" s="1"/>
  <c r="R953" i="44"/>
  <c r="T953" i="44"/>
  <c r="U953" i="44"/>
  <c r="S953" i="44"/>
  <c r="Q954" i="44"/>
  <c r="V954" i="44" s="1"/>
  <c r="R954" i="44"/>
  <c r="T954" i="44"/>
  <c r="U954" i="44"/>
  <c r="S954" i="44"/>
  <c r="Q955" i="44"/>
  <c r="V955" i="44" s="1"/>
  <c r="R955" i="44"/>
  <c r="T955" i="44"/>
  <c r="U955" i="44"/>
  <c r="S955" i="44"/>
  <c r="Q956" i="44"/>
  <c r="V956" i="44" s="1"/>
  <c r="R956" i="44"/>
  <c r="T956" i="44"/>
  <c r="U956" i="44"/>
  <c r="S956" i="44"/>
  <c r="Q957" i="44"/>
  <c r="V957" i="44" s="1"/>
  <c r="R957" i="44"/>
  <c r="T957" i="44"/>
  <c r="U957" i="44"/>
  <c r="S957" i="44"/>
  <c r="Q958" i="44"/>
  <c r="V958" i="44" s="1"/>
  <c r="R958" i="44"/>
  <c r="T958" i="44"/>
  <c r="U958" i="44"/>
  <c r="S958" i="44"/>
  <c r="Q959" i="44"/>
  <c r="V959" i="44" s="1"/>
  <c r="R959" i="44"/>
  <c r="T959" i="44"/>
  <c r="U959" i="44"/>
  <c r="S959" i="44"/>
  <c r="Q960" i="44"/>
  <c r="V960" i="44" s="1"/>
  <c r="R960" i="44"/>
  <c r="T960" i="44"/>
  <c r="U960" i="44"/>
  <c r="S960" i="44"/>
  <c r="Q961" i="44"/>
  <c r="V961" i="44" s="1"/>
  <c r="R961" i="44"/>
  <c r="T961" i="44"/>
  <c r="U961" i="44"/>
  <c r="S961" i="44"/>
  <c r="Q962" i="44"/>
  <c r="V962" i="44" s="1"/>
  <c r="R962" i="44"/>
  <c r="T962" i="44"/>
  <c r="U962" i="44"/>
  <c r="S962" i="44"/>
  <c r="Q963" i="44"/>
  <c r="V963" i="44" s="1"/>
  <c r="R963" i="44"/>
  <c r="T963" i="44"/>
  <c r="U963" i="44"/>
  <c r="S963" i="44"/>
  <c r="Q964" i="44"/>
  <c r="V964" i="44" s="1"/>
  <c r="R964" i="44"/>
  <c r="T964" i="44"/>
  <c r="U964" i="44"/>
  <c r="S964" i="44"/>
  <c r="Q965" i="44"/>
  <c r="V965" i="44" s="1"/>
  <c r="R965" i="44"/>
  <c r="T965" i="44"/>
  <c r="U965" i="44"/>
  <c r="S965" i="44"/>
  <c r="Q966" i="44"/>
  <c r="V966" i="44" s="1"/>
  <c r="R966" i="44"/>
  <c r="T966" i="44"/>
  <c r="U966" i="44"/>
  <c r="S966" i="44"/>
  <c r="Q967" i="44"/>
  <c r="V967" i="44" s="1"/>
  <c r="R967" i="44"/>
  <c r="T967" i="44"/>
  <c r="U967" i="44"/>
  <c r="S967" i="44"/>
  <c r="Q968" i="44"/>
  <c r="V968" i="44" s="1"/>
  <c r="R968" i="44"/>
  <c r="T968" i="44"/>
  <c r="U968" i="44"/>
  <c r="S968" i="44"/>
  <c r="Q969" i="44"/>
  <c r="V969" i="44" s="1"/>
  <c r="R969" i="44"/>
  <c r="T969" i="44"/>
  <c r="U969" i="44"/>
  <c r="S969" i="44"/>
  <c r="Q970" i="44"/>
  <c r="V970" i="44" s="1"/>
  <c r="R970" i="44"/>
  <c r="T970" i="44"/>
  <c r="U970" i="44"/>
  <c r="S970" i="44"/>
  <c r="Q971" i="44"/>
  <c r="V971" i="44" s="1"/>
  <c r="R971" i="44"/>
  <c r="T971" i="44"/>
  <c r="U971" i="44"/>
  <c r="S971" i="44"/>
  <c r="Q972" i="44"/>
  <c r="V972" i="44" s="1"/>
  <c r="R972" i="44"/>
  <c r="T972" i="44"/>
  <c r="U972" i="44"/>
  <c r="S972" i="44"/>
  <c r="Q973" i="44"/>
  <c r="V973" i="44" s="1"/>
  <c r="R973" i="44"/>
  <c r="T973" i="44"/>
  <c r="U973" i="44"/>
  <c r="S973" i="44"/>
  <c r="Q974" i="44"/>
  <c r="V974" i="44" s="1"/>
  <c r="R974" i="44"/>
  <c r="T974" i="44"/>
  <c r="U974" i="44"/>
  <c r="S974" i="44"/>
  <c r="Q975" i="44"/>
  <c r="V975" i="44" s="1"/>
  <c r="R975" i="44"/>
  <c r="T975" i="44"/>
  <c r="U975" i="44"/>
  <c r="S975" i="44"/>
  <c r="Q976" i="44"/>
  <c r="V976" i="44" s="1"/>
  <c r="R976" i="44"/>
  <c r="T976" i="44"/>
  <c r="U976" i="44"/>
  <c r="S976" i="44"/>
  <c r="Q977" i="44"/>
  <c r="V977" i="44" s="1"/>
  <c r="R977" i="44"/>
  <c r="T977" i="44"/>
  <c r="U977" i="44"/>
  <c r="S977" i="44"/>
  <c r="Q978" i="44"/>
  <c r="V978" i="44" s="1"/>
  <c r="R978" i="44"/>
  <c r="T978" i="44"/>
  <c r="U978" i="44"/>
  <c r="S978" i="44"/>
  <c r="Q979" i="44"/>
  <c r="V979" i="44" s="1"/>
  <c r="R979" i="44"/>
  <c r="T979" i="44"/>
  <c r="U979" i="44"/>
  <c r="S979" i="44"/>
  <c r="Q980" i="44"/>
  <c r="V980" i="44" s="1"/>
  <c r="R980" i="44"/>
  <c r="T980" i="44"/>
  <c r="U980" i="44"/>
  <c r="S980" i="44"/>
  <c r="Q981" i="44"/>
  <c r="V981" i="44" s="1"/>
  <c r="R981" i="44"/>
  <c r="T981" i="44"/>
  <c r="U981" i="44"/>
  <c r="S981" i="44"/>
  <c r="Q982" i="44"/>
  <c r="V982" i="44" s="1"/>
  <c r="R982" i="44"/>
  <c r="T982" i="44"/>
  <c r="U982" i="44"/>
  <c r="S982" i="44"/>
  <c r="Q983" i="44"/>
  <c r="V983" i="44" s="1"/>
  <c r="R983" i="44"/>
  <c r="T983" i="44"/>
  <c r="U983" i="44"/>
  <c r="S983" i="44"/>
  <c r="Q984" i="44"/>
  <c r="V984" i="44" s="1"/>
  <c r="R984" i="44"/>
  <c r="T984" i="44"/>
  <c r="U984" i="44"/>
  <c r="S984" i="44"/>
  <c r="Q985" i="44"/>
  <c r="V985" i="44" s="1"/>
  <c r="R985" i="44"/>
  <c r="T985" i="44"/>
  <c r="U985" i="44"/>
  <c r="S985" i="44"/>
  <c r="Q986" i="44"/>
  <c r="V986" i="44" s="1"/>
  <c r="R986" i="44"/>
  <c r="T986" i="44"/>
  <c r="U986" i="44"/>
  <c r="S986" i="44"/>
  <c r="Q987" i="44"/>
  <c r="V987" i="44" s="1"/>
  <c r="R987" i="44"/>
  <c r="T987" i="44"/>
  <c r="U987" i="44"/>
  <c r="S987" i="44"/>
  <c r="Q988" i="44"/>
  <c r="V988" i="44" s="1"/>
  <c r="R988" i="44"/>
  <c r="T988" i="44"/>
  <c r="U988" i="44"/>
  <c r="S988" i="44"/>
  <c r="Q989" i="44"/>
  <c r="V989" i="44" s="1"/>
  <c r="R989" i="44"/>
  <c r="T989" i="44"/>
  <c r="U989" i="44"/>
  <c r="S989" i="44"/>
  <c r="Q990" i="44"/>
  <c r="V990" i="44" s="1"/>
  <c r="R990" i="44"/>
  <c r="T990" i="44"/>
  <c r="U990" i="44"/>
  <c r="S990" i="44"/>
  <c r="Q991" i="44"/>
  <c r="V991" i="44" s="1"/>
  <c r="R991" i="44"/>
  <c r="T991" i="44"/>
  <c r="U991" i="44"/>
  <c r="S991" i="44"/>
  <c r="Q992" i="44"/>
  <c r="V992" i="44" s="1"/>
  <c r="R992" i="44"/>
  <c r="T992" i="44"/>
  <c r="U992" i="44"/>
  <c r="S992" i="44"/>
  <c r="Q993" i="44"/>
  <c r="V993" i="44" s="1"/>
  <c r="R993" i="44"/>
  <c r="T993" i="44"/>
  <c r="U993" i="44"/>
  <c r="S993" i="44"/>
  <c r="Q994" i="44"/>
  <c r="V994" i="44" s="1"/>
  <c r="R994" i="44"/>
  <c r="T994" i="44"/>
  <c r="U994" i="44"/>
  <c r="S994" i="44"/>
  <c r="Q995" i="44"/>
  <c r="V995" i="44" s="1"/>
  <c r="R995" i="44"/>
  <c r="T995" i="44"/>
  <c r="U995" i="44"/>
  <c r="S995" i="44"/>
  <c r="Q996" i="44"/>
  <c r="V996" i="44" s="1"/>
  <c r="R996" i="44"/>
  <c r="T996" i="44"/>
  <c r="U996" i="44"/>
  <c r="S996" i="44"/>
  <c r="Q997" i="44"/>
  <c r="V997" i="44" s="1"/>
  <c r="R997" i="44"/>
  <c r="T997" i="44"/>
  <c r="U997" i="44"/>
  <c r="S997" i="44"/>
  <c r="Q998" i="44"/>
  <c r="V998" i="44" s="1"/>
  <c r="R998" i="44"/>
  <c r="T998" i="44"/>
  <c r="U998" i="44"/>
  <c r="S998" i="44"/>
  <c r="Q999" i="44"/>
  <c r="V999" i="44" s="1"/>
  <c r="R999" i="44"/>
  <c r="T999" i="44"/>
  <c r="U999" i="44"/>
  <c r="S999" i="44"/>
  <c r="Q1000" i="44"/>
  <c r="V1000" i="44" s="1"/>
  <c r="R1000" i="44"/>
  <c r="T1000" i="44"/>
  <c r="U1000" i="44"/>
  <c r="S1000" i="44"/>
  <c r="Q1001" i="44"/>
  <c r="V1001" i="44" s="1"/>
  <c r="R1001" i="44"/>
  <c r="T1001" i="44"/>
  <c r="U1001" i="44"/>
  <c r="S1001" i="44"/>
  <c r="Q1002" i="44"/>
  <c r="V1002" i="44" s="1"/>
  <c r="R1002" i="44"/>
  <c r="T1002" i="44"/>
  <c r="U1002" i="44"/>
  <c r="S1002" i="44"/>
  <c r="Q1003" i="44"/>
  <c r="V1003" i="44" s="1"/>
  <c r="R1003" i="44"/>
  <c r="T1003" i="44"/>
  <c r="U1003" i="44"/>
  <c r="S1003" i="44"/>
  <c r="Q1004" i="44"/>
  <c r="V1004" i="44" s="1"/>
  <c r="R1004" i="44"/>
  <c r="T1004" i="44"/>
  <c r="U1004" i="44"/>
  <c r="S1004" i="44"/>
  <c r="Q1005" i="44"/>
  <c r="V1005" i="44" s="1"/>
  <c r="R1005" i="44"/>
  <c r="T1005" i="44"/>
  <c r="U1005" i="44"/>
  <c r="S1005" i="44"/>
  <c r="Q1006" i="44"/>
  <c r="V1006" i="44" s="1"/>
  <c r="R1006" i="44"/>
  <c r="T1006" i="44"/>
  <c r="U1006" i="44"/>
  <c r="S1006" i="44"/>
  <c r="Q1007" i="44"/>
  <c r="V1007" i="44" s="1"/>
  <c r="R1007" i="44"/>
  <c r="T1007" i="44"/>
  <c r="U1007" i="44"/>
  <c r="S1007" i="44"/>
  <c r="Q1008" i="44"/>
  <c r="V1008" i="44" s="1"/>
  <c r="R1008" i="44"/>
  <c r="T1008" i="44"/>
  <c r="U1008" i="44"/>
  <c r="S1008" i="44"/>
  <c r="Q1009" i="44"/>
  <c r="V1009" i="44" s="1"/>
  <c r="R1009" i="44"/>
  <c r="T1009" i="44"/>
  <c r="U1009" i="44"/>
  <c r="S1009" i="44"/>
  <c r="Q1010" i="44"/>
  <c r="V1010" i="44" s="1"/>
  <c r="R1010" i="44"/>
  <c r="T1010" i="44"/>
  <c r="U1010" i="44"/>
  <c r="S1010" i="44"/>
  <c r="Q1011" i="44"/>
  <c r="V1011" i="44" s="1"/>
  <c r="R1011" i="44"/>
  <c r="T1011" i="44"/>
  <c r="U1011" i="44"/>
  <c r="S1011" i="44"/>
  <c r="Q1012" i="44"/>
  <c r="V1012" i="44" s="1"/>
  <c r="R1012" i="44"/>
  <c r="T1012" i="44"/>
  <c r="U1012" i="44"/>
  <c r="S1012" i="44"/>
  <c r="Q1013" i="44"/>
  <c r="V1013" i="44" s="1"/>
  <c r="R1013" i="44"/>
  <c r="T1013" i="44"/>
  <c r="U1013" i="44"/>
  <c r="S1013" i="44"/>
  <c r="Q1014" i="44"/>
  <c r="V1014" i="44" s="1"/>
  <c r="R1014" i="44"/>
  <c r="T1014" i="44"/>
  <c r="U1014" i="44"/>
  <c r="S1014" i="44"/>
  <c r="Q1015" i="44"/>
  <c r="V1015" i="44" s="1"/>
  <c r="R1015" i="44"/>
  <c r="T1015" i="44"/>
  <c r="U1015" i="44"/>
  <c r="S1015" i="44"/>
  <c r="Q1016" i="44"/>
  <c r="V1016" i="44" s="1"/>
  <c r="R1016" i="44"/>
  <c r="T1016" i="44"/>
  <c r="U1016" i="44"/>
  <c r="S1016" i="44"/>
  <c r="Q1017" i="44"/>
  <c r="V1017" i="44" s="1"/>
  <c r="R1017" i="44"/>
  <c r="T1017" i="44"/>
  <c r="U1017" i="44"/>
  <c r="S1017" i="44"/>
  <c r="Q1018" i="44"/>
  <c r="V1018" i="44" s="1"/>
  <c r="R1018" i="44"/>
  <c r="T1018" i="44"/>
  <c r="U1018" i="44"/>
  <c r="S1018" i="44"/>
  <c r="Q1019" i="44"/>
  <c r="V1019" i="44" s="1"/>
  <c r="R1019" i="44"/>
  <c r="T1019" i="44"/>
  <c r="U1019" i="44"/>
  <c r="S1019" i="44"/>
  <c r="Q1020" i="44"/>
  <c r="V1020" i="44" s="1"/>
  <c r="R1020" i="44"/>
  <c r="T1020" i="44"/>
  <c r="U1020" i="44"/>
  <c r="S1020" i="44"/>
  <c r="Q1021" i="44"/>
  <c r="V1021" i="44" s="1"/>
  <c r="R1021" i="44"/>
  <c r="T1021" i="44"/>
  <c r="U1021" i="44"/>
  <c r="S1021" i="44"/>
  <c r="Q1022" i="44"/>
  <c r="V1022" i="44" s="1"/>
  <c r="R1022" i="44"/>
  <c r="T1022" i="44"/>
  <c r="U1022" i="44"/>
  <c r="S1022" i="44"/>
  <c r="Q1023" i="44"/>
  <c r="V1023" i="44" s="1"/>
  <c r="R1023" i="44"/>
  <c r="T1023" i="44"/>
  <c r="U1023" i="44"/>
  <c r="S1023" i="44"/>
  <c r="Q1024" i="44"/>
  <c r="V1024" i="44" s="1"/>
  <c r="R1024" i="44"/>
  <c r="T1024" i="44"/>
  <c r="U1024" i="44"/>
  <c r="S1024" i="44"/>
  <c r="Q1025" i="44"/>
  <c r="V1025" i="44" s="1"/>
  <c r="R1025" i="44"/>
  <c r="T1025" i="44"/>
  <c r="U1025" i="44"/>
  <c r="S1025" i="44"/>
  <c r="Q1026" i="44"/>
  <c r="V1026" i="44" s="1"/>
  <c r="R1026" i="44"/>
  <c r="T1026" i="44"/>
  <c r="U1026" i="44"/>
  <c r="S1026" i="44"/>
  <c r="Q1027" i="44"/>
  <c r="V1027" i="44" s="1"/>
  <c r="R1027" i="44"/>
  <c r="T1027" i="44"/>
  <c r="U1027" i="44"/>
  <c r="S1027" i="44"/>
  <c r="Q1028" i="44"/>
  <c r="V1028" i="44" s="1"/>
  <c r="R1028" i="44"/>
  <c r="T1028" i="44"/>
  <c r="U1028" i="44"/>
  <c r="S1028" i="44"/>
  <c r="Q1029" i="44"/>
  <c r="V1029" i="44" s="1"/>
  <c r="R1029" i="44"/>
  <c r="T1029" i="44"/>
  <c r="U1029" i="44"/>
  <c r="S1029" i="44"/>
  <c r="Q1030" i="44"/>
  <c r="V1030" i="44" s="1"/>
  <c r="R1030" i="44"/>
  <c r="T1030" i="44"/>
  <c r="U1030" i="44"/>
  <c r="S1030" i="44"/>
  <c r="Q1031" i="44"/>
  <c r="V1031" i="44" s="1"/>
  <c r="R1031" i="44"/>
  <c r="T1031" i="44"/>
  <c r="U1031" i="44"/>
  <c r="S1031" i="44"/>
  <c r="Q1032" i="44"/>
  <c r="V1032" i="44" s="1"/>
  <c r="R1032" i="44"/>
  <c r="T1032" i="44"/>
  <c r="U1032" i="44"/>
  <c r="S1032" i="44"/>
  <c r="Q1033" i="44"/>
  <c r="V1033" i="44" s="1"/>
  <c r="R1033" i="44"/>
  <c r="T1033" i="44"/>
  <c r="U1033" i="44"/>
  <c r="S1033" i="44"/>
  <c r="Q1034" i="44"/>
  <c r="V1034" i="44" s="1"/>
  <c r="R1034" i="44"/>
  <c r="T1034" i="44"/>
  <c r="U1034" i="44"/>
  <c r="S1034" i="44"/>
  <c r="Q1035" i="44"/>
  <c r="V1035" i="44" s="1"/>
  <c r="R1035" i="44"/>
  <c r="T1035" i="44"/>
  <c r="U1035" i="44"/>
  <c r="S1035" i="44"/>
  <c r="Q1036" i="44"/>
  <c r="V1036" i="44" s="1"/>
  <c r="R1036" i="44"/>
  <c r="T1036" i="44"/>
  <c r="U1036" i="44"/>
  <c r="S1036" i="44"/>
  <c r="Q1037" i="44"/>
  <c r="V1037" i="44" s="1"/>
  <c r="R1037" i="44"/>
  <c r="T1037" i="44"/>
  <c r="U1037" i="44"/>
  <c r="S1037" i="44"/>
  <c r="Q1038" i="44"/>
  <c r="V1038" i="44" s="1"/>
  <c r="R1038" i="44"/>
  <c r="T1038" i="44"/>
  <c r="U1038" i="44"/>
  <c r="S1038" i="44"/>
  <c r="Q1039" i="44"/>
  <c r="V1039" i="44" s="1"/>
  <c r="R1039" i="44"/>
  <c r="T1039" i="44"/>
  <c r="U1039" i="44"/>
  <c r="S1039" i="44"/>
  <c r="Q1040" i="44"/>
  <c r="V1040" i="44" s="1"/>
  <c r="R1040" i="44"/>
  <c r="T1040" i="44"/>
  <c r="U1040" i="44"/>
  <c r="S1040" i="44"/>
  <c r="Q1041" i="44"/>
  <c r="V1041" i="44" s="1"/>
  <c r="R1041" i="44"/>
  <c r="T1041" i="44"/>
  <c r="U1041" i="44"/>
  <c r="S1041" i="44"/>
  <c r="Q1042" i="44"/>
  <c r="V1042" i="44" s="1"/>
  <c r="R1042" i="44"/>
  <c r="T1042" i="44"/>
  <c r="U1042" i="44"/>
  <c r="S1042" i="44"/>
  <c r="Q1043" i="44"/>
  <c r="V1043" i="44" s="1"/>
  <c r="R1043" i="44"/>
  <c r="T1043" i="44"/>
  <c r="U1043" i="44"/>
  <c r="S1043" i="44"/>
  <c r="Q1044" i="44"/>
  <c r="V1044" i="44" s="1"/>
  <c r="R1044" i="44"/>
  <c r="T1044" i="44"/>
  <c r="U1044" i="44"/>
  <c r="S1044" i="44"/>
  <c r="Q1045" i="44"/>
  <c r="V1045" i="44" s="1"/>
  <c r="R1045" i="44"/>
  <c r="T1045" i="44"/>
  <c r="U1045" i="44"/>
  <c r="S1045" i="44"/>
  <c r="Q1046" i="44"/>
  <c r="V1046" i="44" s="1"/>
  <c r="R1046" i="44"/>
  <c r="T1046" i="44"/>
  <c r="U1046" i="44"/>
  <c r="S1046" i="44"/>
  <c r="Q1047" i="44"/>
  <c r="V1047" i="44" s="1"/>
  <c r="R1047" i="44"/>
  <c r="T1047" i="44"/>
  <c r="U1047" i="44"/>
  <c r="S1047" i="44"/>
  <c r="Q1048" i="44"/>
  <c r="V1048" i="44" s="1"/>
  <c r="R1048" i="44"/>
  <c r="T1048" i="44"/>
  <c r="U1048" i="44"/>
  <c r="S1048" i="44"/>
  <c r="Q1049" i="44"/>
  <c r="V1049" i="44" s="1"/>
  <c r="R1049" i="44"/>
  <c r="T1049" i="44"/>
  <c r="U1049" i="44"/>
  <c r="S1049" i="44"/>
  <c r="Q1050" i="44"/>
  <c r="V1050" i="44" s="1"/>
  <c r="R1050" i="44"/>
  <c r="T1050" i="44"/>
  <c r="U1050" i="44"/>
  <c r="S1050" i="44"/>
  <c r="Q1051" i="44"/>
  <c r="V1051" i="44" s="1"/>
  <c r="R1051" i="44"/>
  <c r="T1051" i="44"/>
  <c r="U1051" i="44"/>
  <c r="S1051" i="44"/>
  <c r="Q1052" i="44"/>
  <c r="V1052" i="44" s="1"/>
  <c r="R1052" i="44"/>
  <c r="T1052" i="44"/>
  <c r="U1052" i="44"/>
  <c r="S1052" i="44"/>
  <c r="Q1053" i="44"/>
  <c r="V1053" i="44" s="1"/>
  <c r="R1053" i="44"/>
  <c r="T1053" i="44"/>
  <c r="U1053" i="44"/>
  <c r="S1053" i="44"/>
  <c r="Q1054" i="44"/>
  <c r="V1054" i="44" s="1"/>
  <c r="R1054" i="44"/>
  <c r="T1054" i="44"/>
  <c r="U1054" i="44"/>
  <c r="S1054" i="44"/>
  <c r="Q1055" i="44"/>
  <c r="V1055" i="44" s="1"/>
  <c r="R1055" i="44"/>
  <c r="T1055" i="44"/>
  <c r="U1055" i="44"/>
  <c r="S1055" i="44"/>
  <c r="Q1056" i="44"/>
  <c r="V1056" i="44" s="1"/>
  <c r="R1056" i="44"/>
  <c r="T1056" i="44"/>
  <c r="U1056" i="44"/>
  <c r="S1056" i="44"/>
  <c r="Q1057" i="44"/>
  <c r="V1057" i="44" s="1"/>
  <c r="R1057" i="44"/>
  <c r="T1057" i="44"/>
  <c r="U1057" i="44"/>
  <c r="S1057" i="44"/>
  <c r="Q1058" i="44"/>
  <c r="V1058" i="44" s="1"/>
  <c r="R1058" i="44"/>
  <c r="T1058" i="44"/>
  <c r="U1058" i="44"/>
  <c r="S1058" i="44"/>
  <c r="Q1059" i="44"/>
  <c r="V1059" i="44" s="1"/>
  <c r="R1059" i="44"/>
  <c r="T1059" i="44"/>
  <c r="U1059" i="44"/>
  <c r="S1059" i="44"/>
  <c r="Q1060" i="44"/>
  <c r="V1060" i="44" s="1"/>
  <c r="R1060" i="44"/>
  <c r="T1060" i="44"/>
  <c r="U1060" i="44"/>
  <c r="S1060" i="44"/>
  <c r="Q1061" i="44"/>
  <c r="V1061" i="44" s="1"/>
  <c r="R1061" i="44"/>
  <c r="T1061" i="44"/>
  <c r="U1061" i="44"/>
  <c r="S1061" i="44"/>
  <c r="Q1062" i="44"/>
  <c r="V1062" i="44" s="1"/>
  <c r="R1062" i="44"/>
  <c r="T1062" i="44"/>
  <c r="U1062" i="44"/>
  <c r="S1062" i="44"/>
  <c r="Q1063" i="44"/>
  <c r="V1063" i="44" s="1"/>
  <c r="R1063" i="44"/>
  <c r="T1063" i="44"/>
  <c r="U1063" i="44"/>
  <c r="S1063" i="44"/>
  <c r="Q1064" i="44"/>
  <c r="V1064" i="44" s="1"/>
  <c r="R1064" i="44"/>
  <c r="T1064" i="44"/>
  <c r="U1064" i="44"/>
  <c r="S1064" i="44"/>
  <c r="Q1065" i="44"/>
  <c r="V1065" i="44" s="1"/>
  <c r="R1065" i="44"/>
  <c r="T1065" i="44"/>
  <c r="U1065" i="44"/>
  <c r="S1065" i="44"/>
  <c r="Q1066" i="44"/>
  <c r="V1066" i="44" s="1"/>
  <c r="R1066" i="44"/>
  <c r="T1066" i="44"/>
  <c r="U1066" i="44"/>
  <c r="S1066" i="44"/>
  <c r="Q1067" i="44"/>
  <c r="V1067" i="44" s="1"/>
  <c r="R1067" i="44"/>
  <c r="T1067" i="44"/>
  <c r="U1067" i="44"/>
  <c r="S1067" i="44"/>
  <c r="Q1068" i="44"/>
  <c r="V1068" i="44" s="1"/>
  <c r="R1068" i="44"/>
  <c r="T1068" i="44"/>
  <c r="U1068" i="44"/>
  <c r="S1068" i="44"/>
  <c r="Q1069" i="44"/>
  <c r="V1069" i="44" s="1"/>
  <c r="R1069" i="44"/>
  <c r="T1069" i="44"/>
  <c r="U1069" i="44"/>
  <c r="S1069" i="44"/>
  <c r="Q1070" i="44"/>
  <c r="V1070" i="44" s="1"/>
  <c r="R1070" i="44"/>
  <c r="T1070" i="44"/>
  <c r="U1070" i="44"/>
  <c r="S1070" i="44"/>
  <c r="Q1071" i="44"/>
  <c r="V1071" i="44" s="1"/>
  <c r="R1071" i="44"/>
  <c r="T1071" i="44"/>
  <c r="U1071" i="44"/>
  <c r="S1071" i="44"/>
  <c r="Q1072" i="44"/>
  <c r="V1072" i="44" s="1"/>
  <c r="R1072" i="44"/>
  <c r="T1072" i="44"/>
  <c r="U1072" i="44"/>
  <c r="S1072" i="44"/>
  <c r="Q1073" i="44"/>
  <c r="V1073" i="44" s="1"/>
  <c r="R1073" i="44"/>
  <c r="T1073" i="44"/>
  <c r="U1073" i="44"/>
  <c r="S1073" i="44"/>
  <c r="Q1074" i="44"/>
  <c r="V1074" i="44" s="1"/>
  <c r="R1074" i="44"/>
  <c r="T1074" i="44"/>
  <c r="U1074" i="44"/>
  <c r="S1074" i="44"/>
  <c r="Q1075" i="44"/>
  <c r="V1075" i="44" s="1"/>
  <c r="R1075" i="44"/>
  <c r="T1075" i="44"/>
  <c r="U1075" i="44"/>
  <c r="S1075" i="44"/>
  <c r="Q1076" i="44"/>
  <c r="V1076" i="44" s="1"/>
  <c r="R1076" i="44"/>
  <c r="T1076" i="44"/>
  <c r="U1076" i="44"/>
  <c r="S1076" i="44"/>
  <c r="Q1077" i="44"/>
  <c r="V1077" i="44" s="1"/>
  <c r="R1077" i="44"/>
  <c r="T1077" i="44"/>
  <c r="U1077" i="44"/>
  <c r="S1077" i="44"/>
  <c r="Q1078" i="44"/>
  <c r="V1078" i="44" s="1"/>
  <c r="R1078" i="44"/>
  <c r="T1078" i="44"/>
  <c r="U1078" i="44"/>
  <c r="S1078" i="44"/>
  <c r="Q1079" i="44"/>
  <c r="V1079" i="44" s="1"/>
  <c r="R1079" i="44"/>
  <c r="T1079" i="44"/>
  <c r="U1079" i="44"/>
  <c r="S1079" i="44"/>
  <c r="Q1080" i="44"/>
  <c r="V1080" i="44" s="1"/>
  <c r="R1080" i="44"/>
  <c r="T1080" i="44"/>
  <c r="U1080" i="44"/>
  <c r="S1080" i="44"/>
  <c r="Q1081" i="44"/>
  <c r="V1081" i="44" s="1"/>
  <c r="R1081" i="44"/>
  <c r="T1081" i="44"/>
  <c r="U1081" i="44"/>
  <c r="S1081" i="44"/>
  <c r="Q1082" i="44"/>
  <c r="V1082" i="44" s="1"/>
  <c r="R1082" i="44"/>
  <c r="T1082" i="44"/>
  <c r="U1082" i="44"/>
  <c r="S1082" i="44"/>
  <c r="Q1083" i="44"/>
  <c r="V1083" i="44" s="1"/>
  <c r="R1083" i="44"/>
  <c r="T1083" i="44"/>
  <c r="U1083" i="44"/>
  <c r="S1083" i="44"/>
  <c r="Q1084" i="44"/>
  <c r="V1084" i="44" s="1"/>
  <c r="R1084" i="44"/>
  <c r="T1084" i="44"/>
  <c r="U1084" i="44"/>
  <c r="S1084" i="44"/>
  <c r="Q1085" i="44"/>
  <c r="V1085" i="44" s="1"/>
  <c r="R1085" i="44"/>
  <c r="T1085" i="44"/>
  <c r="U1085" i="44"/>
  <c r="S1085" i="44"/>
  <c r="Q1086" i="44"/>
  <c r="V1086" i="44" s="1"/>
  <c r="R1086" i="44"/>
  <c r="T1086" i="44"/>
  <c r="U1086" i="44"/>
  <c r="S1086" i="44"/>
  <c r="Q1087" i="44"/>
  <c r="V1087" i="44" s="1"/>
  <c r="R1087" i="44"/>
  <c r="T1087" i="44"/>
  <c r="U1087" i="44"/>
  <c r="S1087" i="44"/>
  <c r="Q1088" i="44"/>
  <c r="V1088" i="44" s="1"/>
  <c r="R1088" i="44"/>
  <c r="T1088" i="44"/>
  <c r="U1088" i="44"/>
  <c r="S1088" i="44"/>
  <c r="Q1089" i="44"/>
  <c r="V1089" i="44" s="1"/>
  <c r="R1089" i="44"/>
  <c r="T1089" i="44"/>
  <c r="U1089" i="44"/>
  <c r="S1089" i="44"/>
  <c r="Q1090" i="44"/>
  <c r="V1090" i="44" s="1"/>
  <c r="R1090" i="44"/>
  <c r="T1090" i="44"/>
  <c r="U1090" i="44"/>
  <c r="S1090" i="44"/>
  <c r="Q1091" i="44"/>
  <c r="V1091" i="44" s="1"/>
  <c r="R1091" i="44"/>
  <c r="T1091" i="44"/>
  <c r="U1091" i="44"/>
  <c r="S1091" i="44"/>
  <c r="Q1092" i="44"/>
  <c r="V1092" i="44" s="1"/>
  <c r="R1092" i="44"/>
  <c r="T1092" i="44"/>
  <c r="U1092" i="44"/>
  <c r="S1092" i="44"/>
  <c r="Q1093" i="44"/>
  <c r="V1093" i="44" s="1"/>
  <c r="R1093" i="44"/>
  <c r="T1093" i="44"/>
  <c r="U1093" i="44"/>
  <c r="S1093" i="44"/>
  <c r="Q1094" i="44"/>
  <c r="V1094" i="44" s="1"/>
  <c r="R1094" i="44"/>
  <c r="T1094" i="44"/>
  <c r="U1094" i="44"/>
  <c r="S1094" i="44"/>
  <c r="Q1095" i="44"/>
  <c r="V1095" i="44" s="1"/>
  <c r="R1095" i="44"/>
  <c r="T1095" i="44"/>
  <c r="U1095" i="44"/>
  <c r="S1095" i="44"/>
  <c r="Q1096" i="44"/>
  <c r="V1096" i="44" s="1"/>
  <c r="R1096" i="44"/>
  <c r="T1096" i="44"/>
  <c r="U1096" i="44"/>
  <c r="S1096" i="44"/>
  <c r="Q1097" i="44"/>
  <c r="V1097" i="44" s="1"/>
  <c r="R1097" i="44"/>
  <c r="T1097" i="44"/>
  <c r="U1097" i="44"/>
  <c r="S1097" i="44"/>
  <c r="Q1098" i="44"/>
  <c r="V1098" i="44" s="1"/>
  <c r="R1098" i="44"/>
  <c r="T1098" i="44"/>
  <c r="U1098" i="44"/>
  <c r="S1098" i="44"/>
  <c r="Q1099" i="44"/>
  <c r="V1099" i="44" s="1"/>
  <c r="R1099" i="44"/>
  <c r="T1099" i="44"/>
  <c r="U1099" i="44"/>
  <c r="S1099" i="44"/>
  <c r="Q1100" i="44"/>
  <c r="V1100" i="44" s="1"/>
  <c r="R1100" i="44"/>
  <c r="T1100" i="44"/>
  <c r="U1100" i="44"/>
  <c r="S1100" i="44"/>
  <c r="Q1101" i="44"/>
  <c r="V1101" i="44" s="1"/>
  <c r="R1101" i="44"/>
  <c r="T1101" i="44"/>
  <c r="U1101" i="44"/>
  <c r="S1101" i="44"/>
  <c r="Q1102" i="44"/>
  <c r="V1102" i="44" s="1"/>
  <c r="R1102" i="44"/>
  <c r="T1102" i="44"/>
  <c r="U1102" i="44"/>
  <c r="S1102" i="44"/>
  <c r="Q1103" i="44"/>
  <c r="V1103" i="44" s="1"/>
  <c r="R1103" i="44"/>
  <c r="T1103" i="44"/>
  <c r="U1103" i="44"/>
  <c r="S1103" i="44"/>
  <c r="Q1104" i="44"/>
  <c r="V1104" i="44" s="1"/>
  <c r="R1104" i="44"/>
  <c r="T1104" i="44"/>
  <c r="U1104" i="44"/>
  <c r="S1104" i="44"/>
  <c r="Q1105" i="44"/>
  <c r="V1105" i="44" s="1"/>
  <c r="R1105" i="44"/>
  <c r="T1105" i="44"/>
  <c r="U1105" i="44"/>
  <c r="S1105" i="44"/>
  <c r="Q1106" i="44"/>
  <c r="V1106" i="44" s="1"/>
  <c r="R1106" i="44"/>
  <c r="T1106" i="44"/>
  <c r="U1106" i="44"/>
  <c r="S1106" i="44"/>
  <c r="Q1107" i="44"/>
  <c r="V1107" i="44" s="1"/>
  <c r="R1107" i="44"/>
  <c r="T1107" i="44"/>
  <c r="U1107" i="44"/>
  <c r="S1107" i="44"/>
  <c r="Q1108" i="44"/>
  <c r="V1108" i="44" s="1"/>
  <c r="R1108" i="44"/>
  <c r="T1108" i="44"/>
  <c r="U1108" i="44"/>
  <c r="S1108" i="44"/>
  <c r="Q1109" i="44"/>
  <c r="V1109" i="44" s="1"/>
  <c r="R1109" i="44"/>
  <c r="T1109" i="44"/>
  <c r="U1109" i="44"/>
  <c r="S1109" i="44"/>
  <c r="Q1110" i="44"/>
  <c r="V1110" i="44" s="1"/>
  <c r="R1110" i="44"/>
  <c r="T1110" i="44"/>
  <c r="U1110" i="44"/>
  <c r="S1110" i="44"/>
  <c r="Q1111" i="44"/>
  <c r="V1111" i="44" s="1"/>
  <c r="R1111" i="44"/>
  <c r="T1111" i="44"/>
  <c r="U1111" i="44"/>
  <c r="S1111" i="44"/>
  <c r="Q1112" i="44"/>
  <c r="V1112" i="44" s="1"/>
  <c r="R1112" i="44"/>
  <c r="T1112" i="44"/>
  <c r="U1112" i="44"/>
  <c r="S1112" i="44"/>
  <c r="Q1113" i="44"/>
  <c r="V1113" i="44" s="1"/>
  <c r="R1113" i="44"/>
  <c r="T1113" i="44"/>
  <c r="U1113" i="44"/>
  <c r="S1113" i="44"/>
  <c r="Q1114" i="44"/>
  <c r="V1114" i="44" s="1"/>
  <c r="R1114" i="44"/>
  <c r="T1114" i="44"/>
  <c r="U1114" i="44"/>
  <c r="S1114" i="44"/>
  <c r="Q1115" i="44"/>
  <c r="V1115" i="44" s="1"/>
  <c r="R1115" i="44"/>
  <c r="T1115" i="44"/>
  <c r="U1115" i="44"/>
  <c r="S1115" i="44"/>
  <c r="Q1116" i="44"/>
  <c r="V1116" i="44" s="1"/>
  <c r="R1116" i="44"/>
  <c r="T1116" i="44"/>
  <c r="U1116" i="44"/>
  <c r="S1116" i="44"/>
  <c r="Q1117" i="44"/>
  <c r="V1117" i="44" s="1"/>
  <c r="R1117" i="44"/>
  <c r="T1117" i="44"/>
  <c r="U1117" i="44"/>
  <c r="S1117" i="44"/>
  <c r="Q1118" i="44"/>
  <c r="V1118" i="44" s="1"/>
  <c r="R1118" i="44"/>
  <c r="T1118" i="44"/>
  <c r="U1118" i="44"/>
  <c r="S1118" i="44"/>
  <c r="Q1119" i="44"/>
  <c r="V1119" i="44" s="1"/>
  <c r="R1119" i="44"/>
  <c r="T1119" i="44"/>
  <c r="U1119" i="44"/>
  <c r="S1119" i="44"/>
  <c r="Q1120" i="44"/>
  <c r="V1120" i="44" s="1"/>
  <c r="R1120" i="44"/>
  <c r="T1120" i="44"/>
  <c r="U1120" i="44"/>
  <c r="S1120" i="44"/>
  <c r="Q1121" i="44"/>
  <c r="V1121" i="44" s="1"/>
  <c r="R1121" i="44"/>
  <c r="T1121" i="44"/>
  <c r="U1121" i="44"/>
  <c r="S1121" i="44"/>
  <c r="Q1122" i="44"/>
  <c r="V1122" i="44" s="1"/>
  <c r="R1122" i="44"/>
  <c r="T1122" i="44"/>
  <c r="U1122" i="44"/>
  <c r="S1122" i="44"/>
  <c r="Q1123" i="44"/>
  <c r="V1123" i="44" s="1"/>
  <c r="R1123" i="44"/>
  <c r="T1123" i="44"/>
  <c r="U1123" i="44"/>
  <c r="S1123" i="44"/>
  <c r="Q1124" i="44"/>
  <c r="V1124" i="44" s="1"/>
  <c r="R1124" i="44"/>
  <c r="T1124" i="44"/>
  <c r="U1124" i="44"/>
  <c r="S1124" i="44"/>
  <c r="Q1125" i="44"/>
  <c r="V1125" i="44" s="1"/>
  <c r="R1125" i="44"/>
  <c r="T1125" i="44"/>
  <c r="U1125" i="44"/>
  <c r="S1125" i="44"/>
  <c r="Q1126" i="44"/>
  <c r="V1126" i="44" s="1"/>
  <c r="R1126" i="44"/>
  <c r="T1126" i="44"/>
  <c r="U1126" i="44"/>
  <c r="S1126" i="44"/>
  <c r="Q1127" i="44"/>
  <c r="V1127" i="44" s="1"/>
  <c r="R1127" i="44"/>
  <c r="T1127" i="44"/>
  <c r="U1127" i="44"/>
  <c r="S1127" i="44"/>
  <c r="Q1128" i="44"/>
  <c r="V1128" i="44" s="1"/>
  <c r="R1128" i="44"/>
  <c r="T1128" i="44"/>
  <c r="U1128" i="44"/>
  <c r="S1128" i="44"/>
  <c r="Q1129" i="44"/>
  <c r="V1129" i="44" s="1"/>
  <c r="R1129" i="44"/>
  <c r="T1129" i="44"/>
  <c r="U1129" i="44"/>
  <c r="S1129" i="44"/>
  <c r="Q1130" i="44"/>
  <c r="V1130" i="44" s="1"/>
  <c r="R1130" i="44"/>
  <c r="T1130" i="44"/>
  <c r="U1130" i="44"/>
  <c r="S1130" i="44"/>
  <c r="Q1131" i="44"/>
  <c r="V1131" i="44" s="1"/>
  <c r="R1131" i="44"/>
  <c r="T1131" i="44"/>
  <c r="U1131" i="44"/>
  <c r="S1131" i="44"/>
  <c r="Q1132" i="44"/>
  <c r="V1132" i="44" s="1"/>
  <c r="R1132" i="44"/>
  <c r="T1132" i="44"/>
  <c r="U1132" i="44"/>
  <c r="S1132" i="44"/>
  <c r="Q1133" i="44"/>
  <c r="V1133" i="44" s="1"/>
  <c r="R1133" i="44"/>
  <c r="T1133" i="44"/>
  <c r="U1133" i="44"/>
  <c r="S1133" i="44"/>
  <c r="Q1134" i="44"/>
  <c r="V1134" i="44" s="1"/>
  <c r="R1134" i="44"/>
  <c r="T1134" i="44"/>
  <c r="U1134" i="44"/>
  <c r="S1134" i="44"/>
  <c r="Q1135" i="44"/>
  <c r="V1135" i="44" s="1"/>
  <c r="R1135" i="44"/>
  <c r="T1135" i="44"/>
  <c r="U1135" i="44"/>
  <c r="S1135" i="44"/>
  <c r="Q1136" i="44"/>
  <c r="V1136" i="44" s="1"/>
  <c r="R1136" i="44"/>
  <c r="T1136" i="44"/>
  <c r="U1136" i="44"/>
  <c r="S1136" i="44"/>
  <c r="Q1137" i="44"/>
  <c r="V1137" i="44" s="1"/>
  <c r="R1137" i="44"/>
  <c r="T1137" i="44"/>
  <c r="U1137" i="44"/>
  <c r="S1137" i="44"/>
  <c r="Q1138" i="44"/>
  <c r="V1138" i="44" s="1"/>
  <c r="R1138" i="44"/>
  <c r="T1138" i="44"/>
  <c r="U1138" i="44"/>
  <c r="S1138" i="44"/>
  <c r="Q1139" i="44"/>
  <c r="V1139" i="44" s="1"/>
  <c r="R1139" i="44"/>
  <c r="T1139" i="44"/>
  <c r="U1139" i="44"/>
  <c r="S1139" i="44"/>
  <c r="Q1140" i="44"/>
  <c r="V1140" i="44" s="1"/>
  <c r="R1140" i="44"/>
  <c r="T1140" i="44"/>
  <c r="U1140" i="44"/>
  <c r="S1140" i="44"/>
  <c r="Q1141" i="44"/>
  <c r="V1141" i="44" s="1"/>
  <c r="R1141" i="44"/>
  <c r="T1141" i="44"/>
  <c r="U1141" i="44"/>
  <c r="S1141" i="44"/>
  <c r="Q1142" i="44"/>
  <c r="V1142" i="44" s="1"/>
  <c r="R1142" i="44"/>
  <c r="T1142" i="44"/>
  <c r="U1142" i="44"/>
  <c r="S1142" i="44"/>
  <c r="Q1143" i="44"/>
  <c r="V1143" i="44" s="1"/>
  <c r="R1143" i="44"/>
  <c r="T1143" i="44"/>
  <c r="U1143" i="44"/>
  <c r="S1143" i="44"/>
  <c r="Q1144" i="44"/>
  <c r="V1144" i="44" s="1"/>
  <c r="R1144" i="44"/>
  <c r="T1144" i="44"/>
  <c r="U1144" i="44"/>
  <c r="S1144" i="44"/>
  <c r="Q1145" i="44"/>
  <c r="V1145" i="44" s="1"/>
  <c r="R1145" i="44"/>
  <c r="T1145" i="44"/>
  <c r="U1145" i="44"/>
  <c r="S1145" i="44"/>
  <c r="Q1146" i="44"/>
  <c r="V1146" i="44" s="1"/>
  <c r="R1146" i="44"/>
  <c r="T1146" i="44"/>
  <c r="U1146" i="44"/>
  <c r="S1146" i="44"/>
  <c r="Q1147" i="44"/>
  <c r="V1147" i="44" s="1"/>
  <c r="R1147" i="44"/>
  <c r="T1147" i="44"/>
  <c r="U1147" i="44"/>
  <c r="S1147" i="44"/>
  <c r="Q1148" i="44"/>
  <c r="V1148" i="44" s="1"/>
  <c r="R1148" i="44"/>
  <c r="T1148" i="44"/>
  <c r="U1148" i="44"/>
  <c r="S1148" i="44"/>
  <c r="Q1149" i="44"/>
  <c r="V1149" i="44" s="1"/>
  <c r="R1149" i="44"/>
  <c r="T1149" i="44"/>
  <c r="U1149" i="44"/>
  <c r="S1149" i="44"/>
  <c r="Q1150" i="44"/>
  <c r="V1150" i="44" s="1"/>
  <c r="R1150" i="44"/>
  <c r="T1150" i="44"/>
  <c r="U1150" i="44"/>
  <c r="S1150" i="44"/>
  <c r="Q1151" i="44"/>
  <c r="V1151" i="44" s="1"/>
  <c r="R1151" i="44"/>
  <c r="T1151" i="44"/>
  <c r="U1151" i="44"/>
  <c r="S1151" i="44"/>
  <c r="Q1152" i="44"/>
  <c r="V1152" i="44" s="1"/>
  <c r="R1152" i="44"/>
  <c r="T1152" i="44"/>
  <c r="U1152" i="44"/>
  <c r="S1152" i="44"/>
  <c r="Q1153" i="44"/>
  <c r="V1153" i="44" s="1"/>
  <c r="R1153" i="44"/>
  <c r="T1153" i="44"/>
  <c r="U1153" i="44"/>
  <c r="S1153" i="44"/>
  <c r="Q1154" i="44"/>
  <c r="V1154" i="44" s="1"/>
  <c r="R1154" i="44"/>
  <c r="T1154" i="44"/>
  <c r="U1154" i="44"/>
  <c r="S1154" i="44"/>
  <c r="Q1155" i="44"/>
  <c r="V1155" i="44" s="1"/>
  <c r="R1155" i="44"/>
  <c r="T1155" i="44"/>
  <c r="U1155" i="44"/>
  <c r="S1155" i="44"/>
  <c r="Q1156" i="44"/>
  <c r="V1156" i="44" s="1"/>
  <c r="R1156" i="44"/>
  <c r="T1156" i="44"/>
  <c r="U1156" i="44"/>
  <c r="S1156" i="44"/>
  <c r="Q1157" i="44"/>
  <c r="V1157" i="44" s="1"/>
  <c r="R1157" i="44"/>
  <c r="T1157" i="44"/>
  <c r="U1157" i="44"/>
  <c r="S1157" i="44"/>
  <c r="Q1158" i="44"/>
  <c r="V1158" i="44" s="1"/>
  <c r="R1158" i="44"/>
  <c r="T1158" i="44"/>
  <c r="U1158" i="44"/>
  <c r="S1158" i="44"/>
  <c r="Q1159" i="44"/>
  <c r="V1159" i="44" s="1"/>
  <c r="R1159" i="44"/>
  <c r="T1159" i="44"/>
  <c r="U1159" i="44"/>
  <c r="S1159" i="44"/>
  <c r="Q1160" i="44"/>
  <c r="V1160" i="44" s="1"/>
  <c r="R1160" i="44"/>
  <c r="T1160" i="44"/>
  <c r="U1160" i="44"/>
  <c r="S1160" i="44"/>
  <c r="Q1161" i="44"/>
  <c r="V1161" i="44" s="1"/>
  <c r="R1161" i="44"/>
  <c r="T1161" i="44"/>
  <c r="U1161" i="44"/>
  <c r="S1161" i="44"/>
  <c r="T5" i="44"/>
  <c r="T7" i="44"/>
  <c r="S7" i="44"/>
  <c r="U7" i="44"/>
  <c r="R7" i="44"/>
  <c r="Q7" i="44"/>
  <c r="S5" i="44"/>
  <c r="U5" i="44"/>
  <c r="R5" i="44"/>
  <c r="Q5" i="44"/>
  <c r="V5" i="44" s="1"/>
  <c r="R1" i="34"/>
  <c r="J628" i="31"/>
  <c r="J627" i="31"/>
  <c r="J623" i="31"/>
  <c r="J625" i="31"/>
  <c r="J626" i="31"/>
  <c r="J624" i="31"/>
  <c r="J620" i="31"/>
  <c r="J621" i="31"/>
  <c r="J622" i="31"/>
  <c r="J619" i="31"/>
  <c r="J618" i="31"/>
  <c r="J617" i="31"/>
  <c r="J616" i="31"/>
  <c r="J615" i="31"/>
  <c r="J614" i="31"/>
  <c r="J613" i="31"/>
  <c r="J611" i="31"/>
  <c r="J612" i="31"/>
  <c r="J610" i="31"/>
  <c r="J602" i="31"/>
  <c r="J603" i="31"/>
  <c r="J604" i="31"/>
  <c r="J605" i="31"/>
  <c r="J606" i="31"/>
  <c r="J607" i="31"/>
  <c r="J608" i="31"/>
  <c r="J609" i="31"/>
  <c r="J601" i="31"/>
  <c r="J600" i="31"/>
  <c r="J599" i="31"/>
  <c r="J598" i="31"/>
  <c r="J596" i="31"/>
  <c r="J597" i="31"/>
  <c r="J595" i="31"/>
  <c r="J593" i="31"/>
  <c r="J594" i="31"/>
  <c r="J591" i="31"/>
  <c r="J592" i="31"/>
  <c r="J589" i="31"/>
  <c r="J590" i="31"/>
  <c r="L11" i="38"/>
  <c r="L13" i="38"/>
  <c r="O10" i="34"/>
  <c r="O13" i="34"/>
  <c r="O14" i="34"/>
  <c r="O16" i="34"/>
  <c r="O17" i="34"/>
  <c r="O18" i="34"/>
  <c r="O19" i="34"/>
  <c r="O20" i="34"/>
  <c r="I1002" i="34"/>
  <c r="J1002" i="34" s="1"/>
  <c r="I1003" i="34"/>
  <c r="J1003" i="34" s="1"/>
  <c r="I1004" i="34"/>
  <c r="J1004" i="34" s="1"/>
  <c r="I1005" i="34"/>
  <c r="J1005" i="34" s="1"/>
  <c r="D1002" i="34"/>
  <c r="E1002" i="34" s="1"/>
  <c r="D1003" i="34"/>
  <c r="E1003" i="34" s="1"/>
  <c r="D1004" i="34"/>
  <c r="E1004" i="34" s="1"/>
  <c r="D1005" i="34"/>
  <c r="E1005" i="34" s="1"/>
  <c r="I1001" i="34"/>
  <c r="J1001" i="34" s="1"/>
  <c r="I1000" i="34"/>
  <c r="J1000" i="34" s="1"/>
  <c r="I999" i="34"/>
  <c r="J999" i="34" s="1"/>
  <c r="I998" i="34"/>
  <c r="J998" i="34" s="1"/>
  <c r="I997" i="34"/>
  <c r="J997" i="34" s="1"/>
  <c r="I996" i="34"/>
  <c r="J996" i="34" s="1"/>
  <c r="I995" i="34"/>
  <c r="J995" i="34" s="1"/>
  <c r="I994" i="34"/>
  <c r="J994" i="34" s="1"/>
  <c r="I993" i="34"/>
  <c r="J993" i="34" s="1"/>
  <c r="I992" i="34"/>
  <c r="J992" i="34" s="1"/>
  <c r="I991" i="34"/>
  <c r="J991" i="34" s="1"/>
  <c r="I990" i="34"/>
  <c r="J990" i="34" s="1"/>
  <c r="I989" i="34"/>
  <c r="J989" i="34" s="1"/>
  <c r="I988" i="34"/>
  <c r="J988" i="34" s="1"/>
  <c r="I987" i="34"/>
  <c r="J987" i="34" s="1"/>
  <c r="I986" i="34"/>
  <c r="J986" i="34" s="1"/>
  <c r="I985" i="34"/>
  <c r="J985" i="34" s="1"/>
  <c r="I984" i="34"/>
  <c r="J984" i="34" s="1"/>
  <c r="I983" i="34"/>
  <c r="J983" i="34" s="1"/>
  <c r="I982" i="34"/>
  <c r="J982" i="34" s="1"/>
  <c r="I981" i="34"/>
  <c r="J981" i="34" s="1"/>
  <c r="I980" i="34"/>
  <c r="J980" i="34" s="1"/>
  <c r="I979" i="34"/>
  <c r="J979" i="34" s="1"/>
  <c r="I978" i="34"/>
  <c r="J978" i="34" s="1"/>
  <c r="I977" i="34"/>
  <c r="J977" i="34" s="1"/>
  <c r="I976" i="34"/>
  <c r="J976" i="34" s="1"/>
  <c r="I975" i="34"/>
  <c r="J975" i="34" s="1"/>
  <c r="I974" i="34"/>
  <c r="J974" i="34" s="1"/>
  <c r="I973" i="34"/>
  <c r="J973" i="34" s="1"/>
  <c r="I972" i="34"/>
  <c r="J972" i="34" s="1"/>
  <c r="I971" i="34"/>
  <c r="J971" i="34" s="1"/>
  <c r="I970" i="34"/>
  <c r="J970" i="34" s="1"/>
  <c r="I969" i="34"/>
  <c r="J969" i="34" s="1"/>
  <c r="I968" i="34"/>
  <c r="J968" i="34" s="1"/>
  <c r="I967" i="34"/>
  <c r="J967" i="34" s="1"/>
  <c r="I966" i="34"/>
  <c r="J966" i="34" s="1"/>
  <c r="I965" i="34"/>
  <c r="J965" i="34" s="1"/>
  <c r="I964" i="34"/>
  <c r="J964" i="34" s="1"/>
  <c r="I963" i="34"/>
  <c r="J963" i="34" s="1"/>
  <c r="I962" i="34"/>
  <c r="J962" i="34" s="1"/>
  <c r="I961" i="34"/>
  <c r="J961" i="34" s="1"/>
  <c r="I960" i="34"/>
  <c r="J960" i="34" s="1"/>
  <c r="I959" i="34"/>
  <c r="J959" i="34" s="1"/>
  <c r="I958" i="34"/>
  <c r="J958" i="34" s="1"/>
  <c r="I957" i="34"/>
  <c r="J957" i="34" s="1"/>
  <c r="I956" i="34"/>
  <c r="J956" i="34" s="1"/>
  <c r="I955" i="34"/>
  <c r="J955" i="34" s="1"/>
  <c r="I954" i="34"/>
  <c r="J954" i="34" s="1"/>
  <c r="I953" i="34"/>
  <c r="J953" i="34" s="1"/>
  <c r="I952" i="34"/>
  <c r="J952" i="34" s="1"/>
  <c r="I951" i="34"/>
  <c r="J951" i="34" s="1"/>
  <c r="I950" i="34"/>
  <c r="J950" i="34" s="1"/>
  <c r="I949" i="34"/>
  <c r="J949" i="34" s="1"/>
  <c r="I948" i="34"/>
  <c r="J948" i="34" s="1"/>
  <c r="I947" i="34"/>
  <c r="J947" i="34" s="1"/>
  <c r="I946" i="34"/>
  <c r="J946" i="34" s="1"/>
  <c r="I945" i="34"/>
  <c r="J945" i="34" s="1"/>
  <c r="I944" i="34"/>
  <c r="J944" i="34" s="1"/>
  <c r="I943" i="34"/>
  <c r="J943" i="34" s="1"/>
  <c r="I942" i="34"/>
  <c r="J942" i="34" s="1"/>
  <c r="I941" i="34"/>
  <c r="J941" i="34" s="1"/>
  <c r="I940" i="34"/>
  <c r="J940" i="34" s="1"/>
  <c r="I939" i="34"/>
  <c r="J939" i="34" s="1"/>
  <c r="I938" i="34"/>
  <c r="J938" i="34" s="1"/>
  <c r="I937" i="34"/>
  <c r="J937" i="34" s="1"/>
  <c r="I936" i="34"/>
  <c r="J936" i="34" s="1"/>
  <c r="I935" i="34"/>
  <c r="J935" i="34" s="1"/>
  <c r="I934" i="34"/>
  <c r="J934" i="34" s="1"/>
  <c r="I933" i="34"/>
  <c r="J933" i="34" s="1"/>
  <c r="I932" i="34"/>
  <c r="J932" i="34" s="1"/>
  <c r="I931" i="34"/>
  <c r="J931" i="34" s="1"/>
  <c r="I930" i="34"/>
  <c r="J930" i="34" s="1"/>
  <c r="I929" i="34"/>
  <c r="J929" i="34" s="1"/>
  <c r="I928" i="34"/>
  <c r="J928" i="34" s="1"/>
  <c r="I927" i="34"/>
  <c r="J927" i="34" s="1"/>
  <c r="I926" i="34"/>
  <c r="J926" i="34" s="1"/>
  <c r="I925" i="34"/>
  <c r="J925" i="34" s="1"/>
  <c r="I924" i="34"/>
  <c r="J924" i="34" s="1"/>
  <c r="I923" i="34"/>
  <c r="J923" i="34" s="1"/>
  <c r="I922" i="34"/>
  <c r="J922" i="34" s="1"/>
  <c r="I921" i="34"/>
  <c r="J921" i="34" s="1"/>
  <c r="I920" i="34"/>
  <c r="J920" i="34" s="1"/>
  <c r="I919" i="34"/>
  <c r="J919" i="34" s="1"/>
  <c r="I918" i="34"/>
  <c r="J918" i="34" s="1"/>
  <c r="I917" i="34"/>
  <c r="J917" i="34" s="1"/>
  <c r="I916" i="34"/>
  <c r="J916" i="34" s="1"/>
  <c r="I915" i="34"/>
  <c r="J915" i="34" s="1"/>
  <c r="I914" i="34"/>
  <c r="J914" i="34" s="1"/>
  <c r="I913" i="34"/>
  <c r="J913" i="34" s="1"/>
  <c r="I912" i="34"/>
  <c r="J912" i="34" s="1"/>
  <c r="I911" i="34"/>
  <c r="J911" i="34" s="1"/>
  <c r="I910" i="34"/>
  <c r="J910" i="34" s="1"/>
  <c r="I909" i="34"/>
  <c r="J909" i="34" s="1"/>
  <c r="I908" i="34"/>
  <c r="J908" i="34" s="1"/>
  <c r="I907" i="34"/>
  <c r="J907" i="34" s="1"/>
  <c r="I906" i="34"/>
  <c r="J906" i="34" s="1"/>
  <c r="I905" i="34"/>
  <c r="J905" i="34" s="1"/>
  <c r="I904" i="34"/>
  <c r="J904" i="34" s="1"/>
  <c r="I903" i="34"/>
  <c r="J903" i="34" s="1"/>
  <c r="I902" i="34"/>
  <c r="J902" i="34" s="1"/>
  <c r="I901" i="34"/>
  <c r="J901" i="34" s="1"/>
  <c r="I900" i="34"/>
  <c r="J900" i="34" s="1"/>
  <c r="I899" i="34"/>
  <c r="J899" i="34" s="1"/>
  <c r="I898" i="34"/>
  <c r="J898" i="34" s="1"/>
  <c r="I897" i="34"/>
  <c r="J897" i="34" s="1"/>
  <c r="I896" i="34"/>
  <c r="J896" i="34" s="1"/>
  <c r="I895" i="34"/>
  <c r="J895" i="34" s="1"/>
  <c r="I894" i="34"/>
  <c r="J894" i="34" s="1"/>
  <c r="I893" i="34"/>
  <c r="J893" i="34" s="1"/>
  <c r="I892" i="34"/>
  <c r="J892" i="34" s="1"/>
  <c r="I891" i="34"/>
  <c r="J891" i="34" s="1"/>
  <c r="I890" i="34"/>
  <c r="J890" i="34" s="1"/>
  <c r="I889" i="34"/>
  <c r="J889" i="34" s="1"/>
  <c r="I888" i="34"/>
  <c r="J888" i="34" s="1"/>
  <c r="I887" i="34"/>
  <c r="J887" i="34" s="1"/>
  <c r="I886" i="34"/>
  <c r="J886" i="34" s="1"/>
  <c r="I885" i="34"/>
  <c r="J885" i="34" s="1"/>
  <c r="I884" i="34"/>
  <c r="J884" i="34" s="1"/>
  <c r="I883" i="34"/>
  <c r="J883" i="34" s="1"/>
  <c r="I882" i="34"/>
  <c r="J882" i="34" s="1"/>
  <c r="I881" i="34"/>
  <c r="J881" i="34" s="1"/>
  <c r="I880" i="34"/>
  <c r="J880" i="34" s="1"/>
  <c r="I879" i="34"/>
  <c r="J879" i="34" s="1"/>
  <c r="I878" i="34"/>
  <c r="J878" i="34" s="1"/>
  <c r="I877" i="34"/>
  <c r="J877" i="34" s="1"/>
  <c r="I876" i="34"/>
  <c r="J876" i="34" s="1"/>
  <c r="I875" i="34"/>
  <c r="J875" i="34" s="1"/>
  <c r="I874" i="34"/>
  <c r="J874" i="34" s="1"/>
  <c r="I873" i="34"/>
  <c r="J873" i="34" s="1"/>
  <c r="I872" i="34"/>
  <c r="J872" i="34" s="1"/>
  <c r="I871" i="34"/>
  <c r="J871" i="34" s="1"/>
  <c r="I870" i="34"/>
  <c r="J870" i="34" s="1"/>
  <c r="I869" i="34"/>
  <c r="J869" i="34" s="1"/>
  <c r="I868" i="34"/>
  <c r="J868" i="34" s="1"/>
  <c r="I867" i="34"/>
  <c r="J867" i="34" s="1"/>
  <c r="I866" i="34"/>
  <c r="J866" i="34" s="1"/>
  <c r="I865" i="34"/>
  <c r="J865" i="34" s="1"/>
  <c r="I864" i="34"/>
  <c r="J864" i="34" s="1"/>
  <c r="I863" i="34"/>
  <c r="J863" i="34" s="1"/>
  <c r="I862" i="34"/>
  <c r="J862" i="34" s="1"/>
  <c r="I861" i="34"/>
  <c r="J861" i="34" s="1"/>
  <c r="I860" i="34"/>
  <c r="J860" i="34" s="1"/>
  <c r="I859" i="34"/>
  <c r="J859" i="34" s="1"/>
  <c r="I858" i="34"/>
  <c r="J858" i="34" s="1"/>
  <c r="I857" i="34"/>
  <c r="J857" i="34" s="1"/>
  <c r="I856" i="34"/>
  <c r="J856" i="34" s="1"/>
  <c r="I855" i="34"/>
  <c r="J855" i="34" s="1"/>
  <c r="I854" i="34"/>
  <c r="J854" i="34" s="1"/>
  <c r="I853" i="34"/>
  <c r="J853" i="34" s="1"/>
  <c r="I852" i="34"/>
  <c r="J852" i="34" s="1"/>
  <c r="I851" i="34"/>
  <c r="J851" i="34" s="1"/>
  <c r="I850" i="34"/>
  <c r="J850" i="34" s="1"/>
  <c r="I849" i="34"/>
  <c r="J849" i="34" s="1"/>
  <c r="I848" i="34"/>
  <c r="J848" i="34" s="1"/>
  <c r="I847" i="34"/>
  <c r="J847" i="34" s="1"/>
  <c r="I846" i="34"/>
  <c r="J846" i="34" s="1"/>
  <c r="I845" i="34"/>
  <c r="J845" i="34" s="1"/>
  <c r="I844" i="34"/>
  <c r="J844" i="34" s="1"/>
  <c r="I843" i="34"/>
  <c r="J843" i="34" s="1"/>
  <c r="I842" i="34"/>
  <c r="J842" i="34" s="1"/>
  <c r="I841" i="34"/>
  <c r="J841" i="34" s="1"/>
  <c r="I840" i="34"/>
  <c r="J840" i="34" s="1"/>
  <c r="I839" i="34"/>
  <c r="J839" i="34" s="1"/>
  <c r="I838" i="34"/>
  <c r="J838" i="34" s="1"/>
  <c r="I837" i="34"/>
  <c r="J837" i="34" s="1"/>
  <c r="I836" i="34"/>
  <c r="J836" i="34" s="1"/>
  <c r="I835" i="34"/>
  <c r="J835" i="34" s="1"/>
  <c r="I834" i="34"/>
  <c r="J834" i="34" s="1"/>
  <c r="I833" i="34"/>
  <c r="J833" i="34" s="1"/>
  <c r="I832" i="34"/>
  <c r="J832" i="34" s="1"/>
  <c r="I831" i="34"/>
  <c r="J831" i="34" s="1"/>
  <c r="I830" i="34"/>
  <c r="J830" i="34" s="1"/>
  <c r="I829" i="34"/>
  <c r="J829" i="34" s="1"/>
  <c r="I828" i="34"/>
  <c r="J828" i="34" s="1"/>
  <c r="I827" i="34"/>
  <c r="J827" i="34" s="1"/>
  <c r="I826" i="34"/>
  <c r="J826" i="34" s="1"/>
  <c r="I825" i="34"/>
  <c r="J825" i="34" s="1"/>
  <c r="I824" i="34"/>
  <c r="J824" i="34" s="1"/>
  <c r="I823" i="34"/>
  <c r="J823" i="34" s="1"/>
  <c r="I822" i="34"/>
  <c r="J822" i="34" s="1"/>
  <c r="I821" i="34"/>
  <c r="J821" i="34" s="1"/>
  <c r="I820" i="34"/>
  <c r="J820" i="34" s="1"/>
  <c r="I819" i="34"/>
  <c r="J819" i="34" s="1"/>
  <c r="I818" i="34"/>
  <c r="J818" i="34" s="1"/>
  <c r="I817" i="34"/>
  <c r="J817" i="34" s="1"/>
  <c r="I816" i="34"/>
  <c r="J816" i="34" s="1"/>
  <c r="I815" i="34"/>
  <c r="J815" i="34" s="1"/>
  <c r="I814" i="34"/>
  <c r="J814" i="34" s="1"/>
  <c r="I813" i="34"/>
  <c r="J813" i="34" s="1"/>
  <c r="I812" i="34"/>
  <c r="J812" i="34" s="1"/>
  <c r="I811" i="34"/>
  <c r="J811" i="34" s="1"/>
  <c r="I810" i="34"/>
  <c r="J810" i="34" s="1"/>
  <c r="I809" i="34"/>
  <c r="J809" i="34" s="1"/>
  <c r="I808" i="34"/>
  <c r="J808" i="34" s="1"/>
  <c r="I807" i="34"/>
  <c r="J807" i="34" s="1"/>
  <c r="I806" i="34"/>
  <c r="J806" i="34" s="1"/>
  <c r="I805" i="34"/>
  <c r="J805" i="34" s="1"/>
  <c r="I804" i="34"/>
  <c r="J804" i="34" s="1"/>
  <c r="I803" i="34"/>
  <c r="J803" i="34" s="1"/>
  <c r="I802" i="34"/>
  <c r="J802" i="34" s="1"/>
  <c r="I801" i="34"/>
  <c r="J801" i="34" s="1"/>
  <c r="I800" i="34"/>
  <c r="J800" i="34" s="1"/>
  <c r="I799" i="34"/>
  <c r="J799" i="34" s="1"/>
  <c r="I798" i="34"/>
  <c r="J798" i="34" s="1"/>
  <c r="I797" i="34"/>
  <c r="J797" i="34" s="1"/>
  <c r="I796" i="34"/>
  <c r="J796" i="34" s="1"/>
  <c r="I795" i="34"/>
  <c r="J795" i="34" s="1"/>
  <c r="I794" i="34"/>
  <c r="J794" i="34" s="1"/>
  <c r="I793" i="34"/>
  <c r="J793" i="34" s="1"/>
  <c r="I792" i="34"/>
  <c r="J792" i="34" s="1"/>
  <c r="I791" i="34"/>
  <c r="J791" i="34" s="1"/>
  <c r="I790" i="34"/>
  <c r="J790" i="34" s="1"/>
  <c r="I789" i="34"/>
  <c r="J789" i="34" s="1"/>
  <c r="I788" i="34"/>
  <c r="J788" i="34" s="1"/>
  <c r="I787" i="34"/>
  <c r="J787" i="34" s="1"/>
  <c r="I786" i="34"/>
  <c r="J786" i="34" s="1"/>
  <c r="I785" i="34"/>
  <c r="J785" i="34" s="1"/>
  <c r="I784" i="34"/>
  <c r="J784" i="34" s="1"/>
  <c r="I783" i="34"/>
  <c r="J783" i="34" s="1"/>
  <c r="I782" i="34"/>
  <c r="J782" i="34" s="1"/>
  <c r="I781" i="34"/>
  <c r="J781" i="34" s="1"/>
  <c r="I780" i="34"/>
  <c r="J780" i="34" s="1"/>
  <c r="I779" i="34"/>
  <c r="J779" i="34" s="1"/>
  <c r="I778" i="34"/>
  <c r="J778" i="34" s="1"/>
  <c r="I777" i="34"/>
  <c r="J777" i="34" s="1"/>
  <c r="I776" i="34"/>
  <c r="J776" i="34" s="1"/>
  <c r="I775" i="34"/>
  <c r="J775" i="34" s="1"/>
  <c r="I774" i="34"/>
  <c r="J774" i="34" s="1"/>
  <c r="I773" i="34"/>
  <c r="J773" i="34" s="1"/>
  <c r="I772" i="34"/>
  <c r="J772" i="34" s="1"/>
  <c r="I771" i="34"/>
  <c r="J771" i="34" s="1"/>
  <c r="I770" i="34"/>
  <c r="J770" i="34" s="1"/>
  <c r="I769" i="34"/>
  <c r="J769" i="34" s="1"/>
  <c r="I768" i="34"/>
  <c r="J768" i="34" s="1"/>
  <c r="I767" i="34"/>
  <c r="J767" i="34" s="1"/>
  <c r="I766" i="34"/>
  <c r="J766" i="34" s="1"/>
  <c r="I765" i="34"/>
  <c r="J765" i="34" s="1"/>
  <c r="I764" i="34"/>
  <c r="J764" i="34" s="1"/>
  <c r="I763" i="34"/>
  <c r="J763" i="34" s="1"/>
  <c r="I762" i="34"/>
  <c r="J762" i="34" s="1"/>
  <c r="I761" i="34"/>
  <c r="J761" i="34" s="1"/>
  <c r="I760" i="34"/>
  <c r="J760" i="34" s="1"/>
  <c r="I759" i="34"/>
  <c r="J759" i="34" s="1"/>
  <c r="I758" i="34"/>
  <c r="J758" i="34" s="1"/>
  <c r="I757" i="34"/>
  <c r="J757" i="34" s="1"/>
  <c r="I756" i="34"/>
  <c r="J756" i="34" s="1"/>
  <c r="I755" i="34"/>
  <c r="J755" i="34" s="1"/>
  <c r="I754" i="34"/>
  <c r="J754" i="34" s="1"/>
  <c r="I753" i="34"/>
  <c r="J753" i="34" s="1"/>
  <c r="I752" i="34"/>
  <c r="J752" i="34" s="1"/>
  <c r="I751" i="34"/>
  <c r="J751" i="34" s="1"/>
  <c r="I750" i="34"/>
  <c r="J750" i="34" s="1"/>
  <c r="I749" i="34"/>
  <c r="J749" i="34" s="1"/>
  <c r="I748" i="34"/>
  <c r="J748" i="34" s="1"/>
  <c r="I747" i="34"/>
  <c r="J747" i="34" s="1"/>
  <c r="I746" i="34"/>
  <c r="J746" i="34" s="1"/>
  <c r="I745" i="34"/>
  <c r="J745" i="34" s="1"/>
  <c r="I744" i="34"/>
  <c r="J744" i="34" s="1"/>
  <c r="I743" i="34"/>
  <c r="J743" i="34" s="1"/>
  <c r="I742" i="34"/>
  <c r="J742" i="34" s="1"/>
  <c r="I741" i="34"/>
  <c r="J741" i="34" s="1"/>
  <c r="I740" i="34"/>
  <c r="J740" i="34" s="1"/>
  <c r="I739" i="34"/>
  <c r="J739" i="34" s="1"/>
  <c r="I738" i="34"/>
  <c r="J738" i="34" s="1"/>
  <c r="I737" i="34"/>
  <c r="J737" i="34" s="1"/>
  <c r="I736" i="34"/>
  <c r="J736" i="34" s="1"/>
  <c r="I735" i="34"/>
  <c r="J735" i="34" s="1"/>
  <c r="I734" i="34"/>
  <c r="J734" i="34" s="1"/>
  <c r="I733" i="34"/>
  <c r="J733" i="34" s="1"/>
  <c r="I732" i="34"/>
  <c r="J732" i="34" s="1"/>
  <c r="I731" i="34"/>
  <c r="J731" i="34" s="1"/>
  <c r="I730" i="34"/>
  <c r="J730" i="34" s="1"/>
  <c r="I729" i="34"/>
  <c r="J729" i="34" s="1"/>
  <c r="I728" i="34"/>
  <c r="J728" i="34" s="1"/>
  <c r="I727" i="34"/>
  <c r="J727" i="34" s="1"/>
  <c r="I726" i="34"/>
  <c r="J726" i="34" s="1"/>
  <c r="I725" i="34"/>
  <c r="J725" i="34" s="1"/>
  <c r="I724" i="34"/>
  <c r="J724" i="34" s="1"/>
  <c r="I723" i="34"/>
  <c r="J723" i="34" s="1"/>
  <c r="I722" i="34"/>
  <c r="J722" i="34" s="1"/>
  <c r="I721" i="34"/>
  <c r="J721" i="34" s="1"/>
  <c r="I720" i="34"/>
  <c r="J720" i="34" s="1"/>
  <c r="I719" i="34"/>
  <c r="J719" i="34" s="1"/>
  <c r="I718" i="34"/>
  <c r="J718" i="34" s="1"/>
  <c r="I717" i="34"/>
  <c r="J717" i="34" s="1"/>
  <c r="I716" i="34"/>
  <c r="J716" i="34" s="1"/>
  <c r="I715" i="34"/>
  <c r="J715" i="34" s="1"/>
  <c r="I714" i="34"/>
  <c r="J714" i="34" s="1"/>
  <c r="I713" i="34"/>
  <c r="J713" i="34" s="1"/>
  <c r="I712" i="34"/>
  <c r="J712" i="34" s="1"/>
  <c r="I711" i="34"/>
  <c r="J711" i="34" s="1"/>
  <c r="I710" i="34"/>
  <c r="J710" i="34" s="1"/>
  <c r="I709" i="34"/>
  <c r="J709" i="34" s="1"/>
  <c r="I708" i="34"/>
  <c r="J708" i="34" s="1"/>
  <c r="I707" i="34"/>
  <c r="J707" i="34" s="1"/>
  <c r="I706" i="34"/>
  <c r="J706" i="34" s="1"/>
  <c r="I705" i="34"/>
  <c r="J705" i="34" s="1"/>
  <c r="I704" i="34"/>
  <c r="J704" i="34" s="1"/>
  <c r="I703" i="34"/>
  <c r="J703" i="34" s="1"/>
  <c r="I702" i="34"/>
  <c r="J702" i="34" s="1"/>
  <c r="I701" i="34"/>
  <c r="J701" i="34" s="1"/>
  <c r="I700" i="34"/>
  <c r="J700" i="34" s="1"/>
  <c r="I699" i="34"/>
  <c r="J699" i="34" s="1"/>
  <c r="I698" i="34"/>
  <c r="J698" i="34" s="1"/>
  <c r="I697" i="34"/>
  <c r="J697" i="34" s="1"/>
  <c r="I696" i="34"/>
  <c r="J696" i="34" s="1"/>
  <c r="I695" i="34"/>
  <c r="J695" i="34" s="1"/>
  <c r="I694" i="34"/>
  <c r="J694" i="34" s="1"/>
  <c r="I693" i="34"/>
  <c r="J693" i="34" s="1"/>
  <c r="I692" i="34"/>
  <c r="J692" i="34" s="1"/>
  <c r="I691" i="34"/>
  <c r="J691" i="34" s="1"/>
  <c r="I690" i="34"/>
  <c r="J690" i="34" s="1"/>
  <c r="I689" i="34"/>
  <c r="J689" i="34" s="1"/>
  <c r="I688" i="34"/>
  <c r="J688" i="34" s="1"/>
  <c r="I687" i="34"/>
  <c r="J687" i="34" s="1"/>
  <c r="I686" i="34"/>
  <c r="J686" i="34" s="1"/>
  <c r="I685" i="34"/>
  <c r="J685" i="34" s="1"/>
  <c r="I684" i="34"/>
  <c r="J684" i="34" s="1"/>
  <c r="I683" i="34"/>
  <c r="J683" i="34" s="1"/>
  <c r="I682" i="34"/>
  <c r="J682" i="34" s="1"/>
  <c r="I681" i="34"/>
  <c r="J681" i="34" s="1"/>
  <c r="I680" i="34"/>
  <c r="J680" i="34" s="1"/>
  <c r="I679" i="34"/>
  <c r="J679" i="34" s="1"/>
  <c r="I678" i="34"/>
  <c r="J678" i="34" s="1"/>
  <c r="I677" i="34"/>
  <c r="J677" i="34" s="1"/>
  <c r="I676" i="34"/>
  <c r="J676" i="34" s="1"/>
  <c r="I675" i="34"/>
  <c r="J675" i="34" s="1"/>
  <c r="I674" i="34"/>
  <c r="J674" i="34" s="1"/>
  <c r="I673" i="34"/>
  <c r="J673" i="34" s="1"/>
  <c r="I672" i="34"/>
  <c r="J672" i="34" s="1"/>
  <c r="I671" i="34"/>
  <c r="J671" i="34" s="1"/>
  <c r="I670" i="34"/>
  <c r="J670" i="34" s="1"/>
  <c r="I669" i="34"/>
  <c r="J669" i="34" s="1"/>
  <c r="I668" i="34"/>
  <c r="J668" i="34" s="1"/>
  <c r="I667" i="34"/>
  <c r="J667" i="34" s="1"/>
  <c r="I666" i="34"/>
  <c r="J666" i="34" s="1"/>
  <c r="I665" i="34"/>
  <c r="J665" i="34" s="1"/>
  <c r="I664" i="34"/>
  <c r="J664" i="34" s="1"/>
  <c r="I663" i="34"/>
  <c r="J663" i="34" s="1"/>
  <c r="I662" i="34"/>
  <c r="J662" i="34" s="1"/>
  <c r="I661" i="34"/>
  <c r="J661" i="34" s="1"/>
  <c r="I660" i="34"/>
  <c r="J660" i="34" s="1"/>
  <c r="I659" i="34"/>
  <c r="J659" i="34" s="1"/>
  <c r="I658" i="34"/>
  <c r="J658" i="34" s="1"/>
  <c r="I657" i="34"/>
  <c r="J657" i="34" s="1"/>
  <c r="I656" i="34"/>
  <c r="J656" i="34" s="1"/>
  <c r="I655" i="34"/>
  <c r="J655" i="34" s="1"/>
  <c r="I654" i="34"/>
  <c r="J654" i="34" s="1"/>
  <c r="I653" i="34"/>
  <c r="J653" i="34" s="1"/>
  <c r="I652" i="34"/>
  <c r="J652" i="34" s="1"/>
  <c r="I651" i="34"/>
  <c r="J651" i="34" s="1"/>
  <c r="I650" i="34"/>
  <c r="J650" i="34" s="1"/>
  <c r="I649" i="34"/>
  <c r="J649" i="34" s="1"/>
  <c r="I648" i="34"/>
  <c r="J648" i="34" s="1"/>
  <c r="I647" i="34"/>
  <c r="J647" i="34" s="1"/>
  <c r="I646" i="34"/>
  <c r="J646" i="34" s="1"/>
  <c r="I645" i="34"/>
  <c r="J645" i="34" s="1"/>
  <c r="I644" i="34"/>
  <c r="J644" i="34" s="1"/>
  <c r="I643" i="34"/>
  <c r="J643" i="34" s="1"/>
  <c r="I642" i="34"/>
  <c r="J642" i="34" s="1"/>
  <c r="I641" i="34"/>
  <c r="J641" i="34" s="1"/>
  <c r="I640" i="34"/>
  <c r="J640" i="34" s="1"/>
  <c r="I639" i="34"/>
  <c r="J639" i="34" s="1"/>
  <c r="I638" i="34"/>
  <c r="J638" i="34" s="1"/>
  <c r="I637" i="34"/>
  <c r="J637" i="34" s="1"/>
  <c r="I636" i="34"/>
  <c r="J636" i="34" s="1"/>
  <c r="I635" i="34"/>
  <c r="J635" i="34" s="1"/>
  <c r="I634" i="34"/>
  <c r="J634" i="34" s="1"/>
  <c r="I633" i="34"/>
  <c r="J633" i="34" s="1"/>
  <c r="I632" i="34"/>
  <c r="J632" i="34" s="1"/>
  <c r="I631" i="34"/>
  <c r="J631" i="34" s="1"/>
  <c r="I630" i="34"/>
  <c r="J630" i="34" s="1"/>
  <c r="I629" i="34"/>
  <c r="J629" i="34" s="1"/>
  <c r="I628" i="34"/>
  <c r="J628" i="34" s="1"/>
  <c r="I627" i="34"/>
  <c r="J627" i="34" s="1"/>
  <c r="I626" i="34"/>
  <c r="J626" i="34" s="1"/>
  <c r="I625" i="34"/>
  <c r="J625" i="34" s="1"/>
  <c r="I624" i="34"/>
  <c r="J624" i="34" s="1"/>
  <c r="I623" i="34"/>
  <c r="J623" i="34" s="1"/>
  <c r="I622" i="34"/>
  <c r="J622" i="34" s="1"/>
  <c r="I621" i="34"/>
  <c r="J621" i="34" s="1"/>
  <c r="I620" i="34"/>
  <c r="J620" i="34" s="1"/>
  <c r="I619" i="34"/>
  <c r="J619" i="34" s="1"/>
  <c r="I618" i="34"/>
  <c r="J618" i="34" s="1"/>
  <c r="I617" i="34"/>
  <c r="J617" i="34" s="1"/>
  <c r="I616" i="34"/>
  <c r="J616" i="34" s="1"/>
  <c r="I615" i="34"/>
  <c r="J615" i="34" s="1"/>
  <c r="I614" i="34"/>
  <c r="J614" i="34" s="1"/>
  <c r="I613" i="34"/>
  <c r="J613" i="34" s="1"/>
  <c r="I612" i="34"/>
  <c r="J612" i="34" s="1"/>
  <c r="I611" i="34"/>
  <c r="J611" i="34" s="1"/>
  <c r="I610" i="34"/>
  <c r="J610" i="34" s="1"/>
  <c r="I609" i="34"/>
  <c r="J609" i="34" s="1"/>
  <c r="I608" i="34"/>
  <c r="J608" i="34" s="1"/>
  <c r="I607" i="34"/>
  <c r="J607" i="34" s="1"/>
  <c r="I606" i="34"/>
  <c r="J606" i="34" s="1"/>
  <c r="I605" i="34"/>
  <c r="J605" i="34" s="1"/>
  <c r="I604" i="34"/>
  <c r="J604" i="34" s="1"/>
  <c r="I603" i="34"/>
  <c r="J603" i="34" s="1"/>
  <c r="I602" i="34"/>
  <c r="J602" i="34" s="1"/>
  <c r="I601" i="34"/>
  <c r="J601" i="34" s="1"/>
  <c r="I600" i="34"/>
  <c r="J600" i="34" s="1"/>
  <c r="I599" i="34"/>
  <c r="J599" i="34" s="1"/>
  <c r="I598" i="34"/>
  <c r="J598" i="34" s="1"/>
  <c r="I597" i="34"/>
  <c r="J597" i="34" s="1"/>
  <c r="I596" i="34"/>
  <c r="J596" i="34" s="1"/>
  <c r="I595" i="34"/>
  <c r="J595" i="34" s="1"/>
  <c r="I594" i="34"/>
  <c r="J594" i="34" s="1"/>
  <c r="I593" i="34"/>
  <c r="J593" i="34" s="1"/>
  <c r="I592" i="34"/>
  <c r="J592" i="34" s="1"/>
  <c r="I591" i="34"/>
  <c r="J591" i="34" s="1"/>
  <c r="I590" i="34"/>
  <c r="J590" i="34" s="1"/>
  <c r="I589" i="34"/>
  <c r="J589" i="34" s="1"/>
  <c r="I588" i="34"/>
  <c r="J588" i="34" s="1"/>
  <c r="I587" i="34"/>
  <c r="J587" i="34" s="1"/>
  <c r="I586" i="34"/>
  <c r="J586" i="34" s="1"/>
  <c r="I585" i="34"/>
  <c r="J585" i="34" s="1"/>
  <c r="I584" i="34"/>
  <c r="J584" i="34" s="1"/>
  <c r="I583" i="34"/>
  <c r="J583" i="34" s="1"/>
  <c r="I582" i="34"/>
  <c r="J582" i="34" s="1"/>
  <c r="I581" i="34"/>
  <c r="J581" i="34" s="1"/>
  <c r="I580" i="34"/>
  <c r="J580" i="34" s="1"/>
  <c r="I579" i="34"/>
  <c r="J579" i="34" s="1"/>
  <c r="I578" i="34"/>
  <c r="J578" i="34" s="1"/>
  <c r="I577" i="34"/>
  <c r="J577" i="34" s="1"/>
  <c r="I576" i="34"/>
  <c r="J576" i="34" s="1"/>
  <c r="I575" i="34"/>
  <c r="J575" i="34" s="1"/>
  <c r="I574" i="34"/>
  <c r="J574" i="34" s="1"/>
  <c r="I573" i="34"/>
  <c r="J573" i="34" s="1"/>
  <c r="I572" i="34"/>
  <c r="J572" i="34" s="1"/>
  <c r="I571" i="34"/>
  <c r="J571" i="34" s="1"/>
  <c r="I570" i="34"/>
  <c r="J570" i="34" s="1"/>
  <c r="I569" i="34"/>
  <c r="J569" i="34" s="1"/>
  <c r="I568" i="34"/>
  <c r="J568" i="34" s="1"/>
  <c r="I567" i="34"/>
  <c r="J567" i="34" s="1"/>
  <c r="I566" i="34"/>
  <c r="J566" i="34" s="1"/>
  <c r="I565" i="34"/>
  <c r="J565" i="34" s="1"/>
  <c r="I564" i="34"/>
  <c r="J564" i="34" s="1"/>
  <c r="I563" i="34"/>
  <c r="J563" i="34" s="1"/>
  <c r="I562" i="34"/>
  <c r="J562" i="34" s="1"/>
  <c r="I561" i="34"/>
  <c r="J561" i="34" s="1"/>
  <c r="I560" i="34"/>
  <c r="J560" i="34" s="1"/>
  <c r="I559" i="34"/>
  <c r="J559" i="34" s="1"/>
  <c r="I558" i="34"/>
  <c r="J558" i="34" s="1"/>
  <c r="I557" i="34"/>
  <c r="J557" i="34" s="1"/>
  <c r="I556" i="34"/>
  <c r="J556" i="34" s="1"/>
  <c r="I555" i="34"/>
  <c r="J555" i="34" s="1"/>
  <c r="I554" i="34"/>
  <c r="J554" i="34" s="1"/>
  <c r="I553" i="34"/>
  <c r="J553" i="34" s="1"/>
  <c r="I552" i="34"/>
  <c r="J552" i="34" s="1"/>
  <c r="I551" i="34"/>
  <c r="J551" i="34" s="1"/>
  <c r="I550" i="34"/>
  <c r="J550" i="34" s="1"/>
  <c r="I549" i="34"/>
  <c r="J549" i="34" s="1"/>
  <c r="I548" i="34"/>
  <c r="J548" i="34" s="1"/>
  <c r="I547" i="34"/>
  <c r="J547" i="34" s="1"/>
  <c r="I546" i="34"/>
  <c r="J546" i="34" s="1"/>
  <c r="I545" i="34"/>
  <c r="J545" i="34" s="1"/>
  <c r="I544" i="34"/>
  <c r="J544" i="34" s="1"/>
  <c r="I543" i="34"/>
  <c r="J543" i="34" s="1"/>
  <c r="I542" i="34"/>
  <c r="J542" i="34" s="1"/>
  <c r="I541" i="34"/>
  <c r="J541" i="34" s="1"/>
  <c r="I540" i="34"/>
  <c r="J540" i="34" s="1"/>
  <c r="I539" i="34"/>
  <c r="J539" i="34" s="1"/>
  <c r="I538" i="34"/>
  <c r="J538" i="34" s="1"/>
  <c r="I537" i="34"/>
  <c r="J537" i="34" s="1"/>
  <c r="I536" i="34"/>
  <c r="J536" i="34" s="1"/>
  <c r="I535" i="34"/>
  <c r="J535" i="34" s="1"/>
  <c r="I534" i="34"/>
  <c r="J534" i="34" s="1"/>
  <c r="I533" i="34"/>
  <c r="J533" i="34" s="1"/>
  <c r="I532" i="34"/>
  <c r="J532" i="34" s="1"/>
  <c r="I531" i="34"/>
  <c r="J531" i="34" s="1"/>
  <c r="I530" i="34"/>
  <c r="J530" i="34" s="1"/>
  <c r="I529" i="34"/>
  <c r="J529" i="34" s="1"/>
  <c r="I528" i="34"/>
  <c r="J528" i="34" s="1"/>
  <c r="I527" i="34"/>
  <c r="J527" i="34" s="1"/>
  <c r="I526" i="34"/>
  <c r="J526" i="34" s="1"/>
  <c r="I525" i="34"/>
  <c r="J525" i="34" s="1"/>
  <c r="I524" i="34"/>
  <c r="J524" i="34" s="1"/>
  <c r="I523" i="34"/>
  <c r="J523" i="34" s="1"/>
  <c r="I522" i="34"/>
  <c r="J522" i="34" s="1"/>
  <c r="I521" i="34"/>
  <c r="J521" i="34" s="1"/>
  <c r="I520" i="34"/>
  <c r="J520" i="34" s="1"/>
  <c r="I519" i="34"/>
  <c r="J519" i="34" s="1"/>
  <c r="I518" i="34"/>
  <c r="J518" i="34" s="1"/>
  <c r="I517" i="34"/>
  <c r="J517" i="34" s="1"/>
  <c r="I516" i="34"/>
  <c r="J516" i="34" s="1"/>
  <c r="I515" i="34"/>
  <c r="J515" i="34" s="1"/>
  <c r="I514" i="34"/>
  <c r="J514" i="34" s="1"/>
  <c r="I513" i="34"/>
  <c r="J513" i="34" s="1"/>
  <c r="I512" i="34"/>
  <c r="J512" i="34" s="1"/>
  <c r="I511" i="34"/>
  <c r="J511" i="34" s="1"/>
  <c r="I510" i="34"/>
  <c r="J510" i="34" s="1"/>
  <c r="I509" i="34"/>
  <c r="J509" i="34" s="1"/>
  <c r="I508" i="34"/>
  <c r="J508" i="34" s="1"/>
  <c r="I507" i="34"/>
  <c r="J507" i="34" s="1"/>
  <c r="I506" i="34"/>
  <c r="J506" i="34" s="1"/>
  <c r="I505" i="34"/>
  <c r="J505" i="34" s="1"/>
  <c r="I504" i="34"/>
  <c r="J504" i="34" s="1"/>
  <c r="I503" i="34"/>
  <c r="J503" i="34" s="1"/>
  <c r="I502" i="34"/>
  <c r="J502" i="34" s="1"/>
  <c r="I501" i="34"/>
  <c r="J501" i="34" s="1"/>
  <c r="I500" i="34"/>
  <c r="J500" i="34" s="1"/>
  <c r="I499" i="34"/>
  <c r="J499" i="34" s="1"/>
  <c r="I498" i="34"/>
  <c r="J498" i="34" s="1"/>
  <c r="I497" i="34"/>
  <c r="J497" i="34" s="1"/>
  <c r="I496" i="34"/>
  <c r="J496" i="34" s="1"/>
  <c r="I495" i="34"/>
  <c r="J495" i="34" s="1"/>
  <c r="I494" i="34"/>
  <c r="J494" i="34" s="1"/>
  <c r="I493" i="34"/>
  <c r="J493" i="34" s="1"/>
  <c r="I492" i="34"/>
  <c r="J492" i="34" s="1"/>
  <c r="I491" i="34"/>
  <c r="J491" i="34" s="1"/>
  <c r="I490" i="34"/>
  <c r="J490" i="34" s="1"/>
  <c r="I489" i="34"/>
  <c r="J489" i="34" s="1"/>
  <c r="I488" i="34"/>
  <c r="J488" i="34" s="1"/>
  <c r="I487" i="34"/>
  <c r="J487" i="34" s="1"/>
  <c r="I486" i="34"/>
  <c r="J486" i="34" s="1"/>
  <c r="I485" i="34"/>
  <c r="J485" i="34" s="1"/>
  <c r="I484" i="34"/>
  <c r="J484" i="34" s="1"/>
  <c r="I483" i="34"/>
  <c r="J483" i="34" s="1"/>
  <c r="I482" i="34"/>
  <c r="J482" i="34" s="1"/>
  <c r="I481" i="34"/>
  <c r="J481" i="34" s="1"/>
  <c r="I480" i="34"/>
  <c r="J480" i="34" s="1"/>
  <c r="I479" i="34"/>
  <c r="J479" i="34" s="1"/>
  <c r="I478" i="34"/>
  <c r="J478" i="34" s="1"/>
  <c r="I477" i="34"/>
  <c r="J477" i="34" s="1"/>
  <c r="I476" i="34"/>
  <c r="J476" i="34" s="1"/>
  <c r="I475" i="34"/>
  <c r="J475" i="34" s="1"/>
  <c r="I474" i="34"/>
  <c r="J474" i="34" s="1"/>
  <c r="I473" i="34"/>
  <c r="J473" i="34" s="1"/>
  <c r="I472" i="34"/>
  <c r="J472" i="34" s="1"/>
  <c r="I471" i="34"/>
  <c r="J471" i="34" s="1"/>
  <c r="I470" i="34"/>
  <c r="J470" i="34" s="1"/>
  <c r="I469" i="34"/>
  <c r="J469" i="34" s="1"/>
  <c r="I468" i="34"/>
  <c r="J468" i="34" s="1"/>
  <c r="I467" i="34"/>
  <c r="J467" i="34" s="1"/>
  <c r="I466" i="34"/>
  <c r="J466" i="34" s="1"/>
  <c r="I465" i="34"/>
  <c r="J465" i="34" s="1"/>
  <c r="I464" i="34"/>
  <c r="J464" i="34" s="1"/>
  <c r="I463" i="34"/>
  <c r="J463" i="34" s="1"/>
  <c r="I462" i="34"/>
  <c r="J462" i="34" s="1"/>
  <c r="I461" i="34"/>
  <c r="J461" i="34" s="1"/>
  <c r="I460" i="34"/>
  <c r="J460" i="34" s="1"/>
  <c r="I459" i="34"/>
  <c r="J459" i="34" s="1"/>
  <c r="I458" i="34"/>
  <c r="J458" i="34" s="1"/>
  <c r="I457" i="34"/>
  <c r="J457" i="34" s="1"/>
  <c r="I456" i="34"/>
  <c r="J456" i="34" s="1"/>
  <c r="I455" i="34"/>
  <c r="J455" i="34" s="1"/>
  <c r="I454" i="34"/>
  <c r="J454" i="34" s="1"/>
  <c r="I453" i="34"/>
  <c r="J453" i="34" s="1"/>
  <c r="I452" i="34"/>
  <c r="J452" i="34" s="1"/>
  <c r="I451" i="34"/>
  <c r="J451" i="34" s="1"/>
  <c r="I450" i="34"/>
  <c r="J450" i="34" s="1"/>
  <c r="I449" i="34"/>
  <c r="J449" i="34" s="1"/>
  <c r="I448" i="34"/>
  <c r="J448" i="34" s="1"/>
  <c r="I447" i="34"/>
  <c r="J447" i="34" s="1"/>
  <c r="I446" i="34"/>
  <c r="J446" i="34" s="1"/>
  <c r="I445" i="34"/>
  <c r="J445" i="34" s="1"/>
  <c r="I444" i="34"/>
  <c r="J444" i="34" s="1"/>
  <c r="I443" i="34"/>
  <c r="J443" i="34" s="1"/>
  <c r="I442" i="34"/>
  <c r="J442" i="34" s="1"/>
  <c r="I441" i="34"/>
  <c r="J441" i="34" s="1"/>
  <c r="I440" i="34"/>
  <c r="J440" i="34" s="1"/>
  <c r="I439" i="34"/>
  <c r="J439" i="34" s="1"/>
  <c r="I438" i="34"/>
  <c r="J438" i="34" s="1"/>
  <c r="I437" i="34"/>
  <c r="J437" i="34" s="1"/>
  <c r="I436" i="34"/>
  <c r="J436" i="34" s="1"/>
  <c r="I435" i="34"/>
  <c r="J435" i="34" s="1"/>
  <c r="I434" i="34"/>
  <c r="J434" i="34" s="1"/>
  <c r="I433" i="34"/>
  <c r="J433" i="34" s="1"/>
  <c r="I432" i="34"/>
  <c r="J432" i="34" s="1"/>
  <c r="I431" i="34"/>
  <c r="J431" i="34" s="1"/>
  <c r="I430" i="34"/>
  <c r="J430" i="34" s="1"/>
  <c r="I429" i="34"/>
  <c r="J429" i="34" s="1"/>
  <c r="I428" i="34"/>
  <c r="J428" i="34" s="1"/>
  <c r="I427" i="34"/>
  <c r="J427" i="34" s="1"/>
  <c r="I426" i="34"/>
  <c r="J426" i="34" s="1"/>
  <c r="I425" i="34"/>
  <c r="J425" i="34" s="1"/>
  <c r="I424" i="34"/>
  <c r="J424" i="34" s="1"/>
  <c r="I423" i="34"/>
  <c r="J423" i="34" s="1"/>
  <c r="I422" i="34"/>
  <c r="J422" i="34" s="1"/>
  <c r="I421" i="34"/>
  <c r="J421" i="34" s="1"/>
  <c r="I420" i="34"/>
  <c r="J420" i="34" s="1"/>
  <c r="I419" i="34"/>
  <c r="J419" i="34" s="1"/>
  <c r="I418" i="34"/>
  <c r="J418" i="34" s="1"/>
  <c r="I417" i="34"/>
  <c r="J417" i="34" s="1"/>
  <c r="I416" i="34"/>
  <c r="J416" i="34" s="1"/>
  <c r="I415" i="34"/>
  <c r="J415" i="34" s="1"/>
  <c r="I414" i="34"/>
  <c r="J414" i="34" s="1"/>
  <c r="I413" i="34"/>
  <c r="J413" i="34" s="1"/>
  <c r="I412" i="34"/>
  <c r="J412" i="34" s="1"/>
  <c r="I411" i="34"/>
  <c r="J411" i="34" s="1"/>
  <c r="I410" i="34"/>
  <c r="J410" i="34" s="1"/>
  <c r="I409" i="34"/>
  <c r="J409" i="34" s="1"/>
  <c r="I408" i="34"/>
  <c r="J408" i="34" s="1"/>
  <c r="I407" i="34"/>
  <c r="J407" i="34" s="1"/>
  <c r="I406" i="34"/>
  <c r="J406" i="34" s="1"/>
  <c r="I405" i="34"/>
  <c r="J405" i="34" s="1"/>
  <c r="I404" i="34"/>
  <c r="J404" i="34" s="1"/>
  <c r="I403" i="34"/>
  <c r="J403" i="34" s="1"/>
  <c r="I402" i="34"/>
  <c r="J402" i="34" s="1"/>
  <c r="I401" i="34"/>
  <c r="J401" i="34" s="1"/>
  <c r="I400" i="34"/>
  <c r="J400" i="34" s="1"/>
  <c r="I399" i="34"/>
  <c r="J399" i="34" s="1"/>
  <c r="I398" i="34"/>
  <c r="J398" i="34" s="1"/>
  <c r="I397" i="34"/>
  <c r="J397" i="34" s="1"/>
  <c r="I396" i="34"/>
  <c r="J396" i="34" s="1"/>
  <c r="I395" i="34"/>
  <c r="J395" i="34" s="1"/>
  <c r="I394" i="34"/>
  <c r="J394" i="34" s="1"/>
  <c r="I393" i="34"/>
  <c r="J393" i="34" s="1"/>
  <c r="I392" i="34"/>
  <c r="J392" i="34" s="1"/>
  <c r="I391" i="34"/>
  <c r="J391" i="34" s="1"/>
  <c r="I390" i="34"/>
  <c r="J390" i="34" s="1"/>
  <c r="I389" i="34"/>
  <c r="J389" i="34" s="1"/>
  <c r="I388" i="34"/>
  <c r="J388" i="34" s="1"/>
  <c r="I387" i="34"/>
  <c r="J387" i="34" s="1"/>
  <c r="I386" i="34"/>
  <c r="J386" i="34" s="1"/>
  <c r="I385" i="34"/>
  <c r="J385" i="34" s="1"/>
  <c r="I384" i="34"/>
  <c r="J384" i="34" s="1"/>
  <c r="I383" i="34"/>
  <c r="J383" i="34" s="1"/>
  <c r="I382" i="34"/>
  <c r="J382" i="34" s="1"/>
  <c r="I381" i="34"/>
  <c r="J381" i="34" s="1"/>
  <c r="I380" i="34"/>
  <c r="J380" i="34" s="1"/>
  <c r="I379" i="34"/>
  <c r="J379" i="34" s="1"/>
  <c r="I378" i="34"/>
  <c r="J378" i="34" s="1"/>
  <c r="I377" i="34"/>
  <c r="J377" i="34" s="1"/>
  <c r="I376" i="34"/>
  <c r="J376" i="34" s="1"/>
  <c r="I375" i="34"/>
  <c r="J375" i="34" s="1"/>
  <c r="I374" i="34"/>
  <c r="J374" i="34" s="1"/>
  <c r="I373" i="34"/>
  <c r="J373" i="34" s="1"/>
  <c r="I372" i="34"/>
  <c r="J372" i="34" s="1"/>
  <c r="I371" i="34"/>
  <c r="J371" i="34" s="1"/>
  <c r="I370" i="34"/>
  <c r="J370" i="34" s="1"/>
  <c r="I369" i="34"/>
  <c r="J369" i="34" s="1"/>
  <c r="I368" i="34"/>
  <c r="J368" i="34" s="1"/>
  <c r="I367" i="34"/>
  <c r="J367" i="34" s="1"/>
  <c r="I366" i="34"/>
  <c r="J366" i="34" s="1"/>
  <c r="I365" i="34"/>
  <c r="J365" i="34" s="1"/>
  <c r="I364" i="34"/>
  <c r="J364" i="34" s="1"/>
  <c r="I363" i="34"/>
  <c r="J363" i="34" s="1"/>
  <c r="I362" i="34"/>
  <c r="J362" i="34" s="1"/>
  <c r="I361" i="34"/>
  <c r="J361" i="34" s="1"/>
  <c r="I360" i="34"/>
  <c r="J360" i="34" s="1"/>
  <c r="I359" i="34"/>
  <c r="J359" i="34" s="1"/>
  <c r="I358" i="34"/>
  <c r="J358" i="34" s="1"/>
  <c r="I357" i="34"/>
  <c r="J357" i="34" s="1"/>
  <c r="I356" i="34"/>
  <c r="J356" i="34" s="1"/>
  <c r="I355" i="34"/>
  <c r="J355" i="34" s="1"/>
  <c r="I354" i="34"/>
  <c r="J354" i="34" s="1"/>
  <c r="I353" i="34"/>
  <c r="J353" i="34" s="1"/>
  <c r="I352" i="34"/>
  <c r="J352" i="34" s="1"/>
  <c r="I351" i="34"/>
  <c r="J351" i="34" s="1"/>
  <c r="I350" i="34"/>
  <c r="J350" i="34" s="1"/>
  <c r="I349" i="34"/>
  <c r="J349" i="34" s="1"/>
  <c r="I348" i="34"/>
  <c r="J348" i="34" s="1"/>
  <c r="I347" i="34"/>
  <c r="J347" i="34" s="1"/>
  <c r="I346" i="34"/>
  <c r="J346" i="34" s="1"/>
  <c r="I345" i="34"/>
  <c r="J345" i="34" s="1"/>
  <c r="I344" i="34"/>
  <c r="J344" i="34" s="1"/>
  <c r="I343" i="34"/>
  <c r="J343" i="34" s="1"/>
  <c r="I342" i="34"/>
  <c r="J342" i="34" s="1"/>
  <c r="I341" i="34"/>
  <c r="J341" i="34" s="1"/>
  <c r="I340" i="34"/>
  <c r="J340" i="34" s="1"/>
  <c r="I339" i="34"/>
  <c r="J339" i="34" s="1"/>
  <c r="I338" i="34"/>
  <c r="J338" i="34" s="1"/>
  <c r="I337" i="34"/>
  <c r="J337" i="34" s="1"/>
  <c r="I336" i="34"/>
  <c r="J336" i="34" s="1"/>
  <c r="I335" i="34"/>
  <c r="J335" i="34" s="1"/>
  <c r="I334" i="34"/>
  <c r="J334" i="34" s="1"/>
  <c r="I333" i="34"/>
  <c r="J333" i="34" s="1"/>
  <c r="I332" i="34"/>
  <c r="J332" i="34" s="1"/>
  <c r="I331" i="34"/>
  <c r="J331" i="34" s="1"/>
  <c r="I330" i="34"/>
  <c r="J330" i="34" s="1"/>
  <c r="I329" i="34"/>
  <c r="J329" i="34" s="1"/>
  <c r="I328" i="34"/>
  <c r="J328" i="34" s="1"/>
  <c r="I327" i="34"/>
  <c r="J327" i="34" s="1"/>
  <c r="I326" i="34"/>
  <c r="J326" i="34" s="1"/>
  <c r="I325" i="34"/>
  <c r="J325" i="34" s="1"/>
  <c r="I324" i="34"/>
  <c r="J324" i="34" s="1"/>
  <c r="I323" i="34"/>
  <c r="J323" i="34" s="1"/>
  <c r="I322" i="34"/>
  <c r="J322" i="34" s="1"/>
  <c r="I321" i="34"/>
  <c r="J321" i="34" s="1"/>
  <c r="I320" i="34"/>
  <c r="J320" i="34" s="1"/>
  <c r="I319" i="34"/>
  <c r="J319" i="34" s="1"/>
  <c r="I318" i="34"/>
  <c r="J318" i="34" s="1"/>
  <c r="I317" i="34"/>
  <c r="J317" i="34" s="1"/>
  <c r="I316" i="34"/>
  <c r="J316" i="34" s="1"/>
  <c r="I315" i="34"/>
  <c r="J315" i="34" s="1"/>
  <c r="I314" i="34"/>
  <c r="J314" i="34" s="1"/>
  <c r="I313" i="34"/>
  <c r="J313" i="34" s="1"/>
  <c r="I312" i="34"/>
  <c r="J312" i="34" s="1"/>
  <c r="I311" i="34"/>
  <c r="J311" i="34" s="1"/>
  <c r="I310" i="34"/>
  <c r="J310" i="34" s="1"/>
  <c r="I309" i="34"/>
  <c r="J309" i="34" s="1"/>
  <c r="I308" i="34"/>
  <c r="J308" i="34" s="1"/>
  <c r="I307" i="34"/>
  <c r="J307" i="34" s="1"/>
  <c r="I306" i="34"/>
  <c r="J306" i="34" s="1"/>
  <c r="I305" i="34"/>
  <c r="J305" i="34" s="1"/>
  <c r="I304" i="34"/>
  <c r="J304" i="34" s="1"/>
  <c r="I303" i="34"/>
  <c r="J303" i="34" s="1"/>
  <c r="I302" i="34"/>
  <c r="J302" i="34" s="1"/>
  <c r="I301" i="34"/>
  <c r="J301" i="34" s="1"/>
  <c r="I300" i="34"/>
  <c r="J300" i="34" s="1"/>
  <c r="I299" i="34"/>
  <c r="J299" i="34" s="1"/>
  <c r="I298" i="34"/>
  <c r="J298" i="34" s="1"/>
  <c r="I297" i="34"/>
  <c r="J297" i="34" s="1"/>
  <c r="I296" i="34"/>
  <c r="J296" i="34" s="1"/>
  <c r="I295" i="34"/>
  <c r="J295" i="34" s="1"/>
  <c r="I294" i="34"/>
  <c r="J294" i="34" s="1"/>
  <c r="I293" i="34"/>
  <c r="J293" i="34" s="1"/>
  <c r="I292" i="34"/>
  <c r="J292" i="34" s="1"/>
  <c r="I291" i="34"/>
  <c r="J291" i="34" s="1"/>
  <c r="I290" i="34"/>
  <c r="J290" i="34" s="1"/>
  <c r="I289" i="34"/>
  <c r="J289" i="34" s="1"/>
  <c r="I288" i="34"/>
  <c r="J288" i="34" s="1"/>
  <c r="I287" i="34"/>
  <c r="J287" i="34" s="1"/>
  <c r="I286" i="34"/>
  <c r="J286" i="34" s="1"/>
  <c r="I285" i="34"/>
  <c r="J285" i="34" s="1"/>
  <c r="I284" i="34"/>
  <c r="J284" i="34" s="1"/>
  <c r="I283" i="34"/>
  <c r="J283" i="34" s="1"/>
  <c r="I282" i="34"/>
  <c r="J282" i="34" s="1"/>
  <c r="I281" i="34"/>
  <c r="J281" i="34" s="1"/>
  <c r="I280" i="34"/>
  <c r="J280" i="34" s="1"/>
  <c r="I279" i="34"/>
  <c r="J279" i="34" s="1"/>
  <c r="I278" i="34"/>
  <c r="J278" i="34" s="1"/>
  <c r="I277" i="34"/>
  <c r="J277" i="34" s="1"/>
  <c r="I276" i="34"/>
  <c r="J276" i="34" s="1"/>
  <c r="I275" i="34"/>
  <c r="J275" i="34" s="1"/>
  <c r="I274" i="34"/>
  <c r="J274" i="34" s="1"/>
  <c r="I273" i="34"/>
  <c r="J273" i="34" s="1"/>
  <c r="I272" i="34"/>
  <c r="J272" i="34" s="1"/>
  <c r="I271" i="34"/>
  <c r="J271" i="34" s="1"/>
  <c r="I270" i="34"/>
  <c r="J270" i="34" s="1"/>
  <c r="I269" i="34"/>
  <c r="J269" i="34" s="1"/>
  <c r="I268" i="34"/>
  <c r="J268" i="34" s="1"/>
  <c r="I267" i="34"/>
  <c r="J267" i="34" s="1"/>
  <c r="I266" i="34"/>
  <c r="J266" i="34" s="1"/>
  <c r="I265" i="34"/>
  <c r="J265" i="34" s="1"/>
  <c r="I264" i="34"/>
  <c r="J264" i="34" s="1"/>
  <c r="I263" i="34"/>
  <c r="J263" i="34" s="1"/>
  <c r="I262" i="34"/>
  <c r="J262" i="34" s="1"/>
  <c r="I261" i="34"/>
  <c r="J261" i="34" s="1"/>
  <c r="I260" i="34"/>
  <c r="J260" i="34" s="1"/>
  <c r="I259" i="34"/>
  <c r="J259" i="34" s="1"/>
  <c r="I258" i="34"/>
  <c r="J258" i="34" s="1"/>
  <c r="I257" i="34"/>
  <c r="J257" i="34" s="1"/>
  <c r="I256" i="34"/>
  <c r="J256" i="34" s="1"/>
  <c r="I255" i="34"/>
  <c r="J255" i="34" s="1"/>
  <c r="I254" i="34"/>
  <c r="J254" i="34" s="1"/>
  <c r="I253" i="34"/>
  <c r="J253" i="34" s="1"/>
  <c r="I252" i="34"/>
  <c r="J252" i="34" s="1"/>
  <c r="I251" i="34"/>
  <c r="J251" i="34" s="1"/>
  <c r="I250" i="34"/>
  <c r="J250" i="34" s="1"/>
  <c r="I249" i="34"/>
  <c r="J249" i="34" s="1"/>
  <c r="I248" i="34"/>
  <c r="J248" i="34" s="1"/>
  <c r="I247" i="34"/>
  <c r="J247" i="34" s="1"/>
  <c r="I246" i="34"/>
  <c r="J246" i="34" s="1"/>
  <c r="I245" i="34"/>
  <c r="J245" i="34" s="1"/>
  <c r="I244" i="34"/>
  <c r="J244" i="34" s="1"/>
  <c r="I243" i="34"/>
  <c r="J243" i="34" s="1"/>
  <c r="I242" i="34"/>
  <c r="J242" i="34" s="1"/>
  <c r="I241" i="34"/>
  <c r="J241" i="34" s="1"/>
  <c r="I240" i="34"/>
  <c r="J240" i="34" s="1"/>
  <c r="I239" i="34"/>
  <c r="J239" i="34" s="1"/>
  <c r="I238" i="34"/>
  <c r="J238" i="34" s="1"/>
  <c r="I237" i="34"/>
  <c r="J237" i="34" s="1"/>
  <c r="I236" i="34"/>
  <c r="J236" i="34" s="1"/>
  <c r="I235" i="34"/>
  <c r="J235" i="34" s="1"/>
  <c r="I234" i="34"/>
  <c r="J234" i="34" s="1"/>
  <c r="I233" i="34"/>
  <c r="J233" i="34" s="1"/>
  <c r="I232" i="34"/>
  <c r="J232" i="34" s="1"/>
  <c r="I231" i="34"/>
  <c r="J231" i="34" s="1"/>
  <c r="I230" i="34"/>
  <c r="J230" i="34" s="1"/>
  <c r="I229" i="34"/>
  <c r="J229" i="34" s="1"/>
  <c r="I228" i="34"/>
  <c r="J228" i="34" s="1"/>
  <c r="I227" i="34"/>
  <c r="J227" i="34" s="1"/>
  <c r="I226" i="34"/>
  <c r="J226" i="34" s="1"/>
  <c r="I225" i="34"/>
  <c r="J225" i="34" s="1"/>
  <c r="I224" i="34"/>
  <c r="J224" i="34" s="1"/>
  <c r="I223" i="34"/>
  <c r="J223" i="34" s="1"/>
  <c r="I222" i="34"/>
  <c r="J222" i="34" s="1"/>
  <c r="I221" i="34"/>
  <c r="J221" i="34" s="1"/>
  <c r="I220" i="34"/>
  <c r="J220" i="34" s="1"/>
  <c r="I219" i="34"/>
  <c r="J219" i="34" s="1"/>
  <c r="I218" i="34"/>
  <c r="J218" i="34" s="1"/>
  <c r="I217" i="34"/>
  <c r="J217" i="34" s="1"/>
  <c r="I216" i="34"/>
  <c r="J216" i="34" s="1"/>
  <c r="I215" i="34"/>
  <c r="J215" i="34" s="1"/>
  <c r="I214" i="34"/>
  <c r="J214" i="34" s="1"/>
  <c r="I213" i="34"/>
  <c r="J213" i="34" s="1"/>
  <c r="I212" i="34"/>
  <c r="J212" i="34" s="1"/>
  <c r="I211" i="34"/>
  <c r="J211" i="34" s="1"/>
  <c r="I210" i="34"/>
  <c r="J210" i="34" s="1"/>
  <c r="I209" i="34"/>
  <c r="J209" i="34" s="1"/>
  <c r="I208" i="34"/>
  <c r="J208" i="34" s="1"/>
  <c r="I207" i="34"/>
  <c r="J207" i="34" s="1"/>
  <c r="I206" i="34"/>
  <c r="J206" i="34" s="1"/>
  <c r="I205" i="34"/>
  <c r="J205" i="34" s="1"/>
  <c r="I204" i="34"/>
  <c r="J204" i="34" s="1"/>
  <c r="I203" i="34"/>
  <c r="J203" i="34" s="1"/>
  <c r="I202" i="34"/>
  <c r="J202" i="34" s="1"/>
  <c r="I201" i="34"/>
  <c r="J201" i="34" s="1"/>
  <c r="I200" i="34"/>
  <c r="J200" i="34" s="1"/>
  <c r="I199" i="34"/>
  <c r="J199" i="34" s="1"/>
  <c r="I198" i="34"/>
  <c r="J198" i="34" s="1"/>
  <c r="I197" i="34"/>
  <c r="J197" i="34" s="1"/>
  <c r="I196" i="34"/>
  <c r="J196" i="34" s="1"/>
  <c r="I195" i="34"/>
  <c r="J195" i="34" s="1"/>
  <c r="I194" i="34"/>
  <c r="J194" i="34" s="1"/>
  <c r="I193" i="34"/>
  <c r="J193" i="34" s="1"/>
  <c r="I192" i="34"/>
  <c r="J192" i="34" s="1"/>
  <c r="I191" i="34"/>
  <c r="J191" i="34" s="1"/>
  <c r="I190" i="34"/>
  <c r="J190" i="34" s="1"/>
  <c r="I189" i="34"/>
  <c r="J189" i="34" s="1"/>
  <c r="I188" i="34"/>
  <c r="J188" i="34" s="1"/>
  <c r="I187" i="34"/>
  <c r="J187" i="34" s="1"/>
  <c r="I186" i="34"/>
  <c r="J186" i="34" s="1"/>
  <c r="I185" i="34"/>
  <c r="J185" i="34" s="1"/>
  <c r="I184" i="34"/>
  <c r="J184" i="34" s="1"/>
  <c r="I183" i="34"/>
  <c r="J183" i="34" s="1"/>
  <c r="I182" i="34"/>
  <c r="J182" i="34" s="1"/>
  <c r="I181" i="34"/>
  <c r="J181" i="34" s="1"/>
  <c r="I180" i="34"/>
  <c r="J180" i="34" s="1"/>
  <c r="I179" i="34"/>
  <c r="J179" i="34" s="1"/>
  <c r="I178" i="34"/>
  <c r="J178" i="34" s="1"/>
  <c r="I177" i="34"/>
  <c r="J177" i="34" s="1"/>
  <c r="I176" i="34"/>
  <c r="J176" i="34" s="1"/>
  <c r="I175" i="34"/>
  <c r="J175" i="34" s="1"/>
  <c r="I174" i="34"/>
  <c r="J174" i="34" s="1"/>
  <c r="I173" i="34"/>
  <c r="J173" i="34" s="1"/>
  <c r="I172" i="34"/>
  <c r="J172" i="34" s="1"/>
  <c r="I171" i="34"/>
  <c r="J171" i="34" s="1"/>
  <c r="I170" i="34"/>
  <c r="J170" i="34" s="1"/>
  <c r="I169" i="34"/>
  <c r="J169" i="34" s="1"/>
  <c r="I168" i="34"/>
  <c r="J168" i="34" s="1"/>
  <c r="I167" i="34"/>
  <c r="J167" i="34" s="1"/>
  <c r="I166" i="34"/>
  <c r="J166" i="34" s="1"/>
  <c r="I165" i="34"/>
  <c r="J165" i="34" s="1"/>
  <c r="I164" i="34"/>
  <c r="J164" i="34" s="1"/>
  <c r="I163" i="34"/>
  <c r="J163" i="34" s="1"/>
  <c r="I162" i="34"/>
  <c r="J162" i="34" s="1"/>
  <c r="I161" i="34"/>
  <c r="J161" i="34" s="1"/>
  <c r="I160" i="34"/>
  <c r="J160" i="34" s="1"/>
  <c r="I159" i="34"/>
  <c r="J159" i="34" s="1"/>
  <c r="I158" i="34"/>
  <c r="J158" i="34" s="1"/>
  <c r="I157" i="34"/>
  <c r="J157" i="34" s="1"/>
  <c r="I156" i="34"/>
  <c r="J156" i="34" s="1"/>
  <c r="I155" i="34"/>
  <c r="J155" i="34" s="1"/>
  <c r="I154" i="34"/>
  <c r="J154" i="34" s="1"/>
  <c r="I153" i="34"/>
  <c r="J153" i="34" s="1"/>
  <c r="I152" i="34"/>
  <c r="J152" i="34" s="1"/>
  <c r="I151" i="34"/>
  <c r="J151" i="34" s="1"/>
  <c r="I150" i="34"/>
  <c r="J150" i="34" s="1"/>
  <c r="I149" i="34"/>
  <c r="J149" i="34" s="1"/>
  <c r="I148" i="34"/>
  <c r="J148" i="34" s="1"/>
  <c r="I147" i="34"/>
  <c r="J147" i="34" s="1"/>
  <c r="I146" i="34"/>
  <c r="J146" i="34" s="1"/>
  <c r="I145" i="34"/>
  <c r="J145" i="34" s="1"/>
  <c r="I144" i="34"/>
  <c r="J144" i="34" s="1"/>
  <c r="I143" i="34"/>
  <c r="J143" i="34" s="1"/>
  <c r="I142" i="34"/>
  <c r="J142" i="34" s="1"/>
  <c r="I141" i="34"/>
  <c r="J141" i="34" s="1"/>
  <c r="I140" i="34"/>
  <c r="J140" i="34" s="1"/>
  <c r="I139" i="34"/>
  <c r="J139" i="34" s="1"/>
  <c r="I138" i="34"/>
  <c r="J138" i="34" s="1"/>
  <c r="I137" i="34"/>
  <c r="J137" i="34" s="1"/>
  <c r="I136" i="34"/>
  <c r="J136" i="34" s="1"/>
  <c r="I135" i="34"/>
  <c r="J135" i="34" s="1"/>
  <c r="I134" i="34"/>
  <c r="J134" i="34" s="1"/>
  <c r="I133" i="34"/>
  <c r="J133" i="34" s="1"/>
  <c r="I132" i="34"/>
  <c r="J132" i="34" s="1"/>
  <c r="I131" i="34"/>
  <c r="J131" i="34" s="1"/>
  <c r="I130" i="34"/>
  <c r="J130" i="34" s="1"/>
  <c r="I129" i="34"/>
  <c r="J129" i="34" s="1"/>
  <c r="I128" i="34"/>
  <c r="J128" i="34" s="1"/>
  <c r="I127" i="34"/>
  <c r="J127" i="34" s="1"/>
  <c r="I126" i="34"/>
  <c r="J126" i="34" s="1"/>
  <c r="I125" i="34"/>
  <c r="J125" i="34" s="1"/>
  <c r="I124" i="34"/>
  <c r="J124" i="34" s="1"/>
  <c r="I123" i="34"/>
  <c r="J123" i="34" s="1"/>
  <c r="I122" i="34"/>
  <c r="J122" i="34" s="1"/>
  <c r="I121" i="34"/>
  <c r="J121" i="34" s="1"/>
  <c r="I120" i="34"/>
  <c r="J120" i="34" s="1"/>
  <c r="I119" i="34"/>
  <c r="J119" i="34" s="1"/>
  <c r="I118" i="34"/>
  <c r="J118" i="34" s="1"/>
  <c r="I117" i="34"/>
  <c r="J117" i="34" s="1"/>
  <c r="I116" i="34"/>
  <c r="J116" i="34" s="1"/>
  <c r="I115" i="34"/>
  <c r="J115" i="34" s="1"/>
  <c r="I114" i="34"/>
  <c r="J114" i="34" s="1"/>
  <c r="I113" i="34"/>
  <c r="J113" i="34" s="1"/>
  <c r="I112" i="34"/>
  <c r="J112" i="34" s="1"/>
  <c r="I111" i="34"/>
  <c r="J111" i="34" s="1"/>
  <c r="I110" i="34"/>
  <c r="J110" i="34" s="1"/>
  <c r="I109" i="34"/>
  <c r="J109" i="34" s="1"/>
  <c r="I108" i="34"/>
  <c r="J108" i="34" s="1"/>
  <c r="I107" i="34"/>
  <c r="J107" i="34" s="1"/>
  <c r="I106" i="34"/>
  <c r="J106" i="34" s="1"/>
  <c r="I105" i="34"/>
  <c r="J105" i="34" s="1"/>
  <c r="I104" i="34"/>
  <c r="J104" i="34" s="1"/>
  <c r="I103" i="34"/>
  <c r="J103" i="34" s="1"/>
  <c r="I102" i="34"/>
  <c r="J102" i="34" s="1"/>
  <c r="I101" i="34"/>
  <c r="J101" i="34" s="1"/>
  <c r="I100" i="34"/>
  <c r="J100" i="34" s="1"/>
  <c r="I99" i="34"/>
  <c r="J99" i="34" s="1"/>
  <c r="I98" i="34"/>
  <c r="J98" i="34" s="1"/>
  <c r="I97" i="34"/>
  <c r="J97" i="34" s="1"/>
  <c r="I96" i="34"/>
  <c r="J96" i="34" s="1"/>
  <c r="I95" i="34"/>
  <c r="J95" i="34" s="1"/>
  <c r="I94" i="34"/>
  <c r="J94" i="34" s="1"/>
  <c r="I93" i="34"/>
  <c r="J93" i="34" s="1"/>
  <c r="I92" i="34"/>
  <c r="J92" i="34" s="1"/>
  <c r="I91" i="34"/>
  <c r="J91" i="34" s="1"/>
  <c r="I90" i="34"/>
  <c r="J90" i="34" s="1"/>
  <c r="I89" i="34"/>
  <c r="J89" i="34" s="1"/>
  <c r="I88" i="34"/>
  <c r="J88" i="34" s="1"/>
  <c r="I87" i="34"/>
  <c r="J87" i="34" s="1"/>
  <c r="I86" i="34"/>
  <c r="J86" i="34" s="1"/>
  <c r="I85" i="34"/>
  <c r="J85" i="34" s="1"/>
  <c r="I84" i="34"/>
  <c r="J84" i="34" s="1"/>
  <c r="I83" i="34"/>
  <c r="J83" i="34" s="1"/>
  <c r="I82" i="34"/>
  <c r="J82" i="34" s="1"/>
  <c r="I81" i="34"/>
  <c r="J81" i="34" s="1"/>
  <c r="I80" i="34"/>
  <c r="J80" i="34" s="1"/>
  <c r="I79" i="34"/>
  <c r="J79" i="34" s="1"/>
  <c r="I78" i="34"/>
  <c r="J78" i="34" s="1"/>
  <c r="I77" i="34"/>
  <c r="J77" i="34" s="1"/>
  <c r="I76" i="34"/>
  <c r="J76" i="34" s="1"/>
  <c r="I75" i="34"/>
  <c r="J75" i="34" s="1"/>
  <c r="I74" i="34"/>
  <c r="J74" i="34" s="1"/>
  <c r="I73" i="34"/>
  <c r="J73" i="34" s="1"/>
  <c r="I72" i="34"/>
  <c r="J72" i="34" s="1"/>
  <c r="I71" i="34"/>
  <c r="J71" i="34" s="1"/>
  <c r="I70" i="34"/>
  <c r="J70" i="34" s="1"/>
  <c r="I69" i="34"/>
  <c r="J69" i="34" s="1"/>
  <c r="I68" i="34"/>
  <c r="J68" i="34" s="1"/>
  <c r="I67" i="34"/>
  <c r="J67" i="34" s="1"/>
  <c r="I66" i="34"/>
  <c r="J66" i="34" s="1"/>
  <c r="I65" i="34"/>
  <c r="J65" i="34" s="1"/>
  <c r="I64" i="34"/>
  <c r="J64" i="34" s="1"/>
  <c r="I63" i="34"/>
  <c r="J63" i="34" s="1"/>
  <c r="I62" i="34"/>
  <c r="J62" i="34" s="1"/>
  <c r="I61" i="34"/>
  <c r="J61" i="34" s="1"/>
  <c r="I60" i="34"/>
  <c r="J60" i="34" s="1"/>
  <c r="I59" i="34"/>
  <c r="J59" i="34" s="1"/>
  <c r="I58" i="34"/>
  <c r="J58" i="34" s="1"/>
  <c r="I57" i="34"/>
  <c r="J57" i="34" s="1"/>
  <c r="I56" i="34"/>
  <c r="J56" i="34" s="1"/>
  <c r="I55" i="34"/>
  <c r="J55" i="34" s="1"/>
  <c r="I54" i="34"/>
  <c r="J54" i="34" s="1"/>
  <c r="I53" i="34"/>
  <c r="J53" i="34" s="1"/>
  <c r="I52" i="34"/>
  <c r="J52" i="34" s="1"/>
  <c r="I51" i="34"/>
  <c r="J51" i="34" s="1"/>
  <c r="I50" i="34"/>
  <c r="J50" i="34" s="1"/>
  <c r="I49" i="34"/>
  <c r="J49" i="34" s="1"/>
  <c r="I48" i="34"/>
  <c r="J48" i="34" s="1"/>
  <c r="I47" i="34"/>
  <c r="J47" i="34" s="1"/>
  <c r="I46" i="34"/>
  <c r="J46" i="34" s="1"/>
  <c r="I45" i="34"/>
  <c r="J45" i="34" s="1"/>
  <c r="I44" i="34"/>
  <c r="J44" i="34" s="1"/>
  <c r="I43" i="34"/>
  <c r="J43" i="34" s="1"/>
  <c r="I42" i="34"/>
  <c r="J42" i="34" s="1"/>
  <c r="I41" i="34"/>
  <c r="J41" i="34" s="1"/>
  <c r="I40" i="34"/>
  <c r="J40" i="34" s="1"/>
  <c r="I39" i="34"/>
  <c r="J39" i="34" s="1"/>
  <c r="I38" i="34"/>
  <c r="J38" i="34" s="1"/>
  <c r="I37" i="34"/>
  <c r="J37" i="34" s="1"/>
  <c r="I36" i="34"/>
  <c r="J36" i="34" s="1"/>
  <c r="I35" i="34"/>
  <c r="J35" i="34" s="1"/>
  <c r="I34" i="34"/>
  <c r="J34" i="34" s="1"/>
  <c r="I33" i="34"/>
  <c r="J33" i="34" s="1"/>
  <c r="I32" i="34"/>
  <c r="J32" i="34" s="1"/>
  <c r="I31" i="34"/>
  <c r="J31" i="34" s="1"/>
  <c r="I30" i="34"/>
  <c r="J30" i="34" s="1"/>
  <c r="I29" i="34"/>
  <c r="J29" i="34" s="1"/>
  <c r="I28" i="34"/>
  <c r="J28" i="34" s="1"/>
  <c r="I27" i="34"/>
  <c r="J27" i="34" s="1"/>
  <c r="I26" i="34"/>
  <c r="J26" i="34" s="1"/>
  <c r="I25" i="34"/>
  <c r="J25" i="34" s="1"/>
  <c r="I24" i="34"/>
  <c r="J24" i="34" s="1"/>
  <c r="I23" i="34"/>
  <c r="J23" i="34" s="1"/>
  <c r="I22" i="34"/>
  <c r="J22" i="34" s="1"/>
  <c r="I21" i="34"/>
  <c r="J21" i="34" s="1"/>
  <c r="I20" i="34"/>
  <c r="J20" i="34" s="1"/>
  <c r="I19" i="34"/>
  <c r="J19" i="34" s="1"/>
  <c r="I18" i="34"/>
  <c r="J18" i="34" s="1"/>
  <c r="I17" i="34"/>
  <c r="J17" i="34" s="1"/>
  <c r="I16" i="34"/>
  <c r="J16" i="34" s="1"/>
  <c r="I15" i="34"/>
  <c r="J15" i="34" s="1"/>
  <c r="I14" i="34"/>
  <c r="J14" i="34" s="1"/>
  <c r="I13" i="34"/>
  <c r="J13" i="34" s="1"/>
  <c r="I12" i="34"/>
  <c r="J12" i="34" s="1"/>
  <c r="I11" i="34"/>
  <c r="J11" i="34" s="1"/>
  <c r="I10" i="34"/>
  <c r="J10" i="34" s="1"/>
  <c r="I9" i="34"/>
  <c r="J9" i="34" s="1"/>
  <c r="I8" i="34"/>
  <c r="J8" i="34" s="1"/>
  <c r="I7" i="34"/>
  <c r="J7" i="34" s="1"/>
  <c r="I6" i="34"/>
  <c r="J6" i="34" s="1"/>
  <c r="I5" i="34"/>
  <c r="J5" i="34" s="1"/>
  <c r="I4" i="34"/>
  <c r="J4" i="34" s="1"/>
  <c r="J2" i="34"/>
  <c r="D11" i="34"/>
  <c r="D12" i="34"/>
  <c r="D13" i="34"/>
  <c r="D14" i="34"/>
  <c r="D15" i="34"/>
  <c r="D16" i="34"/>
  <c r="D17" i="34"/>
  <c r="E17" i="34" s="1"/>
  <c r="D18" i="34"/>
  <c r="E18" i="34" s="1"/>
  <c r="D19" i="34"/>
  <c r="E19" i="34" s="1"/>
  <c r="D20" i="34"/>
  <c r="E20" i="34" s="1"/>
  <c r="D21" i="34"/>
  <c r="E21" i="34" s="1"/>
  <c r="D22" i="34"/>
  <c r="E22" i="34" s="1"/>
  <c r="D23" i="34"/>
  <c r="E23" i="34" s="1"/>
  <c r="D24" i="34"/>
  <c r="E24" i="34" s="1"/>
  <c r="D25" i="34"/>
  <c r="E25" i="34" s="1"/>
  <c r="D26" i="34"/>
  <c r="E26" i="34" s="1"/>
  <c r="D27" i="34"/>
  <c r="E27" i="34" s="1"/>
  <c r="D28" i="34"/>
  <c r="E28" i="34" s="1"/>
  <c r="D29" i="34"/>
  <c r="E29" i="34" s="1"/>
  <c r="D30" i="34"/>
  <c r="E30" i="34" s="1"/>
  <c r="D31" i="34"/>
  <c r="E31" i="34" s="1"/>
  <c r="D32" i="34"/>
  <c r="E32" i="34" s="1"/>
  <c r="D33" i="34"/>
  <c r="E33" i="34" s="1"/>
  <c r="D34" i="34"/>
  <c r="E34" i="34" s="1"/>
  <c r="D35" i="34"/>
  <c r="E35" i="34" s="1"/>
  <c r="D36" i="34"/>
  <c r="E36" i="34" s="1"/>
  <c r="D37" i="34"/>
  <c r="E37" i="34" s="1"/>
  <c r="D38" i="34"/>
  <c r="E38" i="34" s="1"/>
  <c r="D39" i="34"/>
  <c r="E39" i="34" s="1"/>
  <c r="D40" i="34"/>
  <c r="E40" i="34" s="1"/>
  <c r="D41" i="34"/>
  <c r="E41" i="34" s="1"/>
  <c r="D42" i="34"/>
  <c r="E42" i="34" s="1"/>
  <c r="D43" i="34"/>
  <c r="E43" i="34" s="1"/>
  <c r="D44" i="34"/>
  <c r="E44" i="34" s="1"/>
  <c r="D45" i="34"/>
  <c r="E45" i="34" s="1"/>
  <c r="D46" i="34"/>
  <c r="E46" i="34" s="1"/>
  <c r="D47" i="34"/>
  <c r="E47" i="34" s="1"/>
  <c r="D48" i="34"/>
  <c r="E48" i="34" s="1"/>
  <c r="D49" i="34"/>
  <c r="E49" i="34" s="1"/>
  <c r="D50" i="34"/>
  <c r="E50" i="34" s="1"/>
  <c r="D51" i="34"/>
  <c r="E51" i="34" s="1"/>
  <c r="D52" i="34"/>
  <c r="E52" i="34" s="1"/>
  <c r="D53" i="34"/>
  <c r="E53" i="34" s="1"/>
  <c r="D54" i="34"/>
  <c r="E54" i="34" s="1"/>
  <c r="D55" i="34"/>
  <c r="E55" i="34" s="1"/>
  <c r="D56" i="34"/>
  <c r="E56" i="34" s="1"/>
  <c r="D57" i="34"/>
  <c r="E57" i="34" s="1"/>
  <c r="D58" i="34"/>
  <c r="E58" i="34" s="1"/>
  <c r="D59" i="34"/>
  <c r="E59" i="34" s="1"/>
  <c r="D60" i="34"/>
  <c r="E60" i="34" s="1"/>
  <c r="D61" i="34"/>
  <c r="E61" i="34" s="1"/>
  <c r="D62" i="34"/>
  <c r="E62" i="34" s="1"/>
  <c r="D63" i="34"/>
  <c r="E63" i="34" s="1"/>
  <c r="D64" i="34"/>
  <c r="E64" i="34" s="1"/>
  <c r="D65" i="34"/>
  <c r="E65" i="34" s="1"/>
  <c r="D66" i="34"/>
  <c r="E66" i="34" s="1"/>
  <c r="D67" i="34"/>
  <c r="E67" i="34" s="1"/>
  <c r="D68" i="34"/>
  <c r="E68" i="34" s="1"/>
  <c r="D69" i="34"/>
  <c r="E69" i="34" s="1"/>
  <c r="D70" i="34"/>
  <c r="E70" i="34" s="1"/>
  <c r="D71" i="34"/>
  <c r="E71" i="34" s="1"/>
  <c r="D72" i="34"/>
  <c r="E72" i="34" s="1"/>
  <c r="D73" i="34"/>
  <c r="E73" i="34" s="1"/>
  <c r="D74" i="34"/>
  <c r="E74" i="34" s="1"/>
  <c r="D75" i="34"/>
  <c r="E75" i="34" s="1"/>
  <c r="D76" i="34"/>
  <c r="E76" i="34" s="1"/>
  <c r="D77" i="34"/>
  <c r="E77" i="34" s="1"/>
  <c r="D78" i="34"/>
  <c r="E78" i="34" s="1"/>
  <c r="D79" i="34"/>
  <c r="E79" i="34" s="1"/>
  <c r="D80" i="34"/>
  <c r="E80" i="34" s="1"/>
  <c r="D81" i="34"/>
  <c r="E81" i="34" s="1"/>
  <c r="D82" i="34"/>
  <c r="E82" i="34" s="1"/>
  <c r="D83" i="34"/>
  <c r="E83" i="34" s="1"/>
  <c r="D84" i="34"/>
  <c r="E84" i="34" s="1"/>
  <c r="D85" i="34"/>
  <c r="E85" i="34" s="1"/>
  <c r="D86" i="34"/>
  <c r="E86" i="34" s="1"/>
  <c r="D87" i="34"/>
  <c r="E87" i="34" s="1"/>
  <c r="D88" i="34"/>
  <c r="E88" i="34" s="1"/>
  <c r="D89" i="34"/>
  <c r="E89" i="34" s="1"/>
  <c r="D90" i="34"/>
  <c r="E90" i="34" s="1"/>
  <c r="D91" i="34"/>
  <c r="E91" i="34" s="1"/>
  <c r="D92" i="34"/>
  <c r="E92" i="34" s="1"/>
  <c r="D93" i="34"/>
  <c r="E93" i="34" s="1"/>
  <c r="D94" i="34"/>
  <c r="E94" i="34" s="1"/>
  <c r="D95" i="34"/>
  <c r="E95" i="34" s="1"/>
  <c r="D96" i="34"/>
  <c r="E96" i="34" s="1"/>
  <c r="D97" i="34"/>
  <c r="E97" i="34" s="1"/>
  <c r="D98" i="34"/>
  <c r="E98" i="34" s="1"/>
  <c r="D99" i="34"/>
  <c r="E99" i="34" s="1"/>
  <c r="D100" i="34"/>
  <c r="E100" i="34" s="1"/>
  <c r="D101" i="34"/>
  <c r="E101" i="34" s="1"/>
  <c r="D102" i="34"/>
  <c r="E102" i="34" s="1"/>
  <c r="D103" i="34"/>
  <c r="E103" i="34" s="1"/>
  <c r="D104" i="34"/>
  <c r="E104" i="34" s="1"/>
  <c r="D105" i="34"/>
  <c r="E105" i="34" s="1"/>
  <c r="D106" i="34"/>
  <c r="E106" i="34" s="1"/>
  <c r="D107" i="34"/>
  <c r="E107" i="34" s="1"/>
  <c r="D108" i="34"/>
  <c r="E108" i="34" s="1"/>
  <c r="D109" i="34"/>
  <c r="E109" i="34" s="1"/>
  <c r="D110" i="34"/>
  <c r="E110" i="34" s="1"/>
  <c r="D111" i="34"/>
  <c r="E111" i="34" s="1"/>
  <c r="D112" i="34"/>
  <c r="E112" i="34" s="1"/>
  <c r="D113" i="34"/>
  <c r="E113" i="34" s="1"/>
  <c r="D114" i="34"/>
  <c r="E114" i="34" s="1"/>
  <c r="D115" i="34"/>
  <c r="E115" i="34" s="1"/>
  <c r="D116" i="34"/>
  <c r="E116" i="34" s="1"/>
  <c r="D117" i="34"/>
  <c r="E117" i="34" s="1"/>
  <c r="D118" i="34"/>
  <c r="E118" i="34" s="1"/>
  <c r="D119" i="34"/>
  <c r="E119" i="34" s="1"/>
  <c r="D120" i="34"/>
  <c r="E120" i="34" s="1"/>
  <c r="D121" i="34"/>
  <c r="E121" i="34" s="1"/>
  <c r="D122" i="34"/>
  <c r="E122" i="34" s="1"/>
  <c r="D123" i="34"/>
  <c r="E123" i="34" s="1"/>
  <c r="D124" i="34"/>
  <c r="E124" i="34" s="1"/>
  <c r="D125" i="34"/>
  <c r="E125" i="34" s="1"/>
  <c r="D126" i="34"/>
  <c r="E126" i="34" s="1"/>
  <c r="D127" i="34"/>
  <c r="E127" i="34" s="1"/>
  <c r="D128" i="34"/>
  <c r="E128" i="34" s="1"/>
  <c r="D129" i="34"/>
  <c r="E129" i="34" s="1"/>
  <c r="D130" i="34"/>
  <c r="E130" i="34" s="1"/>
  <c r="D131" i="34"/>
  <c r="E131" i="34" s="1"/>
  <c r="D132" i="34"/>
  <c r="E132" i="34" s="1"/>
  <c r="D133" i="34"/>
  <c r="E133" i="34" s="1"/>
  <c r="D134" i="34"/>
  <c r="E134" i="34" s="1"/>
  <c r="D135" i="34"/>
  <c r="E135" i="34" s="1"/>
  <c r="D136" i="34"/>
  <c r="E136" i="34" s="1"/>
  <c r="D137" i="34"/>
  <c r="E137" i="34" s="1"/>
  <c r="D138" i="34"/>
  <c r="E138" i="34" s="1"/>
  <c r="D139" i="34"/>
  <c r="E139" i="34" s="1"/>
  <c r="D140" i="34"/>
  <c r="E140" i="34" s="1"/>
  <c r="D141" i="34"/>
  <c r="E141" i="34" s="1"/>
  <c r="D142" i="34"/>
  <c r="E142" i="34" s="1"/>
  <c r="D143" i="34"/>
  <c r="E143" i="34" s="1"/>
  <c r="D144" i="34"/>
  <c r="E144" i="34" s="1"/>
  <c r="D145" i="34"/>
  <c r="E145" i="34" s="1"/>
  <c r="D146" i="34"/>
  <c r="E146" i="34" s="1"/>
  <c r="D147" i="34"/>
  <c r="E147" i="34" s="1"/>
  <c r="D148" i="34"/>
  <c r="E148" i="34" s="1"/>
  <c r="D149" i="34"/>
  <c r="E149" i="34" s="1"/>
  <c r="D150" i="34"/>
  <c r="E150" i="34" s="1"/>
  <c r="D151" i="34"/>
  <c r="E151" i="34" s="1"/>
  <c r="D152" i="34"/>
  <c r="E152" i="34" s="1"/>
  <c r="D153" i="34"/>
  <c r="E153" i="34" s="1"/>
  <c r="D154" i="34"/>
  <c r="E154" i="34" s="1"/>
  <c r="D155" i="34"/>
  <c r="E155" i="34" s="1"/>
  <c r="D156" i="34"/>
  <c r="E156" i="34" s="1"/>
  <c r="D157" i="34"/>
  <c r="E157" i="34" s="1"/>
  <c r="D158" i="34"/>
  <c r="E158" i="34" s="1"/>
  <c r="D159" i="34"/>
  <c r="E159" i="34" s="1"/>
  <c r="D160" i="34"/>
  <c r="E160" i="34" s="1"/>
  <c r="D161" i="34"/>
  <c r="E161" i="34" s="1"/>
  <c r="D162" i="34"/>
  <c r="E162" i="34" s="1"/>
  <c r="D163" i="34"/>
  <c r="E163" i="34" s="1"/>
  <c r="D164" i="34"/>
  <c r="E164" i="34" s="1"/>
  <c r="D165" i="34"/>
  <c r="E165" i="34" s="1"/>
  <c r="D166" i="34"/>
  <c r="E166" i="34" s="1"/>
  <c r="D167" i="34"/>
  <c r="E167" i="34" s="1"/>
  <c r="D168" i="34"/>
  <c r="E168" i="34" s="1"/>
  <c r="D169" i="34"/>
  <c r="E169" i="34" s="1"/>
  <c r="D170" i="34"/>
  <c r="E170" i="34" s="1"/>
  <c r="D171" i="34"/>
  <c r="E171" i="34" s="1"/>
  <c r="D172" i="34"/>
  <c r="E172" i="34" s="1"/>
  <c r="D173" i="34"/>
  <c r="E173" i="34" s="1"/>
  <c r="D174" i="34"/>
  <c r="E174" i="34" s="1"/>
  <c r="D175" i="34"/>
  <c r="E175" i="34" s="1"/>
  <c r="D176" i="34"/>
  <c r="E176" i="34" s="1"/>
  <c r="D177" i="34"/>
  <c r="E177" i="34" s="1"/>
  <c r="D178" i="34"/>
  <c r="E178" i="34" s="1"/>
  <c r="D179" i="34"/>
  <c r="E179" i="34" s="1"/>
  <c r="D180" i="34"/>
  <c r="E180" i="34" s="1"/>
  <c r="D181" i="34"/>
  <c r="E181" i="34" s="1"/>
  <c r="D182" i="34"/>
  <c r="E182" i="34" s="1"/>
  <c r="D183" i="34"/>
  <c r="E183" i="34" s="1"/>
  <c r="D184" i="34"/>
  <c r="E184" i="34" s="1"/>
  <c r="D185" i="34"/>
  <c r="E185" i="34" s="1"/>
  <c r="D186" i="34"/>
  <c r="E186" i="34" s="1"/>
  <c r="D187" i="34"/>
  <c r="E187" i="34" s="1"/>
  <c r="D188" i="34"/>
  <c r="E188" i="34" s="1"/>
  <c r="D189" i="34"/>
  <c r="E189" i="34" s="1"/>
  <c r="D190" i="34"/>
  <c r="E190" i="34" s="1"/>
  <c r="D191" i="34"/>
  <c r="E191" i="34" s="1"/>
  <c r="D192" i="34"/>
  <c r="E192" i="34" s="1"/>
  <c r="D193" i="34"/>
  <c r="E193" i="34" s="1"/>
  <c r="D194" i="34"/>
  <c r="E194" i="34" s="1"/>
  <c r="D195" i="34"/>
  <c r="E195" i="34" s="1"/>
  <c r="D196" i="34"/>
  <c r="E196" i="34" s="1"/>
  <c r="D197" i="34"/>
  <c r="E197" i="34" s="1"/>
  <c r="D198" i="34"/>
  <c r="E198" i="34" s="1"/>
  <c r="D199" i="34"/>
  <c r="E199" i="34" s="1"/>
  <c r="D200" i="34"/>
  <c r="E200" i="34" s="1"/>
  <c r="D201" i="34"/>
  <c r="E201" i="34" s="1"/>
  <c r="D202" i="34"/>
  <c r="E202" i="34" s="1"/>
  <c r="D203" i="34"/>
  <c r="E203" i="34" s="1"/>
  <c r="D204" i="34"/>
  <c r="E204" i="34" s="1"/>
  <c r="D205" i="34"/>
  <c r="E205" i="34" s="1"/>
  <c r="D206" i="34"/>
  <c r="E206" i="34" s="1"/>
  <c r="D207" i="34"/>
  <c r="E207" i="34" s="1"/>
  <c r="D208" i="34"/>
  <c r="E208" i="34" s="1"/>
  <c r="D209" i="34"/>
  <c r="E209" i="34" s="1"/>
  <c r="D210" i="34"/>
  <c r="E210" i="34" s="1"/>
  <c r="D211" i="34"/>
  <c r="E211" i="34" s="1"/>
  <c r="D212" i="34"/>
  <c r="E212" i="34" s="1"/>
  <c r="D213" i="34"/>
  <c r="E213" i="34" s="1"/>
  <c r="D214" i="34"/>
  <c r="E214" i="34" s="1"/>
  <c r="D215" i="34"/>
  <c r="E215" i="34" s="1"/>
  <c r="D216" i="34"/>
  <c r="E216" i="34" s="1"/>
  <c r="D217" i="34"/>
  <c r="E217" i="34" s="1"/>
  <c r="D218" i="34"/>
  <c r="E218" i="34" s="1"/>
  <c r="D219" i="34"/>
  <c r="E219" i="34" s="1"/>
  <c r="D220" i="34"/>
  <c r="E220" i="34" s="1"/>
  <c r="D221" i="34"/>
  <c r="E221" i="34" s="1"/>
  <c r="D222" i="34"/>
  <c r="E222" i="34" s="1"/>
  <c r="D223" i="34"/>
  <c r="E223" i="34" s="1"/>
  <c r="D224" i="34"/>
  <c r="E224" i="34" s="1"/>
  <c r="D225" i="34"/>
  <c r="E225" i="34" s="1"/>
  <c r="D226" i="34"/>
  <c r="E226" i="34" s="1"/>
  <c r="D227" i="34"/>
  <c r="E227" i="34" s="1"/>
  <c r="D228" i="34"/>
  <c r="E228" i="34" s="1"/>
  <c r="D229" i="34"/>
  <c r="E229" i="34" s="1"/>
  <c r="D230" i="34"/>
  <c r="E230" i="34" s="1"/>
  <c r="D231" i="34"/>
  <c r="E231" i="34" s="1"/>
  <c r="D232" i="34"/>
  <c r="E232" i="34" s="1"/>
  <c r="D233" i="34"/>
  <c r="E233" i="34" s="1"/>
  <c r="D234" i="34"/>
  <c r="E234" i="34" s="1"/>
  <c r="D235" i="34"/>
  <c r="E235" i="34" s="1"/>
  <c r="D236" i="34"/>
  <c r="E236" i="34" s="1"/>
  <c r="D237" i="34"/>
  <c r="E237" i="34" s="1"/>
  <c r="D238" i="34"/>
  <c r="E238" i="34" s="1"/>
  <c r="D239" i="34"/>
  <c r="E239" i="34" s="1"/>
  <c r="D240" i="34"/>
  <c r="E240" i="34" s="1"/>
  <c r="D241" i="34"/>
  <c r="E241" i="34" s="1"/>
  <c r="D242" i="34"/>
  <c r="E242" i="34" s="1"/>
  <c r="D243" i="34"/>
  <c r="E243" i="34" s="1"/>
  <c r="D244" i="34"/>
  <c r="E244" i="34" s="1"/>
  <c r="D245" i="34"/>
  <c r="E245" i="34" s="1"/>
  <c r="D246" i="34"/>
  <c r="E246" i="34" s="1"/>
  <c r="D247" i="34"/>
  <c r="E247" i="34" s="1"/>
  <c r="D248" i="34"/>
  <c r="E248" i="34" s="1"/>
  <c r="D249" i="34"/>
  <c r="E249" i="34" s="1"/>
  <c r="D250" i="34"/>
  <c r="E250" i="34" s="1"/>
  <c r="D251" i="34"/>
  <c r="E251" i="34" s="1"/>
  <c r="D252" i="34"/>
  <c r="E252" i="34" s="1"/>
  <c r="D253" i="34"/>
  <c r="E253" i="34" s="1"/>
  <c r="D254" i="34"/>
  <c r="E254" i="34" s="1"/>
  <c r="D255" i="34"/>
  <c r="E255" i="34" s="1"/>
  <c r="D256" i="34"/>
  <c r="E256" i="34" s="1"/>
  <c r="D257" i="34"/>
  <c r="E257" i="34" s="1"/>
  <c r="D258" i="34"/>
  <c r="E258" i="34" s="1"/>
  <c r="D259" i="34"/>
  <c r="E259" i="34" s="1"/>
  <c r="D260" i="34"/>
  <c r="E260" i="34" s="1"/>
  <c r="D261" i="34"/>
  <c r="E261" i="34" s="1"/>
  <c r="D262" i="34"/>
  <c r="E262" i="34" s="1"/>
  <c r="D263" i="34"/>
  <c r="E263" i="34" s="1"/>
  <c r="D264" i="34"/>
  <c r="E264" i="34" s="1"/>
  <c r="D265" i="34"/>
  <c r="E265" i="34" s="1"/>
  <c r="D266" i="34"/>
  <c r="E266" i="34" s="1"/>
  <c r="D267" i="34"/>
  <c r="E267" i="34" s="1"/>
  <c r="D268" i="34"/>
  <c r="E268" i="34" s="1"/>
  <c r="D269" i="34"/>
  <c r="E269" i="34" s="1"/>
  <c r="D270" i="34"/>
  <c r="E270" i="34" s="1"/>
  <c r="D271" i="34"/>
  <c r="E271" i="34" s="1"/>
  <c r="D272" i="34"/>
  <c r="E272" i="34" s="1"/>
  <c r="D273" i="34"/>
  <c r="E273" i="34" s="1"/>
  <c r="D274" i="34"/>
  <c r="E274" i="34" s="1"/>
  <c r="D275" i="34"/>
  <c r="E275" i="34" s="1"/>
  <c r="D276" i="34"/>
  <c r="E276" i="34" s="1"/>
  <c r="D277" i="34"/>
  <c r="E277" i="34" s="1"/>
  <c r="D278" i="34"/>
  <c r="E278" i="34" s="1"/>
  <c r="D279" i="34"/>
  <c r="E279" i="34" s="1"/>
  <c r="D280" i="34"/>
  <c r="E280" i="34" s="1"/>
  <c r="D281" i="34"/>
  <c r="E281" i="34" s="1"/>
  <c r="D282" i="34"/>
  <c r="E282" i="34" s="1"/>
  <c r="D283" i="34"/>
  <c r="E283" i="34" s="1"/>
  <c r="D284" i="34"/>
  <c r="E284" i="34" s="1"/>
  <c r="D285" i="34"/>
  <c r="E285" i="34" s="1"/>
  <c r="D286" i="34"/>
  <c r="E286" i="34" s="1"/>
  <c r="D287" i="34"/>
  <c r="E287" i="34" s="1"/>
  <c r="D288" i="34"/>
  <c r="E288" i="34" s="1"/>
  <c r="D289" i="34"/>
  <c r="E289" i="34" s="1"/>
  <c r="D290" i="34"/>
  <c r="E290" i="34" s="1"/>
  <c r="D291" i="34"/>
  <c r="E291" i="34" s="1"/>
  <c r="D292" i="34"/>
  <c r="E292" i="34" s="1"/>
  <c r="D293" i="34"/>
  <c r="E293" i="34" s="1"/>
  <c r="D294" i="34"/>
  <c r="E294" i="34" s="1"/>
  <c r="D295" i="34"/>
  <c r="E295" i="34" s="1"/>
  <c r="D296" i="34"/>
  <c r="E296" i="34" s="1"/>
  <c r="D297" i="34"/>
  <c r="E297" i="34" s="1"/>
  <c r="D298" i="34"/>
  <c r="E298" i="34" s="1"/>
  <c r="D299" i="34"/>
  <c r="E299" i="34" s="1"/>
  <c r="D300" i="34"/>
  <c r="E300" i="34" s="1"/>
  <c r="D301" i="34"/>
  <c r="E301" i="34" s="1"/>
  <c r="D302" i="34"/>
  <c r="E302" i="34" s="1"/>
  <c r="D303" i="34"/>
  <c r="E303" i="34" s="1"/>
  <c r="D304" i="34"/>
  <c r="E304" i="34" s="1"/>
  <c r="D305" i="34"/>
  <c r="E305" i="34" s="1"/>
  <c r="D306" i="34"/>
  <c r="E306" i="34" s="1"/>
  <c r="D307" i="34"/>
  <c r="E307" i="34" s="1"/>
  <c r="D308" i="34"/>
  <c r="E308" i="34" s="1"/>
  <c r="D309" i="34"/>
  <c r="E309" i="34" s="1"/>
  <c r="D310" i="34"/>
  <c r="E310" i="34" s="1"/>
  <c r="D311" i="34"/>
  <c r="E311" i="34" s="1"/>
  <c r="D312" i="34"/>
  <c r="E312" i="34" s="1"/>
  <c r="D313" i="34"/>
  <c r="E313" i="34" s="1"/>
  <c r="D314" i="34"/>
  <c r="E314" i="34" s="1"/>
  <c r="D315" i="34"/>
  <c r="E315" i="34" s="1"/>
  <c r="D316" i="34"/>
  <c r="E316" i="34" s="1"/>
  <c r="D317" i="34"/>
  <c r="E317" i="34" s="1"/>
  <c r="D318" i="34"/>
  <c r="E318" i="34" s="1"/>
  <c r="D319" i="34"/>
  <c r="E319" i="34" s="1"/>
  <c r="D320" i="34"/>
  <c r="E320" i="34" s="1"/>
  <c r="D321" i="34"/>
  <c r="E321" i="34" s="1"/>
  <c r="D322" i="34"/>
  <c r="E322" i="34" s="1"/>
  <c r="D323" i="34"/>
  <c r="E323" i="34" s="1"/>
  <c r="D324" i="34"/>
  <c r="E324" i="34" s="1"/>
  <c r="D325" i="34"/>
  <c r="E325" i="34" s="1"/>
  <c r="D326" i="34"/>
  <c r="E326" i="34" s="1"/>
  <c r="D327" i="34"/>
  <c r="E327" i="34" s="1"/>
  <c r="D328" i="34"/>
  <c r="E328" i="34" s="1"/>
  <c r="D329" i="34"/>
  <c r="E329" i="34" s="1"/>
  <c r="D330" i="34"/>
  <c r="E330" i="34" s="1"/>
  <c r="D331" i="34"/>
  <c r="E331" i="34" s="1"/>
  <c r="D332" i="34"/>
  <c r="E332" i="34" s="1"/>
  <c r="D333" i="34"/>
  <c r="E333" i="34" s="1"/>
  <c r="D334" i="34"/>
  <c r="E334" i="34" s="1"/>
  <c r="D335" i="34"/>
  <c r="E335" i="34" s="1"/>
  <c r="D336" i="34"/>
  <c r="E336" i="34" s="1"/>
  <c r="D337" i="34"/>
  <c r="E337" i="34" s="1"/>
  <c r="D338" i="34"/>
  <c r="E338" i="34" s="1"/>
  <c r="D339" i="34"/>
  <c r="E339" i="34" s="1"/>
  <c r="D340" i="34"/>
  <c r="E340" i="34" s="1"/>
  <c r="D341" i="34"/>
  <c r="E341" i="34" s="1"/>
  <c r="D342" i="34"/>
  <c r="E342" i="34" s="1"/>
  <c r="D343" i="34"/>
  <c r="E343" i="34" s="1"/>
  <c r="D344" i="34"/>
  <c r="E344" i="34" s="1"/>
  <c r="D345" i="34"/>
  <c r="E345" i="34" s="1"/>
  <c r="D346" i="34"/>
  <c r="E346" i="34" s="1"/>
  <c r="D347" i="34"/>
  <c r="E347" i="34" s="1"/>
  <c r="D348" i="34"/>
  <c r="E348" i="34" s="1"/>
  <c r="D349" i="34"/>
  <c r="E349" i="34" s="1"/>
  <c r="D350" i="34"/>
  <c r="E350" i="34" s="1"/>
  <c r="D351" i="34"/>
  <c r="E351" i="34" s="1"/>
  <c r="D352" i="34"/>
  <c r="E352" i="34" s="1"/>
  <c r="D353" i="34"/>
  <c r="E353" i="34" s="1"/>
  <c r="D354" i="34"/>
  <c r="E354" i="34" s="1"/>
  <c r="D355" i="34"/>
  <c r="E355" i="34" s="1"/>
  <c r="D356" i="34"/>
  <c r="E356" i="34" s="1"/>
  <c r="D357" i="34"/>
  <c r="E357" i="34" s="1"/>
  <c r="D358" i="34"/>
  <c r="E358" i="34" s="1"/>
  <c r="D359" i="34"/>
  <c r="E359" i="34" s="1"/>
  <c r="D360" i="34"/>
  <c r="E360" i="34" s="1"/>
  <c r="D361" i="34"/>
  <c r="E361" i="34" s="1"/>
  <c r="D362" i="34"/>
  <c r="E362" i="34" s="1"/>
  <c r="D363" i="34"/>
  <c r="E363" i="34" s="1"/>
  <c r="D364" i="34"/>
  <c r="E364" i="34" s="1"/>
  <c r="D365" i="34"/>
  <c r="E365" i="34" s="1"/>
  <c r="D366" i="34"/>
  <c r="E366" i="34" s="1"/>
  <c r="D367" i="34"/>
  <c r="E367" i="34" s="1"/>
  <c r="D368" i="34"/>
  <c r="E368" i="34" s="1"/>
  <c r="D369" i="34"/>
  <c r="E369" i="34" s="1"/>
  <c r="D370" i="34"/>
  <c r="E370" i="34" s="1"/>
  <c r="D371" i="34"/>
  <c r="E371" i="34" s="1"/>
  <c r="D372" i="34"/>
  <c r="E372" i="34" s="1"/>
  <c r="D373" i="34"/>
  <c r="E373" i="34" s="1"/>
  <c r="D374" i="34"/>
  <c r="E374" i="34" s="1"/>
  <c r="D375" i="34"/>
  <c r="E375" i="34" s="1"/>
  <c r="D376" i="34"/>
  <c r="E376" i="34" s="1"/>
  <c r="D377" i="34"/>
  <c r="E377" i="34" s="1"/>
  <c r="D378" i="34"/>
  <c r="E378" i="34" s="1"/>
  <c r="D379" i="34"/>
  <c r="E379" i="34" s="1"/>
  <c r="D380" i="34"/>
  <c r="E380" i="34" s="1"/>
  <c r="D381" i="34"/>
  <c r="E381" i="34" s="1"/>
  <c r="D382" i="34"/>
  <c r="E382" i="34" s="1"/>
  <c r="D383" i="34"/>
  <c r="E383" i="34" s="1"/>
  <c r="D384" i="34"/>
  <c r="E384" i="34" s="1"/>
  <c r="D385" i="34"/>
  <c r="E385" i="34" s="1"/>
  <c r="D386" i="34"/>
  <c r="E386" i="34" s="1"/>
  <c r="D387" i="34"/>
  <c r="E387" i="34" s="1"/>
  <c r="D388" i="34"/>
  <c r="E388" i="34" s="1"/>
  <c r="D389" i="34"/>
  <c r="E389" i="34" s="1"/>
  <c r="D390" i="34"/>
  <c r="E390" i="34" s="1"/>
  <c r="D391" i="34"/>
  <c r="E391" i="34" s="1"/>
  <c r="D392" i="34"/>
  <c r="E392" i="34" s="1"/>
  <c r="D393" i="34"/>
  <c r="E393" i="34" s="1"/>
  <c r="D394" i="34"/>
  <c r="E394" i="34" s="1"/>
  <c r="D395" i="34"/>
  <c r="E395" i="34" s="1"/>
  <c r="D396" i="34"/>
  <c r="E396" i="34" s="1"/>
  <c r="D397" i="34"/>
  <c r="E397" i="34" s="1"/>
  <c r="D398" i="34"/>
  <c r="E398" i="34" s="1"/>
  <c r="D399" i="34"/>
  <c r="E399" i="34" s="1"/>
  <c r="D400" i="34"/>
  <c r="E400" i="34" s="1"/>
  <c r="D401" i="34"/>
  <c r="E401" i="34" s="1"/>
  <c r="D402" i="34"/>
  <c r="E402" i="34" s="1"/>
  <c r="D403" i="34"/>
  <c r="E403" i="34" s="1"/>
  <c r="D404" i="34"/>
  <c r="E404" i="34" s="1"/>
  <c r="D405" i="34"/>
  <c r="E405" i="34" s="1"/>
  <c r="D406" i="34"/>
  <c r="E406" i="34" s="1"/>
  <c r="D407" i="34"/>
  <c r="E407" i="34" s="1"/>
  <c r="D408" i="34"/>
  <c r="E408" i="34" s="1"/>
  <c r="D409" i="34"/>
  <c r="E409" i="34" s="1"/>
  <c r="D410" i="34"/>
  <c r="E410" i="34" s="1"/>
  <c r="D411" i="34"/>
  <c r="E411" i="34" s="1"/>
  <c r="D412" i="34"/>
  <c r="E412" i="34" s="1"/>
  <c r="D413" i="34"/>
  <c r="E413" i="34" s="1"/>
  <c r="D414" i="34"/>
  <c r="E414" i="34" s="1"/>
  <c r="D415" i="34"/>
  <c r="E415" i="34" s="1"/>
  <c r="D416" i="34"/>
  <c r="E416" i="34" s="1"/>
  <c r="D417" i="34"/>
  <c r="E417" i="34" s="1"/>
  <c r="D418" i="34"/>
  <c r="E418" i="34" s="1"/>
  <c r="D419" i="34"/>
  <c r="E419" i="34" s="1"/>
  <c r="D420" i="34"/>
  <c r="E420" i="34" s="1"/>
  <c r="D421" i="34"/>
  <c r="E421" i="34" s="1"/>
  <c r="D422" i="34"/>
  <c r="E422" i="34" s="1"/>
  <c r="D423" i="34"/>
  <c r="E423" i="34" s="1"/>
  <c r="D424" i="34"/>
  <c r="E424" i="34" s="1"/>
  <c r="D425" i="34"/>
  <c r="E425" i="34" s="1"/>
  <c r="D426" i="34"/>
  <c r="E426" i="34" s="1"/>
  <c r="D427" i="34"/>
  <c r="E427" i="34" s="1"/>
  <c r="D428" i="34"/>
  <c r="E428" i="34" s="1"/>
  <c r="D429" i="34"/>
  <c r="E429" i="34" s="1"/>
  <c r="D430" i="34"/>
  <c r="E430" i="34" s="1"/>
  <c r="D431" i="34"/>
  <c r="E431" i="34" s="1"/>
  <c r="D432" i="34"/>
  <c r="E432" i="34" s="1"/>
  <c r="D433" i="34"/>
  <c r="E433" i="34" s="1"/>
  <c r="D434" i="34"/>
  <c r="E434" i="34" s="1"/>
  <c r="D435" i="34"/>
  <c r="E435" i="34" s="1"/>
  <c r="D436" i="34"/>
  <c r="E436" i="34" s="1"/>
  <c r="D437" i="34"/>
  <c r="E437" i="34" s="1"/>
  <c r="D438" i="34"/>
  <c r="E438" i="34" s="1"/>
  <c r="D439" i="34"/>
  <c r="E439" i="34" s="1"/>
  <c r="D440" i="34"/>
  <c r="E440" i="34" s="1"/>
  <c r="D441" i="34"/>
  <c r="E441" i="34" s="1"/>
  <c r="D442" i="34"/>
  <c r="E442" i="34" s="1"/>
  <c r="D443" i="34"/>
  <c r="E443" i="34" s="1"/>
  <c r="D444" i="34"/>
  <c r="E444" i="34" s="1"/>
  <c r="D445" i="34"/>
  <c r="E445" i="34" s="1"/>
  <c r="D446" i="34"/>
  <c r="E446" i="34" s="1"/>
  <c r="D447" i="34"/>
  <c r="E447" i="34" s="1"/>
  <c r="D448" i="34"/>
  <c r="E448" i="34" s="1"/>
  <c r="D449" i="34"/>
  <c r="E449" i="34" s="1"/>
  <c r="D450" i="34"/>
  <c r="E450" i="34" s="1"/>
  <c r="D451" i="34"/>
  <c r="E451" i="34" s="1"/>
  <c r="D452" i="34"/>
  <c r="E452" i="34" s="1"/>
  <c r="D453" i="34"/>
  <c r="E453" i="34" s="1"/>
  <c r="D454" i="34"/>
  <c r="E454" i="34" s="1"/>
  <c r="D455" i="34"/>
  <c r="E455" i="34" s="1"/>
  <c r="D456" i="34"/>
  <c r="E456" i="34" s="1"/>
  <c r="D457" i="34"/>
  <c r="E457" i="34" s="1"/>
  <c r="D458" i="34"/>
  <c r="E458" i="34" s="1"/>
  <c r="D459" i="34"/>
  <c r="E459" i="34" s="1"/>
  <c r="D460" i="34"/>
  <c r="E460" i="34" s="1"/>
  <c r="D461" i="34"/>
  <c r="E461" i="34" s="1"/>
  <c r="D462" i="34"/>
  <c r="E462" i="34" s="1"/>
  <c r="D463" i="34"/>
  <c r="E463" i="34" s="1"/>
  <c r="D464" i="34"/>
  <c r="E464" i="34" s="1"/>
  <c r="D465" i="34"/>
  <c r="E465" i="34" s="1"/>
  <c r="D466" i="34"/>
  <c r="E466" i="34" s="1"/>
  <c r="D467" i="34"/>
  <c r="E467" i="34" s="1"/>
  <c r="D468" i="34"/>
  <c r="E468" i="34" s="1"/>
  <c r="D469" i="34"/>
  <c r="E469" i="34" s="1"/>
  <c r="D470" i="34"/>
  <c r="E470" i="34" s="1"/>
  <c r="D471" i="34"/>
  <c r="E471" i="34" s="1"/>
  <c r="D472" i="34"/>
  <c r="E472" i="34" s="1"/>
  <c r="D473" i="34"/>
  <c r="E473" i="34" s="1"/>
  <c r="D474" i="34"/>
  <c r="E474" i="34" s="1"/>
  <c r="D475" i="34"/>
  <c r="E475" i="34" s="1"/>
  <c r="D476" i="34"/>
  <c r="E476" i="34" s="1"/>
  <c r="D477" i="34"/>
  <c r="E477" i="34" s="1"/>
  <c r="D478" i="34"/>
  <c r="E478" i="34" s="1"/>
  <c r="D479" i="34"/>
  <c r="E479" i="34" s="1"/>
  <c r="D480" i="34"/>
  <c r="E480" i="34" s="1"/>
  <c r="D481" i="34"/>
  <c r="E481" i="34" s="1"/>
  <c r="D482" i="34"/>
  <c r="E482" i="34" s="1"/>
  <c r="D483" i="34"/>
  <c r="E483" i="34" s="1"/>
  <c r="D484" i="34"/>
  <c r="E484" i="34" s="1"/>
  <c r="D485" i="34"/>
  <c r="E485" i="34" s="1"/>
  <c r="D486" i="34"/>
  <c r="E486" i="34" s="1"/>
  <c r="D487" i="34"/>
  <c r="E487" i="34" s="1"/>
  <c r="D488" i="34"/>
  <c r="E488" i="34" s="1"/>
  <c r="D489" i="34"/>
  <c r="E489" i="34" s="1"/>
  <c r="D490" i="34"/>
  <c r="E490" i="34" s="1"/>
  <c r="D491" i="34"/>
  <c r="E491" i="34" s="1"/>
  <c r="D492" i="34"/>
  <c r="E492" i="34" s="1"/>
  <c r="D493" i="34"/>
  <c r="E493" i="34" s="1"/>
  <c r="D494" i="34"/>
  <c r="E494" i="34" s="1"/>
  <c r="D495" i="34"/>
  <c r="E495" i="34" s="1"/>
  <c r="D496" i="34"/>
  <c r="E496" i="34" s="1"/>
  <c r="D497" i="34"/>
  <c r="E497" i="34" s="1"/>
  <c r="D498" i="34"/>
  <c r="E498" i="34" s="1"/>
  <c r="D499" i="34"/>
  <c r="E499" i="34" s="1"/>
  <c r="D500" i="34"/>
  <c r="E500" i="34" s="1"/>
  <c r="D501" i="34"/>
  <c r="E501" i="34" s="1"/>
  <c r="D502" i="34"/>
  <c r="E502" i="34" s="1"/>
  <c r="D503" i="34"/>
  <c r="E503" i="34" s="1"/>
  <c r="D504" i="34"/>
  <c r="E504" i="34" s="1"/>
  <c r="D505" i="34"/>
  <c r="E505" i="34" s="1"/>
  <c r="D506" i="34"/>
  <c r="E506" i="34" s="1"/>
  <c r="D507" i="34"/>
  <c r="E507" i="34" s="1"/>
  <c r="D508" i="34"/>
  <c r="E508" i="34" s="1"/>
  <c r="D509" i="34"/>
  <c r="E509" i="34" s="1"/>
  <c r="D510" i="34"/>
  <c r="E510" i="34" s="1"/>
  <c r="D511" i="34"/>
  <c r="E511" i="34" s="1"/>
  <c r="D512" i="34"/>
  <c r="E512" i="34" s="1"/>
  <c r="D513" i="34"/>
  <c r="E513" i="34" s="1"/>
  <c r="D514" i="34"/>
  <c r="E514" i="34" s="1"/>
  <c r="D515" i="34"/>
  <c r="E515" i="34" s="1"/>
  <c r="D516" i="34"/>
  <c r="E516" i="34" s="1"/>
  <c r="D517" i="34"/>
  <c r="E517" i="34" s="1"/>
  <c r="D518" i="34"/>
  <c r="E518" i="34" s="1"/>
  <c r="D519" i="34"/>
  <c r="E519" i="34" s="1"/>
  <c r="D520" i="34"/>
  <c r="E520" i="34" s="1"/>
  <c r="D521" i="34"/>
  <c r="E521" i="34" s="1"/>
  <c r="D522" i="34"/>
  <c r="E522" i="34" s="1"/>
  <c r="D523" i="34"/>
  <c r="E523" i="34" s="1"/>
  <c r="D524" i="34"/>
  <c r="E524" i="34" s="1"/>
  <c r="D525" i="34"/>
  <c r="E525" i="34" s="1"/>
  <c r="D526" i="34"/>
  <c r="E526" i="34" s="1"/>
  <c r="D527" i="34"/>
  <c r="E527" i="34" s="1"/>
  <c r="D528" i="34"/>
  <c r="E528" i="34" s="1"/>
  <c r="D529" i="34"/>
  <c r="E529" i="34" s="1"/>
  <c r="D530" i="34"/>
  <c r="E530" i="34" s="1"/>
  <c r="D531" i="34"/>
  <c r="E531" i="34" s="1"/>
  <c r="D532" i="34"/>
  <c r="E532" i="34" s="1"/>
  <c r="D533" i="34"/>
  <c r="E533" i="34" s="1"/>
  <c r="D534" i="34"/>
  <c r="E534" i="34" s="1"/>
  <c r="D535" i="34"/>
  <c r="E535" i="34" s="1"/>
  <c r="D536" i="34"/>
  <c r="E536" i="34" s="1"/>
  <c r="D537" i="34"/>
  <c r="E537" i="34" s="1"/>
  <c r="D538" i="34"/>
  <c r="E538" i="34" s="1"/>
  <c r="D539" i="34"/>
  <c r="E539" i="34" s="1"/>
  <c r="D540" i="34"/>
  <c r="E540" i="34" s="1"/>
  <c r="D541" i="34"/>
  <c r="E541" i="34" s="1"/>
  <c r="D542" i="34"/>
  <c r="E542" i="34" s="1"/>
  <c r="D543" i="34"/>
  <c r="E543" i="34" s="1"/>
  <c r="D544" i="34"/>
  <c r="E544" i="34" s="1"/>
  <c r="D545" i="34"/>
  <c r="E545" i="34" s="1"/>
  <c r="D546" i="34"/>
  <c r="E546" i="34" s="1"/>
  <c r="D547" i="34"/>
  <c r="E547" i="34" s="1"/>
  <c r="D548" i="34"/>
  <c r="E548" i="34" s="1"/>
  <c r="D549" i="34"/>
  <c r="E549" i="34" s="1"/>
  <c r="D550" i="34"/>
  <c r="E550" i="34" s="1"/>
  <c r="D551" i="34"/>
  <c r="E551" i="34" s="1"/>
  <c r="D552" i="34"/>
  <c r="E552" i="34" s="1"/>
  <c r="D553" i="34"/>
  <c r="E553" i="34" s="1"/>
  <c r="D554" i="34"/>
  <c r="E554" i="34" s="1"/>
  <c r="D555" i="34"/>
  <c r="E555" i="34" s="1"/>
  <c r="D556" i="34"/>
  <c r="E556" i="34" s="1"/>
  <c r="D557" i="34"/>
  <c r="E557" i="34" s="1"/>
  <c r="D558" i="34"/>
  <c r="E558" i="34" s="1"/>
  <c r="D559" i="34"/>
  <c r="E559" i="34" s="1"/>
  <c r="D560" i="34"/>
  <c r="E560" i="34" s="1"/>
  <c r="D561" i="34"/>
  <c r="E561" i="34" s="1"/>
  <c r="D562" i="34"/>
  <c r="E562" i="34" s="1"/>
  <c r="D563" i="34"/>
  <c r="E563" i="34" s="1"/>
  <c r="D564" i="34"/>
  <c r="E564" i="34" s="1"/>
  <c r="D565" i="34"/>
  <c r="E565" i="34" s="1"/>
  <c r="D566" i="34"/>
  <c r="E566" i="34" s="1"/>
  <c r="D567" i="34"/>
  <c r="E567" i="34" s="1"/>
  <c r="D568" i="34"/>
  <c r="E568" i="34" s="1"/>
  <c r="D569" i="34"/>
  <c r="E569" i="34" s="1"/>
  <c r="D570" i="34"/>
  <c r="E570" i="34" s="1"/>
  <c r="D571" i="34"/>
  <c r="E571" i="34" s="1"/>
  <c r="D572" i="34"/>
  <c r="E572" i="34" s="1"/>
  <c r="D573" i="34"/>
  <c r="E573" i="34" s="1"/>
  <c r="D574" i="34"/>
  <c r="E574" i="34" s="1"/>
  <c r="D575" i="34"/>
  <c r="E575" i="34" s="1"/>
  <c r="D576" i="34"/>
  <c r="E576" i="34" s="1"/>
  <c r="D577" i="34"/>
  <c r="E577" i="34" s="1"/>
  <c r="D578" i="34"/>
  <c r="E578" i="34" s="1"/>
  <c r="D579" i="34"/>
  <c r="E579" i="34" s="1"/>
  <c r="D580" i="34"/>
  <c r="E580" i="34" s="1"/>
  <c r="D581" i="34"/>
  <c r="E581" i="34" s="1"/>
  <c r="D582" i="34"/>
  <c r="E582" i="34" s="1"/>
  <c r="D583" i="34"/>
  <c r="E583" i="34" s="1"/>
  <c r="D584" i="34"/>
  <c r="E584" i="34" s="1"/>
  <c r="D585" i="34"/>
  <c r="E585" i="34" s="1"/>
  <c r="D586" i="34"/>
  <c r="E586" i="34" s="1"/>
  <c r="D587" i="34"/>
  <c r="E587" i="34" s="1"/>
  <c r="D588" i="34"/>
  <c r="E588" i="34" s="1"/>
  <c r="D589" i="34"/>
  <c r="E589" i="34" s="1"/>
  <c r="D590" i="34"/>
  <c r="E590" i="34" s="1"/>
  <c r="D591" i="34"/>
  <c r="E591" i="34" s="1"/>
  <c r="D592" i="34"/>
  <c r="E592" i="34" s="1"/>
  <c r="D593" i="34"/>
  <c r="E593" i="34" s="1"/>
  <c r="D594" i="34"/>
  <c r="E594" i="34" s="1"/>
  <c r="D595" i="34"/>
  <c r="E595" i="34" s="1"/>
  <c r="D596" i="34"/>
  <c r="E596" i="34" s="1"/>
  <c r="D597" i="34"/>
  <c r="E597" i="34" s="1"/>
  <c r="D598" i="34"/>
  <c r="E598" i="34" s="1"/>
  <c r="D599" i="34"/>
  <c r="E599" i="34" s="1"/>
  <c r="D600" i="34"/>
  <c r="E600" i="34" s="1"/>
  <c r="D601" i="34"/>
  <c r="E601" i="34" s="1"/>
  <c r="D602" i="34"/>
  <c r="E602" i="34" s="1"/>
  <c r="D603" i="34"/>
  <c r="E603" i="34" s="1"/>
  <c r="D604" i="34"/>
  <c r="E604" i="34" s="1"/>
  <c r="D605" i="34"/>
  <c r="E605" i="34" s="1"/>
  <c r="D606" i="34"/>
  <c r="E606" i="34" s="1"/>
  <c r="D607" i="34"/>
  <c r="E607" i="34" s="1"/>
  <c r="D608" i="34"/>
  <c r="E608" i="34" s="1"/>
  <c r="D609" i="34"/>
  <c r="E609" i="34" s="1"/>
  <c r="D610" i="34"/>
  <c r="E610" i="34" s="1"/>
  <c r="D611" i="34"/>
  <c r="E611" i="34" s="1"/>
  <c r="D612" i="34"/>
  <c r="E612" i="34" s="1"/>
  <c r="D613" i="34"/>
  <c r="E613" i="34" s="1"/>
  <c r="D614" i="34"/>
  <c r="E614" i="34" s="1"/>
  <c r="D615" i="34"/>
  <c r="E615" i="34" s="1"/>
  <c r="D616" i="34"/>
  <c r="E616" i="34" s="1"/>
  <c r="D617" i="34"/>
  <c r="E617" i="34" s="1"/>
  <c r="D618" i="34"/>
  <c r="E618" i="34" s="1"/>
  <c r="D619" i="34"/>
  <c r="E619" i="34" s="1"/>
  <c r="D620" i="34"/>
  <c r="E620" i="34" s="1"/>
  <c r="D621" i="34"/>
  <c r="E621" i="34" s="1"/>
  <c r="D622" i="34"/>
  <c r="E622" i="34" s="1"/>
  <c r="D623" i="34"/>
  <c r="E623" i="34" s="1"/>
  <c r="D624" i="34"/>
  <c r="E624" i="34" s="1"/>
  <c r="D625" i="34"/>
  <c r="E625" i="34" s="1"/>
  <c r="D626" i="34"/>
  <c r="E626" i="34" s="1"/>
  <c r="D627" i="34"/>
  <c r="E627" i="34" s="1"/>
  <c r="D628" i="34"/>
  <c r="E628" i="34" s="1"/>
  <c r="D629" i="34"/>
  <c r="E629" i="34" s="1"/>
  <c r="D630" i="34"/>
  <c r="E630" i="34" s="1"/>
  <c r="D631" i="34"/>
  <c r="E631" i="34" s="1"/>
  <c r="D632" i="34"/>
  <c r="E632" i="34" s="1"/>
  <c r="D633" i="34"/>
  <c r="E633" i="34" s="1"/>
  <c r="D634" i="34"/>
  <c r="E634" i="34" s="1"/>
  <c r="D635" i="34"/>
  <c r="E635" i="34" s="1"/>
  <c r="D636" i="34"/>
  <c r="E636" i="34" s="1"/>
  <c r="D637" i="34"/>
  <c r="E637" i="34" s="1"/>
  <c r="D638" i="34"/>
  <c r="E638" i="34" s="1"/>
  <c r="D639" i="34"/>
  <c r="E639" i="34" s="1"/>
  <c r="D640" i="34"/>
  <c r="E640" i="34" s="1"/>
  <c r="D641" i="34"/>
  <c r="E641" i="34" s="1"/>
  <c r="D642" i="34"/>
  <c r="E642" i="34" s="1"/>
  <c r="D643" i="34"/>
  <c r="E643" i="34" s="1"/>
  <c r="D644" i="34"/>
  <c r="E644" i="34" s="1"/>
  <c r="D645" i="34"/>
  <c r="E645" i="34" s="1"/>
  <c r="D646" i="34"/>
  <c r="E646" i="34" s="1"/>
  <c r="D647" i="34"/>
  <c r="E647" i="34" s="1"/>
  <c r="D648" i="34"/>
  <c r="E648" i="34" s="1"/>
  <c r="D649" i="34"/>
  <c r="E649" i="34" s="1"/>
  <c r="D650" i="34"/>
  <c r="E650" i="34" s="1"/>
  <c r="D651" i="34"/>
  <c r="E651" i="34" s="1"/>
  <c r="D652" i="34"/>
  <c r="E652" i="34" s="1"/>
  <c r="D653" i="34"/>
  <c r="E653" i="34" s="1"/>
  <c r="D654" i="34"/>
  <c r="E654" i="34" s="1"/>
  <c r="D655" i="34"/>
  <c r="E655" i="34" s="1"/>
  <c r="D656" i="34"/>
  <c r="E656" i="34" s="1"/>
  <c r="D657" i="34"/>
  <c r="E657" i="34" s="1"/>
  <c r="D658" i="34"/>
  <c r="E658" i="34" s="1"/>
  <c r="D659" i="34"/>
  <c r="E659" i="34" s="1"/>
  <c r="D660" i="34"/>
  <c r="E660" i="34" s="1"/>
  <c r="D661" i="34"/>
  <c r="E661" i="34" s="1"/>
  <c r="D662" i="34"/>
  <c r="E662" i="34" s="1"/>
  <c r="D663" i="34"/>
  <c r="E663" i="34" s="1"/>
  <c r="D664" i="34"/>
  <c r="E664" i="34" s="1"/>
  <c r="D665" i="34"/>
  <c r="E665" i="34" s="1"/>
  <c r="D666" i="34"/>
  <c r="E666" i="34" s="1"/>
  <c r="D667" i="34"/>
  <c r="E667" i="34" s="1"/>
  <c r="D668" i="34"/>
  <c r="E668" i="34" s="1"/>
  <c r="D669" i="34"/>
  <c r="E669" i="34" s="1"/>
  <c r="D670" i="34"/>
  <c r="E670" i="34" s="1"/>
  <c r="D671" i="34"/>
  <c r="E671" i="34" s="1"/>
  <c r="D672" i="34"/>
  <c r="E672" i="34" s="1"/>
  <c r="D673" i="34"/>
  <c r="E673" i="34" s="1"/>
  <c r="D674" i="34"/>
  <c r="E674" i="34" s="1"/>
  <c r="D675" i="34"/>
  <c r="E675" i="34" s="1"/>
  <c r="D676" i="34"/>
  <c r="E676" i="34" s="1"/>
  <c r="D677" i="34"/>
  <c r="E677" i="34" s="1"/>
  <c r="D678" i="34"/>
  <c r="E678" i="34" s="1"/>
  <c r="D679" i="34"/>
  <c r="E679" i="34" s="1"/>
  <c r="D680" i="34"/>
  <c r="E680" i="34" s="1"/>
  <c r="D681" i="34"/>
  <c r="E681" i="34" s="1"/>
  <c r="D682" i="34"/>
  <c r="E682" i="34" s="1"/>
  <c r="D683" i="34"/>
  <c r="E683" i="34" s="1"/>
  <c r="D684" i="34"/>
  <c r="E684" i="34" s="1"/>
  <c r="D685" i="34"/>
  <c r="E685" i="34" s="1"/>
  <c r="D686" i="34"/>
  <c r="E686" i="34" s="1"/>
  <c r="D687" i="34"/>
  <c r="E687" i="34" s="1"/>
  <c r="D688" i="34"/>
  <c r="E688" i="34" s="1"/>
  <c r="D689" i="34"/>
  <c r="E689" i="34" s="1"/>
  <c r="D690" i="34"/>
  <c r="E690" i="34" s="1"/>
  <c r="D691" i="34"/>
  <c r="E691" i="34" s="1"/>
  <c r="D692" i="34"/>
  <c r="E692" i="34" s="1"/>
  <c r="D693" i="34"/>
  <c r="E693" i="34" s="1"/>
  <c r="D694" i="34"/>
  <c r="E694" i="34" s="1"/>
  <c r="D695" i="34"/>
  <c r="E695" i="34" s="1"/>
  <c r="D696" i="34"/>
  <c r="E696" i="34" s="1"/>
  <c r="D697" i="34"/>
  <c r="E697" i="34" s="1"/>
  <c r="D698" i="34"/>
  <c r="E698" i="34" s="1"/>
  <c r="D699" i="34"/>
  <c r="E699" i="34" s="1"/>
  <c r="D700" i="34"/>
  <c r="E700" i="34" s="1"/>
  <c r="D701" i="34"/>
  <c r="E701" i="34" s="1"/>
  <c r="D702" i="34"/>
  <c r="E702" i="34" s="1"/>
  <c r="D703" i="34"/>
  <c r="E703" i="34" s="1"/>
  <c r="D704" i="34"/>
  <c r="E704" i="34" s="1"/>
  <c r="D705" i="34"/>
  <c r="E705" i="34" s="1"/>
  <c r="D706" i="34"/>
  <c r="E706" i="34" s="1"/>
  <c r="D707" i="34"/>
  <c r="E707" i="34" s="1"/>
  <c r="D708" i="34"/>
  <c r="E708" i="34" s="1"/>
  <c r="D709" i="34"/>
  <c r="E709" i="34" s="1"/>
  <c r="D710" i="34"/>
  <c r="E710" i="34" s="1"/>
  <c r="D711" i="34"/>
  <c r="E711" i="34" s="1"/>
  <c r="D712" i="34"/>
  <c r="E712" i="34" s="1"/>
  <c r="D713" i="34"/>
  <c r="E713" i="34" s="1"/>
  <c r="D714" i="34"/>
  <c r="E714" i="34" s="1"/>
  <c r="D715" i="34"/>
  <c r="E715" i="34" s="1"/>
  <c r="D716" i="34"/>
  <c r="E716" i="34" s="1"/>
  <c r="D717" i="34"/>
  <c r="E717" i="34" s="1"/>
  <c r="D718" i="34"/>
  <c r="E718" i="34" s="1"/>
  <c r="D719" i="34"/>
  <c r="E719" i="34" s="1"/>
  <c r="D720" i="34"/>
  <c r="E720" i="34" s="1"/>
  <c r="D721" i="34"/>
  <c r="E721" i="34" s="1"/>
  <c r="D722" i="34"/>
  <c r="E722" i="34" s="1"/>
  <c r="D723" i="34"/>
  <c r="E723" i="34" s="1"/>
  <c r="D724" i="34"/>
  <c r="E724" i="34" s="1"/>
  <c r="D725" i="34"/>
  <c r="E725" i="34" s="1"/>
  <c r="D726" i="34"/>
  <c r="E726" i="34" s="1"/>
  <c r="D727" i="34"/>
  <c r="E727" i="34" s="1"/>
  <c r="D728" i="34"/>
  <c r="E728" i="34" s="1"/>
  <c r="D729" i="34"/>
  <c r="E729" i="34" s="1"/>
  <c r="D730" i="34"/>
  <c r="E730" i="34" s="1"/>
  <c r="D731" i="34"/>
  <c r="E731" i="34" s="1"/>
  <c r="D732" i="34"/>
  <c r="E732" i="34" s="1"/>
  <c r="D733" i="34"/>
  <c r="E733" i="34" s="1"/>
  <c r="D734" i="34"/>
  <c r="E734" i="34" s="1"/>
  <c r="D735" i="34"/>
  <c r="E735" i="34" s="1"/>
  <c r="D736" i="34"/>
  <c r="E736" i="34" s="1"/>
  <c r="D737" i="34"/>
  <c r="E737" i="34" s="1"/>
  <c r="D738" i="34"/>
  <c r="E738" i="34" s="1"/>
  <c r="D739" i="34"/>
  <c r="E739" i="34" s="1"/>
  <c r="D740" i="34"/>
  <c r="E740" i="34" s="1"/>
  <c r="D741" i="34"/>
  <c r="E741" i="34" s="1"/>
  <c r="D742" i="34"/>
  <c r="E742" i="34" s="1"/>
  <c r="D743" i="34"/>
  <c r="E743" i="34" s="1"/>
  <c r="D744" i="34"/>
  <c r="E744" i="34" s="1"/>
  <c r="D745" i="34"/>
  <c r="E745" i="34" s="1"/>
  <c r="D746" i="34"/>
  <c r="E746" i="34" s="1"/>
  <c r="D747" i="34"/>
  <c r="E747" i="34" s="1"/>
  <c r="D748" i="34"/>
  <c r="E748" i="34" s="1"/>
  <c r="D749" i="34"/>
  <c r="E749" i="34" s="1"/>
  <c r="D750" i="34"/>
  <c r="E750" i="34" s="1"/>
  <c r="D751" i="34"/>
  <c r="E751" i="34" s="1"/>
  <c r="D752" i="34"/>
  <c r="E752" i="34" s="1"/>
  <c r="D753" i="34"/>
  <c r="E753" i="34" s="1"/>
  <c r="D754" i="34"/>
  <c r="E754" i="34" s="1"/>
  <c r="D755" i="34"/>
  <c r="E755" i="34" s="1"/>
  <c r="D756" i="34"/>
  <c r="E756" i="34" s="1"/>
  <c r="D757" i="34"/>
  <c r="E757" i="34" s="1"/>
  <c r="D758" i="34"/>
  <c r="E758" i="34" s="1"/>
  <c r="D759" i="34"/>
  <c r="E759" i="34" s="1"/>
  <c r="D760" i="34"/>
  <c r="E760" i="34" s="1"/>
  <c r="D761" i="34"/>
  <c r="E761" i="34" s="1"/>
  <c r="D762" i="34"/>
  <c r="E762" i="34" s="1"/>
  <c r="D763" i="34"/>
  <c r="E763" i="34" s="1"/>
  <c r="D764" i="34"/>
  <c r="E764" i="34" s="1"/>
  <c r="D765" i="34"/>
  <c r="E765" i="34" s="1"/>
  <c r="D766" i="34"/>
  <c r="E766" i="34" s="1"/>
  <c r="D767" i="34"/>
  <c r="E767" i="34" s="1"/>
  <c r="D768" i="34"/>
  <c r="E768" i="34" s="1"/>
  <c r="D769" i="34"/>
  <c r="E769" i="34" s="1"/>
  <c r="D770" i="34"/>
  <c r="E770" i="34" s="1"/>
  <c r="D771" i="34"/>
  <c r="E771" i="34" s="1"/>
  <c r="D772" i="34"/>
  <c r="E772" i="34" s="1"/>
  <c r="D773" i="34"/>
  <c r="E773" i="34" s="1"/>
  <c r="D774" i="34"/>
  <c r="E774" i="34" s="1"/>
  <c r="D775" i="34"/>
  <c r="E775" i="34" s="1"/>
  <c r="D776" i="34"/>
  <c r="E776" i="34" s="1"/>
  <c r="D777" i="34"/>
  <c r="E777" i="34" s="1"/>
  <c r="D778" i="34"/>
  <c r="E778" i="34" s="1"/>
  <c r="D779" i="34"/>
  <c r="E779" i="34" s="1"/>
  <c r="D780" i="34"/>
  <c r="E780" i="34" s="1"/>
  <c r="D781" i="34"/>
  <c r="E781" i="34" s="1"/>
  <c r="D782" i="34"/>
  <c r="E782" i="34" s="1"/>
  <c r="D783" i="34"/>
  <c r="E783" i="34" s="1"/>
  <c r="D784" i="34"/>
  <c r="E784" i="34" s="1"/>
  <c r="D785" i="34"/>
  <c r="E785" i="34" s="1"/>
  <c r="D786" i="34"/>
  <c r="E786" i="34" s="1"/>
  <c r="D787" i="34"/>
  <c r="E787" i="34" s="1"/>
  <c r="D788" i="34"/>
  <c r="E788" i="34" s="1"/>
  <c r="D789" i="34"/>
  <c r="E789" i="34" s="1"/>
  <c r="D790" i="34"/>
  <c r="E790" i="34" s="1"/>
  <c r="D791" i="34"/>
  <c r="E791" i="34" s="1"/>
  <c r="D792" i="34"/>
  <c r="E792" i="34" s="1"/>
  <c r="D793" i="34"/>
  <c r="E793" i="34" s="1"/>
  <c r="D794" i="34"/>
  <c r="E794" i="34" s="1"/>
  <c r="D795" i="34"/>
  <c r="E795" i="34" s="1"/>
  <c r="D796" i="34"/>
  <c r="E796" i="34" s="1"/>
  <c r="D797" i="34"/>
  <c r="E797" i="34" s="1"/>
  <c r="D798" i="34"/>
  <c r="E798" i="34" s="1"/>
  <c r="D799" i="34"/>
  <c r="E799" i="34" s="1"/>
  <c r="D800" i="34"/>
  <c r="E800" i="34" s="1"/>
  <c r="D801" i="34"/>
  <c r="E801" i="34" s="1"/>
  <c r="D802" i="34"/>
  <c r="E802" i="34" s="1"/>
  <c r="D803" i="34"/>
  <c r="E803" i="34" s="1"/>
  <c r="D804" i="34"/>
  <c r="E804" i="34" s="1"/>
  <c r="D805" i="34"/>
  <c r="E805" i="34" s="1"/>
  <c r="D806" i="34"/>
  <c r="E806" i="34" s="1"/>
  <c r="D807" i="34"/>
  <c r="E807" i="34" s="1"/>
  <c r="D808" i="34"/>
  <c r="E808" i="34" s="1"/>
  <c r="D809" i="34"/>
  <c r="E809" i="34" s="1"/>
  <c r="D810" i="34"/>
  <c r="E810" i="34" s="1"/>
  <c r="D811" i="34"/>
  <c r="E811" i="34" s="1"/>
  <c r="D812" i="34"/>
  <c r="E812" i="34" s="1"/>
  <c r="D813" i="34"/>
  <c r="E813" i="34" s="1"/>
  <c r="D814" i="34"/>
  <c r="E814" i="34" s="1"/>
  <c r="D815" i="34"/>
  <c r="E815" i="34" s="1"/>
  <c r="D816" i="34"/>
  <c r="E816" i="34" s="1"/>
  <c r="D817" i="34"/>
  <c r="E817" i="34" s="1"/>
  <c r="D818" i="34"/>
  <c r="E818" i="34" s="1"/>
  <c r="D819" i="34"/>
  <c r="E819" i="34" s="1"/>
  <c r="D820" i="34"/>
  <c r="E820" i="34" s="1"/>
  <c r="D821" i="34"/>
  <c r="E821" i="34" s="1"/>
  <c r="D822" i="34"/>
  <c r="E822" i="34" s="1"/>
  <c r="D823" i="34"/>
  <c r="E823" i="34" s="1"/>
  <c r="D824" i="34"/>
  <c r="E824" i="34" s="1"/>
  <c r="D825" i="34"/>
  <c r="E825" i="34" s="1"/>
  <c r="D826" i="34"/>
  <c r="E826" i="34" s="1"/>
  <c r="D827" i="34"/>
  <c r="E827" i="34" s="1"/>
  <c r="D828" i="34"/>
  <c r="E828" i="34" s="1"/>
  <c r="D829" i="34"/>
  <c r="E829" i="34" s="1"/>
  <c r="D830" i="34"/>
  <c r="E830" i="34" s="1"/>
  <c r="D831" i="34"/>
  <c r="E831" i="34" s="1"/>
  <c r="D832" i="34"/>
  <c r="E832" i="34" s="1"/>
  <c r="D833" i="34"/>
  <c r="E833" i="34" s="1"/>
  <c r="D834" i="34"/>
  <c r="E834" i="34" s="1"/>
  <c r="D835" i="34"/>
  <c r="E835" i="34" s="1"/>
  <c r="D836" i="34"/>
  <c r="E836" i="34" s="1"/>
  <c r="D837" i="34"/>
  <c r="E837" i="34" s="1"/>
  <c r="D838" i="34"/>
  <c r="E838" i="34" s="1"/>
  <c r="D839" i="34"/>
  <c r="E839" i="34" s="1"/>
  <c r="D840" i="34"/>
  <c r="E840" i="34" s="1"/>
  <c r="D841" i="34"/>
  <c r="E841" i="34" s="1"/>
  <c r="D842" i="34"/>
  <c r="E842" i="34" s="1"/>
  <c r="D843" i="34"/>
  <c r="E843" i="34" s="1"/>
  <c r="D844" i="34"/>
  <c r="E844" i="34" s="1"/>
  <c r="D845" i="34"/>
  <c r="E845" i="34" s="1"/>
  <c r="D846" i="34"/>
  <c r="E846" i="34" s="1"/>
  <c r="D847" i="34"/>
  <c r="E847" i="34" s="1"/>
  <c r="D848" i="34"/>
  <c r="E848" i="34" s="1"/>
  <c r="D849" i="34"/>
  <c r="E849" i="34" s="1"/>
  <c r="D850" i="34"/>
  <c r="E850" i="34" s="1"/>
  <c r="D851" i="34"/>
  <c r="E851" i="34" s="1"/>
  <c r="D852" i="34"/>
  <c r="E852" i="34" s="1"/>
  <c r="D853" i="34"/>
  <c r="E853" i="34" s="1"/>
  <c r="D854" i="34"/>
  <c r="E854" i="34" s="1"/>
  <c r="D855" i="34"/>
  <c r="E855" i="34" s="1"/>
  <c r="D856" i="34"/>
  <c r="E856" i="34" s="1"/>
  <c r="D857" i="34"/>
  <c r="E857" i="34" s="1"/>
  <c r="D858" i="34"/>
  <c r="E858" i="34" s="1"/>
  <c r="D859" i="34"/>
  <c r="E859" i="34" s="1"/>
  <c r="D860" i="34"/>
  <c r="E860" i="34" s="1"/>
  <c r="D861" i="34"/>
  <c r="E861" i="34" s="1"/>
  <c r="D862" i="34"/>
  <c r="E862" i="34" s="1"/>
  <c r="D863" i="34"/>
  <c r="E863" i="34" s="1"/>
  <c r="D864" i="34"/>
  <c r="E864" i="34" s="1"/>
  <c r="D865" i="34"/>
  <c r="E865" i="34" s="1"/>
  <c r="D866" i="34"/>
  <c r="E866" i="34" s="1"/>
  <c r="D867" i="34"/>
  <c r="E867" i="34" s="1"/>
  <c r="D868" i="34"/>
  <c r="E868" i="34" s="1"/>
  <c r="D869" i="34"/>
  <c r="E869" i="34" s="1"/>
  <c r="D870" i="34"/>
  <c r="E870" i="34" s="1"/>
  <c r="D871" i="34"/>
  <c r="E871" i="34" s="1"/>
  <c r="D872" i="34"/>
  <c r="E872" i="34" s="1"/>
  <c r="D873" i="34"/>
  <c r="E873" i="34" s="1"/>
  <c r="D874" i="34"/>
  <c r="E874" i="34" s="1"/>
  <c r="D875" i="34"/>
  <c r="E875" i="34" s="1"/>
  <c r="D876" i="34"/>
  <c r="E876" i="34" s="1"/>
  <c r="D877" i="34"/>
  <c r="E877" i="34" s="1"/>
  <c r="D878" i="34"/>
  <c r="E878" i="34" s="1"/>
  <c r="D879" i="34"/>
  <c r="E879" i="34" s="1"/>
  <c r="D880" i="34"/>
  <c r="E880" i="34" s="1"/>
  <c r="D881" i="34"/>
  <c r="E881" i="34" s="1"/>
  <c r="D882" i="34"/>
  <c r="E882" i="34" s="1"/>
  <c r="D883" i="34"/>
  <c r="E883" i="34" s="1"/>
  <c r="D884" i="34"/>
  <c r="E884" i="34" s="1"/>
  <c r="D885" i="34"/>
  <c r="E885" i="34" s="1"/>
  <c r="D886" i="34"/>
  <c r="E886" i="34" s="1"/>
  <c r="D887" i="34"/>
  <c r="E887" i="34" s="1"/>
  <c r="D888" i="34"/>
  <c r="E888" i="34" s="1"/>
  <c r="D889" i="34"/>
  <c r="E889" i="34" s="1"/>
  <c r="D890" i="34"/>
  <c r="E890" i="34" s="1"/>
  <c r="D891" i="34"/>
  <c r="E891" i="34" s="1"/>
  <c r="D892" i="34"/>
  <c r="E892" i="34" s="1"/>
  <c r="D893" i="34"/>
  <c r="E893" i="34" s="1"/>
  <c r="D894" i="34"/>
  <c r="E894" i="34" s="1"/>
  <c r="D895" i="34"/>
  <c r="E895" i="34" s="1"/>
  <c r="D896" i="34"/>
  <c r="E896" i="34" s="1"/>
  <c r="D897" i="34"/>
  <c r="E897" i="34" s="1"/>
  <c r="D898" i="34"/>
  <c r="E898" i="34" s="1"/>
  <c r="D899" i="34"/>
  <c r="E899" i="34" s="1"/>
  <c r="D900" i="34"/>
  <c r="E900" i="34" s="1"/>
  <c r="D901" i="34"/>
  <c r="E901" i="34" s="1"/>
  <c r="D902" i="34"/>
  <c r="E902" i="34" s="1"/>
  <c r="D903" i="34"/>
  <c r="E903" i="34" s="1"/>
  <c r="D904" i="34"/>
  <c r="E904" i="34" s="1"/>
  <c r="D905" i="34"/>
  <c r="E905" i="34" s="1"/>
  <c r="D906" i="34"/>
  <c r="E906" i="34" s="1"/>
  <c r="D907" i="34"/>
  <c r="E907" i="34" s="1"/>
  <c r="D908" i="34"/>
  <c r="E908" i="34" s="1"/>
  <c r="D909" i="34"/>
  <c r="E909" i="34" s="1"/>
  <c r="D910" i="34"/>
  <c r="E910" i="34" s="1"/>
  <c r="D911" i="34"/>
  <c r="E911" i="34" s="1"/>
  <c r="D912" i="34"/>
  <c r="E912" i="34" s="1"/>
  <c r="D913" i="34"/>
  <c r="E913" i="34" s="1"/>
  <c r="D914" i="34"/>
  <c r="E914" i="34" s="1"/>
  <c r="D915" i="34"/>
  <c r="E915" i="34" s="1"/>
  <c r="D916" i="34"/>
  <c r="E916" i="34" s="1"/>
  <c r="D917" i="34"/>
  <c r="E917" i="34" s="1"/>
  <c r="D918" i="34"/>
  <c r="E918" i="34" s="1"/>
  <c r="D919" i="34"/>
  <c r="E919" i="34" s="1"/>
  <c r="D920" i="34"/>
  <c r="E920" i="34" s="1"/>
  <c r="D921" i="34"/>
  <c r="E921" i="34" s="1"/>
  <c r="D922" i="34"/>
  <c r="E922" i="34" s="1"/>
  <c r="D923" i="34"/>
  <c r="E923" i="34" s="1"/>
  <c r="D924" i="34"/>
  <c r="E924" i="34" s="1"/>
  <c r="D925" i="34"/>
  <c r="E925" i="34" s="1"/>
  <c r="D926" i="34"/>
  <c r="E926" i="34" s="1"/>
  <c r="D927" i="34"/>
  <c r="E927" i="34" s="1"/>
  <c r="D928" i="34"/>
  <c r="E928" i="34" s="1"/>
  <c r="D929" i="34"/>
  <c r="E929" i="34" s="1"/>
  <c r="D930" i="34"/>
  <c r="E930" i="34" s="1"/>
  <c r="D931" i="34"/>
  <c r="E931" i="34" s="1"/>
  <c r="D932" i="34"/>
  <c r="E932" i="34" s="1"/>
  <c r="D933" i="34"/>
  <c r="E933" i="34" s="1"/>
  <c r="D934" i="34"/>
  <c r="E934" i="34" s="1"/>
  <c r="D935" i="34"/>
  <c r="E935" i="34" s="1"/>
  <c r="D936" i="34"/>
  <c r="E936" i="34" s="1"/>
  <c r="D937" i="34"/>
  <c r="E937" i="34" s="1"/>
  <c r="D938" i="34"/>
  <c r="E938" i="34" s="1"/>
  <c r="D939" i="34"/>
  <c r="E939" i="34" s="1"/>
  <c r="D940" i="34"/>
  <c r="E940" i="34" s="1"/>
  <c r="D941" i="34"/>
  <c r="E941" i="34" s="1"/>
  <c r="D942" i="34"/>
  <c r="E942" i="34" s="1"/>
  <c r="D943" i="34"/>
  <c r="E943" i="34" s="1"/>
  <c r="D944" i="34"/>
  <c r="E944" i="34" s="1"/>
  <c r="D945" i="34"/>
  <c r="E945" i="34" s="1"/>
  <c r="D946" i="34"/>
  <c r="E946" i="34" s="1"/>
  <c r="D947" i="34"/>
  <c r="E947" i="34" s="1"/>
  <c r="D948" i="34"/>
  <c r="E948" i="34" s="1"/>
  <c r="D949" i="34"/>
  <c r="E949" i="34" s="1"/>
  <c r="D950" i="34"/>
  <c r="E950" i="34" s="1"/>
  <c r="D951" i="34"/>
  <c r="E951" i="34" s="1"/>
  <c r="D952" i="34"/>
  <c r="E952" i="34" s="1"/>
  <c r="D953" i="34"/>
  <c r="E953" i="34" s="1"/>
  <c r="D954" i="34"/>
  <c r="E954" i="34" s="1"/>
  <c r="D955" i="34"/>
  <c r="E955" i="34" s="1"/>
  <c r="D956" i="34"/>
  <c r="E956" i="34" s="1"/>
  <c r="D957" i="34"/>
  <c r="E957" i="34" s="1"/>
  <c r="D958" i="34"/>
  <c r="E958" i="34" s="1"/>
  <c r="D959" i="34"/>
  <c r="E959" i="34" s="1"/>
  <c r="D960" i="34"/>
  <c r="E960" i="34" s="1"/>
  <c r="D961" i="34"/>
  <c r="E961" i="34" s="1"/>
  <c r="D962" i="34"/>
  <c r="E962" i="34" s="1"/>
  <c r="D963" i="34"/>
  <c r="E963" i="34" s="1"/>
  <c r="D964" i="34"/>
  <c r="E964" i="34" s="1"/>
  <c r="D965" i="34"/>
  <c r="E965" i="34" s="1"/>
  <c r="D966" i="34"/>
  <c r="E966" i="34" s="1"/>
  <c r="D967" i="34"/>
  <c r="E967" i="34" s="1"/>
  <c r="D968" i="34"/>
  <c r="E968" i="34" s="1"/>
  <c r="D969" i="34"/>
  <c r="E969" i="34" s="1"/>
  <c r="D970" i="34"/>
  <c r="E970" i="34" s="1"/>
  <c r="D971" i="34"/>
  <c r="E971" i="34" s="1"/>
  <c r="D972" i="34"/>
  <c r="E972" i="34" s="1"/>
  <c r="D973" i="34"/>
  <c r="E973" i="34" s="1"/>
  <c r="D974" i="34"/>
  <c r="E974" i="34" s="1"/>
  <c r="D975" i="34"/>
  <c r="E975" i="34" s="1"/>
  <c r="D976" i="34"/>
  <c r="E976" i="34" s="1"/>
  <c r="D977" i="34"/>
  <c r="E977" i="34" s="1"/>
  <c r="D978" i="34"/>
  <c r="E978" i="34" s="1"/>
  <c r="D979" i="34"/>
  <c r="E979" i="34" s="1"/>
  <c r="D980" i="34"/>
  <c r="E980" i="34" s="1"/>
  <c r="D981" i="34"/>
  <c r="E981" i="34" s="1"/>
  <c r="D982" i="34"/>
  <c r="E982" i="34" s="1"/>
  <c r="D983" i="34"/>
  <c r="E983" i="34" s="1"/>
  <c r="D984" i="34"/>
  <c r="E984" i="34" s="1"/>
  <c r="D985" i="34"/>
  <c r="E985" i="34" s="1"/>
  <c r="D986" i="34"/>
  <c r="E986" i="34" s="1"/>
  <c r="D987" i="34"/>
  <c r="E987" i="34" s="1"/>
  <c r="D988" i="34"/>
  <c r="E988" i="34" s="1"/>
  <c r="D989" i="34"/>
  <c r="E989" i="34" s="1"/>
  <c r="D990" i="34"/>
  <c r="E990" i="34" s="1"/>
  <c r="D991" i="34"/>
  <c r="E991" i="34" s="1"/>
  <c r="D992" i="34"/>
  <c r="E992" i="34" s="1"/>
  <c r="D993" i="34"/>
  <c r="E993" i="34" s="1"/>
  <c r="D994" i="34"/>
  <c r="E994" i="34" s="1"/>
  <c r="D995" i="34"/>
  <c r="E995" i="34" s="1"/>
  <c r="D996" i="34"/>
  <c r="E996" i="34" s="1"/>
  <c r="D997" i="34"/>
  <c r="E997" i="34" s="1"/>
  <c r="D998" i="34"/>
  <c r="E998" i="34" s="1"/>
  <c r="D999" i="34"/>
  <c r="E999" i="34" s="1"/>
  <c r="D1000" i="34"/>
  <c r="E1000" i="34" s="1"/>
  <c r="D1001" i="34"/>
  <c r="E1001" i="34" s="1"/>
  <c r="E2" i="34"/>
  <c r="J629" i="31"/>
  <c r="A7" i="36"/>
  <c r="A6" i="36"/>
  <c r="A5" i="36"/>
  <c r="J535" i="31"/>
  <c r="J584" i="31"/>
  <c r="J583" i="31"/>
  <c r="J582" i="31"/>
  <c r="J580" i="31"/>
  <c r="J581" i="31"/>
  <c r="J587" i="31"/>
  <c r="J578" i="31"/>
  <c r="J579" i="31"/>
  <c r="J586" i="31"/>
  <c r="J577" i="31"/>
  <c r="J585" i="31"/>
  <c r="J588" i="31"/>
  <c r="J576" i="31"/>
  <c r="J575" i="31"/>
  <c r="J572" i="31"/>
  <c r="J573" i="31"/>
  <c r="J574" i="31"/>
  <c r="J571" i="31"/>
  <c r="J569" i="31"/>
  <c r="J568" i="31"/>
  <c r="J562" i="31"/>
  <c r="J563" i="31"/>
  <c r="J567" i="31"/>
  <c r="J570" i="31"/>
  <c r="J564" i="31"/>
  <c r="J566" i="31"/>
  <c r="J565" i="31"/>
  <c r="J554" i="31"/>
  <c r="J555" i="31"/>
  <c r="J556" i="31"/>
  <c r="J557" i="31"/>
  <c r="J560" i="31"/>
  <c r="J561" i="31"/>
  <c r="J552" i="31"/>
  <c r="J553" i="31"/>
  <c r="J559" i="31"/>
  <c r="J558" i="31"/>
  <c r="J542" i="31"/>
  <c r="J543" i="31"/>
  <c r="J544" i="31"/>
  <c r="J545" i="31"/>
  <c r="J541" i="31"/>
  <c r="J550" i="31"/>
  <c r="J546" i="31"/>
  <c r="J548" i="31"/>
  <c r="J547" i="31"/>
  <c r="J551" i="31"/>
  <c r="J549" i="31"/>
  <c r="J538" i="31"/>
  <c r="J537" i="31"/>
  <c r="J536" i="31"/>
  <c r="J534" i="31"/>
  <c r="J513" i="31"/>
  <c r="J512" i="31"/>
  <c r="J511" i="31"/>
  <c r="J510" i="31"/>
  <c r="J539" i="31"/>
  <c r="J517" i="31"/>
  <c r="J533" i="31"/>
  <c r="J532" i="31"/>
  <c r="J531" i="31"/>
  <c r="J530" i="31"/>
  <c r="J516" i="31"/>
  <c r="J529" i="31"/>
  <c r="J528" i="31"/>
  <c r="J527" i="31"/>
  <c r="J526" i="31"/>
  <c r="J525" i="31"/>
  <c r="J540" i="31"/>
  <c r="J524" i="31"/>
  <c r="J523" i="31"/>
  <c r="J509" i="31"/>
  <c r="J508" i="31"/>
  <c r="J507" i="31"/>
  <c r="J506" i="31"/>
  <c r="J505" i="31"/>
  <c r="J504" i="31"/>
  <c r="J503" i="31"/>
  <c r="J502" i="31"/>
  <c r="J519" i="31"/>
  <c r="J521" i="31"/>
  <c r="J520" i="31"/>
  <c r="J518" i="31"/>
  <c r="J515" i="31"/>
  <c r="J514" i="31"/>
  <c r="J500" i="31"/>
  <c r="J522" i="31"/>
  <c r="J494" i="31"/>
  <c r="J495" i="31"/>
  <c r="J496" i="31"/>
  <c r="J499" i="31"/>
  <c r="J492" i="31"/>
  <c r="J489" i="31"/>
  <c r="J501" i="31"/>
  <c r="J490" i="31"/>
  <c r="J497" i="31"/>
  <c r="J483" i="31"/>
  <c r="J484" i="31"/>
  <c r="J488" i="31"/>
  <c r="J498" i="31"/>
  <c r="J493" i="31"/>
  <c r="J491" i="31"/>
  <c r="J485" i="31"/>
  <c r="J487" i="31"/>
  <c r="J486" i="31"/>
  <c r="J479" i="31"/>
  <c r="J481" i="31"/>
  <c r="J482" i="31"/>
  <c r="J477" i="31"/>
  <c r="J478" i="31"/>
  <c r="J480" i="31"/>
  <c r="J474" i="31"/>
  <c r="J476" i="31"/>
  <c r="J475" i="31"/>
  <c r="J468" i="31"/>
  <c r="J469" i="31"/>
  <c r="J466" i="31"/>
  <c r="J467" i="31"/>
  <c r="J465" i="31"/>
  <c r="J472" i="31"/>
  <c r="J464" i="31"/>
  <c r="J471" i="31"/>
  <c r="J463" i="31"/>
  <c r="J473" i="31"/>
  <c r="J462" i="31"/>
  <c r="J470" i="31"/>
  <c r="J459" i="31"/>
  <c r="J457" i="31"/>
  <c r="J461" i="31"/>
  <c r="J460" i="31"/>
  <c r="J437" i="31"/>
  <c r="J438" i="31"/>
  <c r="J439" i="31"/>
  <c r="J440" i="31"/>
  <c r="J441" i="31"/>
  <c r="J442" i="31"/>
  <c r="J443" i="31"/>
  <c r="J444" i="31"/>
  <c r="J445" i="31"/>
  <c r="J446" i="31"/>
  <c r="J447" i="31"/>
  <c r="J448" i="31"/>
  <c r="J449" i="31"/>
  <c r="J450" i="31"/>
  <c r="J451" i="31"/>
  <c r="J452" i="31"/>
  <c r="J458" i="31"/>
  <c r="J434" i="31"/>
  <c r="J435" i="31"/>
  <c r="J436" i="31"/>
  <c r="J453" i="31"/>
  <c r="J456" i="31"/>
  <c r="J454" i="31"/>
  <c r="J455" i="31"/>
  <c r="J417" i="31"/>
  <c r="J422" i="31"/>
  <c r="J421" i="31"/>
  <c r="J420" i="31"/>
  <c r="J419" i="31"/>
  <c r="J418" i="31"/>
  <c r="J432" i="31"/>
  <c r="J431" i="31"/>
  <c r="J430" i="31"/>
  <c r="J429" i="31"/>
  <c r="J428" i="31"/>
  <c r="J427" i="31"/>
  <c r="J426" i="31"/>
  <c r="J425" i="31"/>
  <c r="J433" i="31"/>
  <c r="J424" i="31"/>
  <c r="J416" i="31"/>
  <c r="J415" i="31"/>
  <c r="J414" i="31"/>
  <c r="J412" i="31"/>
  <c r="J413" i="31"/>
  <c r="J411" i="31"/>
  <c r="J410" i="31"/>
  <c r="J409" i="31"/>
  <c r="J408" i="31"/>
  <c r="J407" i="31"/>
  <c r="J406" i="31"/>
  <c r="J405" i="31"/>
  <c r="J404" i="31"/>
  <c r="J403" i="31"/>
  <c r="J402" i="31"/>
  <c r="J401" i="31"/>
  <c r="J400" i="31"/>
  <c r="J399" i="31"/>
  <c r="J398" i="31"/>
  <c r="J397" i="31"/>
  <c r="J390" i="31"/>
  <c r="J391" i="31"/>
  <c r="J393" i="31"/>
  <c r="J392" i="31"/>
  <c r="J394" i="31"/>
  <c r="J395" i="31"/>
  <c r="J396" i="31"/>
  <c r="J388" i="31"/>
  <c r="J387" i="31"/>
  <c r="J384" i="31"/>
  <c r="J385" i="31"/>
  <c r="J381" i="31"/>
  <c r="J382" i="31"/>
  <c r="J383" i="31"/>
  <c r="J386" i="31"/>
  <c r="J389" i="31"/>
  <c r="J380" i="31"/>
  <c r="J377" i="31"/>
  <c r="J378" i="31"/>
  <c r="J379" i="31"/>
  <c r="J376" i="31"/>
  <c r="J371" i="31"/>
  <c r="J374" i="31"/>
  <c r="J373" i="31"/>
  <c r="J372" i="31"/>
  <c r="J370" i="31"/>
  <c r="J369" i="31"/>
  <c r="J367" i="31"/>
  <c r="J368" i="31"/>
  <c r="J366" i="31"/>
  <c r="J364" i="31"/>
  <c r="J365" i="31"/>
  <c r="J363" i="31"/>
  <c r="J362" i="31"/>
  <c r="J360" i="31"/>
  <c r="J361" i="31"/>
  <c r="J359" i="31"/>
  <c r="J354" i="31"/>
  <c r="J352" i="31"/>
  <c r="J350" i="31"/>
  <c r="J358" i="31"/>
  <c r="J357" i="31"/>
  <c r="J349" i="31"/>
  <c r="J351" i="31"/>
  <c r="J353" i="31"/>
  <c r="J355" i="31"/>
  <c r="J356" i="31"/>
  <c r="J347" i="31"/>
  <c r="J346" i="31"/>
  <c r="J345" i="31"/>
  <c r="J344" i="31"/>
  <c r="J342" i="31"/>
  <c r="J343" i="31"/>
  <c r="J341" i="31"/>
  <c r="J340" i="31"/>
  <c r="J339" i="31"/>
  <c r="J338" i="31"/>
  <c r="J330" i="31"/>
  <c r="J337" i="31"/>
  <c r="J336" i="31"/>
  <c r="J335" i="31"/>
  <c r="J334" i="31"/>
  <c r="J333" i="31"/>
  <c r="J332" i="31"/>
  <c r="J331" i="31"/>
  <c r="J329" i="31"/>
  <c r="J423" i="31"/>
  <c r="J326" i="31"/>
  <c r="J325" i="31"/>
  <c r="J324" i="31"/>
  <c r="J327" i="31"/>
  <c r="J328" i="31"/>
  <c r="J323" i="31"/>
  <c r="J322" i="31"/>
  <c r="J321" i="31"/>
  <c r="J320" i="31"/>
  <c r="J319" i="31"/>
  <c r="J318" i="31"/>
  <c r="J316" i="31"/>
  <c r="J317" i="31"/>
  <c r="J315" i="31"/>
  <c r="J308" i="31"/>
  <c r="J309" i="31"/>
  <c r="J310" i="31"/>
  <c r="J311" i="31"/>
  <c r="J312" i="31"/>
  <c r="J313" i="31"/>
  <c r="J314" i="31"/>
  <c r="J306" i="31"/>
  <c r="J307" i="31"/>
  <c r="J305" i="31"/>
  <c r="J304" i="31"/>
  <c r="J302" i="31"/>
  <c r="J301" i="31"/>
  <c r="J303" i="31"/>
  <c r="J299" i="31"/>
  <c r="J300" i="31"/>
  <c r="J298" i="31"/>
  <c r="J297" i="31"/>
  <c r="J296" i="31"/>
  <c r="J295" i="31"/>
  <c r="J294" i="31"/>
  <c r="J293" i="31"/>
  <c r="J289" i="31"/>
  <c r="J290" i="31"/>
  <c r="J291" i="31"/>
  <c r="J292" i="31"/>
  <c r="J288" i="31"/>
  <c r="J287" i="31"/>
  <c r="J286" i="31"/>
  <c r="J285" i="31"/>
  <c r="J284" i="31"/>
  <c r="J283" i="31"/>
  <c r="J282" i="31"/>
  <c r="J281" i="31"/>
  <c r="J280" i="31"/>
  <c r="J278" i="31"/>
  <c r="J277" i="31"/>
  <c r="J279" i="31"/>
  <c r="J276" i="31"/>
  <c r="J274" i="31"/>
  <c r="J275" i="31"/>
  <c r="J273" i="31"/>
  <c r="J270" i="31"/>
  <c r="J271" i="31"/>
  <c r="J272" i="31"/>
  <c r="J269" i="31"/>
  <c r="J268" i="31"/>
  <c r="J267" i="31"/>
  <c r="J266" i="31"/>
  <c r="J263" i="31"/>
  <c r="J264" i="31"/>
  <c r="J265" i="31"/>
  <c r="J261" i="31"/>
  <c r="J262" i="31"/>
  <c r="J260" i="31"/>
  <c r="J259" i="31"/>
  <c r="J258" i="31"/>
  <c r="J257" i="31"/>
  <c r="J247" i="31"/>
  <c r="J256" i="31"/>
  <c r="J255" i="31"/>
  <c r="J252" i="31"/>
  <c r="J251" i="31"/>
  <c r="J254" i="31"/>
  <c r="J253" i="31"/>
  <c r="J250" i="31"/>
  <c r="J249" i="31"/>
  <c r="J248" i="31"/>
  <c r="J245" i="31"/>
  <c r="J246" i="31"/>
  <c r="J244" i="31"/>
  <c r="J241" i="31"/>
  <c r="J242" i="31"/>
  <c r="J243" i="31"/>
  <c r="J240" i="31"/>
  <c r="J239" i="31"/>
  <c r="J238" i="31"/>
  <c r="J237" i="31"/>
  <c r="J236" i="31"/>
  <c r="J235" i="31"/>
  <c r="J234" i="31"/>
  <c r="J233" i="31"/>
  <c r="J232" i="31"/>
  <c r="J231" i="31"/>
  <c r="J230" i="31"/>
  <c r="J229" i="31"/>
  <c r="J228" i="31"/>
  <c r="J227" i="31"/>
  <c r="J226" i="31"/>
  <c r="J225" i="31"/>
  <c r="J224" i="31"/>
  <c r="J223" i="31"/>
  <c r="J221" i="31"/>
  <c r="J222" i="31"/>
  <c r="J217" i="31"/>
  <c r="J218" i="31"/>
  <c r="J219" i="31"/>
  <c r="J220" i="31"/>
  <c r="J215" i="31"/>
  <c r="J216" i="31"/>
  <c r="J214" i="31"/>
  <c r="J213" i="31"/>
  <c r="J209" i="31"/>
  <c r="J210" i="31"/>
  <c r="J211" i="31"/>
  <c r="J212" i="31"/>
  <c r="J208" i="31"/>
  <c r="J199" i="31"/>
  <c r="J200" i="31"/>
  <c r="J203" i="31"/>
  <c r="J201" i="31"/>
  <c r="J202" i="31"/>
  <c r="J204" i="31"/>
  <c r="J205" i="31"/>
  <c r="J206" i="31"/>
  <c r="J207" i="31"/>
  <c r="J198" i="31"/>
  <c r="J197" i="31"/>
  <c r="J196" i="31"/>
  <c r="J194" i="31"/>
  <c r="J195" i="31"/>
  <c r="J193" i="31"/>
  <c r="J192" i="31"/>
  <c r="J191" i="31"/>
  <c r="J188" i="31"/>
  <c r="J190" i="31"/>
  <c r="J189" i="31"/>
  <c r="J187" i="31"/>
  <c r="J186" i="31"/>
  <c r="J185" i="31"/>
  <c r="J184" i="31"/>
  <c r="J174" i="31"/>
  <c r="J177" i="31"/>
  <c r="J175" i="31"/>
  <c r="J176" i="31"/>
  <c r="J178" i="31"/>
  <c r="J179" i="31"/>
  <c r="J180" i="31"/>
  <c r="J181" i="31"/>
  <c r="J182" i="31"/>
  <c r="J183" i="31"/>
  <c r="H14" i="42"/>
  <c r="H13" i="42"/>
  <c r="I14" i="42"/>
  <c r="I13" i="42"/>
  <c r="C13" i="42"/>
  <c r="B13" i="42"/>
  <c r="G5" i="42"/>
  <c r="G4" i="42"/>
  <c r="E4" i="42"/>
  <c r="I11" i="42"/>
  <c r="I6" i="42"/>
  <c r="G10" i="42"/>
  <c r="E10" i="42"/>
  <c r="G9" i="42"/>
  <c r="E9" i="42"/>
  <c r="E5" i="42"/>
  <c r="B6" i="42"/>
  <c r="F14" i="42"/>
  <c r="B14" i="42"/>
  <c r="F13" i="42"/>
  <c r="F11" i="42"/>
  <c r="H11" i="42"/>
  <c r="B11" i="42"/>
  <c r="D11" i="42"/>
  <c r="F6" i="42"/>
  <c r="H6" i="42"/>
  <c r="G11" i="42"/>
  <c r="G6" i="42"/>
  <c r="G13" i="42"/>
  <c r="G14" i="42"/>
  <c r="E13" i="42"/>
  <c r="D6" i="42"/>
  <c r="E6" i="42"/>
  <c r="E14" i="42"/>
  <c r="C6" i="42"/>
  <c r="D14" i="42"/>
  <c r="C14" i="42"/>
  <c r="C11" i="42"/>
  <c r="E11" i="42"/>
  <c r="D13" i="42"/>
  <c r="J173" i="31"/>
  <c r="J172" i="31"/>
  <c r="J171" i="31"/>
  <c r="J170" i="31"/>
  <c r="J169" i="31"/>
  <c r="J168" i="31"/>
  <c r="J167" i="31"/>
  <c r="J166" i="31"/>
  <c r="J161" i="31"/>
  <c r="J162" i="31"/>
  <c r="J163" i="31"/>
  <c r="J164" i="31"/>
  <c r="J165" i="31"/>
  <c r="J159" i="31"/>
  <c r="J160" i="31"/>
  <c r="E18" i="39"/>
  <c r="D18" i="39"/>
  <c r="C18" i="39"/>
  <c r="B18" i="39"/>
  <c r="A18" i="39"/>
  <c r="J158" i="31"/>
  <c r="J157" i="31"/>
  <c r="J156" i="31"/>
  <c r="J155" i="31"/>
  <c r="J154" i="31"/>
  <c r="J153" i="31"/>
  <c r="J152" i="31"/>
  <c r="J151" i="31"/>
  <c r="J150" i="31"/>
  <c r="J149" i="31"/>
  <c r="J148" i="31"/>
  <c r="J147" i="31"/>
  <c r="J145" i="31"/>
  <c r="J146" i="31"/>
  <c r="J144" i="31"/>
  <c r="J143" i="31"/>
  <c r="J141" i="31"/>
  <c r="J142" i="31"/>
  <c r="J140" i="31"/>
  <c r="J139" i="31"/>
  <c r="J138" i="31"/>
  <c r="J137" i="31"/>
  <c r="J136" i="31"/>
  <c r="J134" i="31"/>
  <c r="J135" i="31"/>
  <c r="J133" i="31"/>
  <c r="J132" i="31"/>
  <c r="J131" i="31"/>
  <c r="J128" i="31"/>
  <c r="J129" i="31"/>
  <c r="J130" i="31"/>
  <c r="J127" i="31"/>
  <c r="J126" i="31"/>
  <c r="J125" i="31"/>
  <c r="J124" i="31"/>
  <c r="J123" i="31"/>
  <c r="J121" i="31"/>
  <c r="J120" i="31"/>
  <c r="J119" i="31"/>
  <c r="J118" i="31"/>
  <c r="J117" i="31"/>
  <c r="J116" i="31"/>
  <c r="J115" i="31"/>
  <c r="J114" i="31"/>
  <c r="J111" i="31"/>
  <c r="J112" i="31"/>
  <c r="J113" i="31"/>
  <c r="J110" i="31"/>
  <c r="J109" i="31"/>
  <c r="J3" i="31"/>
  <c r="J4" i="31"/>
  <c r="J5" i="31"/>
  <c r="J6" i="31"/>
  <c r="J7" i="31"/>
  <c r="J8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J2" i="31"/>
  <c r="J14" i="41"/>
  <c r="I14" i="41"/>
  <c r="G14" i="41"/>
  <c r="E14" i="41"/>
  <c r="C14" i="41"/>
  <c r="B14" i="41"/>
  <c r="J13" i="41"/>
  <c r="I13" i="41"/>
  <c r="G13" i="41"/>
  <c r="E13" i="41"/>
  <c r="D13" i="41"/>
  <c r="C13" i="41"/>
  <c r="B13" i="41"/>
  <c r="J11" i="41"/>
  <c r="G11" i="41"/>
  <c r="E11" i="41"/>
  <c r="C11" i="41"/>
  <c r="B11" i="41"/>
  <c r="H10" i="41"/>
  <c r="H14" i="41"/>
  <c r="F10" i="41"/>
  <c r="F12" i="41"/>
  <c r="D10" i="41"/>
  <c r="H9" i="41"/>
  <c r="F9" i="41"/>
  <c r="F13" i="41"/>
  <c r="D9" i="41"/>
  <c r="J6" i="41"/>
  <c r="G6" i="41"/>
  <c r="E6" i="41"/>
  <c r="C6" i="41"/>
  <c r="B6" i="41"/>
  <c r="H5" i="41"/>
  <c r="J7" i="41"/>
  <c r="F5" i="41"/>
  <c r="D5" i="41"/>
  <c r="D7" i="41"/>
  <c r="H4" i="41"/>
  <c r="H6" i="41"/>
  <c r="F4" i="41"/>
  <c r="D4" i="41"/>
  <c r="B12" i="40"/>
  <c r="C9" i="40"/>
  <c r="C8" i="40"/>
  <c r="C12" i="40"/>
  <c r="A5" i="40"/>
  <c r="C5" i="40"/>
  <c r="F2" i="40"/>
  <c r="E2" i="40"/>
  <c r="J10" i="39"/>
  <c r="J11" i="39"/>
  <c r="B10" i="39"/>
  <c r="J8" i="39"/>
  <c r="B8" i="39"/>
  <c r="J6" i="39"/>
  <c r="B6" i="39"/>
  <c r="J4" i="39"/>
  <c r="B4" i="39"/>
  <c r="J3" i="39"/>
  <c r="B3" i="39"/>
  <c r="J5" i="39"/>
  <c r="D14" i="41"/>
  <c r="F6" i="41"/>
  <c r="J7" i="39"/>
  <c r="F14" i="41"/>
  <c r="D9" i="40"/>
  <c r="E9" i="40"/>
  <c r="F11" i="41"/>
  <c r="J9" i="39"/>
  <c r="H13" i="41"/>
  <c r="D6" i="41"/>
  <c r="D11" i="41"/>
  <c r="B9" i="39"/>
  <c r="B5" i="39"/>
  <c r="B11" i="39"/>
  <c r="F8" i="40"/>
  <c r="G8" i="40"/>
  <c r="F9" i="40"/>
  <c r="G9" i="40"/>
  <c r="B7" i="39"/>
  <c r="D8" i="40"/>
  <c r="E8" i="40"/>
  <c r="H11" i="41"/>
  <c r="F7" i="41"/>
  <c r="H7" i="41"/>
  <c r="D12" i="41"/>
  <c r="H12" i="41"/>
  <c r="J12" i="41"/>
  <c r="A7" i="37"/>
  <c r="A6" i="37"/>
  <c r="A5" i="37"/>
  <c r="A4" i="37"/>
  <c r="A11" i="36"/>
  <c r="A10" i="36"/>
  <c r="A9" i="36"/>
  <c r="A11" i="35"/>
  <c r="A10" i="35"/>
  <c r="A9" i="35"/>
  <c r="A7" i="35"/>
  <c r="A6" i="35"/>
  <c r="A5" i="35"/>
  <c r="V9" i="44" l="1"/>
  <c r="O7" i="34"/>
  <c r="D757" i="31"/>
  <c r="D8" i="34"/>
  <c r="D7" i="34"/>
  <c r="D6" i="34"/>
  <c r="D4" i="34"/>
  <c r="D5" i="34"/>
  <c r="O4" i="34"/>
  <c r="V72" i="44"/>
  <c r="V64" i="44"/>
  <c r="V60" i="44"/>
  <c r="V80" i="44"/>
  <c r="V70" i="44"/>
  <c r="V58" i="44"/>
  <c r="V41" i="44"/>
  <c r="V31" i="44"/>
  <c r="V74" i="44"/>
  <c r="V76" i="44"/>
  <c r="V47" i="44"/>
  <c r="V78" i="44"/>
  <c r="V39" i="44"/>
  <c r="R21" i="34"/>
  <c r="V57" i="44"/>
  <c r="V68" i="44"/>
  <c r="V63" i="44"/>
  <c r="V55" i="44"/>
  <c r="V69" i="44"/>
  <c r="V61" i="44"/>
  <c r="V56" i="44"/>
  <c r="V48" i="44"/>
  <c r="V67" i="44"/>
  <c r="V59" i="44"/>
  <c r="V51" i="44"/>
  <c r="V54" i="44"/>
  <c r="V65" i="44"/>
  <c r="V52" i="44"/>
  <c r="V71" i="44"/>
  <c r="V66" i="44"/>
  <c r="V50" i="44"/>
  <c r="V42" i="44"/>
  <c r="V34" i="44"/>
  <c r="C6" i="47"/>
  <c r="C9" i="47"/>
  <c r="A4" i="36"/>
  <c r="V14" i="44"/>
  <c r="V11" i="44"/>
  <c r="V38" i="44"/>
  <c r="V30" i="44"/>
  <c r="V23" i="44"/>
  <c r="V45" i="44"/>
  <c r="V37" i="44"/>
  <c r="V29" i="44"/>
  <c r="V40" i="44"/>
  <c r="V32" i="44"/>
  <c r="V16" i="44"/>
  <c r="V43" i="44"/>
  <c r="V35" i="44"/>
  <c r="V27" i="44"/>
  <c r="V46" i="44"/>
  <c r="V33" i="44"/>
  <c r="V44" i="44"/>
  <c r="V36" i="44"/>
  <c r="V20" i="44"/>
  <c r="A4" i="35"/>
  <c r="V26" i="44"/>
  <c r="V21" i="44"/>
  <c r="V22" i="44"/>
  <c r="V25" i="44"/>
  <c r="V17" i="44"/>
  <c r="V28" i="44"/>
  <c r="V24" i="44"/>
  <c r="V19" i="44"/>
  <c r="D10" i="34"/>
  <c r="O12" i="34"/>
  <c r="C5" i="47"/>
  <c r="D9" i="34"/>
  <c r="O11" i="34"/>
  <c r="C3" i="47"/>
  <c r="O6" i="34"/>
  <c r="C2" i="47"/>
  <c r="O9" i="34"/>
  <c r="O8" i="34"/>
  <c r="C4" i="47"/>
  <c r="O15" i="34"/>
  <c r="O5" i="34"/>
  <c r="C8" i="47"/>
  <c r="C10" i="47"/>
  <c r="C7" i="47"/>
  <c r="S33" i="34" a="1"/>
  <c r="S33" i="34" s="1"/>
  <c r="T33" i="34" s="1"/>
  <c r="S31" i="34" a="1"/>
  <c r="S31" i="34" s="1"/>
  <c r="T31" i="34" s="1"/>
  <c r="S27" i="34" a="1"/>
  <c r="S27" i="34" s="1"/>
  <c r="T27" i="34" s="1"/>
  <c r="S22" i="34" a="1"/>
  <c r="S22" i="34" s="1"/>
  <c r="T22" i="34" s="1"/>
  <c r="S24" i="34" a="1"/>
  <c r="S24" i="34" s="1"/>
  <c r="T24" i="34" s="1"/>
  <c r="S20" i="34" a="1"/>
  <c r="S20" i="34" s="1"/>
  <c r="T20" i="34" s="1"/>
  <c r="S28" i="34" a="1"/>
  <c r="S28" i="34" s="1"/>
  <c r="T28" i="34" s="1"/>
  <c r="S30" i="34" a="1"/>
  <c r="S30" i="34" s="1"/>
  <c r="T30" i="34" s="1"/>
  <c r="S32" i="34" a="1"/>
  <c r="S32" i="34" s="1"/>
  <c r="T32" i="34" s="1"/>
  <c r="S26" i="34" a="1"/>
  <c r="S26" i="34" s="1"/>
  <c r="T26" i="34" s="1"/>
  <c r="S21" i="34" a="1"/>
  <c r="S21" i="34" s="1"/>
  <c r="T21" i="34" s="1"/>
  <c r="S25" i="34" a="1"/>
  <c r="S25" i="34" s="1"/>
  <c r="T25" i="34" s="1"/>
  <c r="S34" i="34" a="1"/>
  <c r="S34" i="34" s="1"/>
  <c r="T34" i="34" s="1"/>
  <c r="S29" i="34" a="1"/>
  <c r="S29" i="34" s="1"/>
  <c r="T29" i="34" s="1"/>
  <c r="S23" i="34" a="1"/>
  <c r="S23" i="34" s="1"/>
  <c r="T23" i="34" s="1"/>
  <c r="E16" i="34"/>
  <c r="E4" i="34"/>
  <c r="V8" i="44"/>
  <c r="V7" i="44"/>
  <c r="V18" i="44"/>
  <c r="V13" i="44"/>
  <c r="V12" i="44"/>
  <c r="N1" i="44"/>
  <c r="X4" i="44"/>
  <c r="V10" i="44"/>
  <c r="V15" i="44"/>
  <c r="E6" i="34" l="1"/>
  <c r="R18" i="34"/>
  <c r="E5" i="34"/>
  <c r="E7" i="34"/>
  <c r="E9" i="34"/>
  <c r="E8" i="34"/>
  <c r="M1" i="34"/>
  <c r="M2" i="34" s="1"/>
  <c r="E15" i="34"/>
  <c r="E13" i="34"/>
  <c r="E11" i="34"/>
  <c r="E10" i="34"/>
  <c r="S13" i="34" s="1" a="1"/>
  <c r="S13" i="34" s="1"/>
  <c r="T13" i="34" s="1"/>
  <c r="E12" i="34"/>
  <c r="E14" i="34"/>
  <c r="T35" i="34"/>
  <c r="S35" i="34" s="1"/>
  <c r="V4" i="44"/>
  <c r="S6" i="34" a="1"/>
  <c r="S6" i="34" s="1"/>
  <c r="T6" i="34" s="1"/>
  <c r="S18" i="34" a="1"/>
  <c r="S18" i="34" s="1"/>
  <c r="T18" i="34" s="1"/>
  <c r="S15" i="34" a="1"/>
  <c r="S15" i="34" s="1"/>
  <c r="T15" i="34" s="1"/>
  <c r="S7" i="34" l="1" a="1"/>
  <c r="S7" i="34" s="1"/>
  <c r="T7" i="34" s="1"/>
  <c r="S16" i="34" a="1"/>
  <c r="S16" i="34" s="1"/>
  <c r="T16" i="34" s="1"/>
  <c r="S4" i="34" a="1"/>
  <c r="S4" i="34" s="1"/>
  <c r="T4" i="34" s="1"/>
  <c r="S11" i="34" a="1"/>
  <c r="S11" i="34" s="1"/>
  <c r="T11" i="34" s="1"/>
  <c r="S9" i="34" a="1"/>
  <c r="S9" i="34" s="1"/>
  <c r="T9" i="34" s="1"/>
  <c r="S10" i="34" a="1"/>
  <c r="S10" i="34" s="1"/>
  <c r="T10" i="34" s="1"/>
  <c r="S12" i="34" a="1"/>
  <c r="S12" i="34" s="1"/>
  <c r="T12" i="34" s="1"/>
  <c r="S8" i="34" a="1"/>
  <c r="S8" i="34" s="1"/>
  <c r="T8" i="34" s="1"/>
  <c r="S14" i="34" a="1"/>
  <c r="S14" i="34" s="1"/>
  <c r="T14" i="34" s="1"/>
  <c r="S5" i="34" a="1"/>
  <c r="S5" i="34" s="1"/>
  <c r="T5" i="34" s="1"/>
  <c r="S17" i="34" a="1"/>
  <c r="S17" i="34" s="1"/>
  <c r="T17" i="34" s="1"/>
  <c r="T19" i="34" l="1"/>
  <c r="S19" i="34" s="1"/>
  <c r="G757" i="31" l="1" a="1"/>
  <c r="G757" i="31" s="1"/>
  <c r="M11" i="38"/>
  <c r="M13" i="38"/>
  <c r="K2" i="47" a="1"/>
  <c r="K2" i="47" s="1"/>
  <c r="T36" i="34"/>
  <c r="K10" i="47" a="1"/>
  <c r="K10" i="47" s="1"/>
  <c r="K12" i="47" l="1" a="1"/>
  <c r="K12" i="47" s="1"/>
  <c r="K11" i="47" a="1"/>
  <c r="K11" i="47" s="1"/>
  <c r="I11" i="47"/>
  <c r="M16" i="38"/>
  <c r="M17" i="38" s="1"/>
  <c r="M15" i="38"/>
  <c r="M10" i="47"/>
  <c r="L10" i="47"/>
  <c r="L2" i="47"/>
  <c r="M2" i="47"/>
  <c r="I6" i="47"/>
  <c r="I7" i="47"/>
  <c r="K3" i="47" a="1"/>
  <c r="K3" i="47" s="1"/>
  <c r="K4" i="47" a="1"/>
  <c r="K4" i="47" s="1"/>
  <c r="T38" i="34" a="1"/>
  <c r="T38" i="34" s="1"/>
  <c r="V36" i="34" s="1"/>
  <c r="I2" i="47"/>
  <c r="K5" i="47" a="1"/>
  <c r="K5" i="47" s="1"/>
  <c r="K7" i="47" a="1"/>
  <c r="K7" i="47" s="1"/>
  <c r="I10" i="47"/>
  <c r="I3" i="47"/>
  <c r="I9" i="47"/>
  <c r="I4" i="47"/>
  <c r="I8" i="47"/>
  <c r="K9" i="47" a="1"/>
  <c r="K9" i="47" s="1"/>
  <c r="K6" i="47" a="1"/>
  <c r="K6" i="47" s="1"/>
  <c r="K8" i="47" a="1"/>
  <c r="K8" i="47" s="1"/>
  <c r="I5" i="47"/>
  <c r="L11" i="47" l="1"/>
  <c r="M11" i="47"/>
  <c r="L12" i="47"/>
  <c r="M12" i="47"/>
  <c r="L8" i="47"/>
  <c r="M8" i="47"/>
  <c r="L3" i="47"/>
  <c r="M3" i="47"/>
  <c r="M6" i="47"/>
  <c r="L6" i="47"/>
  <c r="L7" i="47"/>
  <c r="M7" i="47"/>
  <c r="L5" i="47"/>
  <c r="M5" i="47"/>
  <c r="M9" i="47"/>
  <c r="L9" i="47"/>
  <c r="V38" i="34"/>
  <c r="V37" i="34"/>
  <c r="V35" i="34"/>
  <c r="V19" i="34"/>
  <c r="L4" i="47"/>
  <c r="M4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</author>
  </authors>
  <commentList>
    <comment ref="J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Jen:</t>
        </r>
        <r>
          <rPr>
            <b/>
            <sz val="9"/>
            <color indexed="81"/>
            <rFont val="細明體"/>
            <family val="3"/>
            <charset val="136"/>
          </rPr>
          <t>價金</t>
        </r>
        <r>
          <rPr>
            <sz val="9"/>
            <color indexed="81"/>
            <rFont val="細明體"/>
            <family val="3"/>
            <charset val="136"/>
          </rPr>
          <t>未考慮手續費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</author>
  </authors>
  <commentList>
    <comment ref="C1" authorId="0" shapeId="0" xr:uid="{00000000-0006-0000-0300-000001000000}">
      <text>
        <r>
          <rPr>
            <sz val="10"/>
            <color indexed="81"/>
            <rFont val="Arial Unicode MS"/>
            <family val="2"/>
            <charset val="136"/>
          </rPr>
          <t>資券: 填入"融券保證金減未實現損益"
期權: 填入"總權益數"</t>
        </r>
      </text>
    </comment>
    <comment ref="G1" authorId="0" shapeId="0" xr:uid="{00000000-0006-0000-0300-000002000000}">
      <text>
        <r>
          <rPr>
            <sz val="6"/>
            <color indexed="81"/>
            <rFont val="Arial Unicode MS"/>
            <family val="2"/>
            <charset val="136"/>
          </rPr>
          <t>交割款 申購款 以除息但未入帳之股利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</author>
  </authors>
  <commentList>
    <comment ref="A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按TWN&gt;TWO&gt;TW依序</t>
        </r>
        <r>
          <rPr>
            <sz val="9"/>
            <color indexed="81"/>
            <rFont val="Tahoma"/>
            <family val="2"/>
          </rPr>
          <t>refresh</t>
        </r>
      </text>
    </comment>
    <comment ref="A1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Jen: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興櫃這頁目前只能爬取最近已收盤交易日，無法指定日期，尚待優化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註</author>
  </authors>
  <commentList>
    <comment ref="A7" authorId="0" shapeId="0" xr:uid="{00000000-0006-0000-0600-000001000000}">
      <text>
        <r>
          <rPr>
            <b/>
            <sz val="8"/>
            <color indexed="81"/>
            <rFont val="細明體"/>
            <family val="3"/>
            <charset val="136"/>
          </rPr>
          <t>目前資料日期</t>
        </r>
      </text>
    </comment>
    <comment ref="A11" authorId="0" shapeId="0" xr:uid="{00000000-0006-0000-0600-000002000000}">
      <text>
        <r>
          <rPr>
            <b/>
            <sz val="8"/>
            <color indexed="81"/>
            <rFont val="細明體"/>
            <family val="3"/>
            <charset val="136"/>
          </rPr>
          <t>按下更新鍵將會刷新的日期(文字值)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註</author>
  </authors>
  <commentList>
    <comment ref="A7" authorId="0" shapeId="0" xr:uid="{00000000-0006-0000-0700-000001000000}">
      <text>
        <r>
          <rPr>
            <b/>
            <sz val="8"/>
            <color indexed="81"/>
            <rFont val="細明體"/>
            <family val="3"/>
            <charset val="136"/>
          </rPr>
          <t>目前資料日期</t>
        </r>
      </text>
    </comment>
    <comment ref="A11" authorId="0" shapeId="0" xr:uid="{00000000-0006-0000-0700-000002000000}">
      <text>
        <r>
          <rPr>
            <b/>
            <sz val="8"/>
            <color indexed="81"/>
            <rFont val="細明體"/>
            <family val="3"/>
            <charset val="136"/>
          </rPr>
          <t>按下更新鍵將會刷新的日期(文字值)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" type="4" refreshedVersion="4" background="1" saveData="1">
    <webPr xl2000="1" url="http://www.gretai.org.tw/storage/emgstk/ch/new.csv" htmlFormat="all"/>
  </connection>
  <connection id="2" xr16:uid="{00000000-0015-0000-FFFF-FFFF01000000}" name="連線1" type="4" refreshedVersion="0" background="1">
    <webPr url="http://www.gretai.org.tw/storage/emgstk/ch/new.csv" htmlTables="1" htmlFormat="all"/>
  </connection>
  <connection id="3" xr16:uid="{00000000-0015-0000-FFFF-FFFF02000000}" name="連線2" type="4" refreshedVersion="0" background="1">
    <webPr url="http://www.gretai.org.tw/storage/emgstk/ch/new.csv" htmlTables="1" htmlFormat="all"/>
  </connection>
  <connection id="4" xr16:uid="{00000000-0015-0000-FFFF-FFFF03000000}" name="連線3" type="4" refreshedVersion="0" background="1">
    <webPr url="http://www.gretai.org.tw/storage/emgstk/ch/new.csv" htmlTables="1" htmlFormat="all"/>
  </connection>
  <connection id="5" xr16:uid="{00000000-0015-0000-FFFF-FFFF04000000}" name="連線4" type="4" refreshedVersion="0" background="1">
    <webPr url="http://www.gretai.org.tw/storage/emgstk/ch/new.csv" htmlTables="1" htmlFormat="all"/>
  </connection>
  <connection id="6" xr16:uid="{00000000-0015-0000-FFFF-FFFF05000000}" name="連線5" type="4" refreshedVersion="0" background="1">
    <webPr url="http://www.tse.com.tw/exchangeReport/MI_INDEX?response=csv&amp;date=20210720&amp;type=ALLBUT0999" htmlTables="1" htmlFormat="all"/>
  </connection>
  <connection id="7" xr16:uid="{00000000-0015-0000-FFFF-FFFF06000000}" name="連線563" type="4" refreshedVersion="4" background="1" saveData="1">
    <webPr xl2000="1" url="http://www.tse.com.tw/exchangeReport/MI_INDEX?response=csv&amp;date=20171107&amp;type=ALLBUT0999" htmlFormat="all"/>
  </connection>
  <connection id="8" xr16:uid="{00000000-0015-0000-FFFF-FFFF07000000}" name="連線564" type="4" refreshedVersion="4" background="1" saveData="1">
    <webPr xl2000="1" url="http://www.tpex.org.tw/web/stock/aftertrading/otc_quotes_no1430/stk_wn1430_print.php?l=zh-tw&amp;d=106/11/07&amp;se=EW&amp;s=0,asc,0" htmlFormat="all"/>
  </connection>
  <connection id="9" xr16:uid="{00000000-0015-0000-FFFF-FFFF08000000}" name="連線6" type="4" refreshedVersion="0" background="1">
    <webPr url="http://www.tpex.org.tw/web/stock/aftertrading/otc_quotes_no1430/stk_wn1430_print.php?l=zh-tw&amp;d=110/08/16&amp;se=EW&amp;s=0,asc,0" htmlTables="1" htmlFormat="all"/>
  </connection>
  <connection id="10" xr16:uid="{00000000-0015-0000-FFFF-FFFF09000000}" name="連線7" type="4" refreshedVersion="0" background="1">
    <webPr url="http://www.tpex.org.tw/web/stock/aftertrading/otc_quotes_no1430/stk_wn1430_print.php?l=zh-tw&amp;d=110/08/16&amp;se=EW&amp;s=0,asc,0" htmlTables="1" htmlFormat="all"/>
  </connection>
  <connection id="11" xr16:uid="{00000000-0015-0000-FFFF-FFFF0A000000}" name="連線8" type="4" refreshedVersion="0" background="1">
    <webPr url="http://www.tpex.org.tw/web/stock/aftertrading/otc_quotes_no1430/stk_wn1430_print.php?l=zh-tw&amp;d=110/08/16&amp;se=EW&amp;s=0,asc,0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<sst xmlns="http://schemas.openxmlformats.org/spreadsheetml/2006/main" count="8179" uniqueCount="3161">
  <si>
    <t>日期</t>
  </si>
  <si>
    <t>-</t>
  </si>
  <si>
    <t>標的</t>
    <phoneticPr fontId="3" type="noConversion"/>
  </si>
  <si>
    <t>新纖</t>
  </si>
  <si>
    <t>成交金額(元)</t>
  </si>
  <si>
    <t>成交筆數</t>
  </si>
  <si>
    <t>成交股數</t>
  </si>
  <si>
    <t>台泥</t>
  </si>
  <si>
    <t>名軒</t>
  </si>
  <si>
    <t>永光</t>
  </si>
  <si>
    <t>盟立</t>
  </si>
  <si>
    <t>冠德</t>
  </si>
  <si>
    <t>三福化</t>
  </si>
  <si>
    <t>崇越</t>
  </si>
  <si>
    <t>上海商銀</t>
  </si>
  <si>
    <t>群益證</t>
  </si>
  <si>
    <t>代號</t>
  </si>
  <si>
    <t>名稱</t>
  </si>
  <si>
    <t>收盤</t>
  </si>
  <si>
    <t>漲跌</t>
  </si>
  <si>
    <t>開盤</t>
  </si>
  <si>
    <t>最高</t>
  </si>
  <si>
    <t>最低</t>
  </si>
  <si>
    <t>最後買價</t>
  </si>
  <si>
    <t>最後賣價</t>
  </si>
  <si>
    <t>發行股數</t>
  </si>
  <si>
    <t>次日漲停價</t>
  </si>
  <si>
    <t>次日跌停價</t>
  </si>
  <si>
    <t>和勤</t>
  </si>
  <si>
    <t>宏佳騰</t>
  </si>
  <si>
    <t>友華</t>
  </si>
  <si>
    <t>福邦證</t>
  </si>
  <si>
    <t>聚和</t>
  </si>
  <si>
    <t>北基</t>
  </si>
  <si>
    <r>
      <rPr>
        <b/>
        <sz val="9"/>
        <color rgb="FFFF0000"/>
        <rFont val="細明體"/>
        <family val="3"/>
        <charset val="136"/>
      </rPr>
      <t>↑↑↑↑</t>
    </r>
    <r>
      <rPr>
        <sz val="9"/>
        <color rgb="FFFF0000"/>
        <rFont val="細明體"/>
        <family val="3"/>
        <charset val="136"/>
      </rPr>
      <t xml:space="preserve">
假日或盤中
無即時資料
需手動輸入
上個交易日</t>
    </r>
    <phoneticPr fontId="16" type="noConversion"/>
  </si>
  <si>
    <t>最後買量(千股)</t>
  </si>
  <si>
    <t>最後賣量(千股)</t>
  </si>
  <si>
    <t>國泰網路資安</t>
  </si>
  <si>
    <t>標的</t>
  </si>
  <si>
    <t>輔助欄位</t>
    <phoneticPr fontId="3" type="noConversion"/>
  </si>
  <si>
    <t>現金</t>
    <phoneticPr fontId="3" type="noConversion"/>
  </si>
  <si>
    <t>起日(基期)</t>
    <phoneticPr fontId="3" type="noConversion"/>
  </si>
  <si>
    <t>期初資產</t>
    <phoneticPr fontId="3" type="noConversion"/>
  </si>
  <si>
    <t>迄日(結算日)</t>
    <phoneticPr fontId="3" type="noConversion"/>
  </si>
  <si>
    <t>期末資產</t>
    <phoneticPr fontId="3" type="noConversion"/>
  </si>
  <si>
    <t>波段</t>
  </si>
  <si>
    <t>建倉</t>
  </si>
  <si>
    <t>加碼</t>
  </si>
  <si>
    <t>減碼</t>
  </si>
  <si>
    <t>停利</t>
  </si>
  <si>
    <t>出場觀望</t>
  </si>
  <si>
    <t>長期</t>
  </si>
  <si>
    <t>停損</t>
  </si>
  <si>
    <t>00875</t>
  </si>
  <si>
    <r>
      <t>1.</t>
    </r>
    <r>
      <rPr>
        <sz val="10"/>
        <color rgb="FF333333"/>
        <rFont val="細明體"/>
        <family val="3"/>
        <charset val="136"/>
      </rPr>
      <t>財務報告提報董事會或經董事會決議日期</t>
    </r>
    <r>
      <rPr>
        <sz val="10"/>
        <color rgb="FF333333"/>
        <rFont val="Arial"/>
        <family val="2"/>
      </rPr>
      <t>:110/05/07</t>
    </r>
    <phoneticPr fontId="3" type="noConversion"/>
  </si>
  <si>
    <t>1.財務報告提報董事會或經董事會決議日期:110/05/11</t>
  </si>
  <si>
    <r>
      <t>2.</t>
    </r>
    <r>
      <rPr>
        <sz val="10"/>
        <color rgb="FF333333"/>
        <rFont val="細明體"/>
        <family val="3"/>
        <charset val="136"/>
      </rPr>
      <t>審計委員會通過財務報告日期</t>
    </r>
    <r>
      <rPr>
        <sz val="10"/>
        <color rgb="FF333333"/>
        <rFont val="Arial"/>
        <family val="2"/>
      </rPr>
      <t>:110/05/04</t>
    </r>
    <phoneticPr fontId="3" type="noConversion"/>
  </si>
  <si>
    <t>2.審計委員會通過財務報告日期:110/05/11</t>
  </si>
  <si>
    <t>收入</t>
    <phoneticPr fontId="3" type="noConversion"/>
  </si>
  <si>
    <r>
      <t>3.</t>
    </r>
    <r>
      <rPr>
        <sz val="10"/>
        <color rgb="FF333333"/>
        <rFont val="細明體"/>
        <family val="3"/>
        <charset val="136"/>
      </rPr>
      <t>財務報告報導期間起訖日期</t>
    </r>
    <r>
      <rPr>
        <sz val="10"/>
        <color rgb="FF333333"/>
        <rFont val="Arial"/>
        <family val="2"/>
      </rPr>
      <t>(XXX/XX/XX~XXX/XX/XX):110/01/01~110/03/31</t>
    </r>
    <phoneticPr fontId="3" type="noConversion"/>
  </si>
  <si>
    <t>3.財務報告報導期間起訖日期(XXX/XX/XX~XXX/XX/XX):110/01/01~110/03/31</t>
  </si>
  <si>
    <t>毛利</t>
    <phoneticPr fontId="3" type="noConversion"/>
  </si>
  <si>
    <r>
      <t>4.1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日累計至本期止營業收入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):4,435,764</t>
    </r>
    <phoneticPr fontId="3" type="noConversion"/>
  </si>
  <si>
    <t>4.1月1日累計至本期止營業收入(仟元):177,114,909</t>
  </si>
  <si>
    <t>毛利率</t>
    <phoneticPr fontId="3" type="noConversion"/>
  </si>
  <si>
    <r>
      <t>5.1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日累計至本期止營業毛利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毛損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):2,212,018</t>
    </r>
    <phoneticPr fontId="3" type="noConversion"/>
  </si>
  <si>
    <t>5.1月1日累計至本期止營業毛利(毛損) (仟元):6,571,403</t>
  </si>
  <si>
    <t>營業利益</t>
    <phoneticPr fontId="3" type="noConversion"/>
  </si>
  <si>
    <r>
      <t>6.1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日累計至本期止營業利益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損失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):968,053</t>
    </r>
    <phoneticPr fontId="3" type="noConversion"/>
  </si>
  <si>
    <t>6.1月1日累計至本期止營業利益(損失) (仟元):2,986,367</t>
  </si>
  <si>
    <t>營益率</t>
    <phoneticPr fontId="3" type="noConversion"/>
  </si>
  <si>
    <r>
      <t>7.1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日累計至本期止稅前淨利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淨損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):1,357,702</t>
    </r>
    <phoneticPr fontId="3" type="noConversion"/>
  </si>
  <si>
    <t>7.1月1日累計至本期止稅前淨利(淨損) (仟元):2,980,397</t>
  </si>
  <si>
    <t>稅前淨利</t>
    <phoneticPr fontId="3" type="noConversion"/>
  </si>
  <si>
    <r>
      <t>8.1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日累計至本期止本期淨利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淨損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):1,181,654</t>
    </r>
    <phoneticPr fontId="3" type="noConversion"/>
  </si>
  <si>
    <t>8.1月1日累計至本期止本期淨利(淨損) (仟元):2,456,299</t>
  </si>
  <si>
    <t>稅前淨利率</t>
    <phoneticPr fontId="3" type="noConversion"/>
  </si>
  <si>
    <r>
      <t>9.1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日累計至本期止歸屬於母公司業主淨利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損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):1,166,829</t>
    </r>
    <phoneticPr fontId="3" type="noConversion"/>
  </si>
  <si>
    <t>9.1月1日累計至本期止歸屬於母公司業主淨利(損) (仟元):2,419,128</t>
  </si>
  <si>
    <t>本期淨利</t>
    <phoneticPr fontId="3" type="noConversion"/>
  </si>
  <si>
    <r>
      <t>10.1</t>
    </r>
    <r>
      <rPr>
        <sz val="10"/>
        <color rgb="FF333333"/>
        <rFont val="細明體"/>
        <family val="3"/>
        <charset val="136"/>
      </rPr>
      <t>月</t>
    </r>
    <r>
      <rPr>
        <sz val="10"/>
        <color rgb="FF333333"/>
        <rFont val="Arial"/>
        <family val="2"/>
      </rPr>
      <t>1</t>
    </r>
    <r>
      <rPr>
        <sz val="10"/>
        <color rgb="FF333333"/>
        <rFont val="細明體"/>
        <family val="3"/>
        <charset val="136"/>
      </rPr>
      <t>日累計至本期止基本每股盈餘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損失</t>
    </r>
    <r>
      <rPr>
        <sz val="10"/>
        <color rgb="FF333333"/>
        <rFont val="Arial"/>
        <family val="2"/>
      </rPr>
      <t>) (</t>
    </r>
    <r>
      <rPr>
        <sz val="10"/>
        <color rgb="FF333333"/>
        <rFont val="細明體"/>
        <family val="3"/>
        <charset val="136"/>
      </rPr>
      <t>元</t>
    </r>
    <r>
      <rPr>
        <sz val="10"/>
        <color rgb="FF333333"/>
        <rFont val="Arial"/>
        <family val="2"/>
      </rPr>
      <t>):1.03</t>
    </r>
    <phoneticPr fontId="3" type="noConversion"/>
  </si>
  <si>
    <t>10.1月1日累計至本期止基本每股盈餘(損失) (元):1.44</t>
  </si>
  <si>
    <t>稅後淨利率</t>
    <phoneticPr fontId="3" type="noConversion"/>
  </si>
  <si>
    <r>
      <t>11.</t>
    </r>
    <r>
      <rPr>
        <sz val="10"/>
        <color rgb="FF333333"/>
        <rFont val="細明體"/>
        <family val="3"/>
        <charset val="136"/>
      </rPr>
      <t>期末總資產</t>
    </r>
    <r>
      <rPr>
        <sz val="10"/>
        <color rgb="FF333333"/>
        <rFont val="Arial"/>
        <family val="2"/>
      </rPr>
      <t>(</t>
    </r>
    <r>
      <rPr>
        <sz val="10"/>
        <color rgb="FF333333"/>
        <rFont val="細明體"/>
        <family val="3"/>
        <charset val="136"/>
      </rPr>
      <t>仟元</t>
    </r>
    <r>
      <rPr>
        <sz val="10"/>
        <color rgb="FF333333"/>
        <rFont val="Arial"/>
        <family val="2"/>
      </rPr>
      <t>):49,068,545</t>
    </r>
    <phoneticPr fontId="3" type="noConversion"/>
  </si>
  <si>
    <t>11.期末總資產(仟元):272,512,085</t>
  </si>
  <si>
    <t>12.期末總負債(仟元):19,059,444</t>
  </si>
  <si>
    <t>12.期末總負債(仟元):203,924,371</t>
  </si>
  <si>
    <t>13.期末歸屬於母公司業主之權益(仟元):29,480,812</t>
  </si>
  <si>
    <t>13.期末歸屬於母公司業主之權益(仟元):68,018,692</t>
  </si>
  <si>
    <t>14.其他應敘明事項:無</t>
  </si>
  <si>
    <t>期貨價</t>
    <phoneticPr fontId="3" type="noConversion"/>
  </si>
  <si>
    <t>口數</t>
    <phoneticPr fontId="3" type="noConversion"/>
  </si>
  <si>
    <t>原始%</t>
    <phoneticPr fontId="3" type="noConversion"/>
  </si>
  <si>
    <t>維持%</t>
    <phoneticPr fontId="3" type="noConversion"/>
  </si>
  <si>
    <t>原始$</t>
    <phoneticPr fontId="3" type="noConversion"/>
  </si>
  <si>
    <t>維持$</t>
    <phoneticPr fontId="3" type="noConversion"/>
  </si>
  <si>
    <t>相當部位</t>
    <phoneticPr fontId="3" type="noConversion"/>
  </si>
  <si>
    <t>設定槓桿</t>
    <phoneticPr fontId="3" type="noConversion"/>
  </si>
  <si>
    <t>入金</t>
    <phoneticPr fontId="3" type="noConversion"/>
  </si>
  <si>
    <t>假設</t>
    <phoneticPr fontId="3" type="noConversion"/>
  </si>
  <si>
    <t>現貨價</t>
    <phoneticPr fontId="3" type="noConversion"/>
  </si>
  <si>
    <t>帳上%</t>
    <phoneticPr fontId="3" type="noConversion"/>
  </si>
  <si>
    <t>帳上$</t>
    <phoneticPr fontId="3" type="noConversion"/>
  </si>
  <si>
    <t>影響ROA</t>
    <phoneticPr fontId="3" type="noConversion"/>
  </si>
  <si>
    <t>權益數</t>
    <phoneticPr fontId="3" type="noConversion"/>
  </si>
  <si>
    <t>追繳</t>
    <phoneticPr fontId="3" type="noConversion"/>
  </si>
  <si>
    <t>停損</t>
    <phoneticPr fontId="3" type="noConversion"/>
  </si>
  <si>
    <t>停利</t>
    <phoneticPr fontId="3" type="noConversion"/>
  </si>
  <si>
    <t>漲跌幅</t>
    <phoneticPr fontId="3" type="noConversion"/>
  </si>
  <si>
    <t>風報比</t>
    <phoneticPr fontId="3" type="noConversion"/>
  </si>
  <si>
    <t>聚和部門資訊</t>
    <phoneticPr fontId="3" type="noConversion"/>
  </si>
  <si>
    <t>期別</t>
    <phoneticPr fontId="3" type="noConversion"/>
  </si>
  <si>
    <t>1Q20</t>
    <phoneticPr fontId="3" type="noConversion"/>
  </si>
  <si>
    <t>Q2累計</t>
    <phoneticPr fontId="3" type="noConversion"/>
  </si>
  <si>
    <t>2Q20</t>
    <phoneticPr fontId="3" type="noConversion"/>
  </si>
  <si>
    <t>Q3累計</t>
    <phoneticPr fontId="3" type="noConversion"/>
  </si>
  <si>
    <t>3Q20</t>
    <phoneticPr fontId="3" type="noConversion"/>
  </si>
  <si>
    <t>Q4累計</t>
    <phoneticPr fontId="3" type="noConversion"/>
  </si>
  <si>
    <t>4Q20</t>
    <phoneticPr fontId="3" type="noConversion"/>
  </si>
  <si>
    <t>1Q21</t>
    <phoneticPr fontId="3" type="noConversion"/>
  </si>
  <si>
    <t>營收</t>
    <phoneticPr fontId="3" type="noConversion"/>
  </si>
  <si>
    <t>毛利季增</t>
    <phoneticPr fontId="3" type="noConversion"/>
  </si>
  <si>
    <t>營收占比</t>
    <phoneticPr fontId="3" type="noConversion"/>
  </si>
  <si>
    <t>毛利占比</t>
    <phoneticPr fontId="3" type="noConversion"/>
  </si>
  <si>
    <t>省略: 辦公文具用品部門(虧損收斂中)，其他部門(無醛屋除甲醛產品及黃金盾抗菌產品，小虧中)</t>
    <phoneticPr fontId="3" type="noConversion"/>
  </si>
  <si>
    <t>前日均價</t>
  </si>
  <si>
    <t>報買價</t>
  </si>
  <si>
    <t>報買量</t>
  </si>
  <si>
    <t>報賣價</t>
  </si>
  <si>
    <t>報賣量</t>
  </si>
  <si>
    <t>日最高</t>
  </si>
  <si>
    <t>日最低</t>
  </si>
  <si>
    <t>日均價</t>
  </si>
  <si>
    <t>成交</t>
  </si>
  <si>
    <t>投資人成交買賣別</t>
  </si>
  <si>
    <t>暫停交易開始時間(時:分:秒)</t>
  </si>
  <si>
    <t>成交量</t>
  </si>
  <si>
    <t>進度日期</t>
  </si>
  <si>
    <t>上市櫃進度(註)</t>
  </si>
  <si>
    <t>富味鄉</t>
  </si>
  <si>
    <t>買進</t>
  </si>
  <si>
    <t>乾杯</t>
  </si>
  <si>
    <t>晨暉生技</t>
  </si>
  <si>
    <t>賣出</t>
  </si>
  <si>
    <t>旭東環保</t>
  </si>
  <si>
    <t>巧新</t>
  </si>
  <si>
    <t>鎧鉅</t>
  </si>
  <si>
    <t>日高</t>
  </si>
  <si>
    <t>立弘</t>
  </si>
  <si>
    <t>震南鐵</t>
  </si>
  <si>
    <t>世紀風電</t>
  </si>
  <si>
    <t>華德動能</t>
  </si>
  <si>
    <t>詠勝昌</t>
  </si>
  <si>
    <t>凱勝綠能</t>
  </si>
  <si>
    <t>華勝-KY</t>
  </si>
  <si>
    <t>湧盛</t>
  </si>
  <si>
    <t>樂揚</t>
  </si>
  <si>
    <t>美麗信</t>
  </si>
  <si>
    <t>維格</t>
  </si>
  <si>
    <t>老四川</t>
  </si>
  <si>
    <t>桃禧</t>
  </si>
  <si>
    <t>八方雲集</t>
  </si>
  <si>
    <t>聯發國際</t>
  </si>
  <si>
    <t>床的世界</t>
  </si>
  <si>
    <t>京站</t>
  </si>
  <si>
    <t>振宇五金</t>
  </si>
  <si>
    <t>送件申請上櫃</t>
  </si>
  <si>
    <t>寶陞</t>
  </si>
  <si>
    <t>拍檔</t>
  </si>
  <si>
    <t>年程</t>
  </si>
  <si>
    <t>鈺寶</t>
  </si>
  <si>
    <t>嘉實</t>
  </si>
  <si>
    <t>眾福科</t>
  </si>
  <si>
    <t>微邦</t>
  </si>
  <si>
    <t>寶德</t>
  </si>
  <si>
    <t>奇鈦科</t>
  </si>
  <si>
    <t>敘豐</t>
  </si>
  <si>
    <t>聯致</t>
  </si>
  <si>
    <t>瑞鼎</t>
  </si>
  <si>
    <t>山太士</t>
  </si>
  <si>
    <t>建祥國際</t>
  </si>
  <si>
    <t>華信科</t>
  </si>
  <si>
    <t>云光</t>
  </si>
  <si>
    <t>百辰</t>
  </si>
  <si>
    <t>聯享</t>
  </si>
  <si>
    <t>華立捷</t>
  </si>
  <si>
    <t>普生</t>
  </si>
  <si>
    <t>國鼎</t>
  </si>
  <si>
    <t>太和-KY</t>
  </si>
  <si>
    <t>優你康</t>
  </si>
  <si>
    <t>明躍</t>
  </si>
  <si>
    <t>友霖</t>
  </si>
  <si>
    <t>泰宗</t>
  </si>
  <si>
    <t>因華</t>
  </si>
  <si>
    <t>尖端醫</t>
  </si>
  <si>
    <t>法德藥</t>
  </si>
  <si>
    <t>禾生技</t>
  </si>
  <si>
    <t>基米</t>
  </si>
  <si>
    <t>暐世</t>
  </si>
  <si>
    <t>宜新實業</t>
  </si>
  <si>
    <t>旭東</t>
  </si>
  <si>
    <t>春日</t>
  </si>
  <si>
    <t>長亨</t>
  </si>
  <si>
    <t>盛復</t>
  </si>
  <si>
    <t>寶緯</t>
  </si>
  <si>
    <t>久裕興</t>
  </si>
  <si>
    <t>宏偉</t>
  </si>
  <si>
    <t>高明鐵</t>
  </si>
  <si>
    <t>銓寶</t>
  </si>
  <si>
    <t>達航</t>
  </si>
  <si>
    <t>總格精密</t>
  </si>
  <si>
    <t>聚恆</t>
  </si>
  <si>
    <t>台灣精銳</t>
  </si>
  <si>
    <t>彥臣</t>
  </si>
  <si>
    <t>尚化</t>
  </si>
  <si>
    <t>磐采</t>
  </si>
  <si>
    <t>晶呈科技</t>
  </si>
  <si>
    <t>上品</t>
  </si>
  <si>
    <t>力士</t>
  </si>
  <si>
    <t>智微</t>
  </si>
  <si>
    <t>精拓科</t>
  </si>
  <si>
    <t>佐臻</t>
  </si>
  <si>
    <t>全訊</t>
  </si>
  <si>
    <t>送件申請上市</t>
  </si>
  <si>
    <t>鈺鎧</t>
  </si>
  <si>
    <t>有量</t>
  </si>
  <si>
    <t>凌陽創新</t>
  </si>
  <si>
    <t>櫃買中心同意上櫃契約</t>
  </si>
  <si>
    <t>建騰</t>
  </si>
  <si>
    <t>弘凱</t>
  </si>
  <si>
    <t>景傳</t>
  </si>
  <si>
    <t>欣訊科技</t>
  </si>
  <si>
    <t>立達</t>
  </si>
  <si>
    <t>龍翩</t>
  </si>
  <si>
    <t>紘通</t>
  </si>
  <si>
    <t>葳天</t>
  </si>
  <si>
    <t>華懋</t>
  </si>
  <si>
    <t>廣化</t>
  </si>
  <si>
    <t>久舜</t>
  </si>
  <si>
    <t>遠壽</t>
  </si>
  <si>
    <t>瑞興銀</t>
  </si>
  <si>
    <t>德信</t>
  </si>
  <si>
    <t>公勝保經</t>
  </si>
  <si>
    <t>驊陞</t>
  </si>
  <si>
    <t>群登</t>
  </si>
  <si>
    <t>相互</t>
  </si>
  <si>
    <t>億而得</t>
  </si>
  <si>
    <t>淘米</t>
  </si>
  <si>
    <t>達輝光電</t>
  </si>
  <si>
    <t>好玩家*</t>
  </si>
  <si>
    <t>華豫寧</t>
  </si>
  <si>
    <t>雷虎生</t>
  </si>
  <si>
    <t>納諾*-KY</t>
  </si>
  <si>
    <t>久禾光</t>
  </si>
  <si>
    <t>康科特</t>
  </si>
  <si>
    <t>正瀚</t>
  </si>
  <si>
    <t>碩豐</t>
  </si>
  <si>
    <t>麗彤</t>
  </si>
  <si>
    <t>普惠醫工</t>
  </si>
  <si>
    <t>擎力</t>
  </si>
  <si>
    <t>正基</t>
  </si>
  <si>
    <t>景凱</t>
  </si>
  <si>
    <t>北極星藥業-KY</t>
  </si>
  <si>
    <t>榮炭</t>
  </si>
  <si>
    <t>研晶</t>
  </si>
  <si>
    <t>安特羅</t>
  </si>
  <si>
    <t>物聯</t>
  </si>
  <si>
    <t>創益</t>
  </si>
  <si>
    <t>博錸</t>
  </si>
  <si>
    <t>心悅</t>
  </si>
  <si>
    <t>台睿</t>
  </si>
  <si>
    <t>友松</t>
  </si>
  <si>
    <t>南俊國際</t>
  </si>
  <si>
    <t>鼎基</t>
  </si>
  <si>
    <t>醣基</t>
  </si>
  <si>
    <t>光禹國際</t>
  </si>
  <si>
    <t>立誠</t>
  </si>
  <si>
    <t>普達系統</t>
  </si>
  <si>
    <t>建德工業</t>
  </si>
  <si>
    <t>安成生技</t>
  </si>
  <si>
    <t>方舟</t>
  </si>
  <si>
    <t>共信-KY</t>
  </si>
  <si>
    <t>永虹先進</t>
  </si>
  <si>
    <t>漢達</t>
  </si>
  <si>
    <t>華宇藥</t>
  </si>
  <si>
    <t>百聿數碼</t>
  </si>
  <si>
    <t>唯數</t>
  </si>
  <si>
    <t>萊鎂醫</t>
  </si>
  <si>
    <t>欣耀</t>
  </si>
  <si>
    <t>醫影</t>
  </si>
  <si>
    <t>沅聖</t>
  </si>
  <si>
    <t>源大環能</t>
  </si>
  <si>
    <t>金萬林</t>
  </si>
  <si>
    <t>斯其大</t>
  </si>
  <si>
    <t>帝圖</t>
  </si>
  <si>
    <t>雅祥生醫</t>
  </si>
  <si>
    <t>華安</t>
  </si>
  <si>
    <t>康聯生醫</t>
  </si>
  <si>
    <t>和詮</t>
  </si>
  <si>
    <t>瑩碩生技</t>
  </si>
  <si>
    <t>碩鑽材料</t>
  </si>
  <si>
    <t>安格</t>
  </si>
  <si>
    <t>伊雲谷</t>
  </si>
  <si>
    <t>洋基工程</t>
  </si>
  <si>
    <t>進能服</t>
  </si>
  <si>
    <t>廣閎科</t>
  </si>
  <si>
    <t>芯鼎</t>
  </si>
  <si>
    <t>仁新</t>
  </si>
  <si>
    <t>奇邑</t>
  </si>
  <si>
    <t>振躍精密</t>
  </si>
  <si>
    <t>天擎</t>
  </si>
  <si>
    <t>昱厚生技</t>
  </si>
  <si>
    <t>智慧光</t>
  </si>
  <si>
    <t>力智</t>
  </si>
  <si>
    <t>久昌</t>
  </si>
  <si>
    <t>傑智環境</t>
  </si>
  <si>
    <t>創王</t>
  </si>
  <si>
    <t>機光科技</t>
  </si>
  <si>
    <t>常廣</t>
  </si>
  <si>
    <t>啟坤</t>
  </si>
  <si>
    <t>安盛生</t>
  </si>
  <si>
    <t>美達科技</t>
  </si>
  <si>
    <t>碩辣椒</t>
  </si>
  <si>
    <t>秀育</t>
  </si>
  <si>
    <t>鼎恒</t>
  </si>
  <si>
    <t>竹陞科技</t>
  </si>
  <si>
    <t>豐技生技</t>
  </si>
  <si>
    <t>泰創工程</t>
  </si>
  <si>
    <t>龍德造船</t>
  </si>
  <si>
    <t>連鋐科技</t>
  </si>
  <si>
    <t>台灣虎航</t>
  </si>
  <si>
    <t>冠亞</t>
  </si>
  <si>
    <t>穩得</t>
  </si>
  <si>
    <t>綠界科技</t>
  </si>
  <si>
    <t>亞洲教育</t>
  </si>
  <si>
    <t>力積電</t>
  </si>
  <si>
    <t>平和環保</t>
  </si>
  <si>
    <t>穎台科技</t>
  </si>
  <si>
    <t>學習王</t>
  </si>
  <si>
    <t>視陽</t>
  </si>
  <si>
    <t>天凱科技</t>
  </si>
  <si>
    <t>昱展新藥</t>
  </si>
  <si>
    <t>芯測</t>
  </si>
  <si>
    <t>晶瑞光</t>
  </si>
  <si>
    <t>華景電</t>
  </si>
  <si>
    <t>采鈺</t>
  </si>
  <si>
    <t>特用化學品: 造紙(製造或加工用添加劑)、水處理(工業用水處理添加劑)、顯像(非碳複寫紙及感熱紙的應用)、洗滌(清潔洗滌化學製造用添加劑)</t>
    <phoneticPr fontId="3" type="noConversion"/>
  </si>
  <si>
    <t>精密化學品: 生物清潔劑、生物緩衝劑、電鍍添加劑、鋰電池添加劑、水性PU、家居裝璜雨醛產品等。以開發中間體與添加劑為主，用於醫藥、生化、特殊電鍍、鋰電池添加、銅箔製程、水性樹脂及家居去醛等各行業。</t>
    <phoneticPr fontId="3" type="noConversion"/>
  </si>
  <si>
    <t>證交所同意上市契約</t>
  </si>
  <si>
    <t>聯亞藥</t>
  </si>
  <si>
    <t>興櫃一般板股票最新行情表</t>
  </si>
  <si>
    <t>2020Q3累計</t>
    <phoneticPr fontId="3" type="noConversion"/>
  </si>
  <si>
    <t>肥料化工</t>
    <phoneticPr fontId="3" type="noConversion"/>
  </si>
  <si>
    <t>不動產暨投資事業</t>
    <phoneticPr fontId="3" type="noConversion"/>
  </si>
  <si>
    <t>營益占比</t>
    <phoneticPr fontId="3" type="noConversion"/>
  </si>
  <si>
    <t>台肥部門資訊</t>
    <phoneticPr fontId="3" type="noConversion"/>
  </si>
  <si>
    <t>序號</t>
    <phoneticPr fontId="3" type="noConversion"/>
  </si>
  <si>
    <t>網石</t>
  </si>
  <si>
    <t>00679B</t>
  </si>
  <si>
    <t>元大美債20年</t>
  </si>
  <si>
    <t>00687B</t>
  </si>
  <si>
    <t>國泰20年美債</t>
  </si>
  <si>
    <t>00694B</t>
  </si>
  <si>
    <t>富邦美債1-3</t>
  </si>
  <si>
    <t>00695B</t>
  </si>
  <si>
    <t>富邦美債7-10</t>
  </si>
  <si>
    <t>00696B</t>
  </si>
  <si>
    <t>富邦美債20年</t>
  </si>
  <si>
    <t>00697B</t>
  </si>
  <si>
    <t>元大美債7-10</t>
  </si>
  <si>
    <t>00718B</t>
  </si>
  <si>
    <t>富邦中國政策債</t>
  </si>
  <si>
    <t>00719B</t>
  </si>
  <si>
    <t>元大美債1-3</t>
  </si>
  <si>
    <t>00720B</t>
  </si>
  <si>
    <t>元大投資級公司債</t>
  </si>
  <si>
    <t>00721B</t>
  </si>
  <si>
    <t>元大中國債3-5</t>
  </si>
  <si>
    <t>00722B</t>
  </si>
  <si>
    <t>群益15年IG電信債</t>
  </si>
  <si>
    <t>00723B</t>
  </si>
  <si>
    <t>群益15年IG科技債</t>
  </si>
  <si>
    <t>00724B</t>
  </si>
  <si>
    <t>群益10年IG金融債</t>
  </si>
  <si>
    <t>00725B</t>
  </si>
  <si>
    <t>國泰投資級公司債</t>
  </si>
  <si>
    <t>00726B</t>
  </si>
  <si>
    <t>國泰5Y+新興債</t>
  </si>
  <si>
    <t>00727B</t>
  </si>
  <si>
    <t>國泰1-5Y高收債</t>
  </si>
  <si>
    <t>00734B</t>
  </si>
  <si>
    <t>台新JPM新興債</t>
  </si>
  <si>
    <t>00740B</t>
  </si>
  <si>
    <t>富邦全球投等債</t>
  </si>
  <si>
    <t>00741B</t>
  </si>
  <si>
    <t>富邦全球高收債</t>
  </si>
  <si>
    <t>00744B</t>
  </si>
  <si>
    <t>國泰中國政金債5+</t>
  </si>
  <si>
    <t>00745B</t>
  </si>
  <si>
    <t>富邦中政債0-1</t>
  </si>
  <si>
    <t>00746B</t>
  </si>
  <si>
    <t>富邦A級公司債</t>
  </si>
  <si>
    <t>00747B</t>
  </si>
  <si>
    <t>FH中國政策債</t>
  </si>
  <si>
    <t>00748B</t>
  </si>
  <si>
    <t>凱基中國債3-10</t>
  </si>
  <si>
    <t>00749B</t>
  </si>
  <si>
    <t>凱基新興債10+</t>
  </si>
  <si>
    <t>00750B</t>
  </si>
  <si>
    <t>凱基科技債10+</t>
  </si>
  <si>
    <t>00751B</t>
  </si>
  <si>
    <t>元大AAA至A公司債</t>
  </si>
  <si>
    <t>00754B</t>
  </si>
  <si>
    <t>群益AAA-AA公司債</t>
  </si>
  <si>
    <t>00755B</t>
  </si>
  <si>
    <t>群益15年IG公用債</t>
  </si>
  <si>
    <t>00756B</t>
  </si>
  <si>
    <t>群益15年EM主權債</t>
  </si>
  <si>
    <t>00758B</t>
  </si>
  <si>
    <t>FH能源債</t>
  </si>
  <si>
    <t>00759B</t>
  </si>
  <si>
    <t>FH製藥債</t>
  </si>
  <si>
    <t>00760B</t>
  </si>
  <si>
    <t>FH新興企業債</t>
  </si>
  <si>
    <t>00761B</t>
  </si>
  <si>
    <t>國泰A級公司債</t>
  </si>
  <si>
    <t>00764B</t>
  </si>
  <si>
    <t>群益25年美債</t>
  </si>
  <si>
    <t>00765B</t>
  </si>
  <si>
    <t>群益中國政金債</t>
  </si>
  <si>
    <t>00768B</t>
  </si>
  <si>
    <t>FH20年美債</t>
  </si>
  <si>
    <t>00772B</t>
  </si>
  <si>
    <t>中信高評級公司債</t>
  </si>
  <si>
    <t>00773B</t>
  </si>
  <si>
    <t>中信優先金融債</t>
  </si>
  <si>
    <t>00777B</t>
  </si>
  <si>
    <t>凱基AAA至A公司債</t>
  </si>
  <si>
    <t>00778B</t>
  </si>
  <si>
    <t>凱基金融債20+</t>
  </si>
  <si>
    <t>00779B</t>
  </si>
  <si>
    <t>凱基美債25+</t>
  </si>
  <si>
    <t>00780B</t>
  </si>
  <si>
    <t>國泰A級金融債</t>
  </si>
  <si>
    <t>00781B</t>
  </si>
  <si>
    <t>國泰A級科技債</t>
  </si>
  <si>
    <t>00782B</t>
  </si>
  <si>
    <t>國泰A級公用債</t>
  </si>
  <si>
    <t>00784B</t>
  </si>
  <si>
    <t>富邦中國投等債</t>
  </si>
  <si>
    <t>00785B</t>
  </si>
  <si>
    <t>富邦金融投等債</t>
  </si>
  <si>
    <t>00786B</t>
  </si>
  <si>
    <t>元大10年IG銀行債</t>
  </si>
  <si>
    <t>00787B</t>
  </si>
  <si>
    <t>元大10年IG醫療債</t>
  </si>
  <si>
    <t>00788B</t>
  </si>
  <si>
    <t>元大10年IG電能債</t>
  </si>
  <si>
    <t>00789B</t>
  </si>
  <si>
    <t>FH公司債A3</t>
  </si>
  <si>
    <t>00790B</t>
  </si>
  <si>
    <t>FH次順位IG金融債</t>
  </si>
  <si>
    <t>00791B</t>
  </si>
  <si>
    <t>FH美元信用債1-5Y</t>
  </si>
  <si>
    <t>00792B</t>
  </si>
  <si>
    <t>群益A級公司債</t>
  </si>
  <si>
    <t>00793B</t>
  </si>
  <si>
    <t>群益AAA-A醫療債</t>
  </si>
  <si>
    <t>00794B</t>
  </si>
  <si>
    <t>群益7+中國政金債</t>
  </si>
  <si>
    <t>00795B</t>
  </si>
  <si>
    <t>中信美國公債20年</t>
  </si>
  <si>
    <t>00796B</t>
  </si>
  <si>
    <t>中信中國債7-10</t>
  </si>
  <si>
    <t>00799B</t>
  </si>
  <si>
    <t>國泰A級醫療債</t>
  </si>
  <si>
    <t>00831B</t>
  </si>
  <si>
    <t>新光美債1-3</t>
  </si>
  <si>
    <t>----</t>
  </si>
  <si>
    <t>---</t>
  </si>
  <si>
    <t>00834B</t>
  </si>
  <si>
    <t>第一金金融債10+</t>
  </si>
  <si>
    <t>00836B</t>
  </si>
  <si>
    <t>永豐10年A公司債</t>
  </si>
  <si>
    <t>00838B</t>
  </si>
  <si>
    <t>永豐7-10年中國債</t>
  </si>
  <si>
    <t>00840B</t>
  </si>
  <si>
    <t>凱基IG精選15+</t>
  </si>
  <si>
    <t>00841B</t>
  </si>
  <si>
    <t>凱基AAA-AA公司債</t>
  </si>
  <si>
    <t>00842B</t>
  </si>
  <si>
    <t>台新美元銀行債</t>
  </si>
  <si>
    <t>00843B</t>
  </si>
  <si>
    <t>台新中國政策債</t>
  </si>
  <si>
    <t>00844B</t>
  </si>
  <si>
    <t>新光15年IG金融債</t>
  </si>
  <si>
    <t>00845B</t>
  </si>
  <si>
    <t>富邦新興投等債</t>
  </si>
  <si>
    <t>00846B</t>
  </si>
  <si>
    <t>富邦歐洲銀行債</t>
  </si>
  <si>
    <t>00847B</t>
  </si>
  <si>
    <t>中信美國市政債</t>
  </si>
  <si>
    <t>00848B</t>
  </si>
  <si>
    <t>中信新興亞洲債</t>
  </si>
  <si>
    <t>00849B</t>
  </si>
  <si>
    <t>中信EM主權債0-5</t>
  </si>
  <si>
    <t>00853B</t>
  </si>
  <si>
    <t>統一美債10年Aa-A</t>
  </si>
  <si>
    <t>00856B</t>
  </si>
  <si>
    <t>永豐1-3年美公債</t>
  </si>
  <si>
    <t>00857B</t>
  </si>
  <si>
    <t>永豐20年美公債</t>
  </si>
  <si>
    <t>永豐美國500大</t>
  </si>
  <si>
    <t>00859B</t>
  </si>
  <si>
    <t>群益0-1年美債</t>
  </si>
  <si>
    <t>00860B</t>
  </si>
  <si>
    <t>群益1-5年IG債</t>
  </si>
  <si>
    <t>00862B</t>
  </si>
  <si>
    <t>中信投資級公司債</t>
  </si>
  <si>
    <t>00863B</t>
  </si>
  <si>
    <t>中信全球電信債</t>
  </si>
  <si>
    <t>00864B</t>
  </si>
  <si>
    <t>中信美國公債0-1</t>
  </si>
  <si>
    <t>00867B</t>
  </si>
  <si>
    <t>新光A-BBB電信債</t>
  </si>
  <si>
    <t>00870B</t>
  </si>
  <si>
    <t>元大15年EM主權債</t>
  </si>
  <si>
    <t>FH中國5G</t>
  </si>
  <si>
    <t>00883B</t>
  </si>
  <si>
    <t>中信ESG投資級債</t>
  </si>
  <si>
    <t>00884B</t>
  </si>
  <si>
    <t>中信低碳新興債</t>
  </si>
  <si>
    <t>永豐美國科技</t>
  </si>
  <si>
    <t>永豐中國科技50大</t>
  </si>
  <si>
    <t>永豐台灣ESG</t>
  </si>
  <si>
    <t>00889B</t>
  </si>
  <si>
    <t>凱基ESG新興債15+</t>
  </si>
  <si>
    <t>00890B</t>
  </si>
  <si>
    <t>凱基ESG BBB債15+</t>
  </si>
  <si>
    <t>茂生農經</t>
  </si>
  <si>
    <t>其祥-KY</t>
  </si>
  <si>
    <t>安心</t>
  </si>
  <si>
    <t>德麥</t>
  </si>
  <si>
    <t>漢來美食</t>
  </si>
  <si>
    <t>台翰</t>
  </si>
  <si>
    <t>精華</t>
  </si>
  <si>
    <t>濱川</t>
  </si>
  <si>
    <t>力肯</t>
  </si>
  <si>
    <t>新麥</t>
  </si>
  <si>
    <t>精剛</t>
  </si>
  <si>
    <t>駿吉-KY</t>
  </si>
  <si>
    <t>祺驊</t>
  </si>
  <si>
    <t>川寶</t>
  </si>
  <si>
    <t>台蠟</t>
  </si>
  <si>
    <t>南光</t>
  </si>
  <si>
    <t>生泰</t>
  </si>
  <si>
    <t>合世</t>
  </si>
  <si>
    <t>訊聯</t>
  </si>
  <si>
    <t>光洋科</t>
  </si>
  <si>
    <t>杏昌</t>
  </si>
  <si>
    <t>金穎生技</t>
  </si>
  <si>
    <t>易威</t>
  </si>
  <si>
    <t>寶利徠</t>
  </si>
  <si>
    <t>富喬</t>
  </si>
  <si>
    <t>02001B</t>
  </si>
  <si>
    <t>統一美國政府債N</t>
  </si>
  <si>
    <t>02002L</t>
  </si>
  <si>
    <t>兆豐富櫃200正二N</t>
  </si>
  <si>
    <t>02003L</t>
  </si>
  <si>
    <t>永豐富櫃200正2N</t>
  </si>
  <si>
    <t>唐榮</t>
  </si>
  <si>
    <t>風青</t>
  </si>
  <si>
    <t>世鎧</t>
  </si>
  <si>
    <t>晉椿</t>
  </si>
  <si>
    <t>世豐</t>
  </si>
  <si>
    <t>世德</t>
  </si>
  <si>
    <t>嘉鋼</t>
  </si>
  <si>
    <t>精湛</t>
  </si>
  <si>
    <t>大甲</t>
  </si>
  <si>
    <t>泰茂</t>
  </si>
  <si>
    <t>謚源</t>
  </si>
  <si>
    <t>綠意</t>
  </si>
  <si>
    <t>大車隊</t>
  </si>
  <si>
    <t>正德</t>
  </si>
  <si>
    <t>捷迅</t>
  </si>
  <si>
    <t>晶悅</t>
  </si>
  <si>
    <t>燦星旅</t>
  </si>
  <si>
    <t>富驛-KY</t>
  </si>
  <si>
    <t>雅茗-KY</t>
  </si>
  <si>
    <t>瓦城</t>
  </si>
  <si>
    <t>六角</t>
  </si>
  <si>
    <t>易飛網</t>
  </si>
  <si>
    <t>天蔥</t>
  </si>
  <si>
    <t>山富</t>
  </si>
  <si>
    <t>五福</t>
  </si>
  <si>
    <t>豆府</t>
  </si>
  <si>
    <t>亞洲藏壽司</t>
  </si>
  <si>
    <t>揚秦</t>
  </si>
  <si>
    <t>滿心</t>
  </si>
  <si>
    <t>東凌-KY</t>
  </si>
  <si>
    <t>誠品生活</t>
  </si>
  <si>
    <t>集雅社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</si>
  <si>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</si>
  <si>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</si>
  <si>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</si>
  <si>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</si>
  <si>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</si>
  <si>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</si>
  <si>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</si>
  <si>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</si>
  <si>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</si>
  <si>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</si>
  <si>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</si>
  <si>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港建</t>
  </si>
  <si>
    <t>及成</t>
  </si>
  <si>
    <t>穩懋</t>
  </si>
  <si>
    <t>好德</t>
  </si>
  <si>
    <t>寶島極</t>
  </si>
  <si>
    <t>進階</t>
  </si>
  <si>
    <t>笙泉</t>
  </si>
  <si>
    <t>昇銳</t>
  </si>
  <si>
    <t>弘塑</t>
  </si>
  <si>
    <t>晶宏</t>
  </si>
  <si>
    <t>大綜</t>
  </si>
  <si>
    <t>璟德</t>
  </si>
  <si>
    <t>精確</t>
  </si>
  <si>
    <t>波若威</t>
  </si>
  <si>
    <t>亞信</t>
  </si>
  <si>
    <t>新洲</t>
  </si>
  <si>
    <t>基亞</t>
  </si>
  <si>
    <t>公準</t>
  </si>
  <si>
    <t>鑫龍騰</t>
  </si>
  <si>
    <t>和進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</si>
  <si>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</si>
  <si>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</si>
  <si>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</si>
  <si>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</si>
  <si>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</si>
  <si>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</si>
  <si>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</si>
  <si>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</si>
  <si>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倚強科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</si>
  <si>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</si>
  <si>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</si>
  <si>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</si>
  <si>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</si>
  <si>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</si>
  <si>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</si>
  <si>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</si>
  <si>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</si>
  <si>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</si>
  <si>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</si>
  <si>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</si>
  <si>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</si>
  <si>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</si>
  <si>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</si>
  <si>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</si>
  <si>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</si>
  <si>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</si>
  <si>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</si>
  <si>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</si>
  <si>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</si>
  <si>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</si>
  <si>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</si>
  <si>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</si>
  <si>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</si>
  <si>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</si>
  <si>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</si>
  <si>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</si>
  <si>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</si>
  <si>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</si>
  <si>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</si>
  <si>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</si>
  <si>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</si>
  <si>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</si>
  <si>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</si>
  <si>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</si>
  <si>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</si>
  <si>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</si>
  <si>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律勝</t>
  </si>
  <si>
    <t>臺慶科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</si>
  <si>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</si>
  <si>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</si>
  <si>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</si>
  <si>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</si>
  <si>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</si>
  <si>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</si>
  <si>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</si>
  <si>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</si>
  <si>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</si>
  <si>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</si>
  <si>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</si>
  <si>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哲固</t>
  </si>
  <si>
    <t>類比科</t>
  </si>
  <si>
    <t>聯一光</t>
  </si>
  <si>
    <t>利機</t>
  </si>
  <si>
    <t>由田</t>
  </si>
  <si>
    <t>進泰電子</t>
  </si>
  <si>
    <t>致振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</si>
  <si>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</si>
  <si>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</si>
  <si>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</si>
  <si>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</si>
  <si>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</si>
  <si>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</si>
  <si>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</si>
  <si>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</si>
  <si>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</si>
  <si>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</si>
  <si>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</si>
  <si>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</si>
  <si>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</si>
  <si>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</si>
  <si>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</si>
  <si>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御頂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</si>
  <si>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</si>
  <si>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</si>
  <si>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</si>
  <si>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</si>
  <si>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</si>
  <si>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</si>
  <si>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</si>
  <si>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</si>
  <si>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</si>
  <si>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</si>
  <si>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</si>
  <si>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禾瑞亞</t>
  </si>
  <si>
    <t>神準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</si>
  <si>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</si>
  <si>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</si>
  <si>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</si>
  <si>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</si>
  <si>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</si>
  <si>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</si>
  <si>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</si>
  <si>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</si>
  <si>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映興</t>
  </si>
  <si>
    <t>鼎翰</t>
  </si>
  <si>
    <t>安可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</si>
  <si>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</si>
  <si>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</si>
  <si>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</si>
  <si>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</si>
  <si>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</si>
  <si>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</si>
  <si>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</si>
  <si>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</si>
  <si>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</si>
  <si>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艾恩特</t>
  </si>
  <si>
    <t>精聯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</si>
  <si>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</si>
  <si>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</si>
  <si>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</si>
  <si>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</si>
  <si>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</si>
  <si>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</si>
  <si>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</si>
  <si>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</si>
  <si>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</si>
  <si>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</si>
  <si>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</si>
  <si>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</si>
  <si>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</si>
  <si>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鑫聯大投控</t>
  </si>
  <si>
    <t>連展投控</t>
  </si>
  <si>
    <t>新晶投控</t>
  </si>
  <si>
    <t>永日</t>
  </si>
  <si>
    <t>東洋</t>
  </si>
  <si>
    <t>邦特</t>
  </si>
  <si>
    <t>加捷生醫</t>
  </si>
  <si>
    <t>濟生</t>
  </si>
  <si>
    <t>聯上</t>
  </si>
  <si>
    <t>健喬</t>
  </si>
  <si>
    <t>明基醫</t>
  </si>
  <si>
    <t>優盛</t>
  </si>
  <si>
    <t>晟德</t>
  </si>
  <si>
    <t>太醫</t>
  </si>
  <si>
    <t>天良</t>
  </si>
  <si>
    <t>中天</t>
  </si>
  <si>
    <t>聯合</t>
  </si>
  <si>
    <t>4129A</t>
  </si>
  <si>
    <t>聯合甲特</t>
  </si>
  <si>
    <t>健亞</t>
  </si>
  <si>
    <t>晶宇</t>
  </si>
  <si>
    <t>曜亞</t>
  </si>
  <si>
    <t>馬光-KY</t>
  </si>
  <si>
    <t>中裕</t>
  </si>
  <si>
    <t>鈺緯</t>
  </si>
  <si>
    <t>太景*-KY</t>
  </si>
  <si>
    <t>創源</t>
  </si>
  <si>
    <t>聿新科</t>
  </si>
  <si>
    <t>智擎</t>
  </si>
  <si>
    <t>鐿鈦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</si>
  <si>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</si>
  <si>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</si>
  <si>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</si>
  <si>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</si>
  <si>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</si>
  <si>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</si>
  <si>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</si>
  <si>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</si>
  <si>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杏國</t>
  </si>
  <si>
    <t>欣大健康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</si>
  <si>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</si>
  <si>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</si>
  <si>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</si>
  <si>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</si>
  <si>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</si>
  <si>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</si>
  <si>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</si>
  <si>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</si>
  <si>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</si>
  <si>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</si>
  <si>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</si>
  <si>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元勝</t>
  </si>
  <si>
    <t>光明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</si>
  <si>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</si>
  <si>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</si>
  <si>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</si>
  <si>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</si>
  <si>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</si>
  <si>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</si>
  <si>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</si>
  <si>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</si>
  <si>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</si>
  <si>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</si>
  <si>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</si>
  <si>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</si>
  <si>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淳紳</t>
  </si>
  <si>
    <t>宏易</t>
  </si>
  <si>
    <t>協易機</t>
  </si>
  <si>
    <t>慶騰</t>
  </si>
  <si>
    <t>至興</t>
  </si>
  <si>
    <t>大詠城</t>
  </si>
  <si>
    <t>晟田</t>
  </si>
  <si>
    <t>科嶠</t>
  </si>
  <si>
    <t>萬在</t>
  </si>
  <si>
    <t>桓達</t>
  </si>
  <si>
    <t>長佳</t>
  </si>
  <si>
    <t>橙的</t>
  </si>
  <si>
    <t>旭然</t>
  </si>
  <si>
    <t>健椿</t>
  </si>
  <si>
    <t>百德</t>
  </si>
  <si>
    <t>科際精密</t>
  </si>
  <si>
    <t>捷流閥業</t>
  </si>
  <si>
    <t>唐鋒</t>
  </si>
  <si>
    <t>中美實</t>
  </si>
  <si>
    <t>大恭</t>
  </si>
  <si>
    <t>磐亞</t>
  </si>
  <si>
    <t>永純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</si>
  <si>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</si>
  <si>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</si>
  <si>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</si>
  <si>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</si>
  <si>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</si>
  <si>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</si>
  <si>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</si>
  <si>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</si>
  <si>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泓瀚</t>
  </si>
  <si>
    <t>合一</t>
  </si>
  <si>
    <t>皇將</t>
  </si>
  <si>
    <t>合富-KY</t>
  </si>
  <si>
    <t>強生</t>
  </si>
  <si>
    <t>國碳科</t>
  </si>
  <si>
    <t>勤凱</t>
  </si>
  <si>
    <t>誠泰科技</t>
  </si>
  <si>
    <t>大略-KY</t>
  </si>
  <si>
    <t>昇華</t>
  </si>
  <si>
    <t>聯光通</t>
  </si>
  <si>
    <t>富宇</t>
  </si>
  <si>
    <t>前鼎</t>
  </si>
  <si>
    <t>新復興</t>
  </si>
  <si>
    <t>德英</t>
  </si>
  <si>
    <t>欣厚-KY</t>
  </si>
  <si>
    <t>新盛力</t>
  </si>
  <si>
    <t>友輝</t>
  </si>
  <si>
    <t>亞電</t>
  </si>
  <si>
    <t>兆遠</t>
  </si>
  <si>
    <t>陞達科技</t>
  </si>
  <si>
    <t>辣椒</t>
  </si>
  <si>
    <t>牧東</t>
  </si>
  <si>
    <t>緯軟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</si>
  <si>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</si>
  <si>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</si>
  <si>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</si>
  <si>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</si>
  <si>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</si>
  <si>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</si>
  <si>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</si>
  <si>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</si>
  <si>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</si>
  <si>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</si>
  <si>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</si>
  <si>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</si>
  <si>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</si>
  <si>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</si>
  <si>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</si>
  <si>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</si>
  <si>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</si>
  <si>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</si>
  <si>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中茂</t>
  </si>
  <si>
    <t>坤悅</t>
  </si>
  <si>
    <t>新鼎</t>
  </si>
  <si>
    <t>寶碩</t>
  </si>
  <si>
    <t>蒙恬</t>
  </si>
  <si>
    <t>凌網</t>
  </si>
  <si>
    <t>亞昕</t>
  </si>
  <si>
    <t>萬達光電</t>
  </si>
  <si>
    <t>安力-KY</t>
  </si>
  <si>
    <t>立凱-KY</t>
  </si>
  <si>
    <t>雷笛克光學</t>
  </si>
  <si>
    <t>智晶</t>
  </si>
  <si>
    <t>天鉞電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</si>
  <si>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</si>
  <si>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</si>
  <si>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</si>
  <si>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</si>
  <si>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</si>
  <si>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</si>
  <si>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</si>
  <si>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</si>
  <si>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</si>
  <si>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杰力</t>
  </si>
  <si>
    <t>寶得利</t>
  </si>
  <si>
    <t>太欣</t>
  </si>
  <si>
    <t>桂盟</t>
  </si>
  <si>
    <t>系統電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</si>
  <si>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</si>
  <si>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</si>
  <si>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</si>
  <si>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</si>
  <si>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</si>
  <si>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</si>
  <si>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</si>
  <si>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</si>
  <si>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</si>
  <si>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</si>
  <si>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</si>
  <si>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</si>
  <si>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</si>
  <si>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</si>
  <si>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</si>
  <si>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</si>
  <si>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</si>
  <si>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</si>
  <si>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</si>
  <si>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慕康生醫</t>
  </si>
  <si>
    <t>中菲</t>
  </si>
  <si>
    <t>國眾</t>
  </si>
  <si>
    <t>台半</t>
  </si>
  <si>
    <t>振發</t>
  </si>
  <si>
    <t>東友</t>
  </si>
  <si>
    <t>高技</t>
  </si>
  <si>
    <t>均豪</t>
  </si>
  <si>
    <t>南良</t>
  </si>
  <si>
    <t>佶優</t>
  </si>
  <si>
    <t>昇益</t>
  </si>
  <si>
    <t>宣德</t>
  </si>
  <si>
    <t>霖宏</t>
  </si>
  <si>
    <t>富驊</t>
  </si>
  <si>
    <t>凱鈺</t>
  </si>
  <si>
    <t>聰泰</t>
  </si>
  <si>
    <t>德宏</t>
  </si>
  <si>
    <t>智冠</t>
  </si>
  <si>
    <t>新華</t>
  </si>
  <si>
    <t>中美晶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</si>
  <si>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</si>
  <si>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</si>
  <si>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</si>
  <si>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</si>
  <si>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</si>
  <si>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</si>
  <si>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</si>
  <si>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</si>
  <si>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</si>
  <si>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</si>
  <si>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</si>
  <si>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</si>
  <si>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</si>
  <si>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龍巖</t>
  </si>
  <si>
    <t>聖暉</t>
  </si>
  <si>
    <t>桓鼎-KY</t>
  </si>
  <si>
    <t>台聯櫃</t>
  </si>
  <si>
    <t>陸海</t>
  </si>
  <si>
    <t>中菲行</t>
  </si>
  <si>
    <t>劍湖山</t>
  </si>
  <si>
    <t>亞都</t>
  </si>
  <si>
    <t>老爺知</t>
  </si>
  <si>
    <t>日盛金</t>
  </si>
  <si>
    <t>致和證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</si>
  <si>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</si>
  <si>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</si>
  <si>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</si>
  <si>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</si>
  <si>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</si>
  <si>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</si>
  <si>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</si>
  <si>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</si>
  <si>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大慶證</t>
  </si>
  <si>
    <t>元大期</t>
  </si>
  <si>
    <t>寬魚國際</t>
  </si>
  <si>
    <t>合邦</t>
  </si>
  <si>
    <t>創惟</t>
  </si>
  <si>
    <t>亞元</t>
  </si>
  <si>
    <t>大宇資</t>
  </si>
  <si>
    <t>亞矽</t>
  </si>
  <si>
    <t>久威</t>
  </si>
  <si>
    <t>建達</t>
  </si>
  <si>
    <t>新普</t>
  </si>
  <si>
    <t>擎邦</t>
  </si>
  <si>
    <t>上奇</t>
  </si>
  <si>
    <t>業強</t>
  </si>
  <si>
    <t>廣運</t>
  </si>
  <si>
    <t>信音</t>
  </si>
  <si>
    <t>九豪</t>
  </si>
  <si>
    <t>普誠</t>
  </si>
  <si>
    <t>星寶國際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</si>
  <si>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</si>
  <si>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</si>
  <si>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</si>
  <si>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</si>
  <si>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</si>
  <si>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</si>
  <si>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</si>
  <si>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</si>
  <si>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</si>
  <si>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</si>
  <si>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</si>
  <si>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</si>
  <si>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</si>
  <si>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</si>
  <si>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</si>
  <si>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</si>
  <si>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</si>
  <si>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</si>
  <si>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</si>
  <si>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信昌電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</si>
  <si>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</si>
  <si>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</si>
  <si>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</si>
  <si>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</si>
  <si>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</si>
  <si>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</si>
  <si>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</si>
  <si>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</si>
  <si>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</si>
  <si>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</si>
  <si>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</si>
  <si>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</si>
  <si>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凌泰</t>
  </si>
  <si>
    <t>天品</t>
  </si>
  <si>
    <t>元大富櫃50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</si>
  <si>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</si>
  <si>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</si>
  <si>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</si>
  <si>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</si>
  <si>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</si>
  <si>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</si>
  <si>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</si>
  <si>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</si>
  <si>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</si>
  <si>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</si>
  <si>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</si>
  <si>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上揚</t>
  </si>
  <si>
    <t>旺矽</t>
  </si>
  <si>
    <t>茂綸</t>
  </si>
  <si>
    <t>全譜</t>
  </si>
  <si>
    <t>研通</t>
  </si>
  <si>
    <t>系微</t>
  </si>
  <si>
    <t>旺玖</t>
  </si>
  <si>
    <t>高僑</t>
  </si>
  <si>
    <t>康呈</t>
  </si>
  <si>
    <t>驊訊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</si>
  <si>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</si>
  <si>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</si>
  <si>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</si>
  <si>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</si>
  <si>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</si>
  <si>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</si>
  <si>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</si>
  <si>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</si>
  <si>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</si>
  <si>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</si>
  <si>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</si>
  <si>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</si>
  <si>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</si>
  <si>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</si>
  <si>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</si>
  <si>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</si>
  <si>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</si>
  <si>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</si>
  <si>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</si>
  <si>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</si>
  <si>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</si>
  <si>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</si>
  <si>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</si>
  <si>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</si>
  <si>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</si>
  <si>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晶焱</t>
  </si>
  <si>
    <t>韋僑</t>
  </si>
  <si>
    <t>詠昇</t>
  </si>
  <si>
    <t>京晨科</t>
  </si>
  <si>
    <t>易發</t>
  </si>
  <si>
    <t>今展科</t>
  </si>
  <si>
    <t>大中</t>
  </si>
  <si>
    <t>廣錠</t>
  </si>
  <si>
    <t>藥華藥</t>
  </si>
  <si>
    <t>紘康</t>
  </si>
  <si>
    <t>益得</t>
  </si>
  <si>
    <t>神盾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</si>
  <si>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</si>
  <si>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</si>
  <si>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</si>
  <si>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</si>
  <si>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</si>
  <si>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</si>
  <si>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</si>
  <si>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</si>
  <si>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</si>
  <si>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</si>
  <si>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益安</t>
  </si>
  <si>
    <t>雙邦</t>
  </si>
  <si>
    <t>惠光</t>
  </si>
  <si>
    <t>精測</t>
  </si>
  <si>
    <t>啟發電</t>
  </si>
  <si>
    <t>芮特-KY</t>
  </si>
  <si>
    <t>勤崴國際</t>
  </si>
  <si>
    <t>達爾膚</t>
  </si>
  <si>
    <t>明達醫</t>
  </si>
  <si>
    <t>創威</t>
  </si>
  <si>
    <t>瑞耘</t>
  </si>
  <si>
    <t>順藥</t>
  </si>
  <si>
    <t>倉和</t>
  </si>
  <si>
    <t>隆中</t>
  </si>
  <si>
    <t>高端疫苗</t>
  </si>
  <si>
    <t>長科*</t>
  </si>
  <si>
    <t>勝品</t>
  </si>
  <si>
    <t>欣普羅</t>
  </si>
  <si>
    <t>是方</t>
  </si>
  <si>
    <t>宏觀</t>
  </si>
  <si>
    <t>醫揚</t>
  </si>
  <si>
    <t>維田</t>
  </si>
  <si>
    <t>霈方</t>
  </si>
  <si>
    <t>逸達</t>
  </si>
  <si>
    <t>勁豐</t>
  </si>
  <si>
    <t>達邦蛋白</t>
  </si>
  <si>
    <t>東典光電</t>
  </si>
  <si>
    <t>台康生技</t>
  </si>
  <si>
    <t>普鴻</t>
  </si>
  <si>
    <t>台灣銘板</t>
  </si>
  <si>
    <t>展匯科</t>
  </si>
  <si>
    <t>寬宏藝術</t>
  </si>
  <si>
    <t>富強鑫</t>
  </si>
  <si>
    <t>瀧澤科</t>
  </si>
  <si>
    <t>奈米醫材</t>
  </si>
  <si>
    <t>朋億</t>
  </si>
  <si>
    <t>慧智</t>
  </si>
  <si>
    <t>特昇-KY</t>
  </si>
  <si>
    <t>萬年清</t>
  </si>
  <si>
    <t>泰金-KY</t>
  </si>
  <si>
    <t>均華</t>
  </si>
  <si>
    <t>富致</t>
  </si>
  <si>
    <t>M31</t>
  </si>
  <si>
    <t>台生材</t>
  </si>
  <si>
    <t>全宇昕</t>
  </si>
  <si>
    <t>天正國際</t>
  </si>
  <si>
    <t>威健生技</t>
  </si>
  <si>
    <t>樂斯科</t>
  </si>
  <si>
    <t>群翊</t>
  </si>
  <si>
    <t>信紘科</t>
  </si>
  <si>
    <t>鈺太</t>
  </si>
  <si>
    <t>鑫創電子</t>
  </si>
  <si>
    <t>雍智科技</t>
  </si>
  <si>
    <t>安碁資訊</t>
  </si>
  <si>
    <t>東捷資訊</t>
  </si>
  <si>
    <t>軒郁</t>
  </si>
  <si>
    <t>長聖</t>
  </si>
  <si>
    <t>應廣</t>
  </si>
  <si>
    <t>亞泰金屬</t>
  </si>
  <si>
    <t>上洋</t>
  </si>
  <si>
    <t>昇佳電子</t>
  </si>
  <si>
    <t>博晟生醫</t>
  </si>
  <si>
    <t>91APP*-KY</t>
  </si>
  <si>
    <t>亨泰光</t>
  </si>
  <si>
    <t>智聯服務</t>
  </si>
  <si>
    <t>叡揚</t>
  </si>
  <si>
    <t>達亞</t>
  </si>
  <si>
    <t>台微醫</t>
  </si>
  <si>
    <t>崑鼎</t>
  </si>
  <si>
    <t>邑錡</t>
  </si>
  <si>
    <t>意德士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</si>
  <si>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</si>
  <si>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</si>
  <si>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</si>
  <si>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</si>
  <si>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</si>
  <si>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</si>
  <si>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</si>
  <si>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</si>
  <si>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</si>
  <si>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</si>
  <si>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</si>
  <si>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</si>
  <si>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</si>
  <si>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</si>
  <si>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</si>
  <si>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</si>
  <si>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</si>
  <si>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</si>
  <si>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</si>
  <si>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</si>
  <si>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能率網通</t>
  </si>
  <si>
    <t>鉅橡</t>
  </si>
  <si>
    <t>伍豐</t>
  </si>
  <si>
    <t>洛碁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</si>
  <si>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</si>
  <si>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</si>
  <si>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</si>
  <si>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</si>
  <si>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</si>
  <si>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</si>
  <si>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</si>
  <si>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</si>
  <si>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</si>
  <si>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</si>
  <si>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</si>
  <si>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</si>
  <si>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</si>
  <si>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大億金茂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</si>
  <si>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</si>
  <si>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</si>
  <si>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</si>
  <si>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</si>
  <si>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</si>
  <si>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</si>
  <si>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</si>
  <si>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</si>
  <si>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</si>
  <si>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新漢</t>
  </si>
  <si>
    <t>華宏</t>
  </si>
  <si>
    <t>朋程</t>
  </si>
  <si>
    <t>商丞</t>
  </si>
  <si>
    <t>生展</t>
  </si>
  <si>
    <t>三竹</t>
  </si>
  <si>
    <t>泰藝</t>
  </si>
  <si>
    <t>尚茂</t>
  </si>
  <si>
    <t>群聯</t>
  </si>
  <si>
    <t>益張</t>
  </si>
  <si>
    <t>恒耀</t>
  </si>
  <si>
    <t>8349A</t>
  </si>
  <si>
    <t>恒耀甲特</t>
  </si>
  <si>
    <t>冠好</t>
  </si>
  <si>
    <t>金居</t>
  </si>
  <si>
    <t>千附</t>
  </si>
  <si>
    <t>金益鼎</t>
  </si>
  <si>
    <t>白紗科</t>
  </si>
  <si>
    <t>盛弘</t>
  </si>
  <si>
    <t>金可-KY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</si>
  <si>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</si>
  <si>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</si>
  <si>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</si>
  <si>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</si>
  <si>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</si>
  <si>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</si>
  <si>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</si>
  <si>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</si>
  <si>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</si>
  <si>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</si>
  <si>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</si>
  <si>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</si>
  <si>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</si>
  <si>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</si>
  <si>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</si>
  <si>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</si>
  <si>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綠電</t>
  </si>
  <si>
    <t>綠河-KY</t>
  </si>
  <si>
    <t>華研</t>
  </si>
  <si>
    <t>霹靂</t>
  </si>
  <si>
    <t>大拓-KY</t>
  </si>
  <si>
    <t>夠麻吉</t>
  </si>
  <si>
    <t>台境</t>
  </si>
  <si>
    <t>創業家</t>
  </si>
  <si>
    <t>三貝德</t>
  </si>
  <si>
    <t>裕國</t>
  </si>
  <si>
    <t>花王</t>
  </si>
  <si>
    <t>欣雄</t>
  </si>
  <si>
    <t>光隆</t>
  </si>
  <si>
    <t>8916A</t>
  </si>
  <si>
    <t>光隆甲特</t>
  </si>
  <si>
    <t>欣泰</t>
  </si>
  <si>
    <t>沈氏</t>
  </si>
  <si>
    <t>時報</t>
  </si>
  <si>
    <t>大田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</si>
  <si>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</si>
  <si>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</si>
  <si>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</si>
  <si>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</si>
  <si>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</si>
  <si>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</si>
  <si>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</si>
  <si>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</si>
  <si>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</si>
  <si>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</si>
  <si>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</si>
  <si>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</si>
  <si>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</si>
  <si>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</si>
  <si>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</si>
  <si>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</si>
  <si>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</si>
  <si>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富邦存股雙十N</t>
  </si>
  <si>
    <t>統一漲升股利150N</t>
  </si>
  <si>
    <t>群益A50綠碳N</t>
  </si>
  <si>
    <t>永昌富櫃200N</t>
  </si>
  <si>
    <t>元富亞洲高股息N</t>
  </si>
  <si>
    <t>元大富櫃200N</t>
  </si>
  <si>
    <t>統一恒生科技N</t>
  </si>
  <si>
    <t>元大櫃買半導體N</t>
  </si>
  <si>
    <t>兆豐富櫃200N</t>
  </si>
  <si>
    <t>兆豐上櫃ESG電菁N</t>
  </si>
  <si>
    <t>元大上櫃ESG成長N</t>
  </si>
  <si>
    <t>價格指數(跨市場)</t>
  </si>
  <si>
    <t>價格指數(臺灣指數公司)</t>
  </si>
  <si>
    <t>報酬指數(臺灣證券交易所)</t>
  </si>
  <si>
    <t>報酬指數(跨市場)</t>
  </si>
  <si>
    <t>報酬指數(臺灣指數公司)</t>
  </si>
  <si>
    <t>漲跌證券數合計</t>
  </si>
  <si>
    <t>備註:</t>
  </si>
  <si>
    <t xml:space="preserve"> </t>
  </si>
  <si>
    <t>指數</t>
  </si>
  <si>
    <t>收盤指數</t>
  </si>
  <si>
    <t>漲跌(+/-)</t>
  </si>
  <si>
    <t>漲跌點數</t>
  </si>
  <si>
    <t>漲跌百分比(%)</t>
  </si>
  <si>
    <t>特殊處理註記</t>
  </si>
  <si>
    <t>寶島股價指數</t>
  </si>
  <si>
    <t>發行量加權股價指數</t>
  </si>
  <si>
    <t>臺灣公司治理100指數</t>
  </si>
  <si>
    <t>臺灣50指數</t>
  </si>
  <si>
    <t>臺灣50權重上限30%指數</t>
  </si>
  <si>
    <t>臺灣中型100指數</t>
  </si>
  <si>
    <t>臺灣資訊科技指數</t>
  </si>
  <si>
    <t>臺灣發達指數</t>
  </si>
  <si>
    <t>臺灣高股息指數</t>
  </si>
  <si>
    <t>臺灣就業99指數</t>
  </si>
  <si>
    <t>臺灣高薪100指數</t>
  </si>
  <si>
    <t>未含金融指數</t>
  </si>
  <si>
    <t>未含電子指數</t>
  </si>
  <si>
    <t>未含金融電子指數</t>
  </si>
  <si>
    <t>小型股300指數</t>
  </si>
  <si>
    <t>水泥窯製類指數</t>
  </si>
  <si>
    <t>塑膠化工類指數</t>
  </si>
  <si>
    <t>機電類指數</t>
  </si>
  <si>
    <t>水泥類指數</t>
  </si>
  <si>
    <t>食品類指數</t>
  </si>
  <si>
    <t>塑膠類指數</t>
  </si>
  <si>
    <t>紡織纖維類指數</t>
  </si>
  <si>
    <t>電機機械類指數</t>
  </si>
  <si>
    <t>電器電纜類指數</t>
  </si>
  <si>
    <t>化學生技醫療類指數</t>
  </si>
  <si>
    <t>化學類指數</t>
  </si>
  <si>
    <t>生技醫療類指數</t>
  </si>
  <si>
    <t>+</t>
  </si>
  <si>
    <t>玻璃陶瓷類指數</t>
  </si>
  <si>
    <t>造紙類指數</t>
  </si>
  <si>
    <t>鋼鐵類指數</t>
  </si>
  <si>
    <t>橡膠類指數</t>
  </si>
  <si>
    <t>汽車類指數</t>
  </si>
  <si>
    <t>電子工業類指數</t>
  </si>
  <si>
    <t>半導體類指數</t>
  </si>
  <si>
    <t>電腦及週邊設備類指數</t>
  </si>
  <si>
    <t>光電類指數</t>
  </si>
  <si>
    <t>通信網路類指數</t>
  </si>
  <si>
    <t>電子零組件類指數</t>
  </si>
  <si>
    <t>電子通路類指數</t>
  </si>
  <si>
    <t>資訊服務類指數</t>
  </si>
  <si>
    <t>其他電子類指數</t>
  </si>
  <si>
    <t>建材營造類指數</t>
  </si>
  <si>
    <t>航運類指數</t>
  </si>
  <si>
    <t>觀光類指數</t>
  </si>
  <si>
    <t>金融保險類指數</t>
  </si>
  <si>
    <t>貿易百貨類指數</t>
  </si>
  <si>
    <t>油電燃氣類指數</t>
  </si>
  <si>
    <t>其他類指數</t>
  </si>
  <si>
    <t>臺指日報酬兩倍指數</t>
  </si>
  <si>
    <t>臺指反向一倍指數</t>
  </si>
  <si>
    <t>電子類兩倍槓桿指數</t>
  </si>
  <si>
    <t>電子類反向指數</t>
  </si>
  <si>
    <t>臺灣生技指數</t>
  </si>
  <si>
    <t>臺灣中小型公司治理指數</t>
  </si>
  <si>
    <t>臺灣IPO指數</t>
  </si>
  <si>
    <t>--</t>
  </si>
  <si>
    <t>臺灣企業社會責任中小型指數</t>
  </si>
  <si>
    <t>臺灣5G+通訊指數</t>
  </si>
  <si>
    <t>臺灣全市場指數</t>
  </si>
  <si>
    <t>臺灣全市場半導體指數</t>
  </si>
  <si>
    <t>臺灣電動車與自駕科技永續概念指數</t>
  </si>
  <si>
    <t>特選小資高價30指數</t>
  </si>
  <si>
    <t>金融類日報酬兩倍指數</t>
  </si>
  <si>
    <t>金融類日報酬反向一倍指數</t>
  </si>
  <si>
    <t>漲升股利150指數</t>
  </si>
  <si>
    <t>漲升股利100指數</t>
  </si>
  <si>
    <t>藍籌30指數</t>
  </si>
  <si>
    <t>工業菁英30指數</t>
  </si>
  <si>
    <t>電子菁英30指數</t>
  </si>
  <si>
    <t>低波動股利精選30指數</t>
  </si>
  <si>
    <t>低貝塔100指數</t>
  </si>
  <si>
    <t>中小型精選50指數</t>
  </si>
  <si>
    <t>中小型A級動能50指數</t>
  </si>
  <si>
    <t>特選高息低波指數</t>
  </si>
  <si>
    <t>臺灣永續指數</t>
  </si>
  <si>
    <t>特選內需高收益指數</t>
  </si>
  <si>
    <t>價值投資指數</t>
  </si>
  <si>
    <t>中小型300指數</t>
  </si>
  <si>
    <t>臺灣勞工權益指數</t>
  </si>
  <si>
    <t>智慧投資多因子30指數</t>
  </si>
  <si>
    <t>臺灣上櫃永續指數</t>
  </si>
  <si>
    <t>特選Smart多因子指數</t>
  </si>
  <si>
    <t>報酬指數</t>
  </si>
  <si>
    <t>寶島股價報酬指數</t>
  </si>
  <si>
    <t>發行量加權股價報酬指數</t>
  </si>
  <si>
    <t>臺灣公司治理100報酬指數</t>
  </si>
  <si>
    <t>臺灣50報酬指數</t>
  </si>
  <si>
    <t>臺灣50權重上限30%報酬指數</t>
  </si>
  <si>
    <t>臺灣中型100報酬指數</t>
  </si>
  <si>
    <t>臺灣發達報酬指數</t>
  </si>
  <si>
    <t>臺灣高股息報酬指數</t>
  </si>
  <si>
    <t>臺灣就業99報酬指數</t>
  </si>
  <si>
    <t>臺灣高薪100報酬指數</t>
  </si>
  <si>
    <t>未含金融電子報酬指數</t>
  </si>
  <si>
    <t>小型股300報酬指數</t>
  </si>
  <si>
    <t>水泥類報酬指數</t>
  </si>
  <si>
    <t>食品類報酬指數</t>
  </si>
  <si>
    <t>塑膠類報酬指數</t>
  </si>
  <si>
    <t>紡織纖維類報酬指數</t>
  </si>
  <si>
    <t>電機機械類報酬指數</t>
  </si>
  <si>
    <t>電器電纜類報酬指數</t>
  </si>
  <si>
    <t>化學生技醫療類報酬指數</t>
  </si>
  <si>
    <t>化學類報酬指數</t>
  </si>
  <si>
    <t>生技醫療類報酬指數</t>
  </si>
  <si>
    <t>玻璃陶瓷類報酬指數</t>
  </si>
  <si>
    <t>造紙類報酬指數</t>
  </si>
  <si>
    <t>鋼鐵類報酬指數</t>
  </si>
  <si>
    <t>橡膠類報酬指數</t>
  </si>
  <si>
    <t>汽車類報酬指數</t>
  </si>
  <si>
    <t>電子工業類報酬指數</t>
  </si>
  <si>
    <t>半導體類報酬指數</t>
  </si>
  <si>
    <t>電腦及週邊設備類報酬指數</t>
  </si>
  <si>
    <t>光電類報酬指數</t>
  </si>
  <si>
    <t>通信網路類報酬指數</t>
  </si>
  <si>
    <t>電子零組件類報酬指數</t>
  </si>
  <si>
    <t>電子通路類報酬指數</t>
  </si>
  <si>
    <t>資訊服務類報酬指數</t>
  </si>
  <si>
    <t>其他電子類報酬指數</t>
  </si>
  <si>
    <t>建材營造類報酬指數</t>
  </si>
  <si>
    <t>航運類報酬指數</t>
  </si>
  <si>
    <t>觀光類報酬指數</t>
  </si>
  <si>
    <t>金融保險類報酬指數</t>
  </si>
  <si>
    <t>貿易百貨類報酬指數</t>
  </si>
  <si>
    <t>油電燃氣類報酬指數</t>
  </si>
  <si>
    <t>其他類報酬指數</t>
  </si>
  <si>
    <t>臺灣生技報酬指數</t>
  </si>
  <si>
    <t>臺灣中小型公司治理報酬指數</t>
  </si>
  <si>
    <t>臺灣IPO報酬指數</t>
  </si>
  <si>
    <t>臺灣5G報酬指數</t>
  </si>
  <si>
    <t>臺灣企業社會責任中小型報酬指數</t>
  </si>
  <si>
    <t>特選臺灣電動車代表報酬指數</t>
  </si>
  <si>
    <t>臺灣5G+通訊報酬指數</t>
  </si>
  <si>
    <t>臺灣全市場報酬指數</t>
  </si>
  <si>
    <t>臺灣全市場半導體報酬指數</t>
  </si>
  <si>
    <t>臺灣電動車與自駕科技永續概念報酬指數</t>
  </si>
  <si>
    <t>臺灣智慧移動與電動車報酬指數</t>
  </si>
  <si>
    <t>特選小資高價30報酬指數</t>
  </si>
  <si>
    <t>漲升股利150報酬指數</t>
  </si>
  <si>
    <t>漲升股利100報酬指數</t>
  </si>
  <si>
    <t>藍籌30報酬指數</t>
  </si>
  <si>
    <t>工業菁英30報酬指數</t>
  </si>
  <si>
    <t>電子菁英30報酬指數</t>
  </si>
  <si>
    <t>低波動股利精選30報酬指數</t>
  </si>
  <si>
    <t>低貝塔100報酬指數</t>
  </si>
  <si>
    <t>中小型精選50報酬指數</t>
  </si>
  <si>
    <t>中小型A級動能50報酬指數</t>
  </si>
  <si>
    <t>特選高息低波報酬指數</t>
  </si>
  <si>
    <t>臺灣永續報酬指數</t>
  </si>
  <si>
    <t>特選內需高收益報酬指數</t>
  </si>
  <si>
    <t>價值投資報酬指數</t>
  </si>
  <si>
    <t>存股雙十等權重報酬指數</t>
  </si>
  <si>
    <t>特選大蘋果報酬指數</t>
  </si>
  <si>
    <t>中小型300報酬指數</t>
  </si>
  <si>
    <t>特股高息20報酬指數</t>
  </si>
  <si>
    <t>臺灣500報酬指數</t>
  </si>
  <si>
    <t>臺灣勞工權益報酬指數</t>
  </si>
  <si>
    <t>微波高息精選20報酬指數</t>
  </si>
  <si>
    <t>特選世代行動通訊報酬指數</t>
  </si>
  <si>
    <t>智慧投資多因子30報酬指數</t>
  </si>
  <si>
    <t>特選大蘋果報酬正向兩倍指數</t>
  </si>
  <si>
    <t>特選大蘋果報酬反向一倍指數</t>
  </si>
  <si>
    <t>特選價值成長報酬指數</t>
  </si>
  <si>
    <t>臺灣上櫃永續報酬指數</t>
  </si>
  <si>
    <t>特選台股領航報酬指數</t>
  </si>
  <si>
    <t>特選Smart多因子報酬指數</t>
  </si>
  <si>
    <t>特選ESG高股息報酬指數</t>
  </si>
  <si>
    <t>特選上櫃ESG成長報酬指數</t>
  </si>
  <si>
    <t>特選上櫃ESG電子菁英報酬指數</t>
  </si>
  <si>
    <t>成交統計</t>
  </si>
  <si>
    <t>成交股數(股)</t>
  </si>
  <si>
    <t>1.一般股票</t>
  </si>
  <si>
    <t>2.台灣存託憑證</t>
  </si>
  <si>
    <t>3.受益憑證</t>
  </si>
  <si>
    <t>4.ETF</t>
  </si>
  <si>
    <t>5.受益證券</t>
  </si>
  <si>
    <t>6.變更交易股票</t>
  </si>
  <si>
    <t>7.認購(售)權證</t>
  </si>
  <si>
    <t>8.轉換公司債</t>
  </si>
  <si>
    <t>9.附認股權特別股</t>
  </si>
  <si>
    <t>10.附認股權公司債</t>
  </si>
  <si>
    <t>11.認股權憑證</t>
  </si>
  <si>
    <t>12.公司債</t>
  </si>
  <si>
    <t>13.ETN</t>
  </si>
  <si>
    <t>14.創新板股票</t>
  </si>
  <si>
    <t>15.創新板-變更交易方法股票</t>
  </si>
  <si>
    <t>證券合計(1+6+14+15)</t>
  </si>
  <si>
    <t>總計(1~15)</t>
  </si>
  <si>
    <t>類型</t>
  </si>
  <si>
    <t>整體市場</t>
  </si>
  <si>
    <t>股票</t>
  </si>
  <si>
    <t>上漲(漲停)</t>
  </si>
  <si>
    <t>下跌(跌停)</t>
  </si>
  <si>
    <t>持平</t>
  </si>
  <si>
    <t>未成交</t>
  </si>
  <si>
    <t>無比價</t>
  </si>
  <si>
    <t>漲跌價差"為當日收盤價與前一日收盤價比較。"</t>
  </si>
  <si>
    <t>無比價"含前一日無收盤價、當日除權、除息、新上市、恢復交易者。"</t>
  </si>
  <si>
    <t>(元</t>
  </si>
  <si>
    <t>股)</t>
  </si>
  <si>
    <t>(元,交易單位)</t>
  </si>
  <si>
    <t>證券代號</t>
  </si>
  <si>
    <t>證券名稱</t>
  </si>
  <si>
    <t>成交金額</t>
  </si>
  <si>
    <t>開盤價</t>
  </si>
  <si>
    <t>最高價</t>
  </si>
  <si>
    <t>最低價</t>
  </si>
  <si>
    <t>收盤價</t>
  </si>
  <si>
    <t>漲跌價差</t>
  </si>
  <si>
    <t>最後揭示買價</t>
  </si>
  <si>
    <t>最後揭示買量</t>
  </si>
  <si>
    <t>最後揭示賣價</t>
  </si>
  <si>
    <t>最後揭示賣量</t>
  </si>
  <si>
    <t>本益比</t>
  </si>
  <si>
    <t>元大台灣50</t>
  </si>
  <si>
    <t>元大中型100</t>
  </si>
  <si>
    <t>富邦科技</t>
  </si>
  <si>
    <t>元大電子</t>
  </si>
  <si>
    <t>元大台商50</t>
  </si>
  <si>
    <t>元大MSCI金融</t>
  </si>
  <si>
    <t>元大高股息</t>
  </si>
  <si>
    <t>富邦摩台</t>
  </si>
  <si>
    <t>元大寶滬深</t>
  </si>
  <si>
    <t>元大MSCI台灣</t>
  </si>
  <si>
    <t>永豐臺灣加權</t>
  </si>
  <si>
    <t>富邦上証</t>
  </si>
  <si>
    <t>元大上證50</t>
  </si>
  <si>
    <t>FH滬深</t>
  </si>
  <si>
    <t>富邦台50</t>
  </si>
  <si>
    <t>富邦上証+R</t>
  </si>
  <si>
    <t>元大台灣50正2</t>
  </si>
  <si>
    <t>元大台灣50反1</t>
  </si>
  <si>
    <t>富邦上証正2</t>
  </si>
  <si>
    <t>富邦上証反1</t>
  </si>
  <si>
    <t>期元大S&amp;P黃金</t>
  </si>
  <si>
    <t>國泰中國A50</t>
  </si>
  <si>
    <t>國泰中國A50+U</t>
  </si>
  <si>
    <t>X</t>
  </si>
  <si>
    <t>元大滬深300正2</t>
  </si>
  <si>
    <t>元大滬深300反1</t>
  </si>
  <si>
    <t>富邦深100</t>
  </si>
  <si>
    <t>富邦日本正2</t>
  </si>
  <si>
    <t>富邦日本反1</t>
  </si>
  <si>
    <t>期元大S&amp;P石油</t>
  </si>
  <si>
    <t>群益深証中小</t>
  </si>
  <si>
    <t>群益深証中小+R</t>
  </si>
  <si>
    <t>富邦日本</t>
  </si>
  <si>
    <t>元大S&amp;P500</t>
  </si>
  <si>
    <t>元大S&amp;P500正2</t>
  </si>
  <si>
    <t>元大S&amp;P500反1</t>
  </si>
  <si>
    <t>FH香港正2</t>
  </si>
  <si>
    <t>FH香港反1</t>
  </si>
  <si>
    <t>富邦印度</t>
  </si>
  <si>
    <t>富邦印度正2</t>
  </si>
  <si>
    <t>富邦印度反1</t>
  </si>
  <si>
    <t>國泰中國A50正2</t>
  </si>
  <si>
    <t>國泰中國A50反1</t>
  </si>
  <si>
    <t>國泰日經225</t>
  </si>
  <si>
    <t>國泰日經225+U</t>
  </si>
  <si>
    <t>元大歐洲50</t>
  </si>
  <si>
    <t>元大日經225</t>
  </si>
  <si>
    <t>富邦NASDAQ</t>
  </si>
  <si>
    <t>國泰臺灣加權正2</t>
  </si>
  <si>
    <t>國泰臺灣加權反1</t>
  </si>
  <si>
    <t>富邦恒生國企正2</t>
  </si>
  <si>
    <t>富邦恒生國企反1</t>
  </si>
  <si>
    <t>國泰美國道瓊</t>
  </si>
  <si>
    <t>國泰美國道瓊+U</t>
  </si>
  <si>
    <t>國泰美國道瓊反1</t>
  </si>
  <si>
    <t>富邦NASDAQ正2</t>
  </si>
  <si>
    <t>富邦NASDAQ反1</t>
  </si>
  <si>
    <t>期元大S&amp;P原油反1</t>
  </si>
  <si>
    <t>期元大S&amp;P黃金反1</t>
  </si>
  <si>
    <t>富邦臺灣加權正2</t>
  </si>
  <si>
    <t>富邦臺灣加權反1</t>
  </si>
  <si>
    <t>群益NBI生技</t>
  </si>
  <si>
    <t>元大美債20正2</t>
  </si>
  <si>
    <t>元大美債20反1</t>
  </si>
  <si>
    <t>期元大美元指數</t>
  </si>
  <si>
    <t>期元大美元指正2</t>
  </si>
  <si>
    <t>期元大美元指反1</t>
  </si>
  <si>
    <t>群益臺灣加權正2</t>
  </si>
  <si>
    <t>群益臺灣加權反1</t>
  </si>
  <si>
    <t>國泰20年美債正2</t>
  </si>
  <si>
    <t>國泰20年美債反1</t>
  </si>
  <si>
    <t>兆豐藍籌30</t>
  </si>
  <si>
    <t>富邦公司治理</t>
  </si>
  <si>
    <t>期街口S&amp;P黃豆</t>
  </si>
  <si>
    <t>富邦恒生國企</t>
  </si>
  <si>
    <t>國泰股利精選30</t>
  </si>
  <si>
    <t>國泰標普低波高息</t>
  </si>
  <si>
    <t>台新MSCI中國</t>
  </si>
  <si>
    <t>期元大S&amp;P日圓正2</t>
  </si>
  <si>
    <t>期元大S&amp;P日圓反1</t>
  </si>
  <si>
    <t>期元大S&amp;P黃金正2</t>
  </si>
  <si>
    <t>富邦歐洲</t>
  </si>
  <si>
    <t>FH彭博高收益債</t>
  </si>
  <si>
    <t>FH彭博新興債</t>
  </si>
  <si>
    <t>FH富時不動產</t>
  </si>
  <si>
    <t>元大台灣高息低波</t>
  </si>
  <si>
    <t>群益道瓊美國地產</t>
  </si>
  <si>
    <t>期街口布蘭特正2</t>
  </si>
  <si>
    <t>富邦美國特別股</t>
  </si>
  <si>
    <t>第一金工業30</t>
  </si>
  <si>
    <t>富邦臺灣優質高息</t>
  </si>
  <si>
    <t>FH富時高息低波</t>
  </si>
  <si>
    <t>國泰RMB短期報酬</t>
  </si>
  <si>
    <t>富邦臺灣中小</t>
  </si>
  <si>
    <t>國泰臺韓科技</t>
  </si>
  <si>
    <t>國泰新興市場</t>
  </si>
  <si>
    <t>國泰AI+Robo</t>
  </si>
  <si>
    <t>期元大道瓊白銀</t>
  </si>
  <si>
    <t>元大MSCI A股</t>
  </si>
  <si>
    <t>新光內需收益</t>
  </si>
  <si>
    <t>國泰中國A150</t>
  </si>
  <si>
    <t>中信中國50</t>
  </si>
  <si>
    <t>中信中國50正2</t>
  </si>
  <si>
    <t>統一FANG+</t>
  </si>
  <si>
    <t>元大全球AI</t>
  </si>
  <si>
    <t>期街口道瓊銅</t>
  </si>
  <si>
    <t>國泰北美科技</t>
  </si>
  <si>
    <t>元大US高息特別股</t>
  </si>
  <si>
    <t>新光中國政金綠債</t>
  </si>
  <si>
    <t>新光中政金綠債+R</t>
  </si>
  <si>
    <t>新光投等債15+</t>
  </si>
  <si>
    <t>富邦中証500</t>
  </si>
  <si>
    <t>BP上證50</t>
  </si>
  <si>
    <t>國泰費城半導體</t>
  </si>
  <si>
    <t>元大臺灣ESG永續</t>
  </si>
  <si>
    <t>台新全球AI</t>
  </si>
  <si>
    <t>國泰美國道瓊正2</t>
  </si>
  <si>
    <t>元大全球未來通訊</t>
  </si>
  <si>
    <t>國泰US短期公債</t>
  </si>
  <si>
    <t>元大未來關鍵科技</t>
  </si>
  <si>
    <t>國泰永續高股息</t>
  </si>
  <si>
    <t>國泰台灣5G+</t>
  </si>
  <si>
    <t>中信中國高股息</t>
  </si>
  <si>
    <t>富邦越南</t>
  </si>
  <si>
    <t>中信關鍵半導體</t>
  </si>
  <si>
    <t>富邦台灣半導體</t>
  </si>
  <si>
    <t>國泰智能電動車</t>
  </si>
  <si>
    <t>土銀富邦R1</t>
  </si>
  <si>
    <t>土銀國泰R1</t>
  </si>
  <si>
    <t>兆豐新光R1</t>
  </si>
  <si>
    <t>土銀富邦R2</t>
  </si>
  <si>
    <t>兆豐國泰R2</t>
  </si>
  <si>
    <t>王道圓滿R1</t>
  </si>
  <si>
    <t>京城樂富R1</t>
  </si>
  <si>
    <t>富邦特選蘋果N</t>
  </si>
  <si>
    <t>元富新中國N</t>
  </si>
  <si>
    <t>兆豐電菁英30N</t>
  </si>
  <si>
    <t>永昌中小300N</t>
  </si>
  <si>
    <t>凱基臺灣500N</t>
  </si>
  <si>
    <t>元大特股高息N</t>
  </si>
  <si>
    <t>統一微波高息20N</t>
  </si>
  <si>
    <t>富邦行動通訊N</t>
  </si>
  <si>
    <t>統一MSCI美低波N</t>
  </si>
  <si>
    <t>統一MSCI美科技N</t>
  </si>
  <si>
    <t>統一價值成長30N</t>
  </si>
  <si>
    <t>統一特選台灣5GN</t>
  </si>
  <si>
    <t>富邦蘋果正二N</t>
  </si>
  <si>
    <t>富邦蘋果反一N</t>
  </si>
  <si>
    <t>元大台股領航N</t>
  </si>
  <si>
    <t>元大電動車N</t>
  </si>
  <si>
    <t>1101B</t>
  </si>
  <si>
    <t>台泥乙特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</si>
  <si>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</si>
  <si>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</si>
  <si>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</si>
  <si>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</si>
  <si>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</si>
  <si>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</si>
  <si>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</si>
  <si>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</si>
  <si>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</si>
  <si>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</si>
  <si>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</si>
  <si>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</si>
  <si>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</si>
  <si>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</si>
  <si>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</si>
  <si>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</si>
  <si>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</si>
  <si>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</si>
  <si>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</si>
  <si>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</si>
  <si>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</si>
  <si>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</si>
  <si>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</si>
  <si>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</si>
  <si>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</si>
  <si>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鮮活果汁-KY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</si>
  <si>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</si>
  <si>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</si>
  <si>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</si>
  <si>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</si>
  <si>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</si>
  <si>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</si>
  <si>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</si>
  <si>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</si>
  <si>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</si>
  <si>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1312A</t>
  </si>
  <si>
    <t>國喬特</t>
  </si>
  <si>
    <t>聯成</t>
  </si>
  <si>
    <t>中石化</t>
  </si>
  <si>
    <t>上曜</t>
  </si>
  <si>
    <t>東陽</t>
  </si>
  <si>
    <t>大洋</t>
  </si>
  <si>
    <t>永裕</t>
  </si>
  <si>
    <t>地球</t>
  </si>
  <si>
    <t>恆大</t>
  </si>
  <si>
    <t>台化</t>
  </si>
  <si>
    <t>再生-KY</t>
  </si>
  <si>
    <t>廣華-KY</t>
  </si>
  <si>
    <t>昭輝</t>
  </si>
  <si>
    <t>勝悅-KY</t>
  </si>
  <si>
    <t>富林-KY</t>
  </si>
  <si>
    <t>八貫</t>
  </si>
  <si>
    <t>遠東新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</si>
  <si>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</si>
  <si>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</si>
  <si>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</si>
  <si>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</si>
  <si>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</si>
  <si>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</si>
  <si>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</si>
  <si>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</si>
  <si>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</si>
  <si>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</si>
  <si>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</si>
  <si>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</si>
  <si>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</si>
  <si>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</si>
  <si>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</si>
  <si>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</si>
  <si>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</si>
  <si>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</si>
  <si>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</si>
  <si>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</si>
  <si>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</si>
  <si>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</si>
  <si>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</si>
  <si>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</si>
  <si>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</si>
  <si>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</si>
  <si>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</si>
  <si>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</si>
  <si>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</si>
  <si>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</si>
  <si>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</si>
  <si>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</si>
  <si>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</si>
  <si>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</si>
  <si>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</si>
  <si>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</si>
  <si>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</si>
  <si>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</si>
  <si>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</si>
  <si>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</si>
  <si>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</si>
  <si>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</si>
  <si>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</si>
  <si>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</si>
  <si>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</si>
  <si>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</si>
  <si>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</si>
  <si>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</si>
  <si>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</si>
  <si>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</si>
  <si>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</si>
  <si>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</si>
  <si>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</si>
  <si>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</si>
  <si>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</si>
  <si>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</si>
  <si>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</si>
  <si>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</si>
  <si>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</si>
  <si>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</si>
  <si>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</si>
  <si>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</si>
  <si>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</si>
  <si>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</si>
  <si>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</si>
  <si>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</si>
  <si>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</si>
  <si>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</si>
  <si>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</si>
  <si>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</si>
  <si>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</si>
  <si>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</si>
  <si>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</si>
  <si>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</si>
  <si>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</si>
  <si>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</si>
  <si>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</si>
  <si>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倉佑</t>
  </si>
  <si>
    <t>信錦</t>
  </si>
  <si>
    <t>程泰</t>
  </si>
  <si>
    <t>吉茂</t>
  </si>
  <si>
    <t>永冠-KY</t>
  </si>
  <si>
    <t>亞德客-KY</t>
  </si>
  <si>
    <t>直得</t>
  </si>
  <si>
    <t>岱宇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</si>
  <si>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</si>
  <si>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</si>
  <si>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</si>
  <si>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</si>
  <si>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</si>
  <si>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</si>
  <si>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</si>
  <si>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</si>
  <si>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</si>
  <si>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</si>
  <si>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</si>
  <si>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艾美特-KY</t>
  </si>
  <si>
    <t>中化</t>
  </si>
  <si>
    <t>南僑</t>
  </si>
  <si>
    <t>葡萄王</t>
  </si>
  <si>
    <t>東鹼</t>
  </si>
  <si>
    <t>和益</t>
  </si>
  <si>
    <t>東聯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</si>
  <si>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</si>
  <si>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</si>
  <si>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</si>
  <si>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</si>
  <si>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</si>
  <si>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</si>
  <si>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</si>
  <si>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</si>
  <si>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</si>
  <si>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</si>
  <si>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</si>
  <si>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</si>
  <si>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</si>
  <si>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</si>
  <si>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</si>
  <si>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</si>
  <si>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</si>
  <si>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</si>
  <si>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</si>
  <si>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</si>
  <si>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寶齡富錦</t>
  </si>
  <si>
    <t>中化生</t>
  </si>
  <si>
    <t>勝一</t>
  </si>
  <si>
    <t>展宇</t>
  </si>
  <si>
    <t>和康生</t>
  </si>
  <si>
    <t>科妍</t>
  </si>
  <si>
    <t>神隆</t>
  </si>
  <si>
    <t>美時</t>
  </si>
  <si>
    <t>台玻</t>
  </si>
  <si>
    <t>寶徠</t>
  </si>
  <si>
    <t>冠軍</t>
  </si>
  <si>
    <t>潤隆</t>
  </si>
  <si>
    <t>中釉</t>
  </si>
  <si>
    <t>和成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</si>
  <si>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</si>
  <si>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</si>
  <si>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</si>
  <si>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</si>
  <si>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</si>
  <si>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</si>
  <si>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</si>
  <si>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</si>
  <si>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2002A</t>
  </si>
  <si>
    <t>中鋼特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</si>
  <si>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</si>
  <si>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</si>
  <si>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</si>
  <si>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</si>
  <si>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</si>
  <si>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</si>
  <si>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</si>
  <si>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</si>
  <si>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</si>
  <si>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</si>
  <si>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</si>
  <si>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</si>
  <si>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</si>
  <si>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</si>
  <si>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</si>
  <si>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</si>
  <si>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</si>
  <si>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</si>
  <si>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</si>
  <si>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</si>
  <si>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</si>
  <si>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</si>
  <si>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</si>
  <si>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海光</t>
  </si>
  <si>
    <t>上銀</t>
  </si>
  <si>
    <t>川湖</t>
  </si>
  <si>
    <t>橋椿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</si>
  <si>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</si>
  <si>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</si>
  <si>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</si>
  <si>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</si>
  <si>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</si>
  <si>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</si>
  <si>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</si>
  <si>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</si>
  <si>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</si>
  <si>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</si>
  <si>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</si>
  <si>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</si>
  <si>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</si>
  <si>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</si>
  <si>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</si>
  <si>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</si>
  <si>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</si>
  <si>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</si>
  <si>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裕日車</t>
  </si>
  <si>
    <t>劍麟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</si>
  <si>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</si>
  <si>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</si>
  <si>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</si>
  <si>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</si>
  <si>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</si>
  <si>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</si>
  <si>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</si>
  <si>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</si>
  <si>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</si>
  <si>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</si>
  <si>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</si>
  <si>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</si>
  <si>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</si>
  <si>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</si>
  <si>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</si>
  <si>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</si>
  <si>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</si>
  <si>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</si>
  <si>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</si>
  <si>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</si>
  <si>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</si>
  <si>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</si>
  <si>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</si>
  <si>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</si>
  <si>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</si>
  <si>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</si>
  <si>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</si>
  <si>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</si>
  <si>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</si>
  <si>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</si>
  <si>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</si>
  <si>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</si>
  <si>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</si>
  <si>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</si>
  <si>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</si>
  <si>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</si>
  <si>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</si>
  <si>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</si>
  <si>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</si>
  <si>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</si>
  <si>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</si>
  <si>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</si>
  <si>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</si>
  <si>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</si>
  <si>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</si>
  <si>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</si>
  <si>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</si>
  <si>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</si>
  <si>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</si>
  <si>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</si>
  <si>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</si>
  <si>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</si>
  <si>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</si>
  <si>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</si>
  <si>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</si>
  <si>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</si>
  <si>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</si>
  <si>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</si>
  <si>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</si>
  <si>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</si>
  <si>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</si>
  <si>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</si>
  <si>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</si>
  <si>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</si>
  <si>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</si>
  <si>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</si>
  <si>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</si>
  <si>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</si>
  <si>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</si>
  <si>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</si>
  <si>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</si>
  <si>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</si>
  <si>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</si>
  <si>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</si>
  <si>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</si>
  <si>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</si>
  <si>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</si>
  <si>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</si>
  <si>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</si>
  <si>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</si>
  <si>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</si>
  <si>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</si>
  <si>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</si>
  <si>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</si>
  <si>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</si>
  <si>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</si>
  <si>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</si>
  <si>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</si>
  <si>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</si>
  <si>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</si>
  <si>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</si>
  <si>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</si>
  <si>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</si>
  <si>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</si>
  <si>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</si>
  <si>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</si>
  <si>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</si>
  <si>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</si>
  <si>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</si>
  <si>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</si>
  <si>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</si>
  <si>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</si>
  <si>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</si>
  <si>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</si>
  <si>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</si>
  <si>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</si>
  <si>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</si>
  <si>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</si>
  <si>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</si>
  <si>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</si>
  <si>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</si>
  <si>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</si>
  <si>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</si>
  <si>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</si>
  <si>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</si>
  <si>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</si>
  <si>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</si>
  <si>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</si>
  <si>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</si>
  <si>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</si>
  <si>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</si>
  <si>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</si>
  <si>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</si>
  <si>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</si>
  <si>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</si>
  <si>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</si>
  <si>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</si>
  <si>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</si>
  <si>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</si>
  <si>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</si>
  <si>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</si>
  <si>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</si>
  <si>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</si>
  <si>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</si>
  <si>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</si>
  <si>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</si>
  <si>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</si>
  <si>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</si>
  <si>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</si>
  <si>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</si>
  <si>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</si>
  <si>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</si>
  <si>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</si>
  <si>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</si>
  <si>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</si>
  <si>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</si>
  <si>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</si>
  <si>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</si>
  <si>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</si>
  <si>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</si>
  <si>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</si>
  <si>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</si>
  <si>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</si>
  <si>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</si>
  <si>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</si>
  <si>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</si>
  <si>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</si>
  <si>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</si>
  <si>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</si>
  <si>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</si>
  <si>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</si>
  <si>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</si>
  <si>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</si>
  <si>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</si>
  <si>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</si>
  <si>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</si>
  <si>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</si>
  <si>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</si>
  <si>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</si>
  <si>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</si>
  <si>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</si>
  <si>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</si>
  <si>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</si>
  <si>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</si>
  <si>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</si>
  <si>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</si>
  <si>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</si>
  <si>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</si>
  <si>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</si>
  <si>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</si>
  <si>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</si>
  <si>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</si>
  <si>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</si>
  <si>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</si>
  <si>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</si>
  <si>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</si>
  <si>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</si>
  <si>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宅配通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</si>
  <si>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</si>
  <si>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</si>
  <si>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</si>
  <si>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</si>
  <si>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</si>
  <si>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</si>
  <si>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</si>
  <si>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</si>
  <si>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</si>
  <si>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王品</t>
  </si>
  <si>
    <t>雄獅</t>
  </si>
  <si>
    <t>寒舍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</si>
  <si>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</si>
  <si>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</si>
  <si>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</si>
  <si>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</si>
  <si>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</si>
  <si>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</si>
  <si>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</si>
  <si>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</si>
  <si>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</si>
  <si>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2836A</t>
  </si>
  <si>
    <t>高雄銀甲特</t>
  </si>
  <si>
    <t>聯邦銀</t>
  </si>
  <si>
    <t>2838A</t>
  </si>
  <si>
    <t>聯邦銀甲特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</si>
  <si>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</si>
  <si>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</si>
  <si>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</si>
  <si>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</si>
  <si>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</si>
  <si>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</si>
  <si>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</si>
  <si>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</si>
  <si>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</si>
  <si>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</si>
  <si>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2881A</t>
  </si>
  <si>
    <t>富邦特</t>
  </si>
  <si>
    <t>2881B</t>
  </si>
  <si>
    <t>富邦金乙特</t>
  </si>
  <si>
    <t>國泰金</t>
  </si>
  <si>
    <t>2882A</t>
  </si>
  <si>
    <t>國泰特</t>
  </si>
  <si>
    <t>2882B</t>
  </si>
  <si>
    <t>國泰金乙特</t>
  </si>
  <si>
    <t>開發金</t>
  </si>
  <si>
    <t>玉山金</t>
  </si>
  <si>
    <t>元大金</t>
  </si>
  <si>
    <t>兆豐金</t>
  </si>
  <si>
    <t>台新金</t>
  </si>
  <si>
    <t>2887E</t>
  </si>
  <si>
    <t>台新戊特</t>
  </si>
  <si>
    <t>2887F</t>
  </si>
  <si>
    <t>台新戊特二</t>
  </si>
  <si>
    <t>新光金</t>
  </si>
  <si>
    <t>2888A</t>
  </si>
  <si>
    <t>新光金甲特</t>
  </si>
  <si>
    <t>2888B</t>
  </si>
  <si>
    <t>新光金乙特</t>
  </si>
  <si>
    <t>國票金</t>
  </si>
  <si>
    <t>永豐金</t>
  </si>
  <si>
    <t>中信金</t>
  </si>
  <si>
    <t>2891B</t>
  </si>
  <si>
    <t>中信金乙特</t>
  </si>
  <si>
    <t>2891C</t>
  </si>
  <si>
    <t>中信金丙特</t>
  </si>
  <si>
    <t>第一金</t>
  </si>
  <si>
    <t>王道銀行</t>
  </si>
  <si>
    <t>2897A</t>
  </si>
  <si>
    <t>王道銀甲特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</si>
  <si>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</si>
  <si>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</si>
  <si>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</si>
  <si>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</si>
  <si>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</si>
  <si>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</si>
  <si>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</si>
  <si>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</si>
  <si>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</si>
  <si>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</si>
  <si>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</si>
  <si>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鼎固-KY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</si>
  <si>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</si>
  <si>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</si>
  <si>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</si>
  <si>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</si>
  <si>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</si>
  <si>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</si>
  <si>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</si>
  <si>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</si>
  <si>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</si>
  <si>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</si>
  <si>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</si>
  <si>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</si>
  <si>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</si>
  <si>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</si>
  <si>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</si>
  <si>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</si>
  <si>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</si>
  <si>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</si>
  <si>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</si>
  <si>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</si>
  <si>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</si>
  <si>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</si>
  <si>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</si>
  <si>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</si>
  <si>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</si>
  <si>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</si>
  <si>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</si>
  <si>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</si>
  <si>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</si>
  <si>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</si>
  <si>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</si>
  <si>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</si>
  <si>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</si>
  <si>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</si>
  <si>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3036A</t>
  </si>
  <si>
    <t>文曄甲特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</si>
  <si>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</si>
  <si>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</si>
  <si>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</si>
  <si>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</si>
  <si>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</si>
  <si>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</si>
  <si>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</si>
  <si>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</si>
  <si>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</si>
  <si>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</si>
  <si>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</si>
  <si>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</si>
  <si>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</si>
  <si>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</si>
  <si>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</si>
  <si>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</si>
  <si>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</si>
  <si>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</si>
  <si>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</si>
  <si>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</si>
  <si>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</si>
  <si>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</si>
  <si>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日電貿</t>
  </si>
  <si>
    <t>鴻碩</t>
  </si>
  <si>
    <t>聯傑</t>
  </si>
  <si>
    <t>一零四</t>
  </si>
  <si>
    <t>耀登</t>
  </si>
  <si>
    <t>正達</t>
  </si>
  <si>
    <t>景岳</t>
  </si>
  <si>
    <t>大量</t>
  </si>
  <si>
    <t>景碩</t>
  </si>
  <si>
    <t>全科</t>
  </si>
  <si>
    <t>晟鈦</t>
  </si>
  <si>
    <t>緯創</t>
  </si>
  <si>
    <t>虹冠電</t>
  </si>
  <si>
    <t>昇陽</t>
  </si>
  <si>
    <t>勝德</t>
  </si>
  <si>
    <t>昇貿</t>
  </si>
  <si>
    <t>聯德</t>
  </si>
  <si>
    <t>閎暉</t>
  </si>
  <si>
    <t>弘憶股</t>
  </si>
  <si>
    <t>同泰</t>
  </si>
  <si>
    <t>泰碩</t>
  </si>
  <si>
    <t>麗清</t>
  </si>
  <si>
    <t>奇偶</t>
  </si>
  <si>
    <t>新日興</t>
  </si>
  <si>
    <t>明泰</t>
  </si>
  <si>
    <t>新世紀</t>
  </si>
  <si>
    <t>玉晶光</t>
  </si>
  <si>
    <t>京鼎</t>
  </si>
  <si>
    <t>融程電</t>
  </si>
  <si>
    <t>譁裕</t>
  </si>
  <si>
    <t>台端</t>
  </si>
  <si>
    <t>榮創</t>
  </si>
  <si>
    <t>創意</t>
  </si>
  <si>
    <t>聯鈞</t>
  </si>
  <si>
    <t>晶睿</t>
  </si>
  <si>
    <t>群創</t>
  </si>
  <si>
    <t>維熹</t>
  </si>
  <si>
    <t>揚明光</t>
  </si>
  <si>
    <t>華擎</t>
  </si>
  <si>
    <t>柏騰</t>
  </si>
  <si>
    <t>安馳</t>
  </si>
  <si>
    <t>晶相光</t>
  </si>
  <si>
    <t>台勝科</t>
  </si>
  <si>
    <t>嘉澤</t>
  </si>
  <si>
    <t>晶彩科</t>
  </si>
  <si>
    <t>誠創</t>
  </si>
  <si>
    <t>州巧</t>
  </si>
  <si>
    <t>敦泰</t>
  </si>
  <si>
    <t>聯穎</t>
  </si>
  <si>
    <t>嘉威</t>
  </si>
  <si>
    <t>牧德</t>
  </si>
  <si>
    <t>辛耘</t>
  </si>
  <si>
    <t>通嘉</t>
  </si>
  <si>
    <t>艾笛森</t>
  </si>
  <si>
    <t>力銘</t>
  </si>
  <si>
    <t>智易</t>
  </si>
  <si>
    <t>宏致</t>
  </si>
  <si>
    <t>谷崧</t>
  </si>
  <si>
    <t>碩天</t>
  </si>
  <si>
    <t>洋華</t>
  </si>
  <si>
    <t>達邁</t>
  </si>
  <si>
    <t>健策</t>
  </si>
  <si>
    <t>世芯-KY</t>
  </si>
  <si>
    <t>貿聯-KY</t>
  </si>
  <si>
    <t>圓展</t>
  </si>
  <si>
    <t>TPK-KY</t>
  </si>
  <si>
    <t>新至陞</t>
  </si>
  <si>
    <t>亞太電</t>
  </si>
  <si>
    <t>達能</t>
  </si>
  <si>
    <t>海華</t>
  </si>
  <si>
    <t>大眾控</t>
  </si>
  <si>
    <t>大聯大</t>
  </si>
  <si>
    <t>3702A</t>
  </si>
  <si>
    <t>大聯大甲特</t>
  </si>
  <si>
    <t>欣陸</t>
  </si>
  <si>
    <t>合勤控</t>
  </si>
  <si>
    <t>永信</t>
  </si>
  <si>
    <t>神達</t>
  </si>
  <si>
    <t>上緯投控</t>
  </si>
  <si>
    <t>日月光投控</t>
  </si>
  <si>
    <t>永崴投控</t>
  </si>
  <si>
    <t>富采</t>
  </si>
  <si>
    <t>佳醫</t>
  </si>
  <si>
    <t>雃博</t>
  </si>
  <si>
    <t>懷特</t>
  </si>
  <si>
    <t>旭富</t>
  </si>
  <si>
    <t>亞諾法</t>
  </si>
  <si>
    <t>麗豐-KY</t>
  </si>
  <si>
    <t>龍燈-KY</t>
  </si>
  <si>
    <t>國光生</t>
  </si>
  <si>
    <t>全宇生技-KY</t>
  </si>
  <si>
    <t>訊映</t>
  </si>
  <si>
    <t>承業醫</t>
  </si>
  <si>
    <t>佐登-KY</t>
  </si>
  <si>
    <t>炎洲</t>
  </si>
  <si>
    <t>如興</t>
  </si>
  <si>
    <t>利勤</t>
  </si>
  <si>
    <t>廣越</t>
  </si>
  <si>
    <t>冠星-KY</t>
  </si>
  <si>
    <t>東台</t>
  </si>
  <si>
    <t>瑞智</t>
  </si>
  <si>
    <t>拓凱</t>
  </si>
  <si>
    <t>全球傳動</t>
  </si>
  <si>
    <t>銘鈺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</si>
  <si>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</si>
  <si>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</si>
  <si>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</si>
  <si>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</si>
  <si>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</si>
  <si>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</si>
  <si>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</si>
  <si>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</si>
  <si>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</si>
  <si>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</si>
  <si>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</si>
  <si>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光隆精密-KY</t>
  </si>
  <si>
    <t>德淵</t>
  </si>
  <si>
    <t>國精化</t>
  </si>
  <si>
    <t>華廣</t>
  </si>
  <si>
    <t>康普</t>
  </si>
  <si>
    <t>台耀</t>
  </si>
  <si>
    <t>材料-KY</t>
  </si>
  <si>
    <t>雙鍵</t>
  </si>
  <si>
    <t>南寶</t>
  </si>
  <si>
    <t>日成-KY</t>
  </si>
  <si>
    <t>遠傳</t>
  </si>
  <si>
    <t>正文</t>
  </si>
  <si>
    <t>聯德控股-KY</t>
  </si>
  <si>
    <t>致伸</t>
  </si>
  <si>
    <t>事欣科</t>
  </si>
  <si>
    <t>新唐</t>
  </si>
  <si>
    <t>泰鼎-KY</t>
  </si>
  <si>
    <t>燦星網</t>
  </si>
  <si>
    <t>太極</t>
  </si>
  <si>
    <t>茂林-KY</t>
  </si>
  <si>
    <t>和碩</t>
  </si>
  <si>
    <t>嘉彰</t>
  </si>
  <si>
    <t>康控-KY</t>
  </si>
  <si>
    <t>凌通</t>
  </si>
  <si>
    <t>光鋐</t>
  </si>
  <si>
    <t>臻鼎-KY</t>
  </si>
  <si>
    <t>誠美材</t>
  </si>
  <si>
    <t>天鈺</t>
  </si>
  <si>
    <t>十銓</t>
  </si>
  <si>
    <t>立積</t>
  </si>
  <si>
    <t>佳凌</t>
  </si>
  <si>
    <t>眾達-KY</t>
  </si>
  <si>
    <t>傳奇</t>
  </si>
  <si>
    <t>鑫禾</t>
  </si>
  <si>
    <t>三星</t>
  </si>
  <si>
    <t>訊連</t>
  </si>
  <si>
    <t>科嘉-KY</t>
  </si>
  <si>
    <t>東科-KY</t>
  </si>
  <si>
    <t>達興材料</t>
  </si>
  <si>
    <t>乙盛-KY</t>
  </si>
  <si>
    <t>虹堡</t>
  </si>
  <si>
    <t>祥碩</t>
  </si>
  <si>
    <t>禾聯碩</t>
  </si>
  <si>
    <t>jpp-KY</t>
  </si>
  <si>
    <t>界霖</t>
  </si>
  <si>
    <t>豐祥-KY</t>
  </si>
  <si>
    <t>中磊</t>
  </si>
  <si>
    <t>瀚宇博</t>
  </si>
  <si>
    <t>松翰</t>
  </si>
  <si>
    <t>建國</t>
  </si>
  <si>
    <t>隆大</t>
  </si>
  <si>
    <t>工信</t>
  </si>
  <si>
    <t>遠雄</t>
  </si>
  <si>
    <t>順天</t>
  </si>
  <si>
    <t>鄉林</t>
  </si>
  <si>
    <t>皇鼎</t>
  </si>
  <si>
    <t>長虹</t>
  </si>
  <si>
    <t>東明-KY</t>
  </si>
  <si>
    <t>永固-KY</t>
  </si>
  <si>
    <t>遠雄港</t>
  </si>
  <si>
    <t>四維航</t>
  </si>
  <si>
    <t>鳳凰</t>
  </si>
  <si>
    <t>中租-KY</t>
  </si>
  <si>
    <t>5871A</t>
  </si>
  <si>
    <t>中租-KY甲特</t>
  </si>
  <si>
    <t>合庫金</t>
  </si>
  <si>
    <t>台南-KY</t>
  </si>
  <si>
    <t>大洋-KY</t>
  </si>
  <si>
    <t>群益期</t>
  </si>
  <si>
    <t>競國</t>
  </si>
  <si>
    <t>聚碩</t>
  </si>
  <si>
    <t>鎰勝</t>
  </si>
  <si>
    <t>彩晶</t>
  </si>
  <si>
    <t>迎廣</t>
  </si>
  <si>
    <t>達運</t>
  </si>
  <si>
    <t>上福</t>
  </si>
  <si>
    <t>金橋</t>
  </si>
  <si>
    <t>富爾特</t>
  </si>
  <si>
    <t>亞翔</t>
  </si>
  <si>
    <t>友勁</t>
  </si>
  <si>
    <t>百一</t>
  </si>
  <si>
    <t>嘉聯益</t>
  </si>
  <si>
    <t>鈞寶</t>
  </si>
  <si>
    <t>華興</t>
  </si>
  <si>
    <t>浪凡</t>
  </si>
  <si>
    <t>凌華</t>
  </si>
  <si>
    <t>宏齊</t>
  </si>
  <si>
    <t>瑞儀</t>
  </si>
  <si>
    <t>達麗</t>
  </si>
  <si>
    <t>關貿</t>
  </si>
  <si>
    <t>大豐電</t>
  </si>
  <si>
    <t>豐藝</t>
  </si>
  <si>
    <t>巨路</t>
  </si>
  <si>
    <t>帆宣</t>
  </si>
  <si>
    <t>佳必琪</t>
  </si>
  <si>
    <t>亞弘電</t>
  </si>
  <si>
    <t>盛群</t>
  </si>
  <si>
    <t>詮欣</t>
  </si>
  <si>
    <t>飛捷</t>
  </si>
  <si>
    <t>今國光</t>
  </si>
  <si>
    <t>聯茂</t>
  </si>
  <si>
    <t>精誠</t>
  </si>
  <si>
    <t>和椿</t>
  </si>
  <si>
    <t>居易</t>
  </si>
  <si>
    <t>聚鼎</t>
  </si>
  <si>
    <t>光鼎</t>
  </si>
  <si>
    <t>尼得科超眾</t>
  </si>
  <si>
    <t>華孚</t>
  </si>
  <si>
    <t>力成</t>
  </si>
  <si>
    <t>迅杰</t>
  </si>
  <si>
    <t>定穎</t>
  </si>
  <si>
    <t>矽格</t>
  </si>
  <si>
    <t>台郡</t>
  </si>
  <si>
    <t>同欣電</t>
  </si>
  <si>
    <t>宏正</t>
  </si>
  <si>
    <t>台表科</t>
  </si>
  <si>
    <t>全國電</t>
  </si>
  <si>
    <t>康舒</t>
  </si>
  <si>
    <t>淳安</t>
  </si>
  <si>
    <t>啟碁</t>
  </si>
  <si>
    <t>聯嘉</t>
  </si>
  <si>
    <t>華上</t>
  </si>
  <si>
    <t>悅城</t>
  </si>
  <si>
    <t>旭隼</t>
  </si>
  <si>
    <t>群電</t>
  </si>
  <si>
    <t>樺漢</t>
  </si>
  <si>
    <t>矽力-KY</t>
  </si>
  <si>
    <t>瑞祺電通</t>
  </si>
  <si>
    <t>統新</t>
  </si>
  <si>
    <t>光麗-KY</t>
  </si>
  <si>
    <t>迅得</t>
  </si>
  <si>
    <t>光聖</t>
  </si>
  <si>
    <t>元晶</t>
  </si>
  <si>
    <t>鈺邦</t>
  </si>
  <si>
    <t>訊芯-KY</t>
  </si>
  <si>
    <t>GIS-KY</t>
  </si>
  <si>
    <t>台數科</t>
  </si>
  <si>
    <t>安集</t>
  </si>
  <si>
    <t>晶碩</t>
  </si>
  <si>
    <t>南六</t>
  </si>
  <si>
    <t>台塑化</t>
  </si>
  <si>
    <t>穎崴</t>
  </si>
  <si>
    <t>捷敏-KY</t>
  </si>
  <si>
    <t>晶心科</t>
  </si>
  <si>
    <t>泰福-KY</t>
  </si>
  <si>
    <t>易華電</t>
  </si>
  <si>
    <t>興能高</t>
  </si>
  <si>
    <t>虹揚-KY</t>
  </si>
  <si>
    <t>研揚</t>
  </si>
  <si>
    <t>鋼聯</t>
  </si>
  <si>
    <t>申豐</t>
  </si>
  <si>
    <t>動力-KY</t>
  </si>
  <si>
    <t>和潤企業</t>
  </si>
  <si>
    <t>ABC-KY</t>
  </si>
  <si>
    <t>帝寶</t>
  </si>
  <si>
    <t>必應</t>
  </si>
  <si>
    <t>基士德-KY</t>
  </si>
  <si>
    <t>科定</t>
  </si>
  <si>
    <t>羅麗芬-KY</t>
  </si>
  <si>
    <t>中揚光</t>
  </si>
  <si>
    <t>緯穎</t>
  </si>
  <si>
    <t>復盛應用</t>
  </si>
  <si>
    <t>三能-KY</t>
  </si>
  <si>
    <t>騰輝電子-KY</t>
  </si>
  <si>
    <t>鋐寶科技</t>
  </si>
  <si>
    <t>旭暉應材</t>
  </si>
  <si>
    <t>惠特</t>
  </si>
  <si>
    <t>嘉基</t>
  </si>
  <si>
    <t>安普新</t>
  </si>
  <si>
    <t>匯僑設計</t>
  </si>
  <si>
    <t>威鋒電子</t>
  </si>
  <si>
    <t>志強-KY</t>
  </si>
  <si>
    <t>展碁國際</t>
  </si>
  <si>
    <t>AES-KY</t>
  </si>
  <si>
    <t>台通</t>
  </si>
  <si>
    <t>矽創</t>
  </si>
  <si>
    <t>尖點</t>
  </si>
  <si>
    <t>昇陽半導體</t>
  </si>
  <si>
    <t>雷虎</t>
  </si>
  <si>
    <t>台虹</t>
  </si>
  <si>
    <t>南電</t>
  </si>
  <si>
    <t>長華*</t>
  </si>
  <si>
    <t>陞泰</t>
  </si>
  <si>
    <t>致新</t>
  </si>
  <si>
    <t>華冠</t>
  </si>
  <si>
    <t>瀚荃</t>
  </si>
  <si>
    <t>錸寶</t>
  </si>
  <si>
    <t>凌巨</t>
  </si>
  <si>
    <t>華東</t>
  </si>
  <si>
    <t>至上</t>
  </si>
  <si>
    <t>振樺電</t>
  </si>
  <si>
    <t>福懋科</t>
  </si>
  <si>
    <t>南茂</t>
  </si>
  <si>
    <t>達方</t>
  </si>
  <si>
    <t>無敵</t>
  </si>
  <si>
    <t>勤誠</t>
  </si>
  <si>
    <t>志超</t>
  </si>
  <si>
    <t>明基材</t>
  </si>
  <si>
    <t>寶一</t>
  </si>
  <si>
    <t>菱光</t>
  </si>
  <si>
    <t>富鼎</t>
  </si>
  <si>
    <t>宇瞻</t>
  </si>
  <si>
    <t>日友</t>
  </si>
  <si>
    <t>建新國際</t>
  </si>
  <si>
    <t>羅昇</t>
  </si>
  <si>
    <t>百和興業-KY</t>
  </si>
  <si>
    <t>福貞-KY</t>
  </si>
  <si>
    <t>可寧衛</t>
  </si>
  <si>
    <t>基勝-KY</t>
  </si>
  <si>
    <t>金麗-KY</t>
  </si>
  <si>
    <t>威宏-KY</t>
  </si>
  <si>
    <t>阿瘦</t>
  </si>
  <si>
    <t>富邦媒</t>
  </si>
  <si>
    <t>柏文</t>
  </si>
  <si>
    <t>潤泰材</t>
  </si>
  <si>
    <t>億豐</t>
  </si>
  <si>
    <t>美吉吉-KY</t>
  </si>
  <si>
    <t>波力-KY</t>
  </si>
  <si>
    <t>山林水</t>
  </si>
  <si>
    <t>東哥遊艇</t>
  </si>
  <si>
    <t>泰昇-KY</t>
  </si>
  <si>
    <t>政伸</t>
  </si>
  <si>
    <t>商億-KY</t>
  </si>
  <si>
    <t>吉源-KY</t>
  </si>
  <si>
    <t>鼎炫-KY</t>
  </si>
  <si>
    <t>台汽電</t>
  </si>
  <si>
    <t>新天地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</si>
  <si>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</si>
  <si>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</si>
  <si>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</si>
  <si>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</si>
  <si>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</si>
  <si>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</si>
  <si>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</si>
  <si>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</si>
  <si>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</si>
  <si>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</si>
  <si>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</si>
  <si>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</si>
  <si>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</si>
  <si>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</si>
  <si>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</si>
  <si>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</si>
  <si>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</si>
  <si>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</si>
  <si>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</si>
  <si>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</si>
  <si>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</si>
  <si>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</si>
  <si>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</si>
  <si>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</si>
  <si>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</si>
  <si>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</si>
  <si>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</si>
  <si>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</si>
  <si>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</si>
  <si>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</si>
  <si>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</si>
  <si>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</si>
  <si>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</si>
  <si>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</si>
  <si>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</si>
  <si>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</si>
  <si>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</si>
  <si>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</si>
  <si>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</si>
  <si>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</si>
  <si>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</si>
  <si>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</si>
  <si>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</si>
  <si>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9941A</t>
  </si>
  <si>
    <t>裕融甲特</t>
  </si>
  <si>
    <t>茂順</t>
  </si>
  <si>
    <t>好樂迪</t>
  </si>
  <si>
    <t>新麗</t>
  </si>
  <si>
    <t>潤泰新</t>
  </si>
  <si>
    <t>三發地產</t>
  </si>
  <si>
    <t>佳龍</t>
  </si>
  <si>
    <t>世紀鋼</t>
  </si>
  <si>
    <t>統一亞洲半導體N</t>
  </si>
  <si>
    <t>天瀚</t>
  </si>
  <si>
    <t>亞果生醫</t>
  </si>
  <si>
    <t>特選臺灣綠能及電動車指數</t>
  </si>
  <si>
    <t>特選臺灣智能車供應鏈聯盟指數</t>
  </si>
  <si>
    <t>特選臺灣綠能及電動車報酬指數</t>
  </si>
  <si>
    <t>特選臺灣智能車供應鏈聯盟報酬指數</t>
  </si>
  <si>
    <t>委託書</t>
  </si>
  <si>
    <t>交易別</t>
  </si>
  <si>
    <t>價格</t>
  </si>
  <si>
    <t>手續費</t>
  </si>
  <si>
    <t>交易稅</t>
  </si>
  <si>
    <t>代扣款</t>
  </si>
  <si>
    <t>利息</t>
  </si>
  <si>
    <t>券手續費</t>
  </si>
  <si>
    <t>借券費</t>
  </si>
  <si>
    <t>追繳金</t>
  </si>
  <si>
    <t>幣別</t>
  </si>
  <si>
    <t>日期值</t>
    <phoneticPr fontId="3" type="noConversion"/>
  </si>
  <si>
    <t>股票代號</t>
    <phoneticPr fontId="3" type="noConversion"/>
  </si>
  <si>
    <t>部位增減</t>
    <phoneticPr fontId="3" type="noConversion"/>
  </si>
  <si>
    <t>均價</t>
    <phoneticPr fontId="3" type="noConversion"/>
  </si>
  <si>
    <t>聯合再生</t>
  </si>
  <si>
    <t>1522A</t>
  </si>
  <si>
    <t>堤維西甲特</t>
  </si>
  <si>
    <t>長期</t>
    <phoneticPr fontId="3" type="noConversion"/>
  </si>
  <si>
    <t>富邦未來車</t>
  </si>
  <si>
    <t>中信小資高價30</t>
  </si>
  <si>
    <t>智慧中立指數</t>
  </si>
  <si>
    <t>臺股期貨指數</t>
  </si>
  <si>
    <t>智慧中立報酬指數</t>
  </si>
  <si>
    <t>加權指數掩護性臺指買權價外5%報酬指數</t>
  </si>
  <si>
    <t>為昇科</t>
  </si>
  <si>
    <t>信實</t>
  </si>
  <si>
    <t>能率</t>
  </si>
  <si>
    <t>鉅陞</t>
  </si>
  <si>
    <t>三一東林</t>
  </si>
  <si>
    <t>永豐實</t>
  </si>
  <si>
    <t>雄順</t>
  </si>
  <si>
    <t>110.09.30</t>
  </si>
  <si>
    <t>路易莎咖啡</t>
  </si>
  <si>
    <t>展達</t>
  </si>
  <si>
    <t>虎門科技</t>
  </si>
  <si>
    <t>詠業</t>
  </si>
  <si>
    <t>天力離岸</t>
  </si>
  <si>
    <t>向榮生技</t>
  </si>
  <si>
    <t>晉弘</t>
  </si>
  <si>
    <t>圓點奈米</t>
  </si>
  <si>
    <t>來頡</t>
  </si>
  <si>
    <t>明係</t>
  </si>
  <si>
    <t>富世達</t>
  </si>
  <si>
    <t>森崴能源</t>
  </si>
  <si>
    <t>三鼎生技</t>
  </si>
  <si>
    <t>新穎生醫</t>
  </si>
  <si>
    <t>宏碁資訊</t>
  </si>
  <si>
    <t>梭特</t>
  </si>
  <si>
    <t>富動科</t>
  </si>
  <si>
    <t>路迦生醫</t>
  </si>
  <si>
    <t>晶鑽生醫</t>
  </si>
  <si>
    <t>捷智商訊</t>
  </si>
  <si>
    <t>溫士頓</t>
  </si>
  <si>
    <t>連騰</t>
  </si>
  <si>
    <t>眾智</t>
  </si>
  <si>
    <t>連訊</t>
  </si>
  <si>
    <t>聯寶</t>
  </si>
  <si>
    <t>濾能</t>
  </si>
  <si>
    <t>和暢科技</t>
  </si>
  <si>
    <t>和淞</t>
  </si>
  <si>
    <t>千附精密</t>
  </si>
  <si>
    <t>汎銓</t>
  </si>
  <si>
    <t>金鼎科</t>
  </si>
  <si>
    <t>太康精密</t>
  </si>
  <si>
    <t>天二科技</t>
  </si>
  <si>
    <t>圓裕</t>
  </si>
  <si>
    <t>富利康科技</t>
  </si>
  <si>
    <t>長佳智能</t>
  </si>
  <si>
    <t>一元素</t>
  </si>
  <si>
    <t>達勝</t>
  </si>
  <si>
    <t>華上生醫</t>
  </si>
  <si>
    <t>凡事康</t>
  </si>
  <si>
    <t>乂迪生</t>
  </si>
  <si>
    <t>環拓科技</t>
  </si>
  <si>
    <t>清淨海</t>
  </si>
  <si>
    <t>碩網</t>
  </si>
  <si>
    <t>知識科技</t>
  </si>
  <si>
    <t>美萌</t>
  </si>
  <si>
    <t>群利科技</t>
  </si>
  <si>
    <t>光晟生技</t>
  </si>
  <si>
    <t>亞果遊艇</t>
  </si>
  <si>
    <t>樂意</t>
  </si>
  <si>
    <t>世基生醫</t>
  </si>
  <si>
    <t>達運光電</t>
  </si>
  <si>
    <t>帝聞</t>
  </si>
  <si>
    <t>公信</t>
  </si>
  <si>
    <t>旭德</t>
  </si>
  <si>
    <t>巨有科技</t>
  </si>
  <si>
    <t>歐普羅</t>
  </si>
  <si>
    <t>威睿</t>
  </si>
  <si>
    <t>台視</t>
  </si>
  <si>
    <t>錢櫃</t>
  </si>
  <si>
    <t>昶昕</t>
  </si>
  <si>
    <t>影一</t>
  </si>
  <si>
    <t>德河</t>
  </si>
  <si>
    <t>愛爾達</t>
  </si>
  <si>
    <t>利得</t>
  </si>
  <si>
    <t>真好玩</t>
  </si>
  <si>
    <t>兔將</t>
  </si>
  <si>
    <t>燁聯</t>
  </si>
  <si>
    <t>股票數</t>
  </si>
  <si>
    <t>累計成交金額</t>
  </si>
  <si>
    <t>總成交筆數</t>
  </si>
  <si>
    <t>總成交數量</t>
  </si>
  <si>
    <t>上櫃股票每日收盤行情(不含定價)</t>
  </si>
  <si>
    <t>億杰</t>
  </si>
  <si>
    <t>美而快</t>
  </si>
  <si>
    <t>新門</t>
  </si>
  <si>
    <t>臺灣全市場半導體精選30指數</t>
  </si>
  <si>
    <t>臺灣資訊科技股報酬指數</t>
  </si>
  <si>
    <t>臺灣全市場半導體精選30報酬指數</t>
  </si>
  <si>
    <t>外幣成交值係以本公司當日下午3時30分公告匯率換算後加入成交金額。&lt;br&gt;公告匯率請參考本公司首頁&gt;產品與服務&gt;交易系統&gt;雙幣ETF專區&gt;代號對應及每日公告匯率。</t>
  </si>
  <si>
    <t>中信綠能及電動車</t>
  </si>
  <si>
    <t>元大特選電動車N</t>
  </si>
  <si>
    <t>2348A</t>
  </si>
  <si>
    <t>海悅甲特</t>
  </si>
  <si>
    <t>代號</t>
    <phoneticPr fontId="3" type="noConversion"/>
  </si>
  <si>
    <t>名稱</t>
    <phoneticPr fontId="3" type="noConversion"/>
  </si>
  <si>
    <t>TX</t>
    <phoneticPr fontId="3" type="noConversion"/>
  </si>
  <si>
    <t>台指期</t>
    <phoneticPr fontId="3" type="noConversion"/>
  </si>
  <si>
    <t>單位</t>
    <phoneticPr fontId="3" type="noConversion"/>
  </si>
  <si>
    <t>指數</t>
    <phoneticPr fontId="3" type="noConversion"/>
  </si>
  <si>
    <t>收盤</t>
    <phoneticPr fontId="3" type="noConversion"/>
  </si>
  <si>
    <t>部位類型</t>
  </si>
  <si>
    <t>數量</t>
    <phoneticPr fontId="3" type="noConversion"/>
  </si>
  <si>
    <t>金額</t>
    <phoneticPr fontId="3" type="noConversion"/>
  </si>
  <si>
    <t>部位</t>
  </si>
  <si>
    <t>(多重項目)</t>
  </si>
  <si>
    <t>市值</t>
    <phoneticPr fontId="3" type="noConversion"/>
  </si>
  <si>
    <t>底部</t>
    <phoneticPr fontId="3" type="noConversion"/>
  </si>
  <si>
    <t>多</t>
    <phoneticPr fontId="3" type="noConversion"/>
  </si>
  <si>
    <t>空</t>
    <phoneticPr fontId="3" type="noConversion"/>
  </si>
  <si>
    <t>其他投資</t>
  </si>
  <si>
    <t>總計</t>
    <phoneticPr fontId="3" type="noConversion"/>
  </si>
  <si>
    <t>重鵬</t>
  </si>
  <si>
    <t>非長期部位</t>
  </si>
  <si>
    <t>長期部位</t>
  </si>
  <si>
    <t>可用現金</t>
  </si>
  <si>
    <t>期間資產增加</t>
    <phoneticPr fontId="3" type="noConversion"/>
  </si>
  <si>
    <t>資產報酬率(期間)</t>
    <phoneticPr fontId="3" type="noConversion"/>
  </si>
  <si>
    <t>資產報酬率(年化)</t>
    <phoneticPr fontId="3" type="noConversion"/>
  </si>
  <si>
    <t>已除息但未入帳股利</t>
    <phoneticPr fontId="3" type="noConversion"/>
  </si>
  <si>
    <t>發放日期</t>
    <phoneticPr fontId="3" type="noConversion"/>
  </si>
  <si>
    <t>股數/台兩</t>
  </si>
  <si>
    <t>入扣帳/損益</t>
  </si>
  <si>
    <t>君帆</t>
  </si>
  <si>
    <t>台新藥</t>
  </si>
  <si>
    <t>永利聯合</t>
  </si>
  <si>
    <t>富邦基因免疫生技</t>
  </si>
  <si>
    <t>非長期</t>
    <phoneticPr fontId="3" type="noConversion"/>
  </si>
  <si>
    <t>稅費</t>
    <phoneticPr fontId="3" type="noConversion"/>
  </si>
  <si>
    <t>價金</t>
    <phoneticPr fontId="3" type="noConversion"/>
  </si>
  <si>
    <t>類型</t>
    <phoneticPr fontId="3" type="noConversion"/>
  </si>
  <si>
    <t>交割</t>
    <phoneticPr fontId="3" type="noConversion"/>
  </si>
  <si>
    <t>價金小計</t>
    <phoneticPr fontId="3" type="noConversion"/>
  </si>
  <si>
    <t>交割款</t>
    <phoneticPr fontId="3" type="noConversion"/>
  </si>
  <si>
    <t>公式區</t>
    <phoneticPr fontId="3" type="noConversion"/>
  </si>
  <si>
    <t>V</t>
    <phoneticPr fontId="3" type="noConversion"/>
  </si>
  <si>
    <t>註: 如有跨越付息或增減資日則無法反映操作績效。</t>
    <phoneticPr fontId="3" type="noConversion"/>
  </si>
  <si>
    <t>倫飛</t>
  </si>
  <si>
    <t>(全部)</t>
  </si>
  <si>
    <t>*含多空權證及選擇權</t>
    <phoneticPr fontId="3" type="noConversion"/>
  </si>
  <si>
    <t>*股期部位請填標的部位</t>
  </si>
  <si>
    <t>邁科</t>
  </si>
  <si>
    <t>圓剛</t>
  </si>
  <si>
    <t>*不含現股(長/短/波)</t>
    <phoneticPr fontId="3" type="noConversion"/>
  </si>
  <si>
    <t>*不含看空權證及選擇權</t>
    <phoneticPr fontId="3" type="noConversion"/>
  </si>
  <si>
    <t>空單:負市值呈現</t>
    <phoneticPr fontId="3" type="noConversion"/>
  </si>
  <si>
    <t>多單:標的部位市值呈現</t>
    <phoneticPr fontId="3" type="noConversion"/>
  </si>
  <si>
    <t>現股</t>
    <phoneticPr fontId="3" type="noConversion"/>
  </si>
  <si>
    <t>最近一筆資產明細</t>
    <phoneticPr fontId="3" type="noConversion"/>
  </si>
  <si>
    <t>帳戶查詢金額總計</t>
    <phoneticPr fontId="3" type="noConversion"/>
  </si>
  <si>
    <t>左列明細市值總計</t>
    <phoneticPr fontId="3" type="noConversion"/>
  </si>
  <si>
    <t xml:space="preserve"> 長持及非長持</t>
    <phoneticPr fontId="3" type="noConversion"/>
  </si>
  <si>
    <t xml:space="preserve"> 其他權益</t>
    <phoneticPr fontId="3" type="noConversion"/>
  </si>
  <si>
    <t>現金*</t>
    <phoneticPr fontId="3" type="noConversion"/>
  </si>
  <si>
    <t>其他投資**</t>
    <phoneticPr fontId="3" type="noConversion"/>
  </si>
  <si>
    <t>*取資產明細最後一筆"銀行餘額+未入帳款+其他增減"</t>
    <phoneticPr fontId="3" type="noConversion"/>
  </si>
  <si>
    <t>**取資產明細最後一筆"長持部位-其他"</t>
    <phoneticPr fontId="3" type="noConversion"/>
  </si>
  <si>
    <t>*依部位類型加總</t>
    <phoneticPr fontId="3" type="noConversion"/>
  </si>
  <si>
    <t>*不含資券及期權</t>
    <phoneticPr fontId="3" type="noConversion"/>
  </si>
  <si>
    <t>部位</t>
    <phoneticPr fontId="3" type="noConversion"/>
  </si>
  <si>
    <t>參考價</t>
    <phoneticPr fontId="3" type="noConversion"/>
  </si>
  <si>
    <t>停損策略</t>
    <phoneticPr fontId="3" type="noConversion"/>
  </si>
  <si>
    <t>參數</t>
    <phoneticPr fontId="3" type="noConversion"/>
  </si>
  <si>
    <t>停損價</t>
    <phoneticPr fontId="3" type="noConversion"/>
  </si>
  <si>
    <t>參考日期</t>
    <phoneticPr fontId="3" type="noConversion"/>
  </si>
  <si>
    <t>(F3-LOOKUP(A3,明細日期,明細資產總值)*I3%)/D3</t>
    <phoneticPr fontId="3" type="noConversion"/>
  </si>
  <si>
    <t>(F3-I3)/D3</t>
    <phoneticPr fontId="3" type="noConversion"/>
  </si>
  <si>
    <t>I3</t>
    <phoneticPr fontId="3" type="noConversion"/>
  </si>
  <si>
    <t>I3&amp;"MA"</t>
    <phoneticPr fontId="3" type="noConversion"/>
  </si>
  <si>
    <t>E3*(1-I3%)</t>
    <phoneticPr fontId="3" type="noConversion"/>
  </si>
  <si>
    <t>1_虧損相對總資本%</t>
    <phoneticPr fontId="3" type="noConversion"/>
  </si>
  <si>
    <t>2_虧損絕對金額</t>
    <phoneticPr fontId="3" type="noConversion"/>
  </si>
  <si>
    <t>4_股價跌幅</t>
    <phoneticPr fontId="3" type="noConversion"/>
  </si>
  <si>
    <t>5_股價跌破均線</t>
    <phoneticPr fontId="3" type="noConversion"/>
  </si>
  <si>
    <t>9_依公司及產業狀況</t>
  </si>
  <si>
    <t>目標價</t>
    <phoneticPr fontId="3" type="noConversion"/>
  </si>
  <si>
    <t>9_依公司及產業狀況</t>
    <phoneticPr fontId="3" type="noConversion"/>
  </si>
  <si>
    <t>參考成本</t>
    <phoneticPr fontId="3" type="noConversion"/>
  </si>
  <si>
    <t>停損方案</t>
    <phoneticPr fontId="3" type="noConversion"/>
  </si>
  <si>
    <t>*以上以K3儲存格為例</t>
    <phoneticPr fontId="3" type="noConversion"/>
  </si>
  <si>
    <t>資本影響</t>
    <phoneticPr fontId="3" type="noConversion"/>
  </si>
  <si>
    <t>巨生醫</t>
  </si>
  <si>
    <t>三洋實業</t>
  </si>
  <si>
    <t>合機</t>
  </si>
  <si>
    <t>精成科</t>
  </si>
  <si>
    <t>愛普*</t>
  </si>
  <si>
    <t>3_股價撐壓突破</t>
  </si>
  <si>
    <t>3_股價撐壓突破</t>
    <phoneticPr fontId="3" type="noConversion"/>
  </si>
  <si>
    <t>米斯特</t>
  </si>
  <si>
    <t>敏成健康</t>
  </si>
  <si>
    <t>開陽投控</t>
  </si>
  <si>
    <t>拉法醫</t>
  </si>
  <si>
    <t>大城地產</t>
  </si>
  <si>
    <t>利統</t>
  </si>
  <si>
    <t>110.10.21</t>
  </si>
  <si>
    <t>望隼</t>
  </si>
  <si>
    <t>聯策</t>
  </si>
  <si>
    <t>普瑞博</t>
  </si>
  <si>
    <t>同協</t>
  </si>
  <si>
    <t>通訊-KY</t>
  </si>
  <si>
    <t>元大ESG高股息N</t>
  </si>
  <si>
    <t>2881C</t>
  </si>
  <si>
    <t>富邦金丙特</t>
  </si>
  <si>
    <t>保勝光學</t>
  </si>
  <si>
    <t>澤米</t>
  </si>
  <si>
    <t>諾貝兒</t>
  </si>
  <si>
    <t>光鼎生技</t>
  </si>
  <si>
    <t>瑞軒</t>
  </si>
  <si>
    <t>慧友</t>
  </si>
  <si>
    <t xml:space="preserve"> 帳戶查詢市值減去兩倍券空部位</t>
    <phoneticPr fontId="3" type="noConversion"/>
  </si>
  <si>
    <t>圓餅圖資料</t>
    <phoneticPr fontId="3" type="noConversion"/>
  </si>
  <si>
    <t>矩形樹狀圖資料</t>
    <phoneticPr fontId="3" type="noConversion"/>
  </si>
  <si>
    <r>
      <rPr>
        <sz val="10"/>
        <rFont val="微軟正黑體"/>
        <family val="2"/>
        <charset val="136"/>
      </rPr>
      <t>序號</t>
    </r>
    <phoneticPr fontId="3" type="noConversion"/>
  </si>
  <si>
    <r>
      <rPr>
        <sz val="10"/>
        <rFont val="微軟正黑體"/>
        <family val="2"/>
        <charset val="136"/>
      </rPr>
      <t>日期</t>
    </r>
    <phoneticPr fontId="3" type="noConversion"/>
  </si>
  <si>
    <r>
      <rPr>
        <sz val="10"/>
        <rFont val="微軟正黑體"/>
        <family val="2"/>
        <charset val="136"/>
      </rPr>
      <t>代號</t>
    </r>
  </si>
  <si>
    <r>
      <rPr>
        <sz val="10"/>
        <rFont val="微軟正黑體"/>
        <family val="2"/>
        <charset val="136"/>
      </rPr>
      <t>標的</t>
    </r>
    <phoneticPr fontId="3" type="noConversion"/>
  </si>
  <si>
    <r>
      <rPr>
        <sz val="10"/>
        <rFont val="微軟正黑體"/>
        <family val="2"/>
        <charset val="136"/>
      </rPr>
      <t>部位類型</t>
    </r>
    <phoneticPr fontId="3" type="noConversion"/>
  </si>
  <si>
    <r>
      <rPr>
        <sz val="10"/>
        <rFont val="微軟正黑體"/>
        <family val="2"/>
        <charset val="136"/>
      </rPr>
      <t>摘要</t>
    </r>
    <phoneticPr fontId="3" type="noConversion"/>
  </si>
  <si>
    <r>
      <rPr>
        <sz val="10"/>
        <rFont val="微軟正黑體"/>
        <family val="2"/>
        <charset val="136"/>
      </rPr>
      <t>編號</t>
    </r>
    <phoneticPr fontId="3" type="noConversion"/>
  </si>
  <si>
    <r>
      <rPr>
        <sz val="10"/>
        <rFont val="微軟正黑體"/>
        <family val="2"/>
        <charset val="136"/>
      </rPr>
      <t>價格</t>
    </r>
    <phoneticPr fontId="3" type="noConversion"/>
  </si>
  <si>
    <r>
      <rPr>
        <sz val="10"/>
        <rFont val="微軟正黑體"/>
        <family val="2"/>
        <charset val="136"/>
      </rPr>
      <t>數量</t>
    </r>
    <phoneticPr fontId="3" type="noConversion"/>
  </si>
  <si>
    <r>
      <rPr>
        <sz val="10"/>
        <rFont val="微軟正黑體"/>
        <family val="2"/>
        <charset val="136"/>
      </rPr>
      <t>金額</t>
    </r>
    <phoneticPr fontId="3" type="noConversion"/>
  </si>
  <si>
    <r>
      <rPr>
        <sz val="10"/>
        <rFont val="微軟正黑體"/>
        <family val="2"/>
        <charset val="136"/>
      </rPr>
      <t>備註</t>
    </r>
    <phoneticPr fontId="3" type="noConversion"/>
  </si>
  <si>
    <r>
      <rPr>
        <sz val="12"/>
        <rFont val="微軟正黑體"/>
        <family val="2"/>
        <charset val="136"/>
      </rPr>
      <t>新纖</t>
    </r>
  </si>
  <si>
    <r>
      <rPr>
        <sz val="10"/>
        <rFont val="微軟正黑體"/>
        <family val="2"/>
        <charset val="136"/>
      </rPr>
      <t>波段</t>
    </r>
  </si>
  <si>
    <r>
      <rPr>
        <sz val="10"/>
        <rFont val="微軟正黑體"/>
        <family val="2"/>
        <charset val="136"/>
      </rPr>
      <t>建倉</t>
    </r>
  </si>
  <si>
    <r>
      <rPr>
        <sz val="10"/>
        <rFont val="微軟正黑體"/>
        <family val="2"/>
        <charset val="136"/>
      </rPr>
      <t>加碼</t>
    </r>
  </si>
  <si>
    <r>
      <rPr>
        <sz val="12"/>
        <rFont val="微軟正黑體"/>
        <family val="2"/>
        <charset val="136"/>
      </rPr>
      <t>冠德</t>
    </r>
  </si>
  <si>
    <r>
      <rPr>
        <sz val="10"/>
        <rFont val="微軟正黑體"/>
        <family val="2"/>
        <charset val="136"/>
      </rPr>
      <t>當沖</t>
    </r>
  </si>
  <si>
    <r>
      <rPr>
        <sz val="10"/>
        <rFont val="微軟正黑體"/>
        <family val="2"/>
        <charset val="136"/>
      </rPr>
      <t>減碼</t>
    </r>
  </si>
  <si>
    <r>
      <rPr>
        <sz val="10"/>
        <rFont val="微軟正黑體"/>
        <family val="2"/>
        <charset val="136"/>
      </rPr>
      <t>停利</t>
    </r>
  </si>
  <si>
    <r>
      <rPr>
        <sz val="10"/>
        <rFont val="微軟正黑體"/>
        <family val="2"/>
        <charset val="136"/>
      </rPr>
      <t>出場觀望</t>
    </r>
  </si>
  <si>
    <r>
      <rPr>
        <sz val="10"/>
        <rFont val="微軟正黑體"/>
        <family val="2"/>
        <charset val="136"/>
      </rPr>
      <t>長期</t>
    </r>
  </si>
  <si>
    <r>
      <rPr>
        <sz val="12"/>
        <rFont val="微軟正黑體"/>
        <family val="2"/>
        <charset val="136"/>
      </rPr>
      <t>中鋼</t>
    </r>
  </si>
  <si>
    <r>
      <rPr>
        <sz val="10"/>
        <rFont val="微軟正黑體"/>
        <family val="2"/>
        <charset val="136"/>
      </rPr>
      <t>股期</t>
    </r>
  </si>
  <si>
    <r>
      <rPr>
        <sz val="12"/>
        <rFont val="微軟正黑體"/>
        <family val="2"/>
        <charset val="136"/>
      </rPr>
      <t>雷科</t>
    </r>
  </si>
  <si>
    <r>
      <rPr>
        <sz val="12"/>
        <rFont val="微軟正黑體"/>
        <family val="2"/>
        <charset val="136"/>
      </rPr>
      <t>生達</t>
    </r>
  </si>
  <si>
    <r>
      <rPr>
        <sz val="12"/>
        <rFont val="微軟正黑體"/>
        <family val="2"/>
        <charset val="136"/>
      </rPr>
      <t>中化生</t>
    </r>
  </si>
  <si>
    <r>
      <rPr>
        <sz val="10"/>
        <rFont val="微軟正黑體"/>
        <family val="2"/>
        <charset val="136"/>
      </rPr>
      <t>換股操作</t>
    </r>
  </si>
  <si>
    <r>
      <rPr>
        <sz val="12"/>
        <rFont val="微軟正黑體"/>
        <family val="2"/>
        <charset val="136"/>
      </rPr>
      <t>嘉澤</t>
    </r>
  </si>
  <si>
    <r>
      <rPr>
        <sz val="12"/>
        <rFont val="微軟正黑體"/>
        <family val="2"/>
        <charset val="136"/>
      </rPr>
      <t>智邦</t>
    </r>
  </si>
  <si>
    <r>
      <rPr>
        <sz val="10"/>
        <rFont val="微軟正黑體"/>
        <family val="2"/>
        <charset val="136"/>
      </rPr>
      <t>停損</t>
    </r>
  </si>
  <si>
    <r>
      <rPr>
        <sz val="12"/>
        <rFont val="微軟正黑體"/>
        <family val="2"/>
        <charset val="136"/>
      </rPr>
      <t>旺宏</t>
    </r>
  </si>
  <si>
    <r>
      <rPr>
        <sz val="12"/>
        <rFont val="微軟正黑體"/>
        <family val="2"/>
        <charset val="136"/>
      </rPr>
      <t>玉晶光</t>
    </r>
  </si>
  <si>
    <r>
      <rPr>
        <sz val="12"/>
        <rFont val="微軟正黑體"/>
        <family val="2"/>
        <charset val="136"/>
      </rPr>
      <t>元太</t>
    </r>
  </si>
  <si>
    <r>
      <rPr>
        <sz val="12"/>
        <rFont val="微軟正黑體"/>
        <family val="2"/>
        <charset val="136"/>
      </rPr>
      <t>台泥</t>
    </r>
  </si>
  <si>
    <r>
      <rPr>
        <sz val="12"/>
        <rFont val="微軟正黑體"/>
        <family val="2"/>
        <charset val="136"/>
      </rPr>
      <t>宏璟</t>
    </r>
  </si>
  <si>
    <r>
      <rPr>
        <sz val="12"/>
        <rFont val="微軟正黑體"/>
        <family val="2"/>
        <charset val="136"/>
      </rPr>
      <t>宅配通</t>
    </r>
  </si>
  <si>
    <r>
      <rPr>
        <sz val="12"/>
        <rFont val="微軟正黑體"/>
        <family val="2"/>
        <charset val="136"/>
      </rPr>
      <t>泰博</t>
    </r>
  </si>
  <si>
    <r>
      <rPr>
        <sz val="10"/>
        <rFont val="微軟正黑體"/>
        <family val="2"/>
        <charset val="136"/>
      </rPr>
      <t>短線</t>
    </r>
  </si>
  <si>
    <r>
      <rPr>
        <sz val="12"/>
        <rFont val="微軟正黑體"/>
        <family val="2"/>
        <charset val="136"/>
      </rPr>
      <t>聚和</t>
    </r>
  </si>
  <si>
    <r>
      <rPr>
        <sz val="12"/>
        <rFont val="微軟正黑體"/>
        <family val="2"/>
        <charset val="136"/>
      </rPr>
      <t>神基</t>
    </r>
  </si>
  <si>
    <r>
      <rPr>
        <sz val="12"/>
        <rFont val="微軟正黑體"/>
        <family val="2"/>
        <charset val="136"/>
      </rPr>
      <t>宏佳騰</t>
    </r>
  </si>
  <si>
    <r>
      <rPr>
        <sz val="12"/>
        <rFont val="微軟正黑體"/>
        <family val="2"/>
        <charset val="136"/>
      </rPr>
      <t>台肥</t>
    </r>
  </si>
  <si>
    <r>
      <rPr>
        <sz val="12"/>
        <rFont val="微軟正黑體"/>
        <family val="2"/>
        <charset val="136"/>
      </rPr>
      <t>台橡</t>
    </r>
  </si>
  <si>
    <r>
      <rPr>
        <sz val="12"/>
        <rFont val="微軟正黑體"/>
        <family val="2"/>
        <charset val="136"/>
      </rPr>
      <t>訊聯</t>
    </r>
  </si>
  <si>
    <r>
      <rPr>
        <sz val="12"/>
        <rFont val="微軟正黑體"/>
        <family val="2"/>
        <charset val="136"/>
      </rPr>
      <t>技嘉</t>
    </r>
  </si>
  <si>
    <r>
      <rPr>
        <sz val="12"/>
        <rFont val="微軟正黑體"/>
        <family val="2"/>
        <charset val="136"/>
      </rPr>
      <t>京鼎</t>
    </r>
  </si>
  <si>
    <r>
      <rPr>
        <sz val="12"/>
        <rFont val="微軟正黑體"/>
        <family val="2"/>
        <charset val="136"/>
      </rPr>
      <t>大成</t>
    </r>
  </si>
  <si>
    <r>
      <rPr>
        <sz val="12"/>
        <rFont val="微軟正黑體"/>
        <family val="2"/>
        <charset val="136"/>
      </rPr>
      <t>華新</t>
    </r>
  </si>
  <si>
    <r>
      <rPr>
        <sz val="12"/>
        <rFont val="微軟正黑體"/>
        <family val="2"/>
        <charset val="136"/>
      </rPr>
      <t>聚鼎</t>
    </r>
  </si>
  <si>
    <r>
      <rPr>
        <sz val="10"/>
        <rFont val="微軟正黑體"/>
        <family val="2"/>
        <charset val="136"/>
      </rPr>
      <t>停利</t>
    </r>
    <phoneticPr fontId="3" type="noConversion"/>
  </si>
  <si>
    <r>
      <rPr>
        <sz val="10"/>
        <rFont val="微軟正黑體"/>
        <family val="2"/>
        <charset val="136"/>
      </rPr>
      <t>建倉</t>
    </r>
    <phoneticPr fontId="3" type="noConversion"/>
  </si>
  <si>
    <r>
      <rPr>
        <sz val="10"/>
        <rFont val="微軟正黑體"/>
        <family val="2"/>
        <charset val="136"/>
      </rPr>
      <t>停損</t>
    </r>
    <phoneticPr fontId="3" type="noConversion"/>
  </si>
  <si>
    <r>
      <rPr>
        <sz val="10"/>
        <rFont val="微軟正黑體"/>
        <family val="2"/>
        <charset val="136"/>
      </rPr>
      <t>減碼</t>
    </r>
    <phoneticPr fontId="3" type="noConversion"/>
  </si>
  <si>
    <r>
      <rPr>
        <sz val="10"/>
        <rFont val="微軟正黑體"/>
        <family val="2"/>
        <charset val="136"/>
      </rPr>
      <t>出場觀望</t>
    </r>
    <phoneticPr fontId="3" type="noConversion"/>
  </si>
  <si>
    <r>
      <rPr>
        <sz val="12"/>
        <rFont val="微軟正黑體"/>
        <family val="2"/>
        <charset val="136"/>
      </rPr>
      <t>盟立</t>
    </r>
  </si>
  <si>
    <r>
      <rPr>
        <sz val="12"/>
        <rFont val="微軟正黑體"/>
        <family val="2"/>
        <charset val="136"/>
      </rPr>
      <t>崇越</t>
    </r>
  </si>
  <si>
    <r>
      <rPr>
        <sz val="12"/>
        <rFont val="微軟正黑體"/>
        <family val="2"/>
        <charset val="136"/>
      </rPr>
      <t>萬潤</t>
    </r>
  </si>
  <si>
    <r>
      <rPr>
        <sz val="12"/>
        <rFont val="微軟正黑體"/>
        <family val="2"/>
        <charset val="136"/>
      </rPr>
      <t>帆宣</t>
    </r>
  </si>
  <si>
    <r>
      <rPr>
        <sz val="10"/>
        <rFont val="微軟正黑體"/>
        <family val="2"/>
        <charset val="136"/>
      </rPr>
      <t>加碼</t>
    </r>
    <phoneticPr fontId="3" type="noConversion"/>
  </si>
  <si>
    <r>
      <rPr>
        <sz val="12"/>
        <rFont val="微軟正黑體"/>
        <family val="2"/>
        <charset val="136"/>
      </rPr>
      <t>台塑化</t>
    </r>
  </si>
  <si>
    <r>
      <rPr>
        <sz val="12"/>
        <rFont val="微軟正黑體"/>
        <family val="2"/>
        <charset val="136"/>
      </rPr>
      <t>僑威</t>
    </r>
  </si>
  <si>
    <r>
      <rPr>
        <sz val="12"/>
        <rFont val="微軟正黑體"/>
        <family val="2"/>
        <charset val="136"/>
      </rPr>
      <t>原相</t>
    </r>
  </si>
  <si>
    <r>
      <rPr>
        <sz val="12"/>
        <rFont val="微軟正黑體"/>
        <family val="2"/>
        <charset val="136"/>
      </rPr>
      <t>台表科</t>
    </r>
  </si>
  <si>
    <r>
      <rPr>
        <sz val="12"/>
        <rFont val="微軟正黑體"/>
        <family val="2"/>
        <charset val="136"/>
      </rPr>
      <t>雍智科技</t>
    </r>
  </si>
  <si>
    <r>
      <rPr>
        <sz val="10"/>
        <rFont val="微軟正黑體"/>
        <family val="2"/>
        <charset val="136"/>
      </rPr>
      <t>波段</t>
    </r>
    <phoneticPr fontId="3" type="noConversion"/>
  </si>
  <si>
    <r>
      <rPr>
        <sz val="12"/>
        <rFont val="微軟正黑體"/>
        <family val="2"/>
        <charset val="136"/>
      </rPr>
      <t>胡連</t>
    </r>
  </si>
  <si>
    <r>
      <rPr>
        <sz val="12"/>
        <rFont val="微軟正黑體"/>
        <family val="2"/>
        <charset val="136"/>
      </rPr>
      <t>台郡</t>
    </r>
  </si>
  <si>
    <r>
      <rPr>
        <sz val="12"/>
        <rFont val="微軟正黑體"/>
        <family val="2"/>
        <charset val="136"/>
      </rPr>
      <t>閎康</t>
    </r>
  </si>
  <si>
    <r>
      <rPr>
        <sz val="10"/>
        <rFont val="微軟正黑體"/>
        <family val="2"/>
        <charset val="136"/>
      </rPr>
      <t>短線</t>
    </r>
    <phoneticPr fontId="3" type="noConversion"/>
  </si>
  <si>
    <r>
      <rPr>
        <sz val="12"/>
        <rFont val="微軟正黑體"/>
        <family val="2"/>
        <charset val="136"/>
      </rPr>
      <t>尖點</t>
    </r>
  </si>
  <si>
    <r>
      <rPr>
        <sz val="12"/>
        <rFont val="微軟正黑體"/>
        <family val="2"/>
        <charset val="136"/>
      </rPr>
      <t>南亞科</t>
    </r>
  </si>
  <si>
    <r>
      <rPr>
        <sz val="12"/>
        <rFont val="微軟正黑體"/>
        <family val="2"/>
        <charset val="136"/>
      </rPr>
      <t>大亞</t>
    </r>
  </si>
  <si>
    <r>
      <rPr>
        <sz val="12"/>
        <rFont val="微軟正黑體"/>
        <family val="2"/>
        <charset val="136"/>
      </rPr>
      <t>矽格</t>
    </r>
  </si>
  <si>
    <r>
      <rPr>
        <sz val="12"/>
        <rFont val="微軟正黑體"/>
        <family val="2"/>
        <charset val="136"/>
      </rPr>
      <t>華邦電</t>
    </r>
  </si>
  <si>
    <r>
      <rPr>
        <sz val="12"/>
        <rFont val="微軟正黑體"/>
        <family val="2"/>
        <charset val="136"/>
      </rPr>
      <t>德律</t>
    </r>
  </si>
  <si>
    <r>
      <rPr>
        <sz val="12"/>
        <rFont val="微軟正黑體"/>
        <family val="2"/>
        <charset val="136"/>
      </rPr>
      <t>聯茂</t>
    </r>
  </si>
  <si>
    <r>
      <rPr>
        <sz val="12"/>
        <rFont val="微軟正黑體"/>
        <family val="2"/>
        <charset val="136"/>
      </rPr>
      <t>鉅橡</t>
    </r>
  </si>
  <si>
    <r>
      <rPr>
        <sz val="12"/>
        <rFont val="微軟正黑體"/>
        <family val="2"/>
        <charset val="136"/>
      </rPr>
      <t>啟碁</t>
    </r>
  </si>
  <si>
    <r>
      <rPr>
        <sz val="10"/>
        <rFont val="微軟正黑體"/>
        <family val="2"/>
        <charset val="136"/>
      </rPr>
      <t>當沖</t>
    </r>
    <phoneticPr fontId="3" type="noConversion"/>
  </si>
  <si>
    <r>
      <rPr>
        <sz val="12"/>
        <rFont val="微軟正黑體"/>
        <family val="2"/>
        <charset val="136"/>
      </rPr>
      <t>榮成</t>
    </r>
  </si>
  <si>
    <r>
      <rPr>
        <sz val="12"/>
        <rFont val="微軟正黑體"/>
        <family val="2"/>
        <charset val="136"/>
      </rPr>
      <t>第一店</t>
    </r>
  </si>
  <si>
    <r>
      <rPr>
        <sz val="12"/>
        <rFont val="微軟正黑體"/>
        <family val="2"/>
        <charset val="136"/>
      </rPr>
      <t>台塑</t>
    </r>
  </si>
  <si>
    <r>
      <rPr>
        <sz val="12"/>
        <rFont val="微軟正黑體"/>
        <family val="2"/>
        <charset val="136"/>
      </rPr>
      <t>和勤</t>
    </r>
  </si>
  <si>
    <r>
      <rPr>
        <sz val="12"/>
        <rFont val="微軟正黑體"/>
        <family val="2"/>
        <charset val="136"/>
      </rPr>
      <t>力成</t>
    </r>
  </si>
  <si>
    <r>
      <rPr>
        <sz val="12"/>
        <rFont val="微軟正黑體"/>
        <family val="2"/>
        <charset val="136"/>
      </rPr>
      <t>正文</t>
    </r>
  </si>
  <si>
    <r>
      <rPr>
        <sz val="12"/>
        <rFont val="微軟正黑體"/>
        <family val="2"/>
        <charset val="136"/>
      </rPr>
      <t>美食</t>
    </r>
    <r>
      <rPr>
        <sz val="12"/>
        <rFont val="Arial Nova"/>
        <family val="2"/>
      </rPr>
      <t>-KY</t>
    </r>
  </si>
  <si>
    <r>
      <rPr>
        <sz val="12"/>
        <rFont val="微軟正黑體"/>
        <family val="2"/>
        <charset val="136"/>
      </rPr>
      <t>迅得</t>
    </r>
  </si>
  <si>
    <r>
      <rPr>
        <sz val="12"/>
        <rFont val="微軟正黑體"/>
        <family val="2"/>
        <charset val="136"/>
      </rPr>
      <t>長興</t>
    </r>
  </si>
  <si>
    <r>
      <rPr>
        <sz val="12"/>
        <rFont val="微軟正黑體"/>
        <family val="2"/>
        <charset val="136"/>
      </rPr>
      <t>光洋科</t>
    </r>
  </si>
  <si>
    <r>
      <rPr>
        <sz val="12"/>
        <rFont val="微軟正黑體"/>
        <family val="2"/>
        <charset val="136"/>
      </rPr>
      <t>明基材</t>
    </r>
  </si>
  <si>
    <r>
      <rPr>
        <sz val="12"/>
        <rFont val="微軟正黑體"/>
        <family val="2"/>
        <charset val="136"/>
      </rPr>
      <t>永光</t>
    </r>
  </si>
  <si>
    <r>
      <rPr>
        <sz val="12"/>
        <rFont val="微軟正黑體"/>
        <family val="2"/>
        <charset val="136"/>
      </rPr>
      <t>三福化</t>
    </r>
  </si>
  <si>
    <r>
      <rPr>
        <sz val="12"/>
        <rFont val="微軟正黑體"/>
        <family val="2"/>
        <charset val="136"/>
      </rPr>
      <t>聯電</t>
    </r>
  </si>
  <si>
    <r>
      <rPr>
        <sz val="12"/>
        <rFont val="微軟正黑體"/>
        <family val="2"/>
        <charset val="136"/>
      </rPr>
      <t>南亞</t>
    </r>
  </si>
  <si>
    <r>
      <rPr>
        <sz val="12"/>
        <rFont val="微軟正黑體"/>
        <family val="2"/>
        <charset val="136"/>
      </rPr>
      <t>北基</t>
    </r>
  </si>
  <si>
    <r>
      <rPr>
        <sz val="12"/>
        <rFont val="微軟正黑體"/>
        <family val="2"/>
        <charset val="136"/>
      </rPr>
      <t>臺慶科</t>
    </r>
  </si>
  <si>
    <r>
      <rPr>
        <sz val="12"/>
        <rFont val="微軟正黑體"/>
        <family val="2"/>
        <charset val="136"/>
      </rPr>
      <t>華通</t>
    </r>
  </si>
  <si>
    <r>
      <rPr>
        <sz val="12"/>
        <rFont val="微軟正黑體"/>
        <family val="2"/>
        <charset val="136"/>
      </rPr>
      <t>矽創</t>
    </r>
  </si>
  <si>
    <r>
      <rPr>
        <sz val="12"/>
        <rFont val="微軟正黑體"/>
        <family val="2"/>
        <charset val="136"/>
      </rPr>
      <t>康舒</t>
    </r>
  </si>
  <si>
    <r>
      <rPr>
        <sz val="12"/>
        <rFont val="微軟正黑體"/>
        <family val="2"/>
        <charset val="136"/>
      </rPr>
      <t>農林</t>
    </r>
  </si>
  <si>
    <r>
      <rPr>
        <sz val="12"/>
        <rFont val="微軟正黑體"/>
        <family val="2"/>
        <charset val="136"/>
      </rPr>
      <t>亞泥</t>
    </r>
  </si>
  <si>
    <r>
      <rPr>
        <sz val="12"/>
        <rFont val="微軟正黑體"/>
        <family val="2"/>
        <charset val="136"/>
      </rPr>
      <t>定穎</t>
    </r>
  </si>
  <si>
    <r>
      <rPr>
        <sz val="12"/>
        <rFont val="微軟正黑體"/>
        <family val="2"/>
        <charset val="136"/>
      </rPr>
      <t>中鋼構</t>
    </r>
  </si>
  <si>
    <r>
      <rPr>
        <sz val="12"/>
        <rFont val="微軟正黑體"/>
        <family val="2"/>
        <charset val="136"/>
      </rPr>
      <t>牧德</t>
    </r>
  </si>
  <si>
    <r>
      <rPr>
        <sz val="12"/>
        <rFont val="微軟正黑體"/>
        <family val="2"/>
        <charset val="136"/>
      </rPr>
      <t>大同</t>
    </r>
  </si>
  <si>
    <r>
      <rPr>
        <sz val="10"/>
        <rFont val="微軟正黑體"/>
        <family val="2"/>
        <charset val="136"/>
      </rPr>
      <t>資券</t>
    </r>
    <phoneticPr fontId="3" type="noConversion"/>
  </si>
  <si>
    <r>
      <rPr>
        <sz val="12"/>
        <rFont val="微軟正黑體"/>
        <family val="2"/>
        <charset val="136"/>
      </rPr>
      <t>台苯</t>
    </r>
  </si>
  <si>
    <r>
      <rPr>
        <sz val="12"/>
        <rFont val="微軟正黑體"/>
        <family val="2"/>
        <charset val="136"/>
      </rPr>
      <t>大成鋼</t>
    </r>
  </si>
  <si>
    <r>
      <rPr>
        <sz val="12"/>
        <rFont val="微軟正黑體"/>
        <family val="2"/>
        <charset val="136"/>
      </rPr>
      <t>志超</t>
    </r>
  </si>
  <si>
    <r>
      <rPr>
        <sz val="12"/>
        <rFont val="微軟正黑體"/>
        <family val="2"/>
        <charset val="136"/>
      </rPr>
      <t>光罩</t>
    </r>
  </si>
  <si>
    <r>
      <rPr>
        <sz val="12"/>
        <rFont val="微軟正黑體"/>
        <family val="2"/>
        <charset val="136"/>
      </rPr>
      <t>朋程</t>
    </r>
  </si>
  <si>
    <r>
      <rPr>
        <sz val="10"/>
        <rFont val="微軟正黑體"/>
        <family val="2"/>
        <charset val="136"/>
      </rPr>
      <t>權證</t>
    </r>
  </si>
  <si>
    <r>
      <rPr>
        <sz val="12"/>
        <rFont val="微軟正黑體"/>
        <family val="2"/>
        <charset val="136"/>
      </rPr>
      <t>菱生</t>
    </r>
  </si>
  <si>
    <r>
      <rPr>
        <sz val="12"/>
        <rFont val="微軟正黑體"/>
        <family val="2"/>
        <charset val="136"/>
      </rPr>
      <t>旭富</t>
    </r>
  </si>
  <si>
    <r>
      <rPr>
        <sz val="12"/>
        <rFont val="微軟正黑體"/>
        <family val="2"/>
        <charset val="136"/>
      </rPr>
      <t>揚智</t>
    </r>
  </si>
  <si>
    <r>
      <rPr>
        <sz val="12"/>
        <rFont val="微軟正黑體"/>
        <family val="2"/>
        <charset val="136"/>
      </rPr>
      <t>鴻準</t>
    </r>
  </si>
  <si>
    <r>
      <rPr>
        <sz val="12"/>
        <rFont val="微軟正黑體"/>
        <family val="2"/>
        <charset val="136"/>
      </rPr>
      <t>世禾</t>
    </r>
  </si>
  <si>
    <r>
      <rPr>
        <sz val="12"/>
        <rFont val="微軟正黑體"/>
        <family val="2"/>
        <charset val="136"/>
      </rPr>
      <t>富采</t>
    </r>
  </si>
  <si>
    <r>
      <rPr>
        <sz val="12"/>
        <rFont val="微軟正黑體"/>
        <family val="2"/>
        <charset val="136"/>
      </rPr>
      <t>東鹼</t>
    </r>
  </si>
  <si>
    <r>
      <rPr>
        <sz val="12"/>
        <rFont val="微軟正黑體"/>
        <family val="2"/>
        <charset val="136"/>
      </rPr>
      <t>佳凌</t>
    </r>
  </si>
  <si>
    <r>
      <rPr>
        <sz val="12"/>
        <rFont val="微軟正黑體"/>
        <family val="2"/>
        <charset val="136"/>
      </rPr>
      <t>華南金</t>
    </r>
  </si>
  <si>
    <r>
      <rPr>
        <sz val="12"/>
        <rFont val="微軟正黑體"/>
        <family val="2"/>
        <charset val="136"/>
      </rPr>
      <t>宏盛</t>
    </r>
  </si>
  <si>
    <r>
      <rPr>
        <sz val="12"/>
        <rFont val="微軟正黑體"/>
        <family val="2"/>
        <charset val="136"/>
      </rPr>
      <t>華泰</t>
    </r>
  </si>
  <si>
    <r>
      <rPr>
        <sz val="12"/>
        <rFont val="微軟正黑體"/>
        <family val="2"/>
        <charset val="136"/>
      </rPr>
      <t>鈺創</t>
    </r>
  </si>
  <si>
    <r>
      <rPr>
        <sz val="12"/>
        <rFont val="微軟正黑體"/>
        <family val="2"/>
        <charset val="136"/>
      </rPr>
      <t>同致</t>
    </r>
  </si>
  <si>
    <r>
      <rPr>
        <sz val="12"/>
        <rFont val="微軟正黑體"/>
        <family val="2"/>
        <charset val="136"/>
      </rPr>
      <t>聚陽</t>
    </r>
  </si>
  <si>
    <r>
      <rPr>
        <sz val="12"/>
        <rFont val="微軟正黑體"/>
        <family val="2"/>
        <charset val="136"/>
      </rPr>
      <t>光寶科</t>
    </r>
  </si>
  <si>
    <r>
      <rPr>
        <sz val="12"/>
        <rFont val="微軟正黑體"/>
        <family val="2"/>
        <charset val="136"/>
      </rPr>
      <t>聯成</t>
    </r>
  </si>
  <si>
    <r>
      <rPr>
        <sz val="12"/>
        <rFont val="微軟正黑體"/>
        <family val="2"/>
        <charset val="136"/>
      </rPr>
      <t>華榮</t>
    </r>
  </si>
  <si>
    <r>
      <rPr>
        <sz val="12"/>
        <rFont val="微軟正黑體"/>
        <family val="2"/>
        <charset val="136"/>
      </rPr>
      <t>台玻</t>
    </r>
  </si>
  <si>
    <r>
      <rPr>
        <sz val="12"/>
        <rFont val="微軟正黑體"/>
        <family val="2"/>
        <charset val="136"/>
      </rPr>
      <t>南帝</t>
    </r>
  </si>
  <si>
    <r>
      <rPr>
        <sz val="12"/>
        <rFont val="微軟正黑體"/>
        <family val="2"/>
        <charset val="136"/>
      </rPr>
      <t>廣達</t>
    </r>
  </si>
  <si>
    <r>
      <rPr>
        <sz val="12"/>
        <rFont val="微軟正黑體"/>
        <family val="2"/>
        <charset val="136"/>
      </rPr>
      <t>雙鴻</t>
    </r>
  </si>
  <si>
    <r>
      <rPr>
        <sz val="12"/>
        <rFont val="微軟正黑體"/>
        <family val="2"/>
        <charset val="136"/>
      </rPr>
      <t>弘裕</t>
    </r>
  </si>
  <si>
    <r>
      <rPr>
        <sz val="12"/>
        <rFont val="微軟正黑體"/>
        <family val="2"/>
        <charset val="136"/>
      </rPr>
      <t>東聯</t>
    </r>
  </si>
  <si>
    <r>
      <rPr>
        <sz val="12"/>
        <rFont val="微軟正黑體"/>
        <family val="2"/>
        <charset val="136"/>
      </rPr>
      <t>欣興</t>
    </r>
  </si>
  <si>
    <r>
      <rPr>
        <sz val="12"/>
        <rFont val="微軟正黑體"/>
        <family val="2"/>
        <charset val="136"/>
      </rPr>
      <t>宏泰</t>
    </r>
  </si>
  <si>
    <r>
      <rPr>
        <sz val="12"/>
        <rFont val="微軟正黑體"/>
        <family val="2"/>
        <charset val="136"/>
      </rPr>
      <t>新興</t>
    </r>
  </si>
  <si>
    <r>
      <rPr>
        <sz val="12"/>
        <rFont val="微軟正黑體"/>
        <family val="2"/>
        <charset val="136"/>
      </rPr>
      <t>明安</t>
    </r>
  </si>
  <si>
    <r>
      <rPr>
        <sz val="10"/>
        <rFont val="微軟正黑體"/>
        <family val="2"/>
        <charset val="136"/>
      </rPr>
      <t>資券</t>
    </r>
  </si>
  <si>
    <r>
      <rPr>
        <sz val="12"/>
        <rFont val="微軟正黑體"/>
        <family val="2"/>
        <charset val="136"/>
      </rPr>
      <t>信邦</t>
    </r>
  </si>
  <si>
    <r>
      <rPr>
        <b/>
        <sz val="10"/>
        <rFont val="微軟正黑體"/>
        <family val="2"/>
        <charset val="136"/>
      </rPr>
      <t>日期</t>
    </r>
    <phoneticPr fontId="3" type="noConversion"/>
  </si>
  <si>
    <r>
      <rPr>
        <sz val="9"/>
        <rFont val="微軟正黑體"/>
        <family val="2"/>
        <charset val="136"/>
      </rPr>
      <t>非長期部位</t>
    </r>
    <r>
      <rPr>
        <sz val="9"/>
        <rFont val="Arial Nova"/>
        <family val="2"/>
      </rPr>
      <t>-</t>
    </r>
    <r>
      <rPr>
        <sz val="9"/>
        <rFont val="微軟正黑體"/>
        <family val="2"/>
        <charset val="136"/>
      </rPr>
      <t>現股</t>
    </r>
    <phoneticPr fontId="3" type="noConversion"/>
  </si>
  <si>
    <r>
      <rPr>
        <sz val="9"/>
        <rFont val="微軟正黑體"/>
        <family val="2"/>
        <charset val="136"/>
      </rPr>
      <t>非長期部位</t>
    </r>
    <r>
      <rPr>
        <sz val="9"/>
        <rFont val="Arial Nova"/>
        <family val="2"/>
      </rPr>
      <t>-</t>
    </r>
    <r>
      <rPr>
        <sz val="9"/>
        <rFont val="微軟正黑體"/>
        <family val="2"/>
        <charset val="136"/>
      </rPr>
      <t>其他權益</t>
    </r>
    <phoneticPr fontId="3" type="noConversion"/>
  </si>
  <si>
    <r>
      <rPr>
        <sz val="9"/>
        <rFont val="微軟正黑體"/>
        <family val="2"/>
        <charset val="136"/>
      </rPr>
      <t>長期部位</t>
    </r>
    <r>
      <rPr>
        <sz val="9"/>
        <rFont val="Arial Nova"/>
        <family val="2"/>
      </rPr>
      <t>-</t>
    </r>
    <r>
      <rPr>
        <sz val="9"/>
        <rFont val="微軟正黑體"/>
        <family val="2"/>
        <charset val="136"/>
      </rPr>
      <t>證券</t>
    </r>
    <phoneticPr fontId="3" type="noConversion"/>
  </si>
  <si>
    <r>
      <rPr>
        <sz val="9"/>
        <rFont val="微軟正黑體"/>
        <family val="2"/>
        <charset val="136"/>
      </rPr>
      <t>長期部位</t>
    </r>
    <r>
      <rPr>
        <sz val="9"/>
        <rFont val="Arial Nova"/>
        <family val="2"/>
      </rPr>
      <t>-</t>
    </r>
    <r>
      <rPr>
        <sz val="9"/>
        <rFont val="微軟正黑體"/>
        <family val="2"/>
        <charset val="136"/>
      </rPr>
      <t>其他</t>
    </r>
    <phoneticPr fontId="3" type="noConversion"/>
  </si>
  <si>
    <r>
      <rPr>
        <b/>
        <sz val="9"/>
        <rFont val="微軟正黑體"/>
        <family val="2"/>
        <charset val="136"/>
      </rPr>
      <t>資產總值</t>
    </r>
    <phoneticPr fontId="3" type="noConversion"/>
  </si>
  <si>
    <r>
      <rPr>
        <sz val="8"/>
        <rFont val="微軟正黑體"/>
        <family val="2"/>
        <charset val="136"/>
      </rPr>
      <t>備註</t>
    </r>
    <phoneticPr fontId="3" type="noConversion"/>
  </si>
  <si>
    <t>110.11.19</t>
  </si>
  <si>
    <t>樂威科-KY</t>
  </si>
  <si>
    <t>特選臺灣高股息30指數</t>
  </si>
  <si>
    <t>臺灣友善環境指數</t>
  </si>
  <si>
    <t>特選臺灣高股息30報酬指數</t>
  </si>
  <si>
    <t>臺灣友善環境報酬指數</t>
  </si>
  <si>
    <t>巨鎧精密</t>
  </si>
  <si>
    <t>凌航</t>
  </si>
  <si>
    <t>110.11.25</t>
  </si>
  <si>
    <t>110.11.17</t>
  </si>
  <si>
    <t>110.11.24</t>
  </si>
  <si>
    <t>鋒魁科技</t>
  </si>
  <si>
    <t>國泰基因免疫革命</t>
  </si>
  <si>
    <t>統一智慧電動車N</t>
  </si>
  <si>
    <t>友訊</t>
  </si>
  <si>
    <t>凱銳光電</t>
  </si>
  <si>
    <t>睿生光電</t>
  </si>
  <si>
    <t>12</t>
  </si>
  <si>
    <t>110.10.06</t>
  </si>
  <si>
    <t>迎輝</t>
  </si>
  <si>
    <t>三商家購</t>
  </si>
  <si>
    <t>誠研</t>
  </si>
  <si>
    <t>榮科</t>
  </si>
  <si>
    <t>歐特明</t>
  </si>
  <si>
    <t>110.12.10</t>
  </si>
  <si>
    <t>110.12.08</t>
  </si>
  <si>
    <t>伯特光</t>
  </si>
  <si>
    <t>上市審議會通過</t>
  </si>
  <si>
    <t>台聯電</t>
  </si>
  <si>
    <t>威潤</t>
  </si>
  <si>
    <t>可用資金?</t>
    <phoneticPr fontId="3" type="noConversion"/>
  </si>
  <si>
    <t>+</t>
    <phoneticPr fontId="3" type="noConversion"/>
  </si>
  <si>
    <t>-</t>
    <phoneticPr fontId="3" type="noConversion"/>
  </si>
  <si>
    <t xml:space="preserve">待交割款: </t>
    <phoneticPr fontId="3" type="noConversion"/>
  </si>
  <si>
    <t xml:space="preserve">   已經買進但尚未付款, 不能動用</t>
    <phoneticPr fontId="3" type="noConversion"/>
  </si>
  <si>
    <t>未入帳款:</t>
    <phoneticPr fontId="3" type="noConversion"/>
  </si>
  <si>
    <t xml:space="preserve">   股票已售出但未匯入的價金</t>
    <phoneticPr fontId="3" type="noConversion"/>
  </si>
  <si>
    <r>
      <rPr>
        <b/>
        <sz val="9"/>
        <color rgb="FF0070C0"/>
        <rFont val="微軟正黑體"/>
        <family val="2"/>
        <charset val="136"/>
      </rPr>
      <t>現金</t>
    </r>
    <r>
      <rPr>
        <b/>
        <sz val="9"/>
        <color rgb="FF0070C0"/>
        <rFont val="Arial Nova"/>
        <family val="2"/>
      </rPr>
      <t>-</t>
    </r>
    <r>
      <rPr>
        <b/>
        <sz val="9"/>
        <color rgb="FF0070C0"/>
        <rFont val="微軟正黑體"/>
        <family val="2"/>
        <charset val="136"/>
      </rPr>
      <t>銀行餘額</t>
    </r>
    <phoneticPr fontId="3" type="noConversion"/>
  </si>
  <si>
    <r>
      <rPr>
        <b/>
        <sz val="9"/>
        <color rgb="FF0070C0"/>
        <rFont val="微軟正黑體"/>
        <family val="2"/>
        <charset val="136"/>
      </rPr>
      <t>現金</t>
    </r>
    <r>
      <rPr>
        <b/>
        <sz val="9"/>
        <color rgb="FF0070C0"/>
        <rFont val="Arial Nova"/>
        <family val="2"/>
      </rPr>
      <t>-</t>
    </r>
    <r>
      <rPr>
        <b/>
        <sz val="9"/>
        <color rgb="FF0070C0"/>
        <rFont val="微軟正黑體"/>
        <family val="2"/>
        <charset val="136"/>
      </rPr>
      <t>未入帳款</t>
    </r>
    <phoneticPr fontId="3" type="noConversion"/>
  </si>
  <si>
    <r>
      <rPr>
        <b/>
        <sz val="9"/>
        <color rgb="FF0070C0"/>
        <rFont val="微軟正黑體"/>
        <family val="2"/>
        <charset val="136"/>
      </rPr>
      <t>現金</t>
    </r>
    <r>
      <rPr>
        <b/>
        <sz val="9"/>
        <color rgb="FF0070C0"/>
        <rFont val="Arial Nova"/>
        <family val="2"/>
      </rPr>
      <t>-</t>
    </r>
    <r>
      <rPr>
        <b/>
        <sz val="9"/>
        <color rgb="FF0070C0"/>
        <rFont val="微軟正黑體"/>
        <family val="2"/>
        <charset val="136"/>
      </rPr>
      <t>其他增減</t>
    </r>
    <phoneticPr fontId="3" type="noConversion"/>
  </si>
  <si>
    <t>證券帳戶餘額</t>
    <phoneticPr fontId="3" type="noConversion"/>
  </si>
  <si>
    <t>期權帳戶餘額</t>
    <phoneticPr fontId="3" type="noConversion"/>
  </si>
  <si>
    <t>期權帳戶權益數</t>
    <phoneticPr fontId="3" type="noConversion"/>
  </si>
  <si>
    <t xml:space="preserve">   已經除權息但未匯入的股利</t>
    <phoneticPr fontId="3" type="noConversion"/>
  </si>
  <si>
    <t>其他資產?</t>
    <phoneticPr fontId="3" type="noConversion"/>
  </si>
  <si>
    <t>不動產</t>
    <phoneticPr fontId="3" type="noConversion"/>
  </si>
  <si>
    <t>存出保證金</t>
    <phoneticPr fontId="3" type="noConversion"/>
  </si>
  <si>
    <t>未實現損益</t>
    <phoneticPr fontId="3" type="noConversion"/>
  </si>
  <si>
    <t>定存單</t>
    <phoneticPr fontId="3" type="noConversion"/>
  </si>
  <si>
    <t>保單價值準備金</t>
    <phoneticPr fontId="3" type="noConversion"/>
  </si>
  <si>
    <t>借錢給別人</t>
    <phoneticPr fontId="3" type="noConversion"/>
  </si>
  <si>
    <t>可利用的資源</t>
    <phoneticPr fontId="3" type="noConversion"/>
  </si>
  <si>
    <t>我的資產?</t>
    <phoneticPr fontId="3" type="noConversion"/>
  </si>
  <si>
    <t>可以被我控制</t>
    <phoneticPr fontId="3" type="noConversion"/>
  </si>
  <si>
    <t>有價值 保值</t>
    <phoneticPr fontId="3" type="noConversion"/>
  </si>
  <si>
    <t>預期能帶來收益</t>
    <phoneticPr fontId="3" type="noConversion"/>
  </si>
  <si>
    <t>短線</t>
  </si>
  <si>
    <t>110.12.15</t>
  </si>
  <si>
    <t>110.12.16</t>
  </si>
  <si>
    <t>富野</t>
  </si>
  <si>
    <t>中連</t>
  </si>
  <si>
    <t>共897筆</t>
  </si>
  <si>
    <t>富邦特選高股息30</t>
  </si>
  <si>
    <t>永豐智能車供應鏈</t>
  </si>
  <si>
    <t>達新</t>
  </si>
  <si>
    <t>除息日</t>
    <phoneticPr fontId="3" type="noConversion"/>
  </si>
  <si>
    <t>收盤價</t>
    <phoneticPr fontId="3" type="noConversion"/>
  </si>
  <si>
    <t>開盤價</t>
    <phoneticPr fontId="3" type="noConversion"/>
  </si>
  <si>
    <t>1張=1000股
2*1000= 2000元</t>
    <phoneticPr fontId="3" type="noConversion"/>
  </si>
  <si>
    <t>入帳日</t>
    <phoneticPr fontId="3" type="noConversion"/>
  </si>
  <si>
    <t>中鋼</t>
    <phoneticPr fontId="3" type="noConversion"/>
  </si>
  <si>
    <t>4_股價跌幅</t>
  </si>
  <si>
    <t>分公司：</t>
    <phoneticPr fontId="3" type="noConversion"/>
  </si>
  <si>
    <t>帳號：</t>
    <phoneticPr fontId="3" type="noConversion"/>
  </si>
  <si>
    <t>查詢時間：</t>
    <phoneticPr fontId="3" type="noConversion"/>
  </si>
  <si>
    <t>製表日期: 110年12月28日 16:31:02</t>
  </si>
  <si>
    <t>110.12.24</t>
  </si>
  <si>
    <t>櫃檯中心董事會通過上櫃</t>
  </si>
  <si>
    <t>110.12.27</t>
  </si>
  <si>
    <t>110.12.23</t>
  </si>
  <si>
    <t>110.12.28</t>
  </si>
  <si>
    <t>送件申請創新板上市</t>
  </si>
  <si>
    <t>偉康科技</t>
  </si>
  <si>
    <t>泓德能源</t>
  </si>
  <si>
    <t>289家</t>
  </si>
  <si>
    <t>3,968,225,906元</t>
  </si>
  <si>
    <t>34,259筆</t>
  </si>
  <si>
    <t xml:space="preserve">62,913,299股 </t>
  </si>
  <si>
    <t>28</t>
  </si>
  <si>
    <t>上櫃股票每日收盤行情(不含定價) 產業類別:所有證券(不含權證、牛熊證) 資料日期:110/12/28</t>
  </si>
  <si>
    <t>110年12月28日 價格指數(臺灣證券交易所)</t>
  </si>
  <si>
    <t>110年12月28日 大盤統計資訊</t>
  </si>
  <si>
    <t>110年12月28日每日收盤行情(全部(不含權證、牛熊證))</t>
  </si>
  <si>
    <t>4,623(10)</t>
  </si>
  <si>
    <t>423(9)</t>
  </si>
  <si>
    <t>4,636(34)</t>
  </si>
  <si>
    <t>416(0)</t>
  </si>
  <si>
    <t>台亞</t>
  </si>
  <si>
    <t>昶虹</t>
  </si>
  <si>
    <t>力特</t>
  </si>
  <si>
    <t>柏承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</si>
</sst>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76" formatCode="0.0%"/>
    <numFmt numFmtId="177" formatCode="#,##0_);[Red]\(#,##0\)"/>
    <numFmt numFmtId="178" formatCode="0_);[Red]\(0\)"/>
    <numFmt numFmtId="179" formatCode="_-* #,##0_-;\-* #,##0_-;_-* &quot;-&quot;??_-;_-@_-"/>
    <numFmt numFmtId="180" formatCode="[$-F800]dddd\,\ mmmm\ dd\,\ yyyy"/>
    <numFmt numFmtId="181" formatCode="0.0_);[Red]\(0.0\)"/>
    <numFmt numFmtId="182" formatCode="0.00_);[Red]\(0.00\)"/>
    <numFmt numFmtId="183" formatCode="m&quot;月&quot;d&quot;日&quot;"/>
    <numFmt numFmtId="184" formatCode="#,##0_ ;[Red]\-#,##0\ "/>
    <numFmt numFmtId="185" formatCode="#,##0_ "/>
  </numFmts>
  <fonts count="67">
    <font>
      <sz val="12"/>
      <name val="新細明體"/>
      <charset val="136"/>
    </font>
    <font>
      <sz val="10"/>
      <color theme="1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9"/>
      <name val="新細明體"/>
      <family val="1"/>
      <charset val="136"/>
    </font>
    <font>
      <sz val="10"/>
      <name val="Arial Unicode MS"/>
      <family val="2"/>
      <charset val="136"/>
    </font>
    <font>
      <sz val="12"/>
      <name val="新細明體"/>
      <family val="1"/>
      <charset val="136"/>
    </font>
    <font>
      <sz val="12"/>
      <name val="Arial Unicode MS"/>
      <family val="2"/>
      <charset val="136"/>
    </font>
    <font>
      <sz val="8"/>
      <name val="Arial Unicode MS"/>
      <family val="2"/>
      <charset val="136"/>
    </font>
    <font>
      <sz val="12"/>
      <name val="新細明體"/>
      <family val="1"/>
      <charset val="136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color theme="1"/>
      <name val="新細明體"/>
      <family val="2"/>
      <charset val="136"/>
      <scheme val="minor"/>
    </font>
    <font>
      <b/>
      <sz val="9"/>
      <color rgb="FFFF0000"/>
      <name val="細明體"/>
      <family val="3"/>
      <charset val="136"/>
    </font>
    <font>
      <sz val="9"/>
      <color rgb="FFFF0000"/>
      <name val="細明體"/>
      <family val="3"/>
      <charset val="136"/>
    </font>
    <font>
      <sz val="9"/>
      <color theme="1"/>
      <name val="新細明體"/>
      <family val="1"/>
      <charset val="136"/>
      <scheme val="major"/>
    </font>
    <font>
      <sz val="8"/>
      <name val="新細明體"/>
      <family val="1"/>
      <charset val="136"/>
    </font>
    <font>
      <b/>
      <sz val="10"/>
      <name val="Arial Unicode MS"/>
      <family val="2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rgb="FFFF0000"/>
      <name val="Arial Unicode MS"/>
      <family val="2"/>
      <charset val="136"/>
    </font>
    <font>
      <sz val="10"/>
      <color rgb="FF333333"/>
      <name val="Arial"/>
      <family val="2"/>
    </font>
    <font>
      <sz val="10"/>
      <color rgb="FF333333"/>
      <name val="細明體"/>
      <family val="3"/>
      <charset val="136"/>
    </font>
    <font>
      <b/>
      <sz val="8"/>
      <color indexed="81"/>
      <name val="細明體"/>
      <family val="3"/>
      <charset val="136"/>
    </font>
    <font>
      <b/>
      <sz val="10"/>
      <color rgb="FF333333"/>
      <name val="Arial Unicode MS"/>
      <family val="2"/>
      <charset val="136"/>
    </font>
    <font>
      <sz val="8"/>
      <color rgb="FF333333"/>
      <name val="Arial Unicode MS"/>
      <family val="2"/>
      <charset val="136"/>
    </font>
    <font>
      <sz val="6"/>
      <color indexed="81"/>
      <name val="Arial Unicode MS"/>
      <family val="2"/>
      <charset val="136"/>
    </font>
    <font>
      <b/>
      <sz val="10"/>
      <color theme="9" tint="-0.249977111117893"/>
      <name val="Arial Unicode MS"/>
      <family val="2"/>
      <charset val="136"/>
    </font>
    <font>
      <sz val="10"/>
      <name val="Arial Unicode MS"/>
      <family val="2"/>
    </font>
    <font>
      <sz val="10"/>
      <color indexed="81"/>
      <name val="Arial Unicode MS"/>
      <family val="2"/>
      <charset val="136"/>
    </font>
    <font>
      <b/>
      <sz val="7"/>
      <color rgb="FFFFFFFF"/>
      <name val="Arial Unicode MS"/>
      <family val="2"/>
      <charset val="136"/>
    </font>
    <font>
      <sz val="7"/>
      <name val="Arial Unicode MS"/>
      <family val="2"/>
      <charset val="136"/>
    </font>
    <font>
      <sz val="7"/>
      <color rgb="FF014BBC"/>
      <name val="Arial Unicode MS"/>
      <family val="2"/>
      <charset val="136"/>
    </font>
    <font>
      <sz val="7"/>
      <color rgb="FFC60000"/>
      <name val="Arial Unicode MS"/>
      <family val="2"/>
      <charset val="136"/>
    </font>
    <font>
      <sz val="7"/>
      <color rgb="FF055F01"/>
      <name val="Arial Unicode MS"/>
      <family val="2"/>
      <charset val="136"/>
    </font>
    <font>
      <sz val="10"/>
      <color rgb="FF333333"/>
      <name val="Arial Unicode MS"/>
      <family val="2"/>
      <charset val="136"/>
    </font>
    <font>
      <u val="singleAccounting"/>
      <sz val="8"/>
      <name val="Arial Unicode MS"/>
      <family val="2"/>
      <charset val="136"/>
    </font>
    <font>
      <sz val="8"/>
      <color theme="1"/>
      <name val="Arial Unicode MS"/>
      <family val="2"/>
      <charset val="136"/>
    </font>
    <font>
      <sz val="10"/>
      <name val="Arial Unicode MS"/>
      <family val="1"/>
      <charset val="136"/>
    </font>
    <font>
      <sz val="8"/>
      <name val="Arial Unicode MS"/>
      <family val="1"/>
      <charset val="136"/>
    </font>
    <font>
      <sz val="12"/>
      <name val="微軟正黑體"/>
      <family val="2"/>
      <charset val="136"/>
    </font>
    <font>
      <sz val="10"/>
      <name val="微軟正黑體"/>
      <family val="2"/>
      <charset val="136"/>
    </font>
    <font>
      <sz val="8"/>
      <name val="微軟正黑體"/>
      <family val="2"/>
      <charset val="136"/>
    </font>
    <font>
      <sz val="10"/>
      <name val="Arial Nova"/>
      <family val="2"/>
    </font>
    <font>
      <sz val="8"/>
      <name val="Arial Nova"/>
      <family val="2"/>
    </font>
    <font>
      <sz val="12"/>
      <name val="Arial Nova"/>
      <family val="2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9"/>
      <name val="微軟正黑體"/>
      <family val="2"/>
      <charset val="136"/>
    </font>
    <font>
      <b/>
      <sz val="10"/>
      <name val="Arial Nova"/>
      <family val="2"/>
    </font>
    <font>
      <sz val="9"/>
      <name val="Arial Nova"/>
      <family val="2"/>
    </font>
    <font>
      <b/>
      <sz val="9"/>
      <name val="Arial Nova"/>
      <family val="2"/>
    </font>
    <font>
      <b/>
      <sz val="8"/>
      <name val="Arial Nova"/>
      <family val="2"/>
    </font>
    <font>
      <b/>
      <u/>
      <sz val="10"/>
      <name val="Arial Nova"/>
      <family val="2"/>
    </font>
    <font>
      <b/>
      <sz val="24"/>
      <name val="Arial Unicode MS"/>
      <family val="1"/>
      <charset val="136"/>
    </font>
    <font>
      <b/>
      <sz val="9"/>
      <name val="Verdana"/>
      <family val="2"/>
    </font>
    <font>
      <sz val="9"/>
      <name val="Verdana"/>
      <family val="2"/>
    </font>
    <font>
      <sz val="8"/>
      <name val="Arial Nova"/>
      <family val="2"/>
      <charset val="136"/>
    </font>
    <font>
      <sz val="6"/>
      <name val="Arial Nova"/>
      <family val="2"/>
    </font>
    <font>
      <b/>
      <sz val="12"/>
      <name val="微軟正黑體"/>
      <family val="2"/>
      <charset val="136"/>
    </font>
    <font>
      <b/>
      <sz val="9"/>
      <color rgb="FF0070C0"/>
      <name val="Arial Nova"/>
      <family val="2"/>
    </font>
    <font>
      <b/>
      <sz val="9"/>
      <color rgb="FF0070C0"/>
      <name val="微軟正黑體"/>
      <family val="2"/>
      <charset val="136"/>
    </font>
    <font>
      <b/>
      <sz val="15"/>
      <color rgb="FF0070C0"/>
      <name val="微軟正黑體"/>
      <family val="2"/>
      <charset val="136"/>
    </font>
    <font>
      <b/>
      <sz val="12"/>
      <color theme="9" tint="-0.499984740745262"/>
      <name val="微軟正黑體"/>
      <family val="2"/>
      <charset val="136"/>
    </font>
    <font>
      <sz val="8"/>
      <color rgb="FF333333"/>
      <name val="新細明體"/>
      <family val="1"/>
      <charset val="136"/>
    </font>
    <font>
      <sz val="10"/>
      <color rgb="FF333333"/>
      <name val="新細明體"/>
      <family val="1"/>
      <charset val="136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F575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theme="9" tint="0.79998168889431442"/>
      </patternFill>
    </fill>
    <fill>
      <patternFill patternType="solid">
        <fgColor theme="6" tint="0.59999389629810485"/>
        <bgColor theme="9" tint="0.79998168889431442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666666"/>
      </bottom>
      <diagonal/>
    </border>
    <border>
      <left/>
      <right/>
      <top style="medium">
        <color rgb="FF666666"/>
      </top>
      <bottom/>
      <diagonal/>
    </border>
    <border>
      <left/>
      <right/>
      <top/>
      <bottom style="dotted">
        <color rgb="FF666666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35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6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11" fillId="0" borderId="0" xfId="0" applyFont="1">
      <alignment vertical="center"/>
    </xf>
    <xf numFmtId="0" fontId="12" fillId="0" borderId="0" xfId="4">
      <alignment vertical="center"/>
    </xf>
    <xf numFmtId="14" fontId="12" fillId="0" borderId="0" xfId="4" applyNumberFormat="1">
      <alignment vertical="center"/>
    </xf>
    <xf numFmtId="4" fontId="0" fillId="0" borderId="0" xfId="0" applyNumberFormat="1">
      <alignment vertical="center"/>
    </xf>
    <xf numFmtId="0" fontId="11" fillId="0" borderId="0" xfId="0" applyFont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179" fontId="4" fillId="0" borderId="0" xfId="3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17" fillId="0" borderId="0" xfId="0" applyFont="1">
      <alignment vertical="center"/>
    </xf>
    <xf numFmtId="179" fontId="17" fillId="0" borderId="0" xfId="3" applyNumberFormat="1" applyFont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179" fontId="0" fillId="0" borderId="0" xfId="3" applyNumberFormat="1" applyFont="1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179" fontId="7" fillId="3" borderId="0" xfId="0" applyNumberFormat="1" applyFont="1" applyFill="1" applyBorder="1">
      <alignment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right" vertical="center"/>
    </xf>
    <xf numFmtId="0" fontId="22" fillId="0" borderId="0" xfId="5" applyFont="1" applyAlignment="1">
      <alignment horizontal="left" vertical="center" indent="1"/>
    </xf>
    <xf numFmtId="0" fontId="5" fillId="0" borderId="0" xfId="5">
      <alignment vertical="center"/>
    </xf>
    <xf numFmtId="0" fontId="22" fillId="0" borderId="0" xfId="5" applyFont="1" applyAlignment="1">
      <alignment horizontal="left" vertical="center"/>
    </xf>
    <xf numFmtId="0" fontId="6" fillId="3" borderId="0" xfId="5" applyFont="1" applyFill="1">
      <alignment vertical="center"/>
    </xf>
    <xf numFmtId="0" fontId="6" fillId="3" borderId="0" xfId="5" applyFont="1" applyFill="1" applyAlignment="1">
      <alignment horizontal="right" vertical="center"/>
    </xf>
    <xf numFmtId="0" fontId="6" fillId="2" borderId="0" xfId="5" applyFont="1" applyFill="1">
      <alignment vertical="center"/>
    </xf>
    <xf numFmtId="10" fontId="6" fillId="2" borderId="0" xfId="2" applyNumberFormat="1" applyFont="1" applyFill="1" applyAlignment="1">
      <alignment horizontal="right" vertical="center"/>
    </xf>
    <xf numFmtId="0" fontId="22" fillId="0" borderId="0" xfId="5" applyFont="1" applyFill="1" applyAlignment="1">
      <alignment horizontal="left" vertical="center" indent="1"/>
    </xf>
    <xf numFmtId="0" fontId="22" fillId="4" borderId="0" xfId="5" applyFont="1" applyFill="1" applyAlignment="1">
      <alignment horizontal="left" vertical="center"/>
    </xf>
    <xf numFmtId="0" fontId="5" fillId="0" borderId="0" xfId="5" applyAlignment="1">
      <alignment horizontal="left" vertical="center" indent="1"/>
    </xf>
    <xf numFmtId="0" fontId="5" fillId="0" borderId="0" xfId="5" applyFont="1">
      <alignment vertical="center"/>
    </xf>
    <xf numFmtId="0" fontId="4" fillId="3" borderId="0" xfId="5" applyFont="1" applyFill="1" applyAlignment="1">
      <alignment horizontal="center" vertical="center"/>
    </xf>
    <xf numFmtId="0" fontId="4" fillId="3" borderId="0" xfId="5" applyFont="1" applyFill="1" applyAlignment="1">
      <alignment horizontal="right" vertical="center"/>
    </xf>
    <xf numFmtId="0" fontId="5" fillId="0" borderId="0" xfId="5" applyAlignment="1">
      <alignment horizontal="left" vertical="center"/>
    </xf>
    <xf numFmtId="0" fontId="4" fillId="0" borderId="0" xfId="5" applyFont="1" applyAlignment="1">
      <alignment horizontal="center" vertical="center"/>
    </xf>
    <xf numFmtId="10" fontId="4" fillId="0" borderId="0" xfId="5" applyNumberFormat="1" applyFont="1" applyAlignment="1">
      <alignment horizontal="right" vertical="center"/>
    </xf>
    <xf numFmtId="0" fontId="4" fillId="0" borderId="0" xfId="5" applyFont="1" applyAlignment="1">
      <alignment horizontal="right" vertical="center"/>
    </xf>
    <xf numFmtId="0" fontId="5" fillId="0" borderId="0" xfId="5" applyAlignment="1">
      <alignment horizontal="right" vertical="center"/>
    </xf>
    <xf numFmtId="0" fontId="4" fillId="2" borderId="0" xfId="5" applyFont="1" applyFill="1" applyAlignment="1">
      <alignment horizontal="center" vertical="center"/>
    </xf>
    <xf numFmtId="0" fontId="4" fillId="2" borderId="0" xfId="5" applyFont="1" applyFill="1" applyAlignment="1">
      <alignment horizontal="right" vertical="center"/>
    </xf>
    <xf numFmtId="1" fontId="4" fillId="0" borderId="0" xfId="5" applyNumberFormat="1" applyFont="1" applyAlignment="1">
      <alignment horizontal="right" vertical="center"/>
    </xf>
    <xf numFmtId="176" fontId="4" fillId="0" borderId="0" xfId="2" applyNumberFormat="1" applyFont="1" applyAlignment="1">
      <alignment horizontal="right" vertical="center"/>
    </xf>
    <xf numFmtId="182" fontId="4" fillId="0" borderId="0" xfId="5" applyNumberFormat="1" applyFont="1" applyAlignment="1">
      <alignment horizontal="right" vertical="center"/>
    </xf>
    <xf numFmtId="0" fontId="11" fillId="0" borderId="0" xfId="5" applyFont="1">
      <alignment vertical="center"/>
    </xf>
    <xf numFmtId="179" fontId="6" fillId="0" borderId="0" xfId="6" applyNumberFormat="1" applyFont="1">
      <alignment vertical="center"/>
    </xf>
    <xf numFmtId="10" fontId="21" fillId="0" borderId="0" xfId="2" applyNumberFormat="1" applyFont="1">
      <alignment vertical="center"/>
    </xf>
    <xf numFmtId="10" fontId="6" fillId="0" borderId="0" xfId="2" applyNumberFormat="1" applyFont="1">
      <alignment vertical="center"/>
    </xf>
    <xf numFmtId="179" fontId="6" fillId="0" borderId="0" xfId="5" applyNumberFormat="1" applyFont="1">
      <alignment vertical="center"/>
    </xf>
    <xf numFmtId="10" fontId="6" fillId="2" borderId="0" xfId="2" applyNumberFormat="1" applyFont="1" applyFill="1">
      <alignment vertical="center"/>
    </xf>
    <xf numFmtId="0" fontId="12" fillId="0" borderId="0" xfId="4" quotePrefix="1">
      <alignment vertical="center"/>
    </xf>
    <xf numFmtId="3" fontId="4" fillId="0" borderId="0" xfId="5" applyNumberFormat="1" applyFont="1">
      <alignment vertical="center"/>
    </xf>
    <xf numFmtId="176" fontId="6" fillId="0" borderId="0" xfId="2" applyNumberFormat="1" applyFont="1">
      <alignment vertical="center"/>
    </xf>
    <xf numFmtId="0" fontId="4" fillId="2" borderId="0" xfId="5" applyFont="1" applyFill="1" applyAlignment="1">
      <alignment vertical="top"/>
    </xf>
    <xf numFmtId="0" fontId="4" fillId="2" borderId="0" xfId="5" applyFont="1" applyFill="1" applyAlignment="1">
      <alignment vertical="top" wrapText="1"/>
    </xf>
    <xf numFmtId="10" fontId="6" fillId="3" borderId="0" xfId="2" applyNumberFormat="1" applyFont="1" applyFill="1">
      <alignment vertical="center"/>
    </xf>
    <xf numFmtId="0" fontId="6" fillId="3" borderId="0" xfId="5" applyFont="1" applyFill="1" applyBorder="1">
      <alignment vertical="center"/>
    </xf>
    <xf numFmtId="0" fontId="4" fillId="2" borderId="0" xfId="5" applyFont="1" applyFill="1" applyBorder="1" applyAlignment="1">
      <alignment vertical="top"/>
    </xf>
    <xf numFmtId="179" fontId="6" fillId="0" borderId="0" xfId="6" applyNumberFormat="1" applyFont="1" applyBorder="1">
      <alignment vertical="center"/>
    </xf>
    <xf numFmtId="10" fontId="21" fillId="0" borderId="0" xfId="2" applyNumberFormat="1" applyFont="1" applyBorder="1">
      <alignment vertical="center"/>
    </xf>
    <xf numFmtId="10" fontId="6" fillId="0" borderId="0" xfId="2" applyNumberFormat="1" applyFont="1" applyBorder="1">
      <alignment vertical="center"/>
    </xf>
    <xf numFmtId="0" fontId="4" fillId="2" borderId="0" xfId="5" applyFont="1" applyFill="1" applyBorder="1" applyAlignment="1">
      <alignment vertical="top" wrapText="1"/>
    </xf>
    <xf numFmtId="179" fontId="6" fillId="0" borderId="0" xfId="5" applyNumberFormat="1" applyFont="1" applyBorder="1">
      <alignment vertical="center"/>
    </xf>
    <xf numFmtId="10" fontId="6" fillId="3" borderId="0" xfId="2" applyNumberFormat="1" applyFont="1" applyFill="1" applyBorder="1">
      <alignment vertical="center"/>
    </xf>
    <xf numFmtId="0" fontId="6" fillId="3" borderId="0" xfId="5" applyFont="1" applyFill="1" applyAlignment="1">
      <alignment horizontal="left" vertical="center"/>
    </xf>
    <xf numFmtId="0" fontId="6" fillId="3" borderId="0" xfId="5" applyFont="1" applyFill="1" applyBorder="1" applyAlignment="1">
      <alignment horizontal="right" vertical="center"/>
    </xf>
    <xf numFmtId="0" fontId="6" fillId="0" borderId="0" xfId="5" applyFont="1" applyBorder="1">
      <alignment vertical="center"/>
    </xf>
    <xf numFmtId="0" fontId="7" fillId="0" borderId="0" xfId="0" applyFont="1">
      <alignment vertical="center"/>
    </xf>
    <xf numFmtId="0" fontId="26" fillId="0" borderId="0" xfId="0" applyFont="1" applyFill="1" applyBorder="1" applyAlignment="1">
      <alignment horizontal="center" vertical="center" wrapText="1"/>
    </xf>
    <xf numFmtId="0" fontId="18" fillId="5" borderId="0" xfId="0" applyFont="1" applyFill="1" applyAlignment="1">
      <alignment horizontal="center" vertical="center"/>
    </xf>
    <xf numFmtId="176" fontId="4" fillId="0" borderId="0" xfId="2" applyNumberFormat="1" applyFont="1" applyAlignment="1">
      <alignment vertical="center"/>
    </xf>
    <xf numFmtId="0" fontId="5" fillId="0" borderId="0" xfId="0" applyFont="1">
      <alignment vertical="center"/>
    </xf>
    <xf numFmtId="179" fontId="7" fillId="0" borderId="0" xfId="3" applyNumberFormat="1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Border="1">
      <alignment vertical="center"/>
    </xf>
    <xf numFmtId="0" fontId="11" fillId="0" borderId="0" xfId="0" applyFont="1" applyBorder="1">
      <alignment vertical="center"/>
    </xf>
    <xf numFmtId="179" fontId="4" fillId="0" borderId="0" xfId="3" applyNumberFormat="1" applyFont="1" applyFill="1" applyBorder="1" applyAlignment="1">
      <alignment horizontal="right" vertical="center"/>
    </xf>
    <xf numFmtId="179" fontId="4" fillId="0" borderId="0" xfId="3" applyNumberFormat="1" applyFont="1" applyFill="1" applyBorder="1">
      <alignment vertical="center"/>
    </xf>
    <xf numFmtId="179" fontId="11" fillId="0" borderId="0" xfId="3" applyNumberFormat="1" applyFont="1" applyBorder="1" applyAlignment="1">
      <alignment horizontal="right" vertical="center"/>
    </xf>
    <xf numFmtId="0" fontId="4" fillId="0" borderId="0" xfId="0" applyNumberFormat="1" applyFont="1" applyBorder="1" applyAlignment="1">
      <alignment horizontal="left" vertical="center"/>
    </xf>
    <xf numFmtId="177" fontId="4" fillId="0" borderId="0" xfId="0" applyNumberFormat="1" applyFont="1" applyBorder="1" applyAlignment="1">
      <alignment horizontal="left" vertical="center"/>
    </xf>
    <xf numFmtId="177" fontId="4" fillId="0" borderId="0" xfId="0" applyNumberFormat="1" applyFont="1" applyBorder="1" applyAlignment="1">
      <alignment vertical="center"/>
    </xf>
    <xf numFmtId="179" fontId="4" fillId="3" borderId="0" xfId="3" applyNumberFormat="1" applyFont="1" applyFill="1" applyBorder="1" applyAlignment="1">
      <alignment horizontal="right" vertical="center"/>
    </xf>
    <xf numFmtId="0" fontId="11" fillId="0" borderId="0" xfId="0" applyFont="1" applyFill="1" applyBorder="1">
      <alignment vertical="center"/>
    </xf>
    <xf numFmtId="179" fontId="4" fillId="0" borderId="0" xfId="0" applyNumberFormat="1" applyFont="1" applyFill="1" applyBorder="1">
      <alignment vertical="center"/>
    </xf>
    <xf numFmtId="178" fontId="4" fillId="3" borderId="0" xfId="3" applyNumberFormat="1" applyFont="1" applyFill="1" applyBorder="1" applyAlignment="1">
      <alignment horizontal="right" vertical="center"/>
    </xf>
    <xf numFmtId="178" fontId="4" fillId="0" borderId="0" xfId="3" applyNumberFormat="1" applyFont="1" applyFill="1" applyBorder="1">
      <alignment vertical="center"/>
    </xf>
    <xf numFmtId="178" fontId="11" fillId="0" borderId="0" xfId="3" applyNumberFormat="1" applyFont="1" applyBorder="1" applyAlignment="1">
      <alignment horizontal="right" vertical="center"/>
    </xf>
    <xf numFmtId="178" fontId="4" fillId="0" borderId="0" xfId="0" applyNumberFormat="1" applyFont="1" applyFill="1" applyBorder="1" applyAlignment="1">
      <alignment horizontal="right" vertical="center"/>
    </xf>
    <xf numFmtId="178" fontId="4" fillId="0" borderId="0" xfId="3" applyNumberFormat="1" applyFont="1" applyFill="1" applyBorder="1" applyAlignment="1">
      <alignment horizontal="left" vertical="center"/>
    </xf>
    <xf numFmtId="179" fontId="4" fillId="0" borderId="0" xfId="3" applyNumberFormat="1" applyFont="1" applyBorder="1" applyAlignment="1">
      <alignment horizontal="left" vertical="center"/>
    </xf>
    <xf numFmtId="178" fontId="4" fillId="0" borderId="0" xfId="3" applyNumberFormat="1" applyFont="1" applyBorder="1" applyAlignment="1">
      <alignment horizontal="left" vertical="center"/>
    </xf>
    <xf numFmtId="0" fontId="11" fillId="0" borderId="0" xfId="0" applyFont="1" applyFill="1" applyBorder="1" applyAlignment="1">
      <alignment horizontal="right" vertical="center"/>
    </xf>
    <xf numFmtId="181" fontId="18" fillId="0" borderId="0" xfId="2" applyNumberFormat="1" applyFont="1" applyFill="1" applyBorder="1" applyAlignment="1">
      <alignment horizontal="right" vertical="center"/>
    </xf>
    <xf numFmtId="181" fontId="28" fillId="0" borderId="0" xfId="2" applyNumberFormat="1" applyFont="1" applyFill="1" applyBorder="1" applyAlignment="1">
      <alignment horizontal="right" vertical="center"/>
    </xf>
    <xf numFmtId="181" fontId="18" fillId="0" borderId="0" xfId="2" quotePrefix="1" applyNumberFormat="1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4" fillId="3" borderId="0" xfId="0" applyFont="1" applyFill="1" applyBorder="1">
      <alignment vertical="center"/>
    </xf>
    <xf numFmtId="49" fontId="29" fillId="0" borderId="0" xfId="0" applyNumberFormat="1" applyFont="1" applyFill="1" applyBorder="1">
      <alignment vertical="center"/>
    </xf>
    <xf numFmtId="0" fontId="4" fillId="2" borderId="0" xfId="0" applyFont="1" applyFill="1" applyBorder="1">
      <alignment vertical="center"/>
    </xf>
    <xf numFmtId="178" fontId="4" fillId="2" borderId="0" xfId="3" applyNumberFormat="1" applyFont="1" applyFill="1" applyBorder="1" applyAlignment="1">
      <alignment horizontal="right" vertical="center"/>
    </xf>
    <xf numFmtId="179" fontId="4" fillId="0" borderId="0" xfId="0" applyNumberFormat="1" applyFont="1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177" fontId="4" fillId="0" borderId="0" xfId="6" applyNumberFormat="1" applyFont="1" applyAlignment="1">
      <alignment horizontal="right" vertical="center"/>
    </xf>
    <xf numFmtId="0" fontId="4" fillId="0" borderId="0" xfId="0" applyFont="1" applyFill="1" applyAlignment="1">
      <alignment horizontal="left" vertical="center"/>
    </xf>
    <xf numFmtId="185" fontId="4" fillId="0" borderId="0" xfId="0" applyNumberFormat="1" applyFont="1" applyBorder="1">
      <alignment vertical="center"/>
    </xf>
    <xf numFmtId="185" fontId="4" fillId="2" borderId="0" xfId="0" applyNumberFormat="1" applyFont="1" applyFill="1" applyBorder="1" applyAlignment="1">
      <alignment horizontal="right" vertical="center"/>
    </xf>
    <xf numFmtId="178" fontId="4" fillId="0" borderId="5" xfId="3" applyNumberFormat="1" applyFont="1" applyFill="1" applyBorder="1" applyAlignment="1">
      <alignment horizontal="left" vertical="center"/>
    </xf>
    <xf numFmtId="178" fontId="4" fillId="0" borderId="5" xfId="0" applyNumberFormat="1" applyFont="1" applyFill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178" fontId="4" fillId="0" borderId="6" xfId="3" applyNumberFormat="1" applyFont="1" applyFill="1" applyBorder="1" applyAlignment="1">
      <alignment horizontal="left" vertical="center"/>
    </xf>
    <xf numFmtId="178" fontId="4" fillId="0" borderId="6" xfId="0" applyNumberFormat="1" applyFont="1" applyFill="1" applyBorder="1" applyAlignment="1">
      <alignment horizontal="right" vertical="center"/>
    </xf>
    <xf numFmtId="178" fontId="4" fillId="0" borderId="6" xfId="3" applyNumberFormat="1" applyFont="1" applyBorder="1" applyAlignment="1">
      <alignment horizontal="left" vertical="center"/>
    </xf>
    <xf numFmtId="176" fontId="4" fillId="0" borderId="6" xfId="2" applyNumberFormat="1" applyFont="1" applyBorder="1" applyAlignment="1">
      <alignment horizontal="right" vertical="center"/>
    </xf>
    <xf numFmtId="178" fontId="11" fillId="0" borderId="0" xfId="0" applyNumberFormat="1" applyFont="1" applyFill="1" applyBorder="1" applyAlignment="1">
      <alignment horizontal="right" vertical="center"/>
    </xf>
    <xf numFmtId="178" fontId="4" fillId="0" borderId="4" xfId="3" applyNumberFormat="1" applyFont="1" applyFill="1" applyBorder="1" applyAlignment="1">
      <alignment horizontal="left" vertical="center"/>
    </xf>
    <xf numFmtId="178" fontId="4" fillId="0" borderId="4" xfId="0" applyNumberFormat="1" applyFont="1" applyBorder="1" applyAlignment="1">
      <alignment horizontal="right" vertical="center"/>
    </xf>
    <xf numFmtId="176" fontId="4" fillId="0" borderId="4" xfId="2" applyNumberFormat="1" applyFont="1" applyBorder="1" applyAlignment="1">
      <alignment horizontal="right" vertical="center"/>
    </xf>
    <xf numFmtId="178" fontId="4" fillId="3" borderId="0" xfId="3" applyNumberFormat="1" applyFont="1" applyFill="1" applyBorder="1" applyAlignment="1">
      <alignment horizontal="left" vertical="center"/>
    </xf>
    <xf numFmtId="178" fontId="4" fillId="3" borderId="0" xfId="0" applyNumberFormat="1" applyFont="1" applyFill="1" applyBorder="1" applyAlignment="1">
      <alignment horizontal="right" vertical="center"/>
    </xf>
    <xf numFmtId="178" fontId="4" fillId="6" borderId="0" xfId="3" applyNumberFormat="1" applyFont="1" applyFill="1" applyBorder="1" applyAlignment="1">
      <alignment horizontal="left" vertical="center"/>
    </xf>
    <xf numFmtId="178" fontId="4" fillId="6" borderId="0" xfId="0" applyNumberFormat="1" applyFont="1" applyFill="1" applyBorder="1" applyAlignment="1">
      <alignment horizontal="right" vertical="center"/>
    </xf>
    <xf numFmtId="176" fontId="4" fillId="6" borderId="0" xfId="2" applyNumberFormat="1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85" fontId="7" fillId="0" borderId="0" xfId="0" applyNumberFormat="1" applyFont="1" applyBorder="1">
      <alignment vertical="center"/>
    </xf>
    <xf numFmtId="0" fontId="18" fillId="0" borderId="0" xfId="0" applyFont="1" applyAlignment="1">
      <alignment horizontal="center" vertical="center"/>
    </xf>
    <xf numFmtId="43" fontId="18" fillId="0" borderId="0" xfId="6" applyFont="1" applyFill="1" applyAlignment="1">
      <alignment horizontal="right" vertical="center"/>
    </xf>
    <xf numFmtId="179" fontId="18" fillId="0" borderId="0" xfId="6" applyNumberFormat="1" applyFont="1" applyFill="1" applyAlignment="1">
      <alignment horizontal="right" vertical="center"/>
    </xf>
    <xf numFmtId="0" fontId="18" fillId="0" borderId="0" xfId="0" applyFont="1">
      <alignment vertical="center"/>
    </xf>
    <xf numFmtId="0" fontId="26" fillId="0" borderId="0" xfId="0" applyFont="1" applyAlignment="1">
      <alignment horizontal="center" vertical="center" wrapText="1"/>
    </xf>
    <xf numFmtId="43" fontId="18" fillId="5" borderId="0" xfId="6" applyFont="1" applyFill="1" applyAlignment="1">
      <alignment horizontal="right" vertical="center"/>
    </xf>
    <xf numFmtId="179" fontId="18" fillId="5" borderId="0" xfId="6" applyNumberFormat="1" applyFont="1" applyFill="1" applyAlignment="1">
      <alignment horizontal="right" vertical="center"/>
    </xf>
    <xf numFmtId="0" fontId="7" fillId="0" borderId="0" xfId="0" applyFont="1" applyFill="1" applyBorder="1">
      <alignment vertical="center"/>
    </xf>
    <xf numFmtId="0" fontId="25" fillId="0" borderId="0" xfId="0" applyFont="1" applyFill="1" applyBorder="1" applyAlignment="1">
      <alignment horizontal="center" vertical="center" wrapText="1"/>
    </xf>
    <xf numFmtId="43" fontId="18" fillId="0" borderId="0" xfId="6" applyFont="1" applyFill="1" applyBorder="1" applyAlignment="1">
      <alignment horizontal="right" vertical="center"/>
    </xf>
    <xf numFmtId="179" fontId="18" fillId="0" borderId="0" xfId="6" applyNumberFormat="1" applyFont="1" applyFill="1" applyBorder="1" applyAlignment="1">
      <alignment horizontal="right" vertical="center"/>
    </xf>
    <xf numFmtId="0" fontId="18" fillId="0" borderId="0" xfId="0" applyFont="1" applyFill="1" applyBorder="1">
      <alignment vertical="center"/>
    </xf>
    <xf numFmtId="0" fontId="6" fillId="0" borderId="0" xfId="0" applyFont="1" applyAlignment="1">
      <alignment vertical="center"/>
    </xf>
    <xf numFmtId="0" fontId="31" fillId="7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>
      <alignment vertical="center"/>
    </xf>
    <xf numFmtId="0" fontId="34" fillId="0" borderId="0" xfId="0" applyFont="1" applyFill="1" applyBorder="1" applyAlignment="1">
      <alignment vertical="center" wrapText="1"/>
    </xf>
    <xf numFmtId="0" fontId="34" fillId="0" borderId="0" xfId="0" applyFont="1" applyFill="1" applyBorder="1" applyAlignment="1">
      <alignment horizontal="center" vertical="center" wrapText="1"/>
    </xf>
    <xf numFmtId="3" fontId="32" fillId="0" borderId="0" xfId="0" applyNumberFormat="1" applyFont="1" applyFill="1" applyBorder="1" applyAlignment="1">
      <alignment horizontal="center" vertical="center" wrapText="1"/>
    </xf>
    <xf numFmtId="0" fontId="35" fillId="0" borderId="0" xfId="0" applyFont="1" applyFill="1" applyBorder="1" applyAlignment="1">
      <alignment vertical="center" wrapText="1"/>
    </xf>
    <xf numFmtId="0" fontId="32" fillId="0" borderId="0" xfId="0" applyFont="1" applyFill="1" applyBorder="1">
      <alignment vertical="center"/>
    </xf>
    <xf numFmtId="0" fontId="34" fillId="0" borderId="0" xfId="0" applyFont="1" applyFill="1" applyBorder="1">
      <alignment vertical="center"/>
    </xf>
    <xf numFmtId="3" fontId="32" fillId="0" borderId="0" xfId="0" applyNumberFormat="1" applyFont="1" applyFill="1" applyBorder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3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3" fillId="0" borderId="0" xfId="0" applyFont="1" applyFill="1" applyBorder="1">
      <alignment vertical="center"/>
    </xf>
    <xf numFmtId="0" fontId="35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36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179" fontId="4" fillId="0" borderId="0" xfId="6" applyNumberFormat="1" applyFont="1" applyFill="1" applyAlignment="1">
      <alignment horizontal="right" vertical="center"/>
    </xf>
    <xf numFmtId="43" fontId="4" fillId="0" borderId="0" xfId="6" applyFont="1" applyFill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26" fillId="0" borderId="0" xfId="0" applyFont="1" applyAlignment="1">
      <alignment horizontal="right" vertical="center" wrapText="1"/>
    </xf>
    <xf numFmtId="0" fontId="25" fillId="0" borderId="0" xfId="0" applyFont="1" applyAlignment="1">
      <alignment horizontal="right" vertical="center" wrapText="1"/>
    </xf>
    <xf numFmtId="0" fontId="31" fillId="7" borderId="7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2" fillId="0" borderId="0" xfId="0" applyFont="1" applyFill="1" applyBorder="1" applyAlignment="1">
      <alignment horizontal="left" vertical="center"/>
    </xf>
    <xf numFmtId="0" fontId="34" fillId="0" borderId="0" xfId="0" applyFont="1" applyFill="1" applyBorder="1" applyAlignment="1">
      <alignment horizontal="left" vertical="center"/>
    </xf>
    <xf numFmtId="0" fontId="35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79" fontId="7" fillId="0" borderId="0" xfId="6" applyNumberFormat="1" applyFont="1" applyFill="1" applyAlignment="1">
      <alignment horizontal="right" vertical="center"/>
    </xf>
    <xf numFmtId="0" fontId="7" fillId="3" borderId="0" xfId="0" applyFont="1" applyFill="1" applyAlignment="1">
      <alignment horizontal="right" vertical="center"/>
    </xf>
    <xf numFmtId="0" fontId="7" fillId="3" borderId="0" xfId="0" applyFont="1" applyFill="1">
      <alignment vertical="center"/>
    </xf>
    <xf numFmtId="179" fontId="37" fillId="3" borderId="0" xfId="0" applyNumberFormat="1" applyFont="1" applyFill="1">
      <alignment vertical="center"/>
    </xf>
    <xf numFmtId="0" fontId="25" fillId="3" borderId="0" xfId="0" applyFont="1" applyFill="1" applyAlignment="1">
      <alignment horizontal="center" vertical="center" wrapText="1"/>
    </xf>
    <xf numFmtId="43" fontId="18" fillId="3" borderId="0" xfId="6" applyFont="1" applyFill="1" applyAlignment="1">
      <alignment horizontal="right" vertical="center"/>
    </xf>
    <xf numFmtId="179" fontId="18" fillId="3" borderId="0" xfId="6" applyNumberFormat="1" applyFont="1" applyFill="1" applyAlignment="1">
      <alignment horizontal="right" vertical="center"/>
    </xf>
    <xf numFmtId="0" fontId="18" fillId="3" borderId="0" xfId="0" applyFont="1" applyFill="1" applyAlignment="1">
      <alignment horizontal="center" vertical="center"/>
    </xf>
    <xf numFmtId="177" fontId="4" fillId="0" borderId="0" xfId="0" applyNumberFormat="1" applyFont="1">
      <alignment vertical="center"/>
    </xf>
    <xf numFmtId="0" fontId="7" fillId="0" borderId="0" xfId="0" applyFont="1" applyFill="1" applyAlignment="1">
      <alignment horizontal="right" vertical="center"/>
    </xf>
    <xf numFmtId="0" fontId="0" fillId="0" borderId="8" xfId="0" applyBorder="1">
      <alignment vertical="center"/>
    </xf>
    <xf numFmtId="0" fontId="6" fillId="0" borderId="8" xfId="0" applyFont="1" applyBorder="1">
      <alignment vertical="center"/>
    </xf>
    <xf numFmtId="0" fontId="4" fillId="0" borderId="8" xfId="0" applyNumberFormat="1" applyFont="1" applyBorder="1" applyAlignment="1">
      <alignment horizontal="left" vertical="center"/>
    </xf>
    <xf numFmtId="179" fontId="11" fillId="0" borderId="8" xfId="3" applyNumberFormat="1" applyFont="1" applyBorder="1" applyAlignment="1">
      <alignment horizontal="right" vertical="center"/>
    </xf>
    <xf numFmtId="0" fontId="29" fillId="3" borderId="8" xfId="0" applyFont="1" applyFill="1" applyBorder="1">
      <alignment vertical="center"/>
    </xf>
    <xf numFmtId="49" fontId="29" fillId="0" borderId="8" xfId="0" applyNumberFormat="1" applyFont="1" applyFill="1" applyBorder="1">
      <alignment vertical="center"/>
    </xf>
    <xf numFmtId="49" fontId="4" fillId="0" borderId="8" xfId="0" applyNumberFormat="1" applyFont="1" applyFill="1" applyBorder="1">
      <alignment vertical="center"/>
    </xf>
    <xf numFmtId="179" fontId="4" fillId="0" borderId="8" xfId="3" applyNumberFormat="1" applyFont="1" applyFill="1" applyBorder="1" applyAlignment="1">
      <alignment horizontal="left" vertical="center"/>
    </xf>
    <xf numFmtId="0" fontId="4" fillId="0" borderId="8" xfId="0" applyFont="1" applyFill="1" applyBorder="1" applyAlignment="1">
      <alignment horizontal="left" vertical="center"/>
    </xf>
    <xf numFmtId="179" fontId="4" fillId="0" borderId="8" xfId="3" applyNumberFormat="1" applyFont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83" fontId="4" fillId="0" borderId="8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78" fontId="4" fillId="0" borderId="8" xfId="3" applyNumberFormat="1" applyFont="1" applyFill="1" applyBorder="1" applyAlignment="1">
      <alignment horizontal="left" vertical="center"/>
    </xf>
    <xf numFmtId="178" fontId="4" fillId="3" borderId="8" xfId="3" applyNumberFormat="1" applyFont="1" applyFill="1" applyBorder="1" applyAlignment="1">
      <alignment horizontal="left" vertical="center"/>
    </xf>
    <xf numFmtId="178" fontId="4" fillId="0" borderId="9" xfId="3" applyNumberFormat="1" applyFont="1" applyFill="1" applyBorder="1" applyAlignment="1">
      <alignment horizontal="left" vertical="center"/>
    </xf>
    <xf numFmtId="178" fontId="4" fillId="0" borderId="10" xfId="3" applyNumberFormat="1" applyFont="1" applyFill="1" applyBorder="1" applyAlignment="1">
      <alignment horizontal="left" vertical="center"/>
    </xf>
    <xf numFmtId="178" fontId="4" fillId="0" borderId="11" xfId="3" applyNumberFormat="1" applyFont="1" applyFill="1" applyBorder="1" applyAlignment="1">
      <alignment horizontal="left" vertical="center"/>
    </xf>
    <xf numFmtId="178" fontId="4" fillId="6" borderId="8" xfId="3" applyNumberFormat="1" applyFont="1" applyFill="1" applyBorder="1" applyAlignment="1">
      <alignment horizontal="left" vertical="center"/>
    </xf>
    <xf numFmtId="179" fontId="11" fillId="0" borderId="8" xfId="3" applyNumberFormat="1" applyFont="1" applyBorder="1" applyAlignment="1">
      <alignment horizontal="left" vertical="center"/>
    </xf>
    <xf numFmtId="178" fontId="11" fillId="0" borderId="8" xfId="3" applyNumberFormat="1" applyFont="1" applyBorder="1" applyAlignment="1">
      <alignment horizontal="left" vertical="center"/>
    </xf>
    <xf numFmtId="0" fontId="29" fillId="0" borderId="0" xfId="0" applyFont="1" applyFill="1" applyBorder="1">
      <alignment vertical="center"/>
    </xf>
    <xf numFmtId="179" fontId="4" fillId="8" borderId="0" xfId="3" applyNumberFormat="1" applyFont="1" applyFill="1" applyBorder="1" applyAlignment="1">
      <alignment horizontal="right" vertical="center"/>
    </xf>
    <xf numFmtId="0" fontId="29" fillId="0" borderId="0" xfId="0" applyNumberFormat="1" applyFont="1" applyFill="1" applyBorder="1">
      <alignment vertical="center"/>
    </xf>
    <xf numFmtId="0" fontId="17" fillId="0" borderId="0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/>
    </xf>
    <xf numFmtId="49" fontId="29" fillId="9" borderId="0" xfId="0" applyNumberFormat="1" applyFont="1" applyFill="1" applyBorder="1">
      <alignment vertical="center"/>
    </xf>
    <xf numFmtId="49" fontId="29" fillId="10" borderId="0" xfId="0" applyNumberFormat="1" applyFont="1" applyFill="1" applyBorder="1">
      <alignment vertical="center"/>
    </xf>
    <xf numFmtId="0" fontId="18" fillId="9" borderId="0" xfId="0" applyFont="1" applyFill="1" applyBorder="1">
      <alignment vertical="center"/>
    </xf>
    <xf numFmtId="0" fontId="18" fillId="10" borderId="0" xfId="0" applyFont="1" applyFill="1" applyBorder="1">
      <alignment vertical="center"/>
    </xf>
    <xf numFmtId="0" fontId="7" fillId="0" borderId="8" xfId="0" applyFont="1" applyFill="1" applyBorder="1" applyAlignment="1">
      <alignment horizontal="left" vertical="center"/>
    </xf>
    <xf numFmtId="179" fontId="7" fillId="0" borderId="0" xfId="0" applyNumberFormat="1" applyFont="1" applyFill="1" applyBorder="1">
      <alignment vertical="center"/>
    </xf>
    <xf numFmtId="0" fontId="7" fillId="3" borderId="8" xfId="0" applyFont="1" applyFill="1" applyBorder="1" applyAlignment="1">
      <alignment horizontal="left" vertical="center"/>
    </xf>
    <xf numFmtId="178" fontId="7" fillId="0" borderId="8" xfId="3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4" fillId="0" borderId="0" xfId="3" applyNumberFormat="1" applyFont="1" applyFill="1" applyBorder="1">
      <alignment vertical="center"/>
    </xf>
    <xf numFmtId="176" fontId="4" fillId="0" borderId="0" xfId="2" applyNumberFormat="1" applyFont="1" applyFill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182" fontId="18" fillId="0" borderId="0" xfId="3" applyNumberFormat="1" applyFont="1" applyFill="1" applyBorder="1" applyAlignment="1">
      <alignment horizontal="center" vertical="center"/>
    </xf>
    <xf numFmtId="0" fontId="1" fillId="11" borderId="0" xfId="7" applyBorder="1" applyAlignment="1">
      <alignment horizontal="center" vertical="center"/>
    </xf>
    <xf numFmtId="179" fontId="1" fillId="11" borderId="0" xfId="7" applyNumberFormat="1" applyBorder="1" applyAlignment="1">
      <alignment horizontal="left" vertical="center"/>
    </xf>
    <xf numFmtId="43" fontId="38" fillId="11" borderId="0" xfId="7" applyNumberFormat="1" applyFont="1" applyBorder="1" applyAlignment="1">
      <alignment horizontal="center" vertical="center"/>
    </xf>
    <xf numFmtId="179" fontId="7" fillId="0" borderId="0" xfId="3" applyNumberFormat="1" applyFont="1" applyFill="1" applyBorder="1" applyAlignment="1">
      <alignment horizontal="center" vertical="center"/>
    </xf>
    <xf numFmtId="43" fontId="7" fillId="0" borderId="0" xfId="3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2" borderId="0" xfId="8" applyAlignment="1">
      <alignment horizontal="center" vertical="center"/>
    </xf>
    <xf numFmtId="43" fontId="1" fillId="12" borderId="0" xfId="8" applyNumberFormat="1" applyBorder="1" applyAlignment="1">
      <alignment horizontal="right" vertical="center"/>
    </xf>
    <xf numFmtId="182" fontId="1" fillId="13" borderId="0" xfId="9" applyNumberFormat="1" applyBorder="1" applyAlignment="1">
      <alignment horizontal="center" vertical="center"/>
    </xf>
    <xf numFmtId="0" fontId="4" fillId="0" borderId="0" xfId="0" quotePrefix="1" applyFont="1">
      <alignment vertical="center"/>
    </xf>
    <xf numFmtId="176" fontId="18" fillId="0" borderId="0" xfId="2" applyNumberFormat="1" applyFont="1" applyFill="1" applyBorder="1" applyAlignment="1">
      <alignment horizontal="center" vertical="center"/>
    </xf>
    <xf numFmtId="176" fontId="1" fillId="13" borderId="0" xfId="9" applyNumberFormat="1" applyBorder="1" applyAlignment="1">
      <alignment horizontal="center" vertical="center"/>
    </xf>
    <xf numFmtId="0" fontId="38" fillId="12" borderId="0" xfId="8" applyFont="1" applyAlignment="1">
      <alignment horizontal="center" vertical="center"/>
    </xf>
    <xf numFmtId="0" fontId="7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" fillId="11" borderId="0" xfId="7" applyBorder="1" applyAlignment="1">
      <alignment horizontal="left" vertical="center"/>
    </xf>
    <xf numFmtId="183" fontId="4" fillId="0" borderId="0" xfId="0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14" fontId="25" fillId="0" borderId="0" xfId="0" applyNumberFormat="1" applyFont="1" applyAlignment="1">
      <alignment horizontal="left" vertical="center" wrapText="1"/>
    </xf>
    <xf numFmtId="14" fontId="36" fillId="3" borderId="0" xfId="0" applyNumberFormat="1" applyFont="1" applyFill="1" applyAlignment="1">
      <alignment horizontal="left" vertical="center" wrapText="1"/>
    </xf>
    <xf numFmtId="14" fontId="25" fillId="3" borderId="0" xfId="0" applyNumberFormat="1" applyFont="1" applyFill="1" applyAlignment="1">
      <alignment horizontal="left" vertical="center" wrapText="1"/>
    </xf>
    <xf numFmtId="0" fontId="18" fillId="5" borderId="0" xfId="0" applyFont="1" applyFill="1" applyAlignment="1">
      <alignment horizontal="left" vertical="center"/>
    </xf>
    <xf numFmtId="14" fontId="25" fillId="0" borderId="0" xfId="0" applyNumberFormat="1" applyFont="1" applyFill="1" applyBorder="1" applyAlignment="1">
      <alignment horizontal="left" vertical="center" wrapText="1"/>
    </xf>
    <xf numFmtId="0" fontId="18" fillId="0" borderId="0" xfId="0" applyFont="1" applyFill="1" applyBorder="1" applyAlignment="1">
      <alignment horizontal="left" vertical="center"/>
    </xf>
    <xf numFmtId="179" fontId="18" fillId="5" borderId="0" xfId="6" applyNumberFormat="1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3" fontId="4" fillId="0" borderId="0" xfId="3" applyNumberFormat="1" applyFont="1" applyFill="1" applyBorder="1" applyAlignment="1">
      <alignment horizontal="center" vertical="center"/>
    </xf>
    <xf numFmtId="184" fontId="38" fillId="11" borderId="0" xfId="7" applyNumberFormat="1" applyFont="1" applyBorder="1" applyAlignment="1">
      <alignment horizontal="right" vertical="center"/>
    </xf>
    <xf numFmtId="184" fontId="7" fillId="0" borderId="0" xfId="3" applyNumberFormat="1" applyFont="1" applyFill="1" applyBorder="1" applyAlignment="1">
      <alignment horizontal="right" vertical="center"/>
    </xf>
    <xf numFmtId="184" fontId="17" fillId="0" borderId="0" xfId="0" applyNumberFormat="1" applyFont="1" applyBorder="1" applyAlignment="1">
      <alignment horizontal="right" vertical="center"/>
    </xf>
    <xf numFmtId="0" fontId="7" fillId="2" borderId="8" xfId="0" applyFont="1" applyFill="1" applyBorder="1" applyAlignment="1">
      <alignment horizontal="left" vertical="center"/>
    </xf>
    <xf numFmtId="185" fontId="4" fillId="2" borderId="0" xfId="0" applyNumberFormat="1" applyFont="1" applyFill="1" applyBorder="1">
      <alignment vertical="center"/>
    </xf>
    <xf numFmtId="0" fontId="39" fillId="3" borderId="0" xfId="0" applyFont="1" applyFill="1" applyBorder="1">
      <alignment vertical="center"/>
    </xf>
    <xf numFmtId="14" fontId="40" fillId="0" borderId="0" xfId="0" applyNumberFormat="1" applyFont="1" applyBorder="1" applyAlignment="1">
      <alignment horizontal="left" vertical="center"/>
    </xf>
    <xf numFmtId="179" fontId="40" fillId="3" borderId="0" xfId="0" applyNumberFormat="1" applyFont="1" applyFill="1" applyBorder="1">
      <alignment vertical="center"/>
    </xf>
    <xf numFmtId="184" fontId="40" fillId="0" borderId="0" xfId="0" applyNumberFormat="1" applyFont="1" applyBorder="1">
      <alignment vertical="center"/>
    </xf>
    <xf numFmtId="184" fontId="40" fillId="0" borderId="0" xfId="0" applyNumberFormat="1" applyFont="1" applyBorder="1" applyAlignment="1">
      <alignment horizontal="right" vertical="center"/>
    </xf>
    <xf numFmtId="0" fontId="39" fillId="0" borderId="0" xfId="0" applyFont="1" applyFill="1" applyBorder="1">
      <alignment vertical="center"/>
    </xf>
    <xf numFmtId="0" fontId="39" fillId="0" borderId="0" xfId="0" applyFont="1" applyFill="1" applyBorder="1" applyAlignment="1">
      <alignment horizontal="left" vertical="center"/>
    </xf>
    <xf numFmtId="179" fontId="39" fillId="0" borderId="0" xfId="0" applyNumberFormat="1" applyFont="1" applyFill="1" applyBorder="1">
      <alignment vertical="center"/>
    </xf>
    <xf numFmtId="179" fontId="39" fillId="0" borderId="0" xfId="0" applyNumberFormat="1" applyFont="1" applyFill="1" applyBorder="1" applyAlignment="1">
      <alignment horizontal="right" vertical="center"/>
    </xf>
    <xf numFmtId="179" fontId="39" fillId="3" borderId="0" xfId="0" applyNumberFormat="1" applyFont="1" applyFill="1" applyBorder="1" applyAlignment="1">
      <alignment horizontal="right" vertical="center"/>
    </xf>
    <xf numFmtId="49" fontId="39" fillId="0" borderId="8" xfId="0" applyNumberFormat="1" applyFont="1" applyFill="1" applyBorder="1">
      <alignment vertical="center"/>
    </xf>
    <xf numFmtId="179" fontId="39" fillId="8" borderId="0" xfId="0" applyNumberFormat="1" applyFont="1" applyFill="1" applyBorder="1" applyAlignment="1">
      <alignment horizontal="right" vertical="center"/>
    </xf>
    <xf numFmtId="0" fontId="44" fillId="0" borderId="0" xfId="0" applyFont="1" applyFill="1" applyAlignment="1">
      <alignment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NumberFormat="1" applyFont="1" applyFill="1" applyAlignment="1">
      <alignment vertical="center"/>
    </xf>
    <xf numFmtId="178" fontId="44" fillId="0" borderId="0" xfId="3" applyNumberFormat="1" applyFont="1" applyFill="1" applyAlignment="1">
      <alignment vertical="center"/>
    </xf>
    <xf numFmtId="43" fontId="44" fillId="0" borderId="0" xfId="3" applyNumberFormat="1" applyFont="1" applyFill="1" applyAlignment="1">
      <alignment vertical="center"/>
    </xf>
    <xf numFmtId="179" fontId="44" fillId="0" borderId="0" xfId="3" applyNumberFormat="1" applyFont="1" applyFill="1" applyAlignment="1">
      <alignment vertical="center"/>
    </xf>
    <xf numFmtId="179" fontId="44" fillId="0" borderId="0" xfId="3" applyNumberFormat="1" applyFont="1" applyFill="1" applyAlignment="1">
      <alignment vertical="center" wrapText="1"/>
    </xf>
    <xf numFmtId="0" fontId="46" fillId="0" borderId="0" xfId="0" applyFont="1" applyAlignment="1">
      <alignment vertical="top"/>
    </xf>
    <xf numFmtId="14" fontId="46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3" applyNumberFormat="1" applyFont="1" applyAlignment="1">
      <alignment horizontal="left" vertical="center"/>
    </xf>
    <xf numFmtId="178" fontId="46" fillId="0" borderId="0" xfId="3" applyNumberFormat="1" applyFont="1" applyAlignment="1">
      <alignment horizontal="center" vertical="center"/>
    </xf>
    <xf numFmtId="43" fontId="46" fillId="0" borderId="0" xfId="3" applyNumberFormat="1" applyFont="1" applyAlignment="1">
      <alignment horizontal="right" vertical="center"/>
    </xf>
    <xf numFmtId="179" fontId="46" fillId="0" borderId="0" xfId="3" applyNumberFormat="1" applyFont="1" applyAlignment="1">
      <alignment horizontal="right" vertical="center"/>
    </xf>
    <xf numFmtId="43" fontId="44" fillId="0" borderId="0" xfId="3" applyNumberFormat="1" applyFont="1" applyAlignment="1">
      <alignment horizontal="left" vertical="center" wrapText="1"/>
    </xf>
    <xf numFmtId="0" fontId="44" fillId="0" borderId="0" xfId="0" applyNumberFormat="1" applyFont="1" applyAlignment="1">
      <alignment horizontal="left" vertical="center"/>
    </xf>
    <xf numFmtId="179" fontId="44" fillId="0" borderId="0" xfId="3" applyNumberFormat="1" applyFont="1" applyAlignment="1">
      <alignment horizontal="left" vertical="center" wrapText="1"/>
    </xf>
    <xf numFmtId="49" fontId="46" fillId="0" borderId="0" xfId="0" applyNumberFormat="1" applyFont="1" applyAlignment="1">
      <alignment horizontal="center" vertical="center"/>
    </xf>
    <xf numFmtId="14" fontId="46" fillId="0" borderId="0" xfId="0" applyNumberFormat="1" applyFont="1" applyFill="1" applyBorder="1" applyAlignment="1">
      <alignment horizontal="left" vertical="center"/>
    </xf>
    <xf numFmtId="0" fontId="46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Alignment="1">
      <alignment horizontal="left" vertical="center"/>
    </xf>
    <xf numFmtId="0" fontId="46" fillId="0" borderId="0" xfId="0" applyFont="1" applyAlignment="1">
      <alignment vertical="center"/>
    </xf>
    <xf numFmtId="0" fontId="42" fillId="0" borderId="0" xfId="0" applyNumberFormat="1" applyFont="1" applyAlignment="1">
      <alignment horizontal="left" vertical="center"/>
    </xf>
    <xf numFmtId="0" fontId="50" fillId="0" borderId="0" xfId="0" applyFont="1" applyFill="1" applyAlignment="1">
      <alignment horizontal="left" vertical="top" wrapText="1"/>
    </xf>
    <xf numFmtId="0" fontId="51" fillId="0" borderId="0" xfId="0" applyFont="1" applyFill="1" applyAlignment="1">
      <alignment horizontal="left" vertical="top" wrapText="1"/>
    </xf>
    <xf numFmtId="0" fontId="52" fillId="0" borderId="0" xfId="0" applyFont="1" applyFill="1" applyAlignment="1">
      <alignment horizontal="left" vertical="top" wrapText="1"/>
    </xf>
    <xf numFmtId="0" fontId="45" fillId="0" borderId="0" xfId="0" applyFont="1" applyFill="1" applyAlignment="1">
      <alignment horizontal="left" vertical="top" wrapText="1"/>
    </xf>
    <xf numFmtId="180" fontId="44" fillId="0" borderId="0" xfId="0" applyNumberFormat="1" applyFont="1" applyFill="1" applyAlignment="1">
      <alignment horizontal="left" vertical="top"/>
    </xf>
    <xf numFmtId="179" fontId="44" fillId="0" borderId="0" xfId="3" applyNumberFormat="1" applyFont="1" applyFill="1" applyAlignment="1">
      <alignment horizontal="right" vertical="top"/>
    </xf>
    <xf numFmtId="179" fontId="45" fillId="0" borderId="0" xfId="3" applyNumberFormat="1" applyFont="1" applyFill="1" applyAlignment="1">
      <alignment horizontal="right" vertical="top"/>
    </xf>
    <xf numFmtId="179" fontId="50" fillId="0" borderId="0" xfId="3" applyNumberFormat="1" applyFont="1" applyFill="1" applyAlignment="1">
      <alignment horizontal="right" vertical="top"/>
    </xf>
    <xf numFmtId="179" fontId="45" fillId="0" borderId="0" xfId="3" applyNumberFormat="1" applyFont="1" applyFill="1" applyAlignment="1">
      <alignment horizontal="left" vertical="top" wrapText="1"/>
    </xf>
    <xf numFmtId="0" fontId="53" fillId="0" borderId="0" xfId="0" applyFont="1" applyAlignment="1">
      <alignment horizontal="left" vertical="top"/>
    </xf>
    <xf numFmtId="0" fontId="45" fillId="0" borderId="0" xfId="0" applyFont="1" applyAlignment="1">
      <alignment horizontal="left" vertical="top"/>
    </xf>
    <xf numFmtId="0" fontId="45" fillId="0" borderId="0" xfId="0" applyFont="1" applyAlignment="1">
      <alignment horizontal="right" vertical="top"/>
    </xf>
    <xf numFmtId="185" fontId="44" fillId="0" borderId="0" xfId="0" applyNumberFormat="1" applyFont="1" applyBorder="1">
      <alignment vertical="center"/>
    </xf>
    <xf numFmtId="185" fontId="54" fillId="3" borderId="0" xfId="0" applyNumberFormat="1" applyFont="1" applyFill="1" applyBorder="1">
      <alignment vertical="center"/>
    </xf>
    <xf numFmtId="185" fontId="44" fillId="0" borderId="0" xfId="0" applyNumberFormat="1" applyFont="1" applyFill="1" applyBorder="1">
      <alignment vertical="center"/>
    </xf>
    <xf numFmtId="0" fontId="55" fillId="0" borderId="0" xfId="0" applyFont="1">
      <alignment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3" xfId="0" applyFont="1" applyBorder="1" applyAlignment="1">
      <alignment vertical="center" wrapText="1"/>
    </xf>
    <xf numFmtId="0" fontId="57" fillId="0" borderId="3" xfId="0" applyFont="1" applyBorder="1" applyAlignment="1">
      <alignment horizontal="right" vertical="center" wrapText="1"/>
    </xf>
    <xf numFmtId="3" fontId="57" fillId="0" borderId="3" xfId="0" applyNumberFormat="1" applyFont="1" applyBorder="1" applyAlignment="1">
      <alignment horizontal="right" vertical="center" wrapText="1"/>
    </xf>
    <xf numFmtId="4" fontId="57" fillId="0" borderId="3" xfId="0" applyNumberFormat="1" applyFont="1" applyBorder="1" applyAlignment="1">
      <alignment horizontal="right" vertical="center" wrapText="1"/>
    </xf>
    <xf numFmtId="179" fontId="58" fillId="0" borderId="0" xfId="3" applyNumberFormat="1" applyFont="1" applyFill="1" applyAlignment="1">
      <alignment horizontal="left" vertical="top" wrapText="1"/>
    </xf>
    <xf numFmtId="0" fontId="7" fillId="0" borderId="0" xfId="0" applyFont="1" applyFill="1" applyAlignment="1">
      <alignment vertical="center"/>
    </xf>
    <xf numFmtId="179" fontId="37" fillId="0" borderId="0" xfId="0" applyNumberFormat="1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3" fontId="34" fillId="0" borderId="0" xfId="0" applyNumberFormat="1" applyFont="1" applyFill="1" applyBorder="1" applyAlignment="1">
      <alignment vertical="center"/>
    </xf>
    <xf numFmtId="0" fontId="35" fillId="0" borderId="0" xfId="0" applyFont="1" applyFill="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178" fontId="59" fillId="0" borderId="0" xfId="3" applyNumberFormat="1" applyFont="1" applyAlignment="1">
      <alignment horizontal="center" vertical="center"/>
    </xf>
    <xf numFmtId="178" fontId="59" fillId="0" borderId="0" xfId="0" applyNumberFormat="1" applyFont="1" applyAlignment="1">
      <alignment horizontal="center" vertical="center"/>
    </xf>
    <xf numFmtId="178" fontId="44" fillId="0" borderId="0" xfId="0" applyNumberFormat="1" applyFont="1" applyFill="1" applyAlignment="1">
      <alignment horizontal="center" vertical="center"/>
    </xf>
    <xf numFmtId="14" fontId="25" fillId="0" borderId="0" xfId="0" applyNumberFormat="1" applyFont="1" applyFill="1" applyBorder="1" applyAlignment="1">
      <alignment horizontal="left" vertical="center"/>
    </xf>
    <xf numFmtId="0" fontId="25" fillId="0" borderId="0" xfId="0" applyFont="1" applyFill="1" applyBorder="1" applyAlignment="1">
      <alignment horizontal="center" vertical="center"/>
    </xf>
    <xf numFmtId="0" fontId="41" fillId="0" borderId="0" xfId="0" applyFont="1" applyAlignment="1">
      <alignment horizontal="left" vertical="top"/>
    </xf>
    <xf numFmtId="0" fontId="41" fillId="0" borderId="0" xfId="0" applyFont="1" applyAlignment="1">
      <alignment horizontal="right" vertical="top"/>
    </xf>
    <xf numFmtId="0" fontId="41" fillId="0" borderId="0" xfId="0" applyFont="1" applyAlignment="1">
      <alignment vertical="top"/>
    </xf>
    <xf numFmtId="0" fontId="60" fillId="0" borderId="0" xfId="0" applyFont="1" applyAlignment="1">
      <alignment horizontal="center" vertical="top"/>
    </xf>
    <xf numFmtId="0" fontId="41" fillId="0" borderId="0" xfId="0" applyFont="1" applyAlignment="1">
      <alignment horizontal="center" vertical="top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41" fillId="3" borderId="0" xfId="0" applyFont="1" applyFill="1" applyAlignment="1">
      <alignment horizontal="center" vertical="top"/>
    </xf>
    <xf numFmtId="0" fontId="61" fillId="16" borderId="0" xfId="0" applyFont="1" applyFill="1" applyAlignment="1">
      <alignment horizontal="left" vertical="top" wrapText="1"/>
    </xf>
    <xf numFmtId="0" fontId="64" fillId="15" borderId="0" xfId="0" applyFont="1" applyFill="1" applyAlignment="1">
      <alignment horizontal="center" vertical="top"/>
    </xf>
    <xf numFmtId="183" fontId="60" fillId="0" borderId="0" xfId="0" applyNumberFormat="1" applyFont="1" applyAlignment="1">
      <alignment horizontal="center" vertical="top"/>
    </xf>
    <xf numFmtId="0" fontId="41" fillId="0" borderId="0" xfId="0" applyFont="1" applyAlignment="1">
      <alignment horizontal="center" vertical="top" wrapText="1"/>
    </xf>
    <xf numFmtId="43" fontId="7" fillId="17" borderId="0" xfId="3" applyNumberFormat="1" applyFont="1" applyFill="1" applyBorder="1" applyAlignment="1">
      <alignment horizontal="center" vertical="center"/>
    </xf>
    <xf numFmtId="43" fontId="4" fillId="17" borderId="0" xfId="3" applyNumberFormat="1" applyFont="1" applyFill="1" applyBorder="1" applyAlignment="1">
      <alignment horizontal="center" vertical="center"/>
    </xf>
    <xf numFmtId="182" fontId="18" fillId="17" borderId="0" xfId="3" applyNumberFormat="1" applyFont="1" applyFill="1" applyBorder="1" applyAlignment="1">
      <alignment horizontal="center" vertical="center"/>
    </xf>
    <xf numFmtId="0" fontId="4" fillId="14" borderId="0" xfId="0" applyFont="1" applyFill="1" applyAlignment="1">
      <alignment horizontal="center" vertical="center" textRotation="255"/>
    </xf>
    <xf numFmtId="0" fontId="63" fillId="16" borderId="0" xfId="0" applyFont="1" applyFill="1" applyBorder="1" applyAlignment="1">
      <alignment horizontal="center" vertical="top" wrapText="1"/>
    </xf>
    <xf numFmtId="0" fontId="13" fillId="0" borderId="0" xfId="4" applyFont="1" applyAlignment="1">
      <alignment horizontal="center" vertical="top" wrapText="1"/>
    </xf>
    <xf numFmtId="0" fontId="56" fillId="0" borderId="1" xfId="0" applyFont="1" applyBorder="1" applyAlignment="1">
      <alignment horizontal="center" vertical="center" wrapText="1"/>
    </xf>
    <xf numFmtId="0" fontId="57" fillId="0" borderId="2" xfId="0" applyFont="1" applyBorder="1" applyAlignment="1">
      <alignment vertical="center" wrapText="1"/>
    </xf>
    <xf numFmtId="0" fontId="4" fillId="2" borderId="0" xfId="5" applyFont="1" applyFill="1" applyAlignment="1">
      <alignment horizontal="left" vertical="top" wrapText="1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</cellXfs>
  <cellStyles count="10">
    <cellStyle name="20% - 輔色6" xfId="7" builtinId="50"/>
    <cellStyle name="40% - 輔色6" xfId="8" builtinId="51"/>
    <cellStyle name="60% - 輔色6" xfId="9" builtinId="52"/>
    <cellStyle name="一般" xfId="0" builtinId="0"/>
    <cellStyle name="一般 2" xfId="1" xr:uid="{00000000-0005-0000-0000-000001000000}"/>
    <cellStyle name="一般 3" xfId="4" xr:uid="{00000000-0005-0000-0000-000002000000}"/>
    <cellStyle name="一般 4" xfId="5" xr:uid="{00000000-0005-0000-0000-000003000000}"/>
    <cellStyle name="千分位" xfId="3" builtinId="3"/>
    <cellStyle name="千分位 2" xfId="6" xr:uid="{00000000-0005-0000-0000-000005000000}"/>
    <cellStyle name="百分比" xfId="2" builtinId="5"/>
  </cellStyles>
  <dxfs count="631">
    <dxf>
      <numFmt numFmtId="184" formatCode="#,##0_ ;[Red]\-#,##0\ "/>
    </dxf>
    <dxf>
      <numFmt numFmtId="19" formatCode="yyyy/m/d"/>
    </dxf>
    <dxf>
      <numFmt numFmtId="179" formatCode="_-* #,##0_-;\-* #,##0_-;_-* &quot;-&quot;??_-;_-@_-"/>
    </dxf>
    <dxf>
      <font>
        <name val="Arial Unicode MS"/>
        <scheme val="none"/>
      </font>
    </dxf>
    <dxf>
      <font>
        <sz val="8"/>
      </font>
    </dxf>
    <dxf>
      <fill>
        <patternFill patternType="solid">
          <bgColor theme="9" tint="0.79998168889431442"/>
        </patternFill>
      </fill>
    </dxf>
    <dxf>
      <border outline="0">
        <left/>
        <right/>
        <top/>
        <bottom/>
      </border>
    </dxf>
    <dxf>
      <font>
        <name val="Arial Unicode MS"/>
        <scheme val="none"/>
      </font>
    </dxf>
    <dxf>
      <font>
        <sz val="10"/>
      </font>
    </dxf>
    <dxf>
      <numFmt numFmtId="179" formatCode="_-* #,##0_-;\-* #,##0_-;_-* &quot;-&quot;??_-;_-@_-"/>
    </dxf>
    <dxf>
      <alignment horizontal="right" readingOrder="0"/>
    </dxf>
    <dxf>
      <font>
        <sz val="10"/>
      </font>
    </dxf>
    <dxf>
      <font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179" formatCode="_-* #,##0_-;\-* #,##0_-;_-* &quot;-&quot;??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180" formatCode="[$-F800]dddd\,\ mmmm\ dd\,\ yyyy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 Nova"/>
        <family val="2"/>
        <scheme val="none"/>
      </font>
      <fill>
        <patternFill patternType="none">
          <fgColor indexed="64"/>
          <bgColor auto="1"/>
        </patternFill>
      </fill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border outline="0">
        <bottom/>
      </border>
    </dxf>
    <dxf>
      <border outline="0">
        <bottom/>
      </border>
    </dxf>
    <dxf>
      <border outline="0">
        <bottom/>
      </border>
    </dxf>
    <dxf>
      <font>
        <name val="Arial Unicode MS"/>
        <family val="2"/>
      </font>
    </dxf>
    <dxf>
      <numFmt numFmtId="30" formatCode="@"/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numFmt numFmtId="179" formatCode="_-* #,##0_-;\-* #,##0_-;_-* &quot;-&quot;??_-;_-@_-"/>
    </dxf>
    <dxf>
      <numFmt numFmtId="179" formatCode="_-* #,##0_-;\-* #,##0_-;_-* &quot;-&quot;??_-;_-@_-"/>
    </dxf>
    <dxf>
      <font>
        <name val="Arial Unicode MS"/>
        <family val="2"/>
      </font>
    </dxf>
    <dxf>
      <font>
        <name val="Arial Unicode MS"/>
        <family val="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name val="Arial Unicode MS"/>
        <scheme val="none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ill>
        <patternFill patternType="solid">
          <bgColor theme="9" tint="0.79998168889431442"/>
        </patternFill>
      </fill>
    </dxf>
    <dxf>
      <font>
        <name val="Arial Unicode MS"/>
        <scheme val="none"/>
      </font>
    </dxf>
    <dxf>
      <font>
        <sz val="10"/>
      </font>
    </dxf>
    <dxf>
      <font>
        <sz val="10"/>
        <name val="Arial Unicode MS"/>
        <scheme val="none"/>
      </font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top style="thin">
          <color theme="0" tint="-0.34998626667073579"/>
        </top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 outline="0"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right" readingOrder="0"/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 outline="0">
        <left/>
        <right/>
        <top/>
        <bottom/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name val="Arial Unicode MS"/>
        <family val="2"/>
        <charset val="136"/>
      </font>
    </dxf>
    <dxf>
      <font>
        <name val="Arial Unicode MS"/>
        <family val="2"/>
        <charset val="136"/>
      </font>
    </dxf>
    <dxf>
      <font>
        <name val="Arial Unicode MS"/>
        <family val="2"/>
        <charset val="136"/>
      </font>
    </dxf>
    <dxf>
      <font>
        <name val="Arial Unicode MS"/>
        <family val="2"/>
        <charset val="136"/>
      </font>
    </dxf>
    <dxf>
      <font>
        <name val="Arial Unicode MS"/>
        <family val="2"/>
        <charset val="136"/>
      </font>
    </dxf>
    <dxf>
      <font>
        <name val="Arial Unicode MS"/>
        <family val="2"/>
        <charset val="136"/>
      </font>
    </dxf>
    <dxf>
      <numFmt numFmtId="30" formatCode="@"/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numFmt numFmtId="179" formatCode="_-* #,##0_-;\-* #,##0_-;_-* &quot;-&quot;??_-;_-@_-"/>
    </dxf>
    <dxf>
      <numFmt numFmtId="179" formatCode="_-* #,##0_-;\-* #,##0_-;_-* &quot;-&quot;??_-;_-@_-"/>
    </dxf>
    <dxf>
      <font>
        <name val="Arial Unicode MS"/>
        <family val="2"/>
      </font>
    </dxf>
    <dxf>
      <font>
        <name val="Arial Unicode MS"/>
        <family val="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name val="Arial Unicode MS"/>
        <scheme val="none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ill>
        <patternFill patternType="solid">
          <bgColor theme="9" tint="0.79998168889431442"/>
        </patternFill>
      </fill>
    </dxf>
    <dxf>
      <font>
        <name val="Arial Unicode MS"/>
        <scheme val="none"/>
      </font>
    </dxf>
    <dxf>
      <font>
        <sz val="10"/>
      </font>
    </dxf>
    <dxf>
      <font>
        <sz val="10"/>
        <name val="Arial Unicode MS"/>
        <scheme val="none"/>
      </font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top style="thin">
          <color theme="0" tint="-0.34998626667073579"/>
        </top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 outline="0"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right" readingOrder="0"/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 outline="0">
        <left/>
        <right/>
        <top/>
        <bottom/>
      </border>
    </dxf>
    <dxf>
      <border outline="0">
        <left/>
        <bottom/>
      </border>
    </dxf>
    <dxf>
      <border outline="0">
        <left/>
        <bottom/>
      </border>
    </dxf>
    <dxf>
      <border outline="0">
        <left/>
        <bottom/>
      </border>
    </dxf>
    <dxf>
      <border outline="0">
        <left/>
        <bottom/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numFmt numFmtId="0" formatCode="General"/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ont>
        <name val="Arial Unicode MS"/>
        <family val="2"/>
      </font>
    </dxf>
    <dxf>
      <numFmt numFmtId="30" formatCode="@"/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border outline="0">
        <right/>
        <top/>
        <bottom/>
      </border>
    </dxf>
    <dxf>
      <numFmt numFmtId="179" formatCode="_-* #,##0_-;\-* #,##0_-;_-* &quot;-&quot;??_-;_-@_-"/>
    </dxf>
    <dxf>
      <numFmt numFmtId="179" formatCode="_-* #,##0_-;\-* #,##0_-;_-* &quot;-&quot;??_-;_-@_-"/>
    </dxf>
    <dxf>
      <font>
        <name val="Arial Unicode MS"/>
        <family val="2"/>
      </font>
    </dxf>
    <dxf>
      <font>
        <name val="Arial Unicode MS"/>
        <family val="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border outline="0">
        <left/>
        <top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name val="Arial Unicode MS"/>
        <scheme val="none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ill>
        <patternFill patternType="solid">
          <bgColor theme="9" tint="0.79998168889431442"/>
        </patternFill>
      </fill>
    </dxf>
    <dxf>
      <font>
        <name val="Arial Unicode MS"/>
        <scheme val="none"/>
      </font>
    </dxf>
    <dxf>
      <font>
        <sz val="10"/>
      </font>
    </dxf>
    <dxf>
      <font>
        <sz val="10"/>
        <name val="Arial Unicode MS"/>
        <scheme val="none"/>
      </font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top style="thin">
          <color theme="0" tint="-0.34998626667073579"/>
        </top>
      </border>
    </dxf>
    <dxf>
      <border>
        <left style="thin">
          <color theme="0" tint="-0.34998626667073579"/>
        </left>
      </border>
    </dxf>
    <dxf>
      <border>
        <left style="thin">
          <color theme="0" tint="-0.34998626667073579"/>
        </left>
      </border>
    </dxf>
    <dxf>
      <border outline="0"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right" readingOrder="0"/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name val="Arial Unicode MS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numFmt numFmtId="182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numFmt numFmtId="182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Unicode MS"/>
        <family val="2"/>
        <charset val="136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Unicode MS"/>
        <family val="2"/>
        <charset val="136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Unicode MS"/>
        <family val="2"/>
        <charset val="136"/>
        <scheme val="none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184" formatCode="#,##0_ ;[Red]\-#,##0\ "/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Unicode MS"/>
        <family val="2"/>
        <charset val="136"/>
        <scheme val="none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179" formatCode="_-* #,##0_-;\-* #,##0_-;_-* &quot;-&quot;??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179" formatCode="_-* #,##0_-;\-* #,##0_-;_-* &quot;-&quot;??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179" formatCode="_-* #,##0_-;\-* #,##0_-;_-* &quot;-&quot;??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35" formatCode="_-* #,##0.00_-;\-* #,##0.00_-;_-* &quot;-&quot;??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numFmt numFmtId="19" formatCode="yyyy/m/d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 Nova"/>
        <family val="2"/>
        <scheme val="none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ova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/>
  <colors>
    <mruColors>
      <color rgb="FFFFFFFF"/>
      <color rgb="FFCCFFFF"/>
      <color rgb="FFFFCCCC"/>
      <color rgb="FFFF7C80"/>
      <color rgb="FFCCFFCC"/>
      <color rgb="FF99FF66"/>
      <color rgb="FF3399FF"/>
      <color rgb="FFC8C54C"/>
      <color rgb="FFFFFF99"/>
      <color rgb="FF4320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 sz="1400">
                <a:latin typeface="微軟正黑體" panose="020B0604030504040204" pitchFamily="34" charset="-120"/>
                <a:ea typeface="微軟正黑體" panose="020B0604030504040204" pitchFamily="34" charset="-120"/>
                <a:cs typeface="Arial" panose="020B0604020202020204" pitchFamily="34" charset="0"/>
              </a:rPr>
              <a:t>資產配置狀況　</a:t>
            </a:r>
            <a:r>
              <a:rPr lang="zh-TW" altLang="zh-TW" sz="1400" b="1" i="0" u="none" strike="noStrike" baseline="0">
                <a:effectLst/>
              </a:rPr>
              <a:t>　　</a:t>
            </a:r>
            <a:r>
              <a:rPr lang="en-US" altLang="zh-TW" sz="1400">
                <a:latin typeface="微軟正黑體" panose="020B0604030504040204" pitchFamily="34" charset="-120"/>
                <a:ea typeface="微軟正黑體" panose="020B0604030504040204" pitchFamily="34" charset="-120"/>
                <a:cs typeface="Arial" panose="020B0604020202020204" pitchFamily="34" charset="0"/>
              </a:rPr>
              <a:t>(</a:t>
            </a:r>
            <a:r>
              <a:rPr lang="zh-TW" altLang="en-US" sz="1400">
                <a:latin typeface="微軟正黑體" panose="020B0604030504040204" pitchFamily="34" charset="-120"/>
                <a:ea typeface="微軟正黑體" panose="020B0604030504040204" pitchFamily="34" charset="-120"/>
                <a:cs typeface="Arial" panose="020B0604020202020204" pitchFamily="34" charset="0"/>
              </a:rPr>
              <a:t>依</a:t>
            </a:r>
            <a:r>
              <a:rPr lang="zh-TW" altLang="zh-TW" sz="1400" b="1" i="0" u="none" strike="noStrike" baseline="0">
                <a:effectLst/>
              </a:rPr>
              <a:t>證券市值</a:t>
            </a:r>
            <a:r>
              <a:rPr lang="zh-TW" altLang="en-US" sz="1400">
                <a:latin typeface="微軟正黑體" panose="020B0604030504040204" pitchFamily="34" charset="-120"/>
                <a:ea typeface="微軟正黑體" panose="020B0604030504040204" pitchFamily="34" charset="-120"/>
                <a:cs typeface="Arial" panose="020B0604020202020204" pitchFamily="34" charset="0"/>
              </a:rPr>
              <a:t>相對於</a:t>
            </a:r>
            <a:r>
              <a:rPr lang="zh-TW" altLang="zh-TW" sz="1400" b="1" i="0" u="none" strike="noStrike" baseline="0">
                <a:effectLst/>
              </a:rPr>
              <a:t>現金</a:t>
            </a:r>
            <a:r>
              <a:rPr lang="en-US" altLang="zh-TW" sz="1400" b="1" i="0" u="none" strike="noStrike" baseline="0">
                <a:effectLst/>
                <a:latin typeface="微軟正黑體" panose="020B0604030504040204" pitchFamily="34" charset="-120"/>
                <a:ea typeface="微軟正黑體" panose="020B0604030504040204" pitchFamily="34" charset="-120"/>
                <a:cs typeface="Arial" panose="020B0604020202020204" pitchFamily="34" charset="0"/>
              </a:rPr>
              <a:t>)</a:t>
            </a:r>
          </a:p>
        </c:rich>
      </c:tx>
      <c:layout>
        <c:manualLayout>
          <c:xMode val="edge"/>
          <c:yMode val="edge"/>
          <c:x val="3.8122055229911675E-2"/>
          <c:y val="3.66907380852202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47456181821085752"/>
          <c:y val="5.8628644701855019E-2"/>
          <c:w val="0.47292242382745631"/>
          <c:h val="0.88145994716624754"/>
        </c:manualLayout>
      </c:layout>
      <c:pieChart>
        <c:varyColors val="1"/>
        <c:ser>
          <c:idx val="0"/>
          <c:order val="0"/>
          <c:tx>
            <c:v>多空部位相對市值</c:v>
          </c:tx>
          <c:dLbls>
            <c:numFmt formatCode="0%;\-0%;;" sourceLinked="0"/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部位明細!$S$4:$S$36</c:f>
              <c:strCache>
                <c:ptCount val="33"/>
                <c:pt idx="0">
                  <c:v>中鋼</c:v>
                </c:pt>
                <c:pt idx="1">
                  <c:v>大國鋼</c:v>
                </c:pt>
                <c:pt idx="2">
                  <c:v>中化生</c:v>
                </c:pt>
                <c:pt idx="3">
                  <c:v>台泥</c:v>
                </c:pt>
                <c:pt idx="4">
                  <c:v>宏佳騰</c:v>
                </c:pt>
                <c:pt idx="5">
                  <c:v>盟立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2">
                  <c:v>現金*</c:v>
                </c:pt>
              </c:strCache>
            </c:strRef>
          </c:cat>
          <c:val>
            <c:numRef>
              <c:f>部位明細!$T$4:$T$36</c:f>
              <c:numCache>
                <c:formatCode>0_);[Red]\(0\)</c:formatCode>
                <c:ptCount val="33"/>
                <c:pt idx="0">
                  <c:v>531000</c:v>
                </c:pt>
                <c:pt idx="1">
                  <c:v>230400</c:v>
                </c:pt>
                <c:pt idx="2">
                  <c:v>128800.00000000001</c:v>
                </c:pt>
                <c:pt idx="3">
                  <c:v>48150</c:v>
                </c:pt>
                <c:pt idx="4">
                  <c:v>47050</c:v>
                </c:pt>
                <c:pt idx="5">
                  <c:v>42300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0</c:v>
                </c:pt>
                <c:pt idx="32">
                  <c:v>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D8-4336-BE04-7DF73EDB6023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[投資管理_20211228專題範例.xlsm]資產變動!結算</c:name>
    <c:fmtId val="0"/>
  </c:pivotSource>
  <c:chart>
    <c:autoTitleDeleted val="1"/>
    <c:pivotFmts>
      <c:pivotFmt>
        <c:idx val="0"/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資產變動!$E$1</c:f>
              <c:strCache>
                <c:ptCount val="1"/>
                <c:pt idx="0">
                  <c:v>可用現金</c:v>
                </c:pt>
              </c:strCache>
            </c:strRef>
          </c:tx>
          <c:spPr>
            <a:ln w="25400">
              <a:noFill/>
            </a:ln>
          </c:spPr>
          <c:cat>
            <c:strRef>
              <c:f>資產變動!$D$2:$D$5</c:f>
              <c:strCache>
                <c:ptCount val="4"/>
                <c:pt idx="0">
                  <c:v>2021/10/7</c:v>
                </c:pt>
                <c:pt idx="1">
                  <c:v>2021/11/7</c:v>
                </c:pt>
                <c:pt idx="2">
                  <c:v>2021/12/5</c:v>
                </c:pt>
                <c:pt idx="3">
                  <c:v>2021/12/28</c:v>
                </c:pt>
              </c:strCache>
            </c:strRef>
          </c:cat>
          <c:val>
            <c:numRef>
              <c:f>資產變動!$E$2:$E$5</c:f>
              <c:numCache>
                <c:formatCode>#,##0_ ;[Red]\-#,##0\ </c:formatCode>
                <c:ptCount val="4"/>
                <c:pt idx="0">
                  <c:v>440000</c:v>
                </c:pt>
                <c:pt idx="1">
                  <c:v>550000</c:v>
                </c:pt>
                <c:pt idx="2">
                  <c:v>590000</c:v>
                </c:pt>
                <c:pt idx="3">
                  <c:v>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FE-4F0E-A0D6-465435F31AFE}"/>
            </c:ext>
          </c:extLst>
        </c:ser>
        <c:ser>
          <c:idx val="1"/>
          <c:order val="1"/>
          <c:tx>
            <c:strRef>
              <c:f>資產變動!$F$1</c:f>
              <c:strCache>
                <c:ptCount val="1"/>
                <c:pt idx="0">
                  <c:v>長期部位</c:v>
                </c:pt>
              </c:strCache>
            </c:strRef>
          </c:tx>
          <c:spPr>
            <a:ln w="25400">
              <a:noFill/>
            </a:ln>
          </c:spPr>
          <c:cat>
            <c:strRef>
              <c:f>資產變動!$D$2:$D$5</c:f>
              <c:strCache>
                <c:ptCount val="4"/>
                <c:pt idx="0">
                  <c:v>2021/10/7</c:v>
                </c:pt>
                <c:pt idx="1">
                  <c:v>2021/11/7</c:v>
                </c:pt>
                <c:pt idx="2">
                  <c:v>2021/12/5</c:v>
                </c:pt>
                <c:pt idx="3">
                  <c:v>2021/12/28</c:v>
                </c:pt>
              </c:strCache>
            </c:strRef>
          </c:cat>
          <c:val>
            <c:numRef>
              <c:f>資產變動!$F$2:$F$5</c:f>
              <c:numCache>
                <c:formatCode>#,##0_ ;[Red]\-#,##0\ </c:formatCode>
                <c:ptCount val="4"/>
                <c:pt idx="0">
                  <c:v>310000</c:v>
                </c:pt>
                <c:pt idx="1">
                  <c:v>450000</c:v>
                </c:pt>
                <c:pt idx="2">
                  <c:v>380000</c:v>
                </c:pt>
                <c:pt idx="3">
                  <c:v>347500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FE-4F0E-A0D6-465435F31AFE}"/>
            </c:ext>
          </c:extLst>
        </c:ser>
        <c:ser>
          <c:idx val="2"/>
          <c:order val="2"/>
          <c:tx>
            <c:strRef>
              <c:f>資產變動!$G$1</c:f>
              <c:strCache>
                <c:ptCount val="1"/>
                <c:pt idx="0">
                  <c:v>非長期部位</c:v>
                </c:pt>
              </c:strCache>
            </c:strRef>
          </c:tx>
          <c:spPr>
            <a:ln w="25400">
              <a:noFill/>
            </a:ln>
          </c:spPr>
          <c:cat>
            <c:strRef>
              <c:f>資產變動!$D$2:$D$5</c:f>
              <c:strCache>
                <c:ptCount val="4"/>
                <c:pt idx="0">
                  <c:v>2021/10/7</c:v>
                </c:pt>
                <c:pt idx="1">
                  <c:v>2021/11/7</c:v>
                </c:pt>
                <c:pt idx="2">
                  <c:v>2021/12/5</c:v>
                </c:pt>
                <c:pt idx="3">
                  <c:v>2021/12/28</c:v>
                </c:pt>
              </c:strCache>
            </c:strRef>
          </c:cat>
          <c:val>
            <c:numRef>
              <c:f>資產變動!$G$2:$G$5</c:f>
              <c:numCache>
                <c:formatCode>#,##0_ ;[Red]\-#,##0\ </c:formatCode>
                <c:ptCount val="4"/>
                <c:pt idx="0">
                  <c:v>1000000</c:v>
                </c:pt>
                <c:pt idx="1">
                  <c:v>1100000</c:v>
                </c:pt>
                <c:pt idx="2">
                  <c:v>900000</c:v>
                </c:pt>
                <c:pt idx="3">
                  <c:v>940200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FE-4F0E-A0D6-465435F31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21024"/>
        <c:axId val="263922816"/>
      </c:areaChart>
      <c:catAx>
        <c:axId val="26392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3922816"/>
        <c:crosses val="autoZero"/>
        <c:auto val="1"/>
        <c:lblAlgn val="ctr"/>
        <c:lblOffset val="100"/>
        <c:tickMarkSkip val="1"/>
        <c:noMultiLvlLbl val="0"/>
      </c:catAx>
      <c:valAx>
        <c:axId val="26392281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26392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48784662786715"/>
          <c:y val="0.76778561026843817"/>
          <c:w val="0.11295866473689103"/>
          <c:h val="0.182655690765927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1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solidFill>
                  <a:srgbClr val="FFFF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微軟正黑體" panose="020B0604030504040204" pitchFamily="34" charset="-120"/>
              </a:defRPr>
            </a:pPr>
            <a:r>
              <a:rPr lang="en-US" altLang="zh-TW" sz="1400" b="1" i="0" u="none" strike="noStrike" baseline="0">
                <a:solidFill>
                  <a:srgbClr val="FFFF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(</a:t>
            </a:r>
            <a:r>
              <a:rPr lang="zh-TW" altLang="en-US" sz="1400" b="1" i="0" u="none" strike="noStrike" baseline="0">
                <a:solidFill>
                  <a:srgbClr val="FFFF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依部位類型</a:t>
            </a:r>
            <a:r>
              <a:rPr lang="en-US" altLang="zh-TW" sz="1400" b="1" i="0" u="none" strike="noStrike" baseline="0">
                <a:solidFill>
                  <a:srgbClr val="FFFFFF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)</a:t>
            </a:r>
            <a:endParaRPr lang="zh-TW" altLang="en-US" sz="1400" b="1" i="0" u="none" strike="noStrike" baseline="0">
              <a:solidFill>
                <a:srgbClr val="FFFFFF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x:rich>
      </cx:tx>
    </cx:title>
    <cx:plotArea>
      <cx:plotAreaRegion>
        <cx:series layoutId="treemap" uniqueId="{B543012A-4948-464E-8434-3DC29CFAB728}" formatIdx="0">
          <cx:dataLabels pos="inEnd">
            <cx:visibility seriesName="0" categoryName="1" value="1"/>
            <cx:separator> </cx:separator>
            <cx:dataLabel idx="0">
              <cx:visibility seriesName="0" categoryName="1" value="1"/>
              <cx:separator> </cx:separator>
            </cx:dataLabel>
            <cx:dataLabelHidden idx="15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165100</xdr:colOff>
      <xdr:row>16</xdr:row>
      <xdr:rowOff>201930</xdr:rowOff>
    </xdr:to>
    <xdr:grpSp>
      <xdr:nvGrpSpPr>
        <xdr:cNvPr id="2" name="群組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0"/>
          <a:ext cx="7023100" cy="3554730"/>
          <a:chOff x="0" y="0"/>
          <a:chExt cx="6718300" cy="3917950"/>
        </a:xfrm>
      </xdr:grpSpPr>
      <xdr:graphicFrame macro="">
        <xdr:nvGraphicFramePr>
          <xdr:cNvPr id="3" name="圖表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0" y="0"/>
          <a:ext cx="6718300" cy="3917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5" name="圖表 4">
                <a:extLst>
                  <a:ext uri="{FF2B5EF4-FFF2-40B4-BE49-F238E27FC236}">
                    <a16:creationId xmlns:a16="http://schemas.microsoft.com/office/drawing/2014/main" id="{00000000-0008-0000-0500-000005000000}"/>
                  </a:ext>
                </a:extLst>
              </xdr:cNvPr>
              <xdr:cNvGraphicFramePr/>
            </xdr:nvGraphicFramePr>
            <xdr:xfrm>
              <a:off x="179881" y="623796"/>
              <a:ext cx="2395694" cy="3007151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9881" y="623796"/>
                <a:ext cx="2395694" cy="30071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zh-TW" altLang="en-US" sz="1100"/>
                  <a:t>此圖表在您的 Excel 版本中無法使用。
若編輯此圖案或將此活頁簿儲存為不同格式，將永久破壞圖表。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0</xdr:rowOff>
    </xdr:from>
    <xdr:to>
      <xdr:col>10</xdr:col>
      <xdr:colOff>622300</xdr:colOff>
      <xdr:row>17</xdr:row>
      <xdr:rowOff>209550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12700</xdr:colOff>
      <xdr:row>0</xdr:row>
      <xdr:rowOff>0</xdr:rowOff>
    </xdr:from>
    <xdr:to>
      <xdr:col>16</xdr:col>
      <xdr:colOff>0</xdr:colOff>
      <xdr:row>8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日期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日期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1200" y="0"/>
              <a:ext cx="3956050" cy="1727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時間表: 適用於 Excel 2013 或更新版本。請勿移動或調整大小。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590550</xdr:colOff>
          <xdr:row>2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590550</xdr:colOff>
          <xdr:row>2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0</xdr:col>
          <xdr:colOff>581025</xdr:colOff>
          <xdr:row>2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鄭人豪" refreshedDate="44559.008851620369" createdVersion="4" refreshedVersion="7" minRefreshableVersion="3" recordCount="14" xr:uid="{00000000-000A-0000-FFFF-FFFF04000000}">
  <cacheSource type="worksheet">
    <worksheetSource name="明細"/>
  </cacheSource>
  <cacheFields count="13">
    <cacheField name="日期" numFmtId="180">
      <sharedItems containsNonDate="0" containsDate="1" containsString="0" containsBlank="1" minDate="2021-01-01T00:00:00" maxDate="2021-12-30T00:00:00" count="109">
        <d v="2021-10-07T00:00:00"/>
        <d v="2021-11-07T00:00:00"/>
        <d v="2021-12-05T00:00:00"/>
        <d v="2021-12-28T00:00:00"/>
        <m/>
        <d v="2021-05-19T00:00:00" u="1"/>
        <d v="2021-06-24T00:00:00" u="1"/>
        <d v="2021-07-29T00:00:00" u="1"/>
        <d v="2021-01-04T00:00:00" u="1"/>
        <d v="2021-04-26T00:00:00" u="1"/>
        <d v="2021-06-17T00:00:00" u="1"/>
        <d v="2021-05-31T00:00:00" u="1"/>
        <d v="2021-07-22T00:00:00" u="1"/>
        <d v="2021-05-05T00:00:00" u="1"/>
        <d v="2021-06-10T00:00:00" u="1"/>
        <d v="2021-05-24T00:00:00" u="1"/>
        <d v="2021-07-15T00:00:00" u="1"/>
        <d v="2021-06-29T00:00:00" u="1"/>
        <d v="2021-06-03T00:00:00" u="1"/>
        <d v="2021-05-17T00:00:00" u="1"/>
        <d v="2021-07-08T00:00:00" u="1"/>
        <d v="2021-06-22T00:00:00" u="1"/>
        <d v="2021-08-13T00:00:00" u="1"/>
        <d v="2021-07-27T00:00:00" u="1"/>
        <d v="2021-05-10T00:00:00" u="1"/>
        <d v="2021-07-01T00:00:00" u="1"/>
        <d v="2021-01-02T00:00:00" u="1"/>
        <d v="2021-06-15T00:00:00" u="1"/>
        <d v="2021-08-06T00:00:00" u="1"/>
        <d v="2021-07-20T00:00:00" u="1"/>
        <d v="2021-05-03T00:00:00" u="1"/>
        <d v="2021-06-08T00:00:00" u="1"/>
        <d v="2021-09-30T00:00:00" u="1"/>
        <d v="2021-07-13T00:00:00" u="1"/>
        <d v="2021-08-18T00:00:00" u="1"/>
        <d v="2021-06-01T00:00:00" u="1"/>
        <d v="2021-07-06T00:00:00" u="1"/>
        <d v="2021-04-29T00:00:00" u="1"/>
        <d v="2021-08-11T00:00:00" u="1"/>
        <d v="2021-10-21T00:00:00" u="1"/>
        <d v="2021-04-22T00:00:00" u="1"/>
        <d v="2021-05-27T00:00:00" u="1"/>
        <d v="2021-08-23T00:00:00" u="1"/>
        <d v="2021-03-29T00:00:00" u="1"/>
        <d v="2021-05-20T00:00:00" u="1"/>
        <d v="2021-03-03T00:00:00" u="1"/>
        <d v="2021-06-25T00:00:00" u="1"/>
        <d v="2021-08-16T00:00:00" u="1"/>
        <d v="2021-04-08T00:00:00" u="1"/>
        <d v="2021-07-30T00:00:00" u="1"/>
        <d v="2021-10-26T00:00:00" u="1"/>
        <d v="2021-04-27T00:00:00" u="1"/>
        <d v="2021-06-18T00:00:00" u="1"/>
        <d v="2021-08-09T00:00:00" u="1"/>
        <d v="2021-07-23T00:00:00" u="1"/>
        <d v="2021-05-06T00:00:00" u="1"/>
        <d v="2021-06-11T00:00:00" u="1"/>
        <d v="2021-05-25T00:00:00" u="1"/>
        <d v="2021-07-16T00:00:00" u="1"/>
        <d v="2021-12-29T00:00:00" u="1"/>
        <d v="2021-06-30T00:00:00" u="1"/>
        <d v="2021-06-04T00:00:00" u="1"/>
        <d v="2021-05-18T00:00:00" u="1"/>
        <d v="2021-07-09T00:00:00" u="1"/>
        <d v="2021-06-23T00:00:00" u="1"/>
        <d v="2021-07-28T00:00:00" u="1"/>
        <d v="2021-07-02T00:00:00" u="1"/>
        <d v="2021-01-03T00:00:00" u="1"/>
        <d v="2021-06-16T00:00:00" u="1"/>
        <d v="2021-07-21T00:00:00" u="1"/>
        <d v="2021-05-04T00:00:00" u="1"/>
        <d v="2021-10-17T00:00:00" u="1"/>
        <d v="2021-06-09T00:00:00" u="1"/>
        <d v="2021-07-14T00:00:00" u="1"/>
        <d v="2021-06-28T00:00:00" u="1"/>
        <d v="2021-08-19T00:00:00" u="1"/>
        <d v="2021-06-02T00:00:00" u="1"/>
        <d v="2021-07-07T00:00:00" u="1"/>
        <d v="2021-12-20T00:00:00" u="1"/>
        <d v="2021-06-21T00:00:00" u="1"/>
        <d v="2021-08-12T00:00:00" u="1"/>
        <d v="2021-07-26T00:00:00" u="1"/>
        <d v="2021-08-31T00:00:00" u="1"/>
        <d v="2021-01-01T00:00:00" u="1"/>
        <d v="2021-04-23T00:00:00" u="1"/>
        <d v="2021-08-05T00:00:00" u="1"/>
        <d v="2021-11-27T00:00:00" u="1"/>
        <d v="2021-05-28T00:00:00" u="1"/>
        <d v="2021-07-19T00:00:00" u="1"/>
        <d v="2021-10-15T00:00:00" u="1"/>
        <d v="2021-06-07T00:00:00" u="1"/>
        <d v="2021-11-20T00:00:00" u="1"/>
        <d v="2021-05-21T00:00:00" u="1"/>
        <d v="2021-07-12T00:00:00" u="1"/>
        <d v="2021-08-17T00:00:00" u="1"/>
        <d v="2021-10-08T00:00:00" u="1"/>
        <d v="2021-09-22T00:00:00" u="1"/>
        <d v="2021-11-13T00:00:00" u="1"/>
        <d v="2021-05-14T00:00:00" u="1"/>
        <d v="2021-07-05T00:00:00" u="1"/>
        <d v="2021-04-28T00:00:00" u="1"/>
        <d v="2021-08-10T00:00:00" u="1"/>
        <d v="2021-10-01T00:00:00" u="1"/>
        <d v="2021-05-07T00:00:00" u="1"/>
        <d v="2021-12-11T00:00:00" u="1"/>
        <d v="2021-04-21T00:00:00" u="1"/>
        <d v="2021-06-12T00:00:00" u="1"/>
        <d v="2021-05-26T00:00:00" u="1"/>
        <d v="2021-04-14T00:00:00" u="1"/>
      </sharedItems>
    </cacheField>
    <cacheField name="非長期部位-現股" numFmtId="179">
      <sharedItems containsString="0" containsBlank="1" containsNumber="1" containsInteger="1" minValue="850000" maxValue="1000000"/>
    </cacheField>
    <cacheField name="非長期部位-其他權益" numFmtId="179">
      <sharedItems containsString="0" containsBlank="1" containsNumber="1" containsInteger="1" minValue="50000" maxValue="100000"/>
    </cacheField>
    <cacheField name="長期部位-證券" numFmtId="179">
      <sharedItems containsString="0" containsBlank="1" containsNumber="1" containsInteger="1" minValue="100000" maxValue="240000"/>
    </cacheField>
    <cacheField name="長期部位-其他" numFmtId="179">
      <sharedItems containsString="0" containsBlank="1" containsNumber="1" containsInteger="1" minValue="210000" maxValue="210000"/>
    </cacheField>
    <cacheField name="現金-銀行餘額" numFmtId="179">
      <sharedItems containsString="0" containsBlank="1" containsNumber="1" containsInteger="1" minValue="270000" maxValue="850000"/>
    </cacheField>
    <cacheField name="現金-未入帳款" numFmtId="179">
      <sharedItems containsString="0" containsBlank="1" containsNumber="1" containsInteger="1" minValue="-410000" maxValue="120000"/>
    </cacheField>
    <cacheField name="現金-其他增減" numFmtId="179">
      <sharedItems containsString="0" containsBlank="1" containsNumber="1" containsInteger="1" minValue="50000" maxValue="200000"/>
    </cacheField>
    <cacheField name="資產總值" numFmtId="179">
      <sharedItems containsString="0" containsBlank="1" containsNumber="1" containsInteger="1" minValue="1750000" maxValue="2100000"/>
    </cacheField>
    <cacheField name="備註" numFmtId="179">
      <sharedItems containsNonDate="0" containsString="0" containsBlank="1"/>
    </cacheField>
    <cacheField name="非長期部位:現股+其他權益" numFmtId="0" formula="'非長期部位-現股'+'非長期部位-其他權益'" databaseField="0"/>
    <cacheField name="長期部位:含現股及其他投資" numFmtId="0" formula="'長期部位-證券'+'長期部位-其他'" databaseField="0"/>
    <cacheField name="現金:含未入帳款及其他增減" numFmtId="0" formula="'現金-銀行餘額'+'現金-未入帳款'+'現金-其他增減'" databaseField="0"/>
  </cacheFields>
  <extLst>
    <ext xmlns:x14="http://schemas.microsoft.com/office/spreadsheetml/2009/9/main" uri="{725AE2AE-9491-48be-B2B4-4EB974FC3084}">
      <x14:pivotCacheDefinition pivotCacheId="18514407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鄭人豪" refreshedDate="44559.008851967592" createdVersion="4" refreshedVersion="7" minRefreshableVersion="3" recordCount="1069" xr:uid="{00000000-000A-0000-FFFF-FFFF08000000}">
  <cacheSource type="worksheet">
    <worksheetSource name="交易"/>
  </cacheSource>
  <cacheFields count="11">
    <cacheField name="序號" numFmtId="178">
      <sharedItems containsString="0" containsBlank="1" containsNumber="1" containsInteger="1" minValue="1" maxValue="772"/>
    </cacheField>
    <cacheField name="日期" numFmtId="14">
      <sharedItems containsNonDate="0" containsDate="1" containsString="0" containsBlank="1" minDate="2020-12-09T00:00:00" maxDate="2021-12-21T00:00:00"/>
    </cacheField>
    <cacheField name="代號" numFmtId="0">
      <sharedItems containsString="0" containsBlank="1" containsNumber="1" containsInteger="1" minValue="1101" maxValue="9951" count="164">
        <n v="1409"/>
        <n v="2520"/>
        <n v="2002"/>
        <n v="6207"/>
        <n v="1720"/>
        <n v="1762"/>
        <n v="3533"/>
        <n v="2345"/>
        <n v="2337"/>
        <n v="3406"/>
        <n v="8069"/>
        <n v="1101"/>
        <n v="2527"/>
        <n v="2642"/>
        <n v="4736"/>
        <n v="6509"/>
        <n v="3005"/>
        <n v="1599"/>
        <n v="1722"/>
        <n v="2103"/>
        <n v="1784"/>
        <n v="2376"/>
        <n v="3413"/>
        <n v="1210"/>
        <n v="1605"/>
        <n v="6224"/>
        <n v="2464"/>
        <n v="5434"/>
        <n v="6187"/>
        <n v="6196"/>
        <n v="6505"/>
        <n v="3078"/>
        <n v="3227"/>
        <n v="6278"/>
        <n v="6683"/>
        <n v="6279"/>
        <n v="6269"/>
        <n v="3587"/>
        <n v="8021"/>
        <n v="2408"/>
        <n v="1609"/>
        <n v="6257"/>
        <n v="2344"/>
        <n v="3030"/>
        <n v="6213"/>
        <n v="8074"/>
        <n v="6285"/>
        <n v="1909"/>
        <n v="2706"/>
        <n v="1301"/>
        <n v="1586"/>
        <n v="6239"/>
        <n v="4906"/>
        <n v="2723"/>
        <n v="6438"/>
        <n v="1717"/>
        <n v="1785"/>
        <n v="8215"/>
        <n v="1711"/>
        <n v="4755"/>
        <n v="2303"/>
        <n v="1303"/>
        <n v="8927"/>
        <n v="3357"/>
        <n v="2313"/>
        <n v="8016"/>
        <n v="6282"/>
        <n v="2913"/>
        <n v="1102"/>
        <n v="6251"/>
        <n v="2013"/>
        <n v="3563"/>
        <n v="2371"/>
        <n v="1310"/>
        <n v="2027"/>
        <n v="8213"/>
        <n v="2338"/>
        <n v="8255"/>
        <n v="2369"/>
        <n v="4119"/>
        <n v="3041"/>
        <n v="2354"/>
        <n v="3551"/>
        <n v="3714"/>
        <n v="1708"/>
        <n v="4976"/>
        <n v="2880"/>
        <n v="2534"/>
        <n v="2329"/>
        <n v="5351"/>
        <n v="3552"/>
        <n v="1477"/>
        <n v="2301"/>
        <n v="1313"/>
        <n v="1608"/>
        <n v="1802"/>
        <n v="2108"/>
        <n v="2382"/>
        <n v="3324"/>
        <n v="1474"/>
        <n v="1710"/>
        <n v="3037"/>
        <n v="1612"/>
        <n v="2605"/>
        <n v="8938"/>
        <n v="3023"/>
        <n v="1218"/>
        <n v="2603"/>
        <n v="1515"/>
        <n v="3017"/>
        <n v="1907"/>
        <n v="1736"/>
        <n v="1598"/>
        <n v="6188"/>
        <n v="8415"/>
        <m/>
        <n v="2455" u="1"/>
        <n v="2441" u="1"/>
        <n v="6182" u="1"/>
        <n v="2356" u="1"/>
        <n v="9938" u="1"/>
        <n v="3530" u="1"/>
        <n v="3691" u="1"/>
        <n v="2385" u="1"/>
        <n v="2456" u="1"/>
        <n v="4120" u="1"/>
        <n v="2442" u="1"/>
        <n v="4551" u="1"/>
        <n v="2887" u="1"/>
        <n v="2608" u="1"/>
        <n v="6516" u="1"/>
        <n v="3484" u="1"/>
        <n v="3645" u="1"/>
        <n v="2457" u="1"/>
        <n v="2618" u="1"/>
        <n v="5443" u="1"/>
        <n v="9951" u="1"/>
        <n v="2467" u="1"/>
        <n v="2609" u="1"/>
        <n v="2486" u="1"/>
        <n v="2363" u="1"/>
        <n v="6026" u="1"/>
        <n v="2401" u="1"/>
        <n v="6670" u="1"/>
        <n v="2368" u="1"/>
        <n v="2884" u="1"/>
        <n v="6150" u="1"/>
        <n v="9940" u="1"/>
        <n v="2501" u="1"/>
        <n v="5876" u="1"/>
        <n v="2610" u="1"/>
        <n v="2454" u="1"/>
        <n v="2615" u="1"/>
        <n v="5607" u="1"/>
        <n v="6104" u="1"/>
        <n v="6672" u="1"/>
        <n v="2634" u="1"/>
        <n v="9914" u="1"/>
        <n v="2511" u="1"/>
        <n v="6005" u="1"/>
        <n v="2606" u="1"/>
        <n v="2890" u="1"/>
        <n v="9802" u="1"/>
        <n v="1442" u="1"/>
      </sharedItems>
    </cacheField>
    <cacheField name="標的" numFmtId="0">
      <sharedItems containsBlank="1" count="167">
        <s v="新纖"/>
        <s v="冠德"/>
        <s v="中鋼"/>
        <s v="雷科"/>
        <s v="生達"/>
        <s v="中化生"/>
        <s v="嘉澤"/>
        <s v="智邦"/>
        <s v="旺宏"/>
        <s v="玉晶光"/>
        <s v="元太"/>
        <s v="台泥"/>
        <s v="宏璟"/>
        <s v="宅配通"/>
        <s v="泰博"/>
        <s v="聚和"/>
        <s v="神基"/>
        <s v="宏佳騰"/>
        <s v="台肥"/>
        <s v="台橡"/>
        <s v="訊聯"/>
        <s v="技嘉"/>
        <s v="京鼎"/>
        <s v="大成"/>
        <s v="華新"/>
        <s v="聚鼎"/>
        <s v="盟立"/>
        <s v="崇越"/>
        <s v="萬潤"/>
        <s v="帆宣"/>
        <s v="台塑化"/>
        <s v="僑威"/>
        <s v="原相"/>
        <s v="台表科"/>
        <s v="雍智科技"/>
        <s v="胡連"/>
        <s v="台郡"/>
        <s v="閎康"/>
        <s v="尖點"/>
        <s v="南亞科"/>
        <s v="大亞"/>
        <s v="矽格"/>
        <s v="華邦電"/>
        <s v="德律"/>
        <s v="聯茂"/>
        <s v="鉅橡"/>
        <s v="啟碁"/>
        <s v="榮成"/>
        <s v="第一店"/>
        <s v="台塑"/>
        <s v="和勤"/>
        <s v="力成"/>
        <s v="正文"/>
        <s v="美食-KY"/>
        <s v="迅得"/>
        <s v="長興"/>
        <s v="光洋科"/>
        <s v="明基材"/>
        <s v="永光"/>
        <s v="三福化"/>
        <s v="聯電"/>
        <s v="南亞"/>
        <s v="北基"/>
        <s v="臺慶科"/>
        <s v="華通"/>
        <s v="矽創"/>
        <s v="康舒"/>
        <s v="農林"/>
        <s v="亞泥"/>
        <s v="定穎"/>
        <s v="中鋼構"/>
        <s v="牧德"/>
        <s v="大同"/>
        <s v="台苯"/>
        <s v="大成鋼"/>
        <s v="志超"/>
        <s v="光罩"/>
        <s v="朋程"/>
        <s v="菱生"/>
        <s v="旭富"/>
        <s v="揚智"/>
        <s v="鴻準"/>
        <s v="世禾"/>
        <s v="富采"/>
        <s v="東鹼"/>
        <s v="佳凌"/>
        <s v="華南金"/>
        <s v="宏盛"/>
        <s v="華泰"/>
        <s v="鈺創"/>
        <s v="同致"/>
        <s v="聚陽"/>
        <s v="光寶科"/>
        <s v="聯成"/>
        <s v="華榮"/>
        <s v="台玻"/>
        <s v="南帝"/>
        <s v="廣達"/>
        <s v="雙鴻"/>
        <s v="弘裕"/>
        <s v="東聯"/>
        <s v="欣興"/>
        <s v="宏泰"/>
        <s v="新興"/>
        <s v="明安"/>
        <s v="信邦"/>
        <s v="泰山"/>
        <s v="長榮"/>
        <s v="力山"/>
        <s v="奇鋐"/>
        <s v="永豐餘"/>
        <s v="喬山"/>
        <s v="岱宇"/>
        <s v="廣明"/>
        <s v="大國鋼"/>
        <m/>
        <s v="志聖" u="1"/>
        <s v="新美齊" u="1"/>
        <s v="復盛應用" u="1"/>
        <s v="國建" u="1"/>
        <s v="崧騰" u="1"/>
        <s v="華航" u="1"/>
        <s v="名軒" u="1"/>
        <s v="均豪" u="1"/>
        <s v="碩禾" u="1"/>
        <s v="陽明" u="1"/>
        <s v="美利達" u="1"/>
        <s v="金像電" u="1"/>
        <s v="群益NBI生技" u="1"/>
        <s v="騰輝電子-KY" u="1"/>
        <s v="元大台灣50反1" u="1"/>
        <s v="凌陽" u="1"/>
        <s v="英業達" u="1"/>
        <s v="國泰網路資安" u="1"/>
        <s v="永豐金" u="1"/>
        <s v="玉山金" u="1"/>
        <s v="上海商銀" u="1"/>
        <s v="信義" u="1"/>
        <s v="萬海" u="1"/>
        <s v="百和" u="1"/>
        <s v="漢翔" u="1"/>
        <s v="嘉里大榮" u="1"/>
        <s v="全新" u="1"/>
        <s v="奇力新" u="1"/>
        <s v="福邦證" u="1"/>
        <s v="太子" u="1"/>
        <s v="群益證" u="1"/>
        <s v="長榮航" u="1"/>
        <s v="智伸科" u="1"/>
        <s v="創惟" u="1"/>
        <s v="晶相光" u="1"/>
        <s v="合晶" u="1"/>
        <s v="皇田" u="1"/>
        <s v="勤崴國際" u="1"/>
        <s v="聯發科" u="1"/>
        <s v="鈺齊-KY" u="1"/>
        <s v="友華" u="1"/>
        <s v="一詮" u="1"/>
        <s v="達邁" u="1"/>
        <s v="群光" u="1"/>
        <s v="遠雄港" u="1"/>
        <s v="超豐" u="1"/>
        <s v="撼訊" u="1"/>
        <s v="飛宏" u="1"/>
        <s v="台新金" u="1"/>
        <s v="矽統" u="1"/>
        <s v="裕民" u="1"/>
      </sharedItems>
    </cacheField>
    <cacheField name="部位類型" numFmtId="0">
      <sharedItems containsBlank="1" count="7">
        <s v="波段"/>
        <s v="長期"/>
        <s v="股期"/>
        <s v="短線"/>
        <s v="資券"/>
        <s v="權證"/>
        <m/>
      </sharedItems>
    </cacheField>
    <cacheField name="摘要" numFmtId="0">
      <sharedItems containsBlank="1"/>
    </cacheField>
    <cacheField name="編號" numFmtId="178">
      <sharedItems containsString="0" containsBlank="1" containsNumber="1" containsInteger="1" minValue="1" maxValue="7"/>
    </cacheField>
    <cacheField name="價格" numFmtId="43">
      <sharedItems containsString="0" containsBlank="1" containsNumber="1" minValue="0" maxValue="557"/>
    </cacheField>
    <cacheField name="數量" numFmtId="179">
      <sharedItems containsString="0" containsBlank="1" containsNumber="1" containsInteger="1" minValue="-60000" maxValue="60000"/>
    </cacheField>
    <cacheField name="金額" numFmtId="179">
      <sharedItems containsString="0" containsBlank="1" containsNumber="1" minValue="-1680000" maxValue="2107200"/>
    </cacheField>
    <cacheField name="備註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n v="900000"/>
    <n v="100000"/>
    <n v="100000"/>
    <n v="210000"/>
    <n v="270000"/>
    <n v="120000"/>
    <n v="50000"/>
    <n v="1750000"/>
    <m/>
  </r>
  <r>
    <x v="1"/>
    <n v="1000000"/>
    <n v="100000"/>
    <n v="240000"/>
    <n v="210000"/>
    <n v="600000"/>
    <n v="-150000"/>
    <n v="100000"/>
    <n v="2100000"/>
    <m/>
  </r>
  <r>
    <x v="2"/>
    <n v="850000"/>
    <n v="50000"/>
    <n v="170000"/>
    <n v="210000"/>
    <n v="850000"/>
    <n v="-410000"/>
    <n v="150000"/>
    <n v="1870000"/>
    <m/>
  </r>
  <r>
    <x v="3"/>
    <n v="890200"/>
    <n v="50000"/>
    <n v="137500"/>
    <n v="210000"/>
    <n v="500000"/>
    <n v="0"/>
    <n v="200000"/>
    <n v="1987700"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  <r>
    <x v="4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9">
  <r>
    <n v="1"/>
    <d v="2020-12-09T00:00:00"/>
    <x v="0"/>
    <x v="0"/>
    <x v="0"/>
    <s v="建倉"/>
    <n v="1"/>
    <n v="12.45"/>
    <n v="5000"/>
    <n v="-62250"/>
    <m/>
  </r>
  <r>
    <n v="2"/>
    <d v="2020-12-16T00:00:00"/>
    <x v="0"/>
    <x v="0"/>
    <x v="0"/>
    <s v="加碼"/>
    <n v="1"/>
    <n v="12.45"/>
    <n v="5000"/>
    <n v="-62250"/>
    <m/>
  </r>
  <r>
    <n v="3"/>
    <d v="2020-12-18T00:00:00"/>
    <x v="1"/>
    <x v="1"/>
    <x v="0"/>
    <s v="建倉"/>
    <n v="1"/>
    <n v="33.9"/>
    <n v="2000"/>
    <n v="-67800"/>
    <m/>
  </r>
  <r>
    <n v="4"/>
    <d v="2020-12-21T00:00:00"/>
    <x v="0"/>
    <x v="0"/>
    <x v="0"/>
    <s v="加碼"/>
    <n v="1"/>
    <n v="12.4"/>
    <n v="5000"/>
    <n v="-62000"/>
    <m/>
  </r>
  <r>
    <n v="5"/>
    <d v="2020-12-21T00:00:00"/>
    <x v="0"/>
    <x v="0"/>
    <x v="0"/>
    <s v="加碼"/>
    <n v="1"/>
    <n v="12.9"/>
    <n v="5000"/>
    <n v="-64500"/>
    <m/>
  </r>
  <r>
    <n v="6"/>
    <d v="2020-12-22T00:00:00"/>
    <x v="0"/>
    <x v="0"/>
    <x v="0"/>
    <s v="當沖"/>
    <n v="1"/>
    <n v="13.01"/>
    <n v="-35000"/>
    <n v="455350"/>
    <m/>
  </r>
  <r>
    <n v="7"/>
    <d v="2020-12-22T00:00:00"/>
    <x v="0"/>
    <x v="0"/>
    <x v="0"/>
    <s v="當沖"/>
    <n v="1"/>
    <n v="13.214285714285699"/>
    <n v="35000"/>
    <n v="-462499.99999999948"/>
    <m/>
  </r>
  <r>
    <n v="8"/>
    <d v="2020-12-22T00:00:00"/>
    <x v="1"/>
    <x v="1"/>
    <x v="0"/>
    <s v="加碼"/>
    <n v="1"/>
    <n v="33.6"/>
    <n v="2000"/>
    <n v="-67200"/>
    <m/>
  </r>
  <r>
    <n v="9"/>
    <d v="2020-12-23T00:00:00"/>
    <x v="0"/>
    <x v="0"/>
    <x v="0"/>
    <s v="減碼"/>
    <n v="1"/>
    <n v="12.65"/>
    <n v="-10000"/>
    <n v="126500"/>
    <m/>
  </r>
  <r>
    <n v="10"/>
    <d v="2020-12-24T00:00:00"/>
    <x v="0"/>
    <x v="0"/>
    <x v="0"/>
    <s v="當沖"/>
    <n v="1"/>
    <n v="13.85"/>
    <n v="-15000"/>
    <n v="207750"/>
    <m/>
  </r>
  <r>
    <n v="11"/>
    <d v="2020-12-24T00:00:00"/>
    <x v="0"/>
    <x v="0"/>
    <x v="0"/>
    <s v="加碼"/>
    <n v="1"/>
    <n v="13.25"/>
    <n v="5000"/>
    <n v="-66250"/>
    <m/>
  </r>
  <r>
    <n v="12"/>
    <d v="2020-12-24T00:00:00"/>
    <x v="0"/>
    <x v="0"/>
    <x v="0"/>
    <s v="當沖"/>
    <n v="1"/>
    <n v="13.25"/>
    <n v="15000"/>
    <n v="-198750"/>
    <m/>
  </r>
  <r>
    <n v="13"/>
    <d v="2020-12-25T00:00:00"/>
    <x v="0"/>
    <x v="0"/>
    <x v="0"/>
    <s v="停利"/>
    <n v="1"/>
    <n v="14.45"/>
    <n v="-15000"/>
    <n v="216750"/>
    <m/>
  </r>
  <r>
    <n v="14"/>
    <d v="2020-12-29T00:00:00"/>
    <x v="0"/>
    <x v="0"/>
    <x v="0"/>
    <s v="建倉"/>
    <n v="2"/>
    <n v="14.5"/>
    <n v="2000"/>
    <n v="-29000"/>
    <m/>
  </r>
  <r>
    <n v="15"/>
    <d v="2020-12-30T00:00:00"/>
    <x v="0"/>
    <x v="0"/>
    <x v="0"/>
    <s v="出場觀望"/>
    <n v="2"/>
    <n v="14.65"/>
    <n v="-2000"/>
    <n v="29300"/>
    <m/>
  </r>
  <r>
    <n v="16"/>
    <d v="2020-12-30T00:00:00"/>
    <x v="1"/>
    <x v="1"/>
    <x v="0"/>
    <s v="加碼"/>
    <n v="1"/>
    <n v="33.5"/>
    <n v="11000"/>
    <n v="-368500"/>
    <m/>
  </r>
  <r>
    <n v="17"/>
    <d v="2020-12-30T00:00:00"/>
    <x v="1"/>
    <x v="1"/>
    <x v="1"/>
    <s v="建倉"/>
    <n v="2"/>
    <n v="33.450000000000003"/>
    <n v="5000"/>
    <n v="-167250"/>
    <m/>
  </r>
  <r>
    <n v="18"/>
    <d v="2020-12-31T00:00:00"/>
    <x v="1"/>
    <x v="1"/>
    <x v="0"/>
    <s v="加碼"/>
    <n v="1"/>
    <n v="33.665000000000006"/>
    <n v="20000"/>
    <n v="-673300.00000000012"/>
    <m/>
  </r>
  <r>
    <n v="19"/>
    <d v="2021-01-06T00:00:00"/>
    <x v="1"/>
    <x v="1"/>
    <x v="0"/>
    <s v="加碼"/>
    <n v="1"/>
    <n v="34.075000000000003"/>
    <n v="10000"/>
    <n v="-340750"/>
    <m/>
  </r>
  <r>
    <n v="20"/>
    <d v="2021-01-15T00:00:00"/>
    <x v="2"/>
    <x v="2"/>
    <x v="0"/>
    <s v="建倉"/>
    <n v="1"/>
    <n v="25.2"/>
    <n v="2000"/>
    <n v="-50400"/>
    <m/>
  </r>
  <r>
    <n v="21"/>
    <d v="2021-01-18T00:00:00"/>
    <x v="0"/>
    <x v="0"/>
    <x v="0"/>
    <s v="建倉"/>
    <n v="3"/>
    <n v="12.97"/>
    <n v="5000"/>
    <n v="-64850"/>
    <m/>
  </r>
  <r>
    <n v="22"/>
    <d v="2021-01-18T00:00:00"/>
    <x v="2"/>
    <x v="2"/>
    <x v="0"/>
    <s v="出場觀望"/>
    <n v="1"/>
    <n v="24.2"/>
    <n v="-2000"/>
    <n v="48400"/>
    <m/>
  </r>
  <r>
    <n v="23"/>
    <d v="2021-01-21T00:00:00"/>
    <x v="0"/>
    <x v="0"/>
    <x v="0"/>
    <s v="加碼"/>
    <n v="3"/>
    <n v="12.833333333333334"/>
    <n v="15000"/>
    <n v="-192500"/>
    <m/>
  </r>
  <r>
    <n v="24"/>
    <d v="2021-01-25T00:00:00"/>
    <x v="0"/>
    <x v="0"/>
    <x v="0"/>
    <s v="加碼"/>
    <n v="3"/>
    <n v="13.3"/>
    <n v="5000"/>
    <n v="-66500"/>
    <m/>
  </r>
  <r>
    <n v="25"/>
    <d v="2021-02-04T00:00:00"/>
    <x v="0"/>
    <x v="0"/>
    <x v="0"/>
    <s v="加碼"/>
    <n v="3"/>
    <n v="13"/>
    <n v="5000"/>
    <n v="-65000"/>
    <m/>
  </r>
  <r>
    <n v="26"/>
    <d v="2021-02-19T00:00:00"/>
    <x v="1"/>
    <x v="1"/>
    <x v="0"/>
    <s v="減碼"/>
    <n v="1"/>
    <n v="33.633333333333333"/>
    <n v="-3000"/>
    <n v="100900"/>
    <m/>
  </r>
  <r>
    <n v="27"/>
    <d v="2021-02-22T00:00:00"/>
    <x v="1"/>
    <x v="1"/>
    <x v="0"/>
    <s v="減碼"/>
    <n v="1"/>
    <n v="33.5"/>
    <n v="-1000"/>
    <n v="33500"/>
    <m/>
  </r>
  <r>
    <n v="28"/>
    <d v="2021-02-23T00:00:00"/>
    <x v="1"/>
    <x v="1"/>
    <x v="0"/>
    <s v="減碼"/>
    <n v="1"/>
    <n v="35.133333333333333"/>
    <n v="-6000"/>
    <n v="210800"/>
    <m/>
  </r>
  <r>
    <n v="29"/>
    <d v="2021-02-24T00:00:00"/>
    <x v="1"/>
    <x v="1"/>
    <x v="0"/>
    <s v="減碼"/>
    <n v="1"/>
    <n v="36.134615384615387"/>
    <n v="-13000"/>
    <n v="469750"/>
    <m/>
  </r>
  <r>
    <n v="30"/>
    <d v="2021-03-02T00:00:00"/>
    <x v="1"/>
    <x v="1"/>
    <x v="0"/>
    <s v="減碼"/>
    <n v="1"/>
    <n v="37.299999999999997"/>
    <n v="-7000"/>
    <n v="261099.99999999997"/>
    <m/>
  </r>
  <r>
    <n v="31"/>
    <d v="2021-03-09T00:00:00"/>
    <x v="2"/>
    <x v="2"/>
    <x v="0"/>
    <s v="建倉"/>
    <n v="2"/>
    <n v="25.75"/>
    <n v="5000"/>
    <n v="-128750"/>
    <m/>
  </r>
  <r>
    <n v="32"/>
    <d v="2021-03-10T00:00:00"/>
    <x v="0"/>
    <x v="0"/>
    <x v="0"/>
    <s v="加碼"/>
    <n v="3"/>
    <n v="14.9"/>
    <n v="10000"/>
    <n v="-149000"/>
    <m/>
  </r>
  <r>
    <n v="33"/>
    <d v="2021-03-12T00:00:00"/>
    <x v="0"/>
    <x v="0"/>
    <x v="0"/>
    <s v="減碼"/>
    <n v="3"/>
    <n v="14.5"/>
    <n v="-10000"/>
    <n v="145000"/>
    <m/>
  </r>
  <r>
    <n v="34"/>
    <d v="2021-03-12T00:00:00"/>
    <x v="1"/>
    <x v="1"/>
    <x v="0"/>
    <s v="減碼"/>
    <n v="1"/>
    <n v="36.5"/>
    <n v="-5000"/>
    <n v="182500"/>
    <m/>
  </r>
  <r>
    <n v="35"/>
    <d v="2021-03-16T00:00:00"/>
    <x v="2"/>
    <x v="2"/>
    <x v="0"/>
    <s v="出場觀望"/>
    <n v="2"/>
    <n v="25.55"/>
    <n v="-5000"/>
    <n v="127750"/>
    <m/>
  </r>
  <r>
    <n v="36"/>
    <d v="2021-03-17T00:00:00"/>
    <x v="0"/>
    <x v="0"/>
    <x v="1"/>
    <s v="建倉"/>
    <n v="4"/>
    <n v="14.4"/>
    <n v="5000"/>
    <n v="-72000"/>
    <m/>
  </r>
  <r>
    <n v="37"/>
    <d v="2021-03-19T00:00:00"/>
    <x v="0"/>
    <x v="0"/>
    <x v="1"/>
    <s v="加碼"/>
    <n v="4"/>
    <n v="14.3"/>
    <n v="5000"/>
    <n v="-71500"/>
    <m/>
  </r>
  <r>
    <n v="38"/>
    <d v="2021-03-24T00:00:00"/>
    <x v="2"/>
    <x v="2"/>
    <x v="0"/>
    <s v="建倉"/>
    <n v="3"/>
    <n v="24.95"/>
    <n v="4000"/>
    <n v="-99800"/>
    <m/>
  </r>
  <r>
    <n v="39"/>
    <d v="2021-03-25T00:00:00"/>
    <x v="2"/>
    <x v="2"/>
    <x v="0"/>
    <s v="加碼"/>
    <n v="3"/>
    <n v="25.2"/>
    <n v="1000"/>
    <n v="-25200"/>
    <m/>
  </r>
  <r>
    <n v="40"/>
    <d v="2021-03-29T00:00:00"/>
    <x v="0"/>
    <x v="0"/>
    <x v="0"/>
    <s v="減碼"/>
    <n v="3"/>
    <n v="17.649999999999999"/>
    <n v="-15000"/>
    <n v="264750"/>
    <m/>
  </r>
  <r>
    <n v="41"/>
    <d v="2021-03-29T00:00:00"/>
    <x v="1"/>
    <x v="1"/>
    <x v="0"/>
    <s v="減碼"/>
    <n v="1"/>
    <n v="39.200000000000003"/>
    <n v="-5000"/>
    <n v="196000"/>
    <m/>
  </r>
  <r>
    <n v="42"/>
    <d v="2021-04-01T00:00:00"/>
    <x v="2"/>
    <x v="2"/>
    <x v="2"/>
    <s v="加碼"/>
    <n v="3"/>
    <n v="26"/>
    <n v="30000"/>
    <n v="-780000"/>
    <m/>
  </r>
  <r>
    <n v="43"/>
    <d v="2021-04-01T00:00:00"/>
    <x v="3"/>
    <x v="3"/>
    <x v="0"/>
    <s v="建倉"/>
    <n v="1"/>
    <n v="34"/>
    <n v="5000"/>
    <n v="-170000"/>
    <m/>
  </r>
  <r>
    <n v="44"/>
    <d v="2021-04-06T00:00:00"/>
    <x v="2"/>
    <x v="2"/>
    <x v="2"/>
    <s v="加碼"/>
    <n v="3"/>
    <n v="26"/>
    <n v="2000"/>
    <n v="-52000"/>
    <m/>
  </r>
  <r>
    <n v="45"/>
    <d v="2021-04-08T00:00:00"/>
    <x v="2"/>
    <x v="2"/>
    <x v="0"/>
    <s v="加碼"/>
    <n v="3"/>
    <n v="28.05"/>
    <n v="3000"/>
    <n v="-84150"/>
    <m/>
  </r>
  <r>
    <n v="46"/>
    <d v="2021-04-09T00:00:00"/>
    <x v="2"/>
    <x v="2"/>
    <x v="2"/>
    <s v="加碼"/>
    <n v="3"/>
    <n v="28"/>
    <n v="60000"/>
    <n v="-1680000"/>
    <m/>
  </r>
  <r>
    <n v="47"/>
    <d v="2021-04-13T00:00:00"/>
    <x v="3"/>
    <x v="3"/>
    <x v="0"/>
    <s v="減碼"/>
    <n v="1"/>
    <n v="34.65"/>
    <n v="-3000"/>
    <n v="103950"/>
    <m/>
  </r>
  <r>
    <n v="48"/>
    <d v="2021-04-14T00:00:00"/>
    <x v="3"/>
    <x v="3"/>
    <x v="0"/>
    <s v="出場觀望"/>
    <n v="1"/>
    <n v="33.4"/>
    <n v="-2000"/>
    <n v="66800"/>
    <m/>
  </r>
  <r>
    <n v="49"/>
    <d v="2021-04-15T00:00:00"/>
    <x v="0"/>
    <x v="0"/>
    <x v="0"/>
    <s v="減碼"/>
    <n v="3"/>
    <n v="19.100000000000001"/>
    <n v="-10000"/>
    <n v="191000"/>
    <m/>
  </r>
  <r>
    <n v="50"/>
    <d v="2021-04-16T00:00:00"/>
    <x v="4"/>
    <x v="4"/>
    <x v="0"/>
    <s v="建倉"/>
    <n v="1"/>
    <n v="39.6"/>
    <n v="2000"/>
    <n v="-79200"/>
    <m/>
  </r>
  <r>
    <n v="51"/>
    <d v="2021-04-16T00:00:00"/>
    <x v="5"/>
    <x v="5"/>
    <x v="0"/>
    <s v="建倉"/>
    <n v="1"/>
    <n v="61"/>
    <n v="1000"/>
    <n v="-61000"/>
    <m/>
  </r>
  <r>
    <n v="52"/>
    <d v="2021-04-16T00:00:00"/>
    <x v="2"/>
    <x v="2"/>
    <x v="0"/>
    <s v="換股操作"/>
    <n v="3"/>
    <n v="34.85"/>
    <n v="2000"/>
    <n v="-69700"/>
    <m/>
  </r>
  <r>
    <n v="53"/>
    <d v="2021-04-16T00:00:00"/>
    <x v="2"/>
    <x v="2"/>
    <x v="0"/>
    <s v="換股操作"/>
    <n v="3"/>
    <n v="34.85"/>
    <n v="5000"/>
    <n v="-174250"/>
    <m/>
  </r>
  <r>
    <n v="54"/>
    <d v="2021-04-16T00:00:00"/>
    <x v="2"/>
    <x v="2"/>
    <x v="2"/>
    <s v="減碼"/>
    <n v="3"/>
    <n v="34.950000000000003"/>
    <n v="-32000"/>
    <n v="1118400"/>
    <m/>
  </r>
  <r>
    <n v="55"/>
    <d v="2021-04-16T00:00:00"/>
    <x v="2"/>
    <x v="2"/>
    <x v="2"/>
    <s v="減碼"/>
    <n v="3"/>
    <n v="35.119999999999997"/>
    <n v="-60000"/>
    <n v="2107200"/>
    <m/>
  </r>
  <r>
    <n v="56"/>
    <d v="2021-04-20T00:00:00"/>
    <x v="5"/>
    <x v="5"/>
    <x v="0"/>
    <s v="加碼"/>
    <n v="1"/>
    <n v="63.5"/>
    <n v="1000"/>
    <n v="-63500"/>
    <m/>
  </r>
  <r>
    <n v="57"/>
    <d v="2021-04-20T00:00:00"/>
    <x v="3"/>
    <x v="3"/>
    <x v="0"/>
    <s v="建倉"/>
    <n v="2"/>
    <n v="34.799999999999997"/>
    <n v="3000"/>
    <n v="-104399.99999999999"/>
    <m/>
  </r>
  <r>
    <n v="58"/>
    <d v="2021-04-21T00:00:00"/>
    <x v="6"/>
    <x v="6"/>
    <x v="0"/>
    <s v="建倉"/>
    <n v="1"/>
    <n v="489"/>
    <n v="1000"/>
    <n v="-489000"/>
    <m/>
  </r>
  <r>
    <n v="59"/>
    <d v="2021-04-22T00:00:00"/>
    <x v="0"/>
    <x v="0"/>
    <x v="0"/>
    <s v="停利"/>
    <n v="3"/>
    <n v="21.55"/>
    <n v="-5000"/>
    <n v="107750"/>
    <m/>
  </r>
  <r>
    <n v="60"/>
    <d v="2021-04-22T00:00:00"/>
    <x v="4"/>
    <x v="4"/>
    <x v="0"/>
    <s v="出場觀望"/>
    <n v="1"/>
    <n v="39.6"/>
    <n v="-2000"/>
    <n v="79200"/>
    <m/>
  </r>
  <r>
    <n v="61"/>
    <d v="2021-04-22T00:00:00"/>
    <x v="2"/>
    <x v="2"/>
    <x v="0"/>
    <s v="停利"/>
    <n v="3"/>
    <n v="41.23"/>
    <n v="-15000"/>
    <n v="618450"/>
    <m/>
  </r>
  <r>
    <n v="62"/>
    <d v="2021-04-22T00:00:00"/>
    <x v="2"/>
    <x v="2"/>
    <x v="0"/>
    <s v="建倉"/>
    <n v="4"/>
    <n v="41.23"/>
    <n v="3000"/>
    <n v="-123689.99999999999"/>
    <m/>
  </r>
  <r>
    <n v="63"/>
    <d v="2021-04-22T00:00:00"/>
    <x v="7"/>
    <x v="7"/>
    <x v="0"/>
    <s v="建倉"/>
    <n v="1"/>
    <n v="276.5"/>
    <n v="1000"/>
    <n v="-276500"/>
    <m/>
  </r>
  <r>
    <n v="64"/>
    <d v="2021-04-22T00:00:00"/>
    <x v="3"/>
    <x v="3"/>
    <x v="0"/>
    <s v="出場觀望"/>
    <n v="2"/>
    <n v="33.799999999999997"/>
    <n v="-3000"/>
    <n v="101399.99999999999"/>
    <m/>
  </r>
  <r>
    <n v="65"/>
    <d v="2021-04-23T00:00:00"/>
    <x v="7"/>
    <x v="7"/>
    <x v="0"/>
    <s v="加碼"/>
    <n v="1"/>
    <n v="286.11500000000001"/>
    <n v="1000"/>
    <n v="-286115"/>
    <m/>
  </r>
  <r>
    <n v="66"/>
    <d v="2021-04-26T00:00:00"/>
    <x v="7"/>
    <x v="7"/>
    <x v="0"/>
    <s v="加碼"/>
    <n v="1"/>
    <n v="295.5"/>
    <n v="2000"/>
    <n v="-591000"/>
    <m/>
  </r>
  <r>
    <n v="67"/>
    <d v="2021-04-27T00:00:00"/>
    <x v="8"/>
    <x v="8"/>
    <x v="0"/>
    <s v="建倉"/>
    <n v="1"/>
    <n v="48.55"/>
    <n v="10000"/>
    <n v="-485500"/>
    <m/>
  </r>
  <r>
    <n v="68"/>
    <d v="2021-04-27T00:00:00"/>
    <x v="6"/>
    <x v="6"/>
    <x v="0"/>
    <s v="加碼"/>
    <n v="1"/>
    <n v="518.41999999999996"/>
    <n v="1000"/>
    <n v="-518419.99999999994"/>
    <m/>
  </r>
  <r>
    <n v="69"/>
    <d v="2021-04-28T00:00:00"/>
    <x v="8"/>
    <x v="8"/>
    <x v="0"/>
    <s v="停損"/>
    <n v="1"/>
    <n v="46.8"/>
    <n v="-10000"/>
    <n v="468000"/>
    <m/>
  </r>
  <r>
    <n v="70"/>
    <d v="2021-04-28T00:00:00"/>
    <x v="9"/>
    <x v="9"/>
    <x v="0"/>
    <s v="建倉"/>
    <n v="1"/>
    <n v="557"/>
    <n v="1000"/>
    <n v="-557000"/>
    <m/>
  </r>
  <r>
    <n v="71"/>
    <d v="2021-04-29T00:00:00"/>
    <x v="7"/>
    <x v="7"/>
    <x v="0"/>
    <s v="減碼"/>
    <n v="1"/>
    <n v="307.16666666666669"/>
    <n v="-3000"/>
    <n v="921500"/>
    <m/>
  </r>
  <r>
    <n v="72"/>
    <d v="2021-04-29T00:00:00"/>
    <x v="1"/>
    <x v="1"/>
    <x v="0"/>
    <s v="停利"/>
    <n v="1"/>
    <n v="43.55"/>
    <n v="-5000"/>
    <n v="217750"/>
    <m/>
  </r>
  <r>
    <n v="73"/>
    <d v="2021-04-29T00:00:00"/>
    <x v="6"/>
    <x v="6"/>
    <x v="0"/>
    <s v="減碼"/>
    <n v="1"/>
    <n v="544"/>
    <n v="-1000"/>
    <n v="544000"/>
    <m/>
  </r>
  <r>
    <n v="74"/>
    <d v="2021-05-04T00:00:00"/>
    <x v="7"/>
    <x v="7"/>
    <x v="0"/>
    <s v="停利"/>
    <n v="1"/>
    <n v="303"/>
    <n v="-1000"/>
    <n v="303000"/>
    <m/>
  </r>
  <r>
    <n v="75"/>
    <d v="2021-05-04T00:00:00"/>
    <x v="6"/>
    <x v="6"/>
    <x v="0"/>
    <s v="加碼"/>
    <n v="1"/>
    <n v="525"/>
    <n v="1000"/>
    <n v="-525000"/>
    <m/>
  </r>
  <r>
    <n v="76"/>
    <d v="2021-05-04T00:00:00"/>
    <x v="10"/>
    <x v="10"/>
    <x v="0"/>
    <s v="加碼"/>
    <n v="1"/>
    <n v="61.1"/>
    <n v="5000"/>
    <n v="-305500"/>
    <m/>
  </r>
  <r>
    <n v="77"/>
    <d v="2021-05-06T00:00:00"/>
    <x v="9"/>
    <x v="9"/>
    <x v="0"/>
    <s v="停損"/>
    <n v="1"/>
    <n v="465.5"/>
    <n v="-1000"/>
    <n v="465500"/>
    <m/>
  </r>
  <r>
    <n v="78"/>
    <d v="2021-05-07T00:00:00"/>
    <x v="10"/>
    <x v="10"/>
    <x v="0"/>
    <s v="加碼"/>
    <n v="1"/>
    <n v="61.819999999999993"/>
    <n v="5000"/>
    <n v="-309099.99999999994"/>
    <m/>
  </r>
  <r>
    <n v="79"/>
    <d v="2021-05-10T00:00:00"/>
    <x v="2"/>
    <x v="2"/>
    <x v="0"/>
    <s v="出場觀望"/>
    <n v="4"/>
    <n v="43.9"/>
    <n v="-3000"/>
    <n v="131700"/>
    <m/>
  </r>
  <r>
    <n v="80"/>
    <d v="2021-05-10T00:00:00"/>
    <x v="10"/>
    <x v="10"/>
    <x v="0"/>
    <s v="減碼"/>
    <n v="1"/>
    <n v="60"/>
    <n v="-5000"/>
    <n v="300000"/>
    <m/>
  </r>
  <r>
    <n v="81"/>
    <d v="2021-05-11T00:00:00"/>
    <x v="5"/>
    <x v="5"/>
    <x v="0"/>
    <s v="停損"/>
    <n v="1"/>
    <n v="62.4"/>
    <n v="-2000"/>
    <n v="124800"/>
    <m/>
  </r>
  <r>
    <n v="82"/>
    <d v="2021-05-11T00:00:00"/>
    <x v="6"/>
    <x v="6"/>
    <x v="0"/>
    <s v="出場觀望"/>
    <n v="1"/>
    <n v="503"/>
    <n v="-2000"/>
    <n v="1006000"/>
    <m/>
  </r>
  <r>
    <n v="83"/>
    <d v="2021-05-11T00:00:00"/>
    <x v="10"/>
    <x v="10"/>
    <x v="0"/>
    <s v="停損"/>
    <n v="1"/>
    <n v="57.9"/>
    <n v="-5000"/>
    <n v="289500"/>
    <m/>
  </r>
  <r>
    <n v="84"/>
    <d v="2021-05-12T00:00:00"/>
    <x v="11"/>
    <x v="11"/>
    <x v="1"/>
    <s v="建倉"/>
    <n v="1"/>
    <n v="50.6"/>
    <n v="1000"/>
    <n v="-50600"/>
    <m/>
  </r>
  <r>
    <n v="85"/>
    <d v="2021-05-12T00:00:00"/>
    <x v="12"/>
    <x v="12"/>
    <x v="0"/>
    <s v="建倉"/>
    <n v="1"/>
    <n v="23.15"/>
    <n v="2000"/>
    <n v="-46300"/>
    <m/>
  </r>
  <r>
    <n v="86"/>
    <d v="2021-05-12T00:00:00"/>
    <x v="13"/>
    <x v="13"/>
    <x v="1"/>
    <s v="建倉"/>
    <n v="1"/>
    <n v="33.949999999999996"/>
    <n v="3000"/>
    <n v="-101849.99999999999"/>
    <m/>
  </r>
  <r>
    <n v="87"/>
    <d v="2021-05-12T00:00:00"/>
    <x v="14"/>
    <x v="14"/>
    <x v="3"/>
    <s v="建倉"/>
    <n v="1"/>
    <n v="169.2"/>
    <n v="5000"/>
    <n v="-846000"/>
    <m/>
  </r>
  <r>
    <n v="88"/>
    <d v="2021-05-14T00:00:00"/>
    <x v="13"/>
    <x v="13"/>
    <x v="3"/>
    <s v="建倉"/>
    <n v="2"/>
    <n v="37.35"/>
    <n v="2000"/>
    <n v="-74700"/>
    <m/>
  </r>
  <r>
    <n v="89"/>
    <d v="2021-05-17T00:00:00"/>
    <x v="14"/>
    <x v="14"/>
    <x v="3"/>
    <s v="減碼"/>
    <n v="1"/>
    <n v="188.5"/>
    <n v="-4000"/>
    <n v="754000"/>
    <m/>
  </r>
  <r>
    <n v="90"/>
    <d v="2021-05-17T00:00:00"/>
    <x v="15"/>
    <x v="15"/>
    <x v="0"/>
    <s v="建倉"/>
    <n v="1"/>
    <n v="28.024999999999999"/>
    <n v="20000"/>
    <n v="-560500"/>
    <m/>
  </r>
  <r>
    <n v="91"/>
    <d v="2021-05-18T00:00:00"/>
    <x v="11"/>
    <x v="11"/>
    <x v="0"/>
    <s v="建倉"/>
    <n v="2"/>
    <n v="49.55"/>
    <n v="1000"/>
    <n v="-49550"/>
    <m/>
  </r>
  <r>
    <n v="92"/>
    <d v="2021-05-18T00:00:00"/>
    <x v="10"/>
    <x v="10"/>
    <x v="0"/>
    <s v="建倉"/>
    <n v="2"/>
    <n v="56"/>
    <n v="3000"/>
    <n v="-168000"/>
    <m/>
  </r>
  <r>
    <n v="93"/>
    <d v="2021-05-19T00:00:00"/>
    <x v="13"/>
    <x v="13"/>
    <x v="3"/>
    <s v="減碼"/>
    <n v="2"/>
    <n v="40.299999999999997"/>
    <n v="-2000"/>
    <n v="80600"/>
    <m/>
  </r>
  <r>
    <n v="94"/>
    <d v="2021-05-19T00:00:00"/>
    <x v="16"/>
    <x v="16"/>
    <x v="1"/>
    <s v="建倉"/>
    <n v="1"/>
    <n v="50.1"/>
    <n v="1000"/>
    <n v="-50100"/>
    <m/>
  </r>
  <r>
    <n v="95"/>
    <d v="2021-05-19T00:00:00"/>
    <x v="14"/>
    <x v="14"/>
    <x v="3"/>
    <s v="停利"/>
    <n v="1"/>
    <n v="181.5"/>
    <n v="-1000"/>
    <n v="181500"/>
    <m/>
  </r>
  <r>
    <n v="96"/>
    <d v="2021-05-21T00:00:00"/>
    <x v="17"/>
    <x v="17"/>
    <x v="1"/>
    <s v="建倉"/>
    <n v="1"/>
    <n v="38.799999999999997"/>
    <n v="1000"/>
    <n v="-38800"/>
    <m/>
  </r>
  <r>
    <n v="97"/>
    <d v="2021-05-21T00:00:00"/>
    <x v="18"/>
    <x v="18"/>
    <x v="0"/>
    <s v="建倉"/>
    <n v="1"/>
    <n v="55.3"/>
    <n v="3000"/>
    <n v="-165900"/>
    <m/>
  </r>
  <r>
    <n v="98"/>
    <d v="2021-05-21T00:00:00"/>
    <x v="10"/>
    <x v="10"/>
    <x v="0"/>
    <s v="出場觀望"/>
    <n v="2"/>
    <n v="58.1"/>
    <n v="-3000"/>
    <n v="174300"/>
    <m/>
  </r>
  <r>
    <n v="99"/>
    <d v="2021-05-25T00:00:00"/>
    <x v="15"/>
    <x v="15"/>
    <x v="0"/>
    <s v="加碼"/>
    <n v="1"/>
    <n v="29.25"/>
    <n v="10000"/>
    <n v="-292500"/>
    <m/>
  </r>
  <r>
    <n v="100"/>
    <d v="2021-05-26T00:00:00"/>
    <x v="19"/>
    <x v="19"/>
    <x v="0"/>
    <s v="建倉"/>
    <n v="1"/>
    <n v="30.25"/>
    <n v="5000"/>
    <n v="-151250"/>
    <m/>
  </r>
  <r>
    <n v="101"/>
    <d v="2021-05-28T00:00:00"/>
    <x v="13"/>
    <x v="13"/>
    <x v="1"/>
    <s v="停利"/>
    <n v="1"/>
    <n v="76.8"/>
    <n v="-3000"/>
    <n v="230400"/>
    <m/>
  </r>
  <r>
    <n v="102"/>
    <d v="2021-05-31T00:00:00"/>
    <x v="20"/>
    <x v="20"/>
    <x v="0"/>
    <s v="建倉"/>
    <n v="1"/>
    <n v="41"/>
    <n v="2000"/>
    <n v="-82000"/>
    <m/>
  </r>
  <r>
    <n v="103"/>
    <d v="2021-05-31T00:00:00"/>
    <x v="21"/>
    <x v="21"/>
    <x v="0"/>
    <s v="建倉"/>
    <n v="1"/>
    <n v="109"/>
    <n v="1000"/>
    <n v="-109000"/>
    <m/>
  </r>
  <r>
    <n v="104"/>
    <d v="2021-06-01T00:00:00"/>
    <x v="19"/>
    <x v="19"/>
    <x v="0"/>
    <s v="停利"/>
    <n v="1"/>
    <n v="31"/>
    <n v="-5000"/>
    <n v="155000"/>
    <m/>
  </r>
  <r>
    <n v="105"/>
    <d v="2021-06-01T00:00:00"/>
    <x v="22"/>
    <x v="22"/>
    <x v="0"/>
    <s v="建倉"/>
    <n v="1"/>
    <n v="237.5"/>
    <n v="1000"/>
    <n v="-237500"/>
    <m/>
  </r>
  <r>
    <n v="106"/>
    <d v="2021-06-01T00:00:00"/>
    <x v="15"/>
    <x v="15"/>
    <x v="0"/>
    <s v="加碼"/>
    <n v="1"/>
    <n v="31.25"/>
    <n v="5000"/>
    <n v="-156250"/>
    <m/>
  </r>
  <r>
    <n v="107"/>
    <d v="2021-06-01T00:00:00"/>
    <x v="15"/>
    <x v="15"/>
    <x v="0"/>
    <s v="減碼"/>
    <n v="1"/>
    <n v="31.15"/>
    <n v="-5000"/>
    <n v="155750"/>
    <m/>
  </r>
  <r>
    <n v="108"/>
    <d v="2021-06-02T00:00:00"/>
    <x v="22"/>
    <x v="22"/>
    <x v="0"/>
    <s v="停損"/>
    <n v="1"/>
    <n v="233.25"/>
    <n v="-1000"/>
    <n v="233250"/>
    <m/>
  </r>
  <r>
    <n v="109"/>
    <d v="2021-06-04T00:00:00"/>
    <x v="23"/>
    <x v="23"/>
    <x v="0"/>
    <s v="建倉"/>
    <n v="1"/>
    <n v="58"/>
    <n v="2000"/>
    <n v="-116000"/>
    <m/>
  </r>
  <r>
    <n v="110"/>
    <d v="2021-06-04T00:00:00"/>
    <x v="24"/>
    <x v="24"/>
    <x v="0"/>
    <s v="建倉"/>
    <n v="1"/>
    <n v="26.9"/>
    <n v="4000"/>
    <n v="-107600"/>
    <m/>
  </r>
  <r>
    <n v="111"/>
    <d v="2021-06-04T00:00:00"/>
    <x v="25"/>
    <x v="25"/>
    <x v="0"/>
    <s v="建倉"/>
    <n v="1"/>
    <n v="118.5"/>
    <n v="2500"/>
    <n v="-296250"/>
    <m/>
  </r>
  <r>
    <n v="112"/>
    <d v="2021-06-04T00:00:00"/>
    <x v="21"/>
    <x v="21"/>
    <x v="0"/>
    <s v="停利"/>
    <n v="1"/>
    <n v="112"/>
    <n v="-1000"/>
    <n v="112000"/>
    <m/>
  </r>
  <r>
    <n v="113"/>
    <d v="2021-06-07T00:00:00"/>
    <x v="24"/>
    <x v="24"/>
    <x v="0"/>
    <s v="加碼"/>
    <n v="1"/>
    <n v="27"/>
    <n v="4000"/>
    <n v="-108000"/>
    <m/>
  </r>
  <r>
    <n v="114"/>
    <d v="2021-06-07T00:00:00"/>
    <x v="24"/>
    <x v="24"/>
    <x v="0"/>
    <s v="減碼"/>
    <n v="1"/>
    <n v="26.3"/>
    <n v="-4000"/>
    <n v="105200"/>
    <m/>
  </r>
  <r>
    <n v="115"/>
    <d v="2021-06-07T00:00:00"/>
    <x v="24"/>
    <x v="24"/>
    <x v="0"/>
    <s v="加碼"/>
    <n v="1"/>
    <n v="26.6"/>
    <n v="5000"/>
    <n v="-133000"/>
    <m/>
  </r>
  <r>
    <n v="116"/>
    <d v="2021-06-07T00:00:00"/>
    <x v="14"/>
    <x v="14"/>
    <x v="0"/>
    <s v="建倉"/>
    <n v="2"/>
    <n v="220"/>
    <n v="1000"/>
    <n v="-220000"/>
    <m/>
  </r>
  <r>
    <n v="117"/>
    <d v="2021-06-08T00:00:00"/>
    <x v="14"/>
    <x v="14"/>
    <x v="0"/>
    <s v="停利"/>
    <n v="2"/>
    <n v="224.5"/>
    <n v="-1000"/>
    <n v="224500"/>
    <m/>
  </r>
  <r>
    <n v="118"/>
    <d v="2021-06-08T00:00:00"/>
    <x v="14"/>
    <x v="14"/>
    <x v="0"/>
    <s v="建倉"/>
    <n v="3"/>
    <n v="232"/>
    <n v="2000"/>
    <n v="-464000"/>
    <m/>
  </r>
  <r>
    <n v="119"/>
    <d v="2021-06-08T00:00:00"/>
    <x v="14"/>
    <x v="14"/>
    <x v="0"/>
    <s v="停損"/>
    <n v="3"/>
    <n v="229.5"/>
    <n v="-2000"/>
    <n v="459000"/>
    <m/>
  </r>
  <r>
    <n v="120"/>
    <d v="2021-06-08T00:00:00"/>
    <x v="14"/>
    <x v="14"/>
    <x v="0"/>
    <s v="建倉"/>
    <n v="4"/>
    <n v="231"/>
    <n v="2000"/>
    <n v="-462000"/>
    <m/>
  </r>
  <r>
    <n v="121"/>
    <d v="2021-06-08T00:00:00"/>
    <x v="16"/>
    <x v="16"/>
    <x v="1"/>
    <s v="出場觀望"/>
    <n v="1"/>
    <n v="50.1"/>
    <n v="-1000"/>
    <n v="-50100"/>
    <m/>
  </r>
  <r>
    <n v="122"/>
    <d v="2021-06-08T00:00:00"/>
    <x v="15"/>
    <x v="15"/>
    <x v="0"/>
    <s v="加碼"/>
    <n v="1"/>
    <n v="31.1"/>
    <n v="5000"/>
    <n v="-155500"/>
    <m/>
  </r>
  <r>
    <n v="123"/>
    <d v="2021-06-09T00:00:00"/>
    <x v="14"/>
    <x v="14"/>
    <x v="0"/>
    <s v="停損"/>
    <n v="4"/>
    <n v="223"/>
    <n v="-2000"/>
    <n v="446000"/>
    <m/>
  </r>
  <r>
    <n v="124"/>
    <d v="2021-06-10T00:00:00"/>
    <x v="26"/>
    <x v="26"/>
    <x v="1"/>
    <s v="建倉"/>
    <n v="1"/>
    <n v="44.5"/>
    <n v="1000"/>
    <n v="-44500"/>
    <m/>
  </r>
  <r>
    <n v="125"/>
    <d v="2021-06-10T00:00:00"/>
    <x v="22"/>
    <x v="22"/>
    <x v="0"/>
    <s v="建倉"/>
    <n v="2"/>
    <n v="233.5"/>
    <n v="200"/>
    <n v="-46700"/>
    <m/>
  </r>
  <r>
    <n v="126"/>
    <d v="2021-06-11T00:00:00"/>
    <x v="22"/>
    <x v="22"/>
    <x v="0"/>
    <s v="減碼"/>
    <n v="2"/>
    <n v="239"/>
    <n v="-200"/>
    <n v="47800"/>
    <m/>
  </r>
  <r>
    <n v="127"/>
    <d v="2021-06-11T00:00:00"/>
    <x v="22"/>
    <x v="22"/>
    <x v="0"/>
    <s v="加碼"/>
    <n v="2"/>
    <n v="240"/>
    <n v="1000"/>
    <n v="-240000"/>
    <m/>
  </r>
  <r>
    <n v="128"/>
    <d v="2021-06-11T00:00:00"/>
    <x v="26"/>
    <x v="26"/>
    <x v="0"/>
    <s v="建倉"/>
    <n v="2"/>
    <n v="44.774999999999999"/>
    <n v="2000"/>
    <n v="-89550"/>
    <m/>
  </r>
  <r>
    <n v="129"/>
    <d v="2021-06-11T00:00:00"/>
    <x v="27"/>
    <x v="27"/>
    <x v="1"/>
    <s v="建倉"/>
    <n v="1"/>
    <n v="124"/>
    <n v="1000"/>
    <n v="-124000"/>
    <m/>
  </r>
  <r>
    <n v="130"/>
    <d v="2021-06-11T00:00:00"/>
    <x v="28"/>
    <x v="28"/>
    <x v="0"/>
    <s v="建倉"/>
    <n v="1"/>
    <n v="134.5"/>
    <n v="1000"/>
    <n v="-134500"/>
    <m/>
  </r>
  <r>
    <n v="131"/>
    <d v="2021-06-11T00:00:00"/>
    <x v="29"/>
    <x v="29"/>
    <x v="0"/>
    <s v="建倉"/>
    <n v="1"/>
    <n v="105"/>
    <n v="1000"/>
    <n v="-105000"/>
    <m/>
  </r>
  <r>
    <n v="132"/>
    <d v="2021-06-11T00:00:00"/>
    <x v="23"/>
    <x v="23"/>
    <x v="0"/>
    <s v="減碼"/>
    <n v="1"/>
    <n v="57.95"/>
    <n v="-1000"/>
    <n v="57950"/>
    <m/>
  </r>
  <r>
    <n v="133"/>
    <d v="2021-06-11T00:00:00"/>
    <x v="20"/>
    <x v="20"/>
    <x v="0"/>
    <s v="停利"/>
    <n v="1"/>
    <n v="44.3"/>
    <n v="-2000"/>
    <n v="88600"/>
    <m/>
  </r>
  <r>
    <n v="134"/>
    <d v="2021-06-11T00:00:00"/>
    <x v="25"/>
    <x v="25"/>
    <x v="0"/>
    <s v="減碼"/>
    <n v="1"/>
    <n v="120.5"/>
    <n v="-2000"/>
    <n v="241000"/>
    <m/>
  </r>
  <r>
    <n v="135"/>
    <d v="2021-06-15T00:00:00"/>
    <x v="17"/>
    <x v="17"/>
    <x v="0"/>
    <s v="建倉"/>
    <n v="2"/>
    <n v="42.35"/>
    <n v="1000"/>
    <n v="-42350"/>
    <m/>
  </r>
  <r>
    <n v="136"/>
    <d v="2021-06-15T00:00:00"/>
    <x v="24"/>
    <x v="24"/>
    <x v="0"/>
    <s v="加碼"/>
    <n v="1"/>
    <n v="26.5"/>
    <n v="6000"/>
    <n v="-159000"/>
    <m/>
  </r>
  <r>
    <n v="137"/>
    <d v="2021-06-15T00:00:00"/>
    <x v="25"/>
    <x v="25"/>
    <x v="0"/>
    <s v="停利"/>
    <n v="1"/>
    <n v="118.5"/>
    <n v="-500"/>
    <n v="59250"/>
    <m/>
  </r>
  <r>
    <n v="138"/>
    <d v="2021-06-15T00:00:00"/>
    <x v="26"/>
    <x v="26"/>
    <x v="0"/>
    <s v="加碼"/>
    <n v="2"/>
    <n v="45"/>
    <n v="1000"/>
    <n v="-45000"/>
    <m/>
  </r>
  <r>
    <n v="139"/>
    <d v="2021-06-16T00:00:00"/>
    <x v="15"/>
    <x v="15"/>
    <x v="0"/>
    <s v="減碼"/>
    <n v="1"/>
    <n v="31.4"/>
    <n v="-10000"/>
    <n v="314000"/>
    <m/>
  </r>
  <r>
    <n v="140"/>
    <d v="2021-06-16T00:00:00"/>
    <x v="22"/>
    <x v="22"/>
    <x v="0"/>
    <s v="減碼"/>
    <n v="2"/>
    <n v="232"/>
    <n v="-600"/>
    <n v="139200"/>
    <m/>
  </r>
  <r>
    <n v="141"/>
    <d v="2021-06-16T00:00:00"/>
    <x v="30"/>
    <x v="30"/>
    <x v="0"/>
    <s v="建倉"/>
    <n v="1"/>
    <n v="111"/>
    <n v="1000"/>
    <n v="-111000"/>
    <m/>
  </r>
  <r>
    <n v="142"/>
    <d v="2021-06-16T00:00:00"/>
    <x v="18"/>
    <x v="18"/>
    <x v="0"/>
    <s v="加碼"/>
    <n v="1"/>
    <n v="57.4"/>
    <n v="1000"/>
    <n v="-57400"/>
    <m/>
  </r>
  <r>
    <n v="143"/>
    <d v="2021-06-17T00:00:00"/>
    <x v="30"/>
    <x v="30"/>
    <x v="0"/>
    <s v="停損"/>
    <n v="1"/>
    <n v="108"/>
    <n v="-1000"/>
    <n v="108000"/>
    <m/>
  </r>
  <r>
    <n v="144"/>
    <d v="2021-06-17T00:00:00"/>
    <x v="31"/>
    <x v="31"/>
    <x v="0"/>
    <s v="建倉"/>
    <n v="1"/>
    <n v="53"/>
    <n v="2000"/>
    <n v="-106000"/>
    <m/>
  </r>
  <r>
    <n v="145"/>
    <d v="2021-06-17T00:00:00"/>
    <x v="32"/>
    <x v="32"/>
    <x v="0"/>
    <s v="建倉"/>
    <n v="1"/>
    <n v="197"/>
    <n v="500"/>
    <n v="-98500"/>
    <m/>
  </r>
  <r>
    <n v="146"/>
    <d v="2021-06-18T00:00:00"/>
    <x v="24"/>
    <x v="24"/>
    <x v="0"/>
    <s v="停損"/>
    <n v="1"/>
    <n v="24.891666666666666"/>
    <n v="-15000"/>
    <n v="373375"/>
    <m/>
  </r>
  <r>
    <n v="147"/>
    <d v="2021-06-18T00:00:00"/>
    <x v="33"/>
    <x v="33"/>
    <x v="0"/>
    <s v="建倉"/>
    <n v="1"/>
    <n v="127.5"/>
    <n v="1000"/>
    <n v="-127500"/>
    <m/>
  </r>
  <r>
    <n v="148"/>
    <d v="2021-06-18T00:00:00"/>
    <x v="25"/>
    <x v="25"/>
    <x v="0"/>
    <s v="建倉"/>
    <n v="2"/>
    <n v="131.25"/>
    <n v="1000"/>
    <n v="-131250"/>
    <m/>
  </r>
  <r>
    <n v="149"/>
    <d v="2021-06-21T00:00:00"/>
    <x v="17"/>
    <x v="17"/>
    <x v="0"/>
    <s v="加碼"/>
    <n v="2"/>
    <n v="41.9"/>
    <n v="1000"/>
    <n v="-41900"/>
    <m/>
  </r>
  <r>
    <n v="150"/>
    <d v="2021-06-21T00:00:00"/>
    <x v="34"/>
    <x v="34"/>
    <x v="0"/>
    <s v="建倉"/>
    <n v="1"/>
    <n v="326"/>
    <n v="1000"/>
    <n v="-326000"/>
    <m/>
  </r>
  <r>
    <n v="151"/>
    <d v="2021-06-22T00:00:00"/>
    <x v="26"/>
    <x v="26"/>
    <x v="0"/>
    <s v="減碼"/>
    <n v="2"/>
    <n v="43.25"/>
    <n v="-3000"/>
    <n v="129750"/>
    <m/>
  </r>
  <r>
    <n v="152"/>
    <d v="2021-06-22T00:00:00"/>
    <x v="32"/>
    <x v="32"/>
    <x v="0"/>
    <s v="停損"/>
    <n v="1"/>
    <n v="190.8"/>
    <n v="-500"/>
    <n v="95400"/>
    <m/>
  </r>
  <r>
    <n v="153"/>
    <d v="2021-06-22T00:00:00"/>
    <x v="22"/>
    <x v="22"/>
    <x v="0"/>
    <s v="停損"/>
    <n v="2"/>
    <n v="230"/>
    <n v="-400"/>
    <n v="92000"/>
    <m/>
  </r>
  <r>
    <n v="154"/>
    <d v="2021-06-22T00:00:00"/>
    <x v="28"/>
    <x v="28"/>
    <x v="0"/>
    <s v="停損"/>
    <n v="1"/>
    <n v="129.5"/>
    <n v="-1000"/>
    <n v="129500"/>
    <m/>
  </r>
  <r>
    <n v="155"/>
    <d v="2021-06-22T00:00:00"/>
    <x v="29"/>
    <x v="29"/>
    <x v="0"/>
    <s v="停損"/>
    <n v="1"/>
    <n v="104"/>
    <n v="-1000"/>
    <n v="104000"/>
    <m/>
  </r>
  <r>
    <n v="156"/>
    <d v="2021-06-22T00:00:00"/>
    <x v="31"/>
    <x v="31"/>
    <x v="0"/>
    <s v="停損"/>
    <n v="1"/>
    <n v="52"/>
    <n v="-2000"/>
    <n v="104000"/>
    <m/>
  </r>
  <r>
    <n v="157"/>
    <d v="2021-06-22T00:00:00"/>
    <x v="35"/>
    <x v="35"/>
    <x v="0"/>
    <s v="建倉"/>
    <n v="1"/>
    <n v="117.5"/>
    <n v="2000"/>
    <n v="-235000"/>
    <m/>
  </r>
  <r>
    <n v="158"/>
    <d v="2021-06-23T00:00:00"/>
    <x v="12"/>
    <x v="12"/>
    <x v="0"/>
    <s v="停利"/>
    <n v="1"/>
    <n v="27.9"/>
    <n v="-2000"/>
    <n v="55800"/>
    <m/>
  </r>
  <r>
    <n v="159"/>
    <d v="2021-06-23T00:00:00"/>
    <x v="36"/>
    <x v="36"/>
    <x v="0"/>
    <s v="建倉"/>
    <n v="1"/>
    <n v="123.5"/>
    <n v="2000"/>
    <n v="-247000"/>
    <m/>
  </r>
  <r>
    <n v="160"/>
    <d v="2021-06-24T00:00:00"/>
    <x v="37"/>
    <x v="37"/>
    <x v="3"/>
    <s v="建倉"/>
    <n v="1"/>
    <n v="127.5"/>
    <n v="1000"/>
    <n v="-127500"/>
    <m/>
  </r>
  <r>
    <n v="161"/>
    <d v="2021-06-24T00:00:00"/>
    <x v="38"/>
    <x v="38"/>
    <x v="0"/>
    <s v="建倉"/>
    <n v="1"/>
    <n v="40.5"/>
    <n v="4000"/>
    <n v="-162000"/>
    <m/>
  </r>
  <r>
    <n v="162"/>
    <d v="2021-06-24T00:00:00"/>
    <x v="25"/>
    <x v="25"/>
    <x v="0"/>
    <s v="停利"/>
    <n v="2"/>
    <n v="136"/>
    <n v="-1000"/>
    <n v="136000"/>
    <m/>
  </r>
  <r>
    <n v="163"/>
    <d v="2021-06-24T00:00:00"/>
    <x v="33"/>
    <x v="33"/>
    <x v="0"/>
    <s v="停利"/>
    <n v="1"/>
    <n v="133.5"/>
    <n v="-1000"/>
    <n v="133500"/>
    <m/>
  </r>
  <r>
    <n v="164"/>
    <d v="2021-06-24T00:00:00"/>
    <x v="34"/>
    <x v="34"/>
    <x v="0"/>
    <s v="停利"/>
    <n v="1"/>
    <n v="352"/>
    <n v="-1000"/>
    <n v="352000"/>
    <m/>
  </r>
  <r>
    <n v="165"/>
    <d v="2021-06-25T00:00:00"/>
    <x v="24"/>
    <x v="24"/>
    <x v="0"/>
    <s v="建倉"/>
    <n v="2"/>
    <n v="26.4"/>
    <n v="6000"/>
    <n v="-158400"/>
    <m/>
  </r>
  <r>
    <n v="166"/>
    <d v="2021-06-25T00:00:00"/>
    <x v="26"/>
    <x v="26"/>
    <x v="0"/>
    <s v="加碼"/>
    <n v="2"/>
    <n v="44.25"/>
    <n v="2000"/>
    <n v="-88500"/>
    <m/>
  </r>
  <r>
    <n v="167"/>
    <d v="2021-06-25T00:00:00"/>
    <x v="16"/>
    <x v="16"/>
    <x v="0"/>
    <s v="建倉"/>
    <n v="2"/>
    <n v="54.6"/>
    <n v="2000"/>
    <n v="-109200"/>
    <m/>
  </r>
  <r>
    <n v="168"/>
    <d v="2021-06-25T00:00:00"/>
    <x v="29"/>
    <x v="29"/>
    <x v="0"/>
    <s v="建倉"/>
    <n v="2"/>
    <n v="112"/>
    <n v="1552"/>
    <n v="-173824"/>
    <m/>
  </r>
  <r>
    <n v="169"/>
    <d v="2021-06-25T00:00:00"/>
    <x v="37"/>
    <x v="37"/>
    <x v="3"/>
    <s v="停利"/>
    <n v="1"/>
    <n v="131"/>
    <n v="-1000"/>
    <n v="131000"/>
    <m/>
  </r>
  <r>
    <n v="170"/>
    <d v="2021-06-25T00:00:00"/>
    <x v="15"/>
    <x v="15"/>
    <x v="0"/>
    <s v="減碼"/>
    <n v="1"/>
    <n v="35.35"/>
    <n v="-5000"/>
    <n v="176750"/>
    <m/>
  </r>
  <r>
    <n v="171"/>
    <d v="2021-06-25T00:00:00"/>
    <x v="38"/>
    <x v="38"/>
    <x v="0"/>
    <s v="停利"/>
    <n v="1"/>
    <n v="41.5"/>
    <n v="-4000"/>
    <n v="166000"/>
    <m/>
  </r>
  <r>
    <n v="172"/>
    <d v="2021-06-28T00:00:00"/>
    <x v="39"/>
    <x v="39"/>
    <x v="0"/>
    <s v="建倉"/>
    <n v="1"/>
    <n v="81.599999999999994"/>
    <n v="1000"/>
    <n v="-81600"/>
    <m/>
  </r>
  <r>
    <n v="173"/>
    <d v="2021-06-28T00:00:00"/>
    <x v="0"/>
    <x v="0"/>
    <x v="0"/>
    <s v="建倉"/>
    <n v="5"/>
    <n v="22.35"/>
    <n v="5000"/>
    <n v="-111750"/>
    <m/>
  </r>
  <r>
    <n v="174"/>
    <d v="2021-06-28T00:00:00"/>
    <x v="39"/>
    <x v="39"/>
    <x v="0"/>
    <s v="建倉"/>
    <n v="1"/>
    <n v="81.5"/>
    <n v="1000"/>
    <n v="-81500"/>
    <m/>
  </r>
  <r>
    <n v="175"/>
    <d v="2021-06-28T00:00:00"/>
    <x v="39"/>
    <x v="39"/>
    <x v="0"/>
    <s v="建倉"/>
    <n v="1"/>
    <n v="81.599999999999994"/>
    <n v="1000"/>
    <n v="-81600"/>
    <m/>
  </r>
  <r>
    <n v="176"/>
    <d v="2021-06-28T00:00:00"/>
    <x v="39"/>
    <x v="39"/>
    <x v="0"/>
    <s v="減碼"/>
    <n v="1"/>
    <n v="80.400000000000006"/>
    <n v="-2000"/>
    <n v="160800"/>
    <m/>
  </r>
  <r>
    <n v="177"/>
    <d v="2021-06-28T00:00:00"/>
    <x v="40"/>
    <x v="40"/>
    <x v="3"/>
    <s v="當沖"/>
    <n v="1"/>
    <n v="28.9"/>
    <n v="-4000"/>
    <n v="115600"/>
    <m/>
  </r>
  <r>
    <n v="178"/>
    <d v="2021-06-28T00:00:00"/>
    <x v="40"/>
    <x v="40"/>
    <x v="3"/>
    <s v="當沖"/>
    <n v="1"/>
    <n v="29.2"/>
    <n v="4000"/>
    <n v="-116800"/>
    <m/>
  </r>
  <r>
    <n v="179"/>
    <d v="2021-06-28T00:00:00"/>
    <x v="39"/>
    <x v="39"/>
    <x v="0"/>
    <s v="加碼"/>
    <n v="1"/>
    <n v="80.7"/>
    <n v="1000"/>
    <n v="-80700"/>
    <m/>
  </r>
  <r>
    <n v="180"/>
    <d v="2021-06-28T00:00:00"/>
    <x v="41"/>
    <x v="41"/>
    <x v="0"/>
    <s v="建倉"/>
    <n v="1"/>
    <n v="55.9"/>
    <n v="2000"/>
    <n v="-111800"/>
    <m/>
  </r>
  <r>
    <n v="181"/>
    <d v="2021-06-28T00:00:00"/>
    <x v="42"/>
    <x v="42"/>
    <x v="0"/>
    <s v="當沖"/>
    <n v="1"/>
    <n v="34.85"/>
    <n v="-3000"/>
    <n v="104550"/>
    <m/>
  </r>
  <r>
    <n v="182"/>
    <d v="2021-06-28T00:00:00"/>
    <x v="42"/>
    <x v="42"/>
    <x v="0"/>
    <s v="當沖"/>
    <n v="1"/>
    <n v="35.4"/>
    <n v="3000"/>
    <n v="-106200"/>
    <m/>
  </r>
  <r>
    <n v="183"/>
    <d v="2021-06-29T00:00:00"/>
    <x v="43"/>
    <x v="43"/>
    <x v="0"/>
    <s v="建倉"/>
    <n v="1"/>
    <n v="59.2"/>
    <n v="1000"/>
    <n v="-59200"/>
    <m/>
  </r>
  <r>
    <n v="184"/>
    <d v="2021-06-29T00:00:00"/>
    <x v="44"/>
    <x v="44"/>
    <x v="0"/>
    <s v="建倉"/>
    <n v="1"/>
    <n v="142"/>
    <n v="1000"/>
    <n v="-142000"/>
    <m/>
  </r>
  <r>
    <n v="185"/>
    <d v="2021-06-29T00:00:00"/>
    <x v="45"/>
    <x v="45"/>
    <x v="0"/>
    <s v="建倉"/>
    <n v="1"/>
    <n v="21"/>
    <n v="2000"/>
    <n v="-42000"/>
    <m/>
  </r>
  <r>
    <n v="186"/>
    <d v="2021-06-29T00:00:00"/>
    <x v="46"/>
    <x v="46"/>
    <x v="3"/>
    <s v="當沖"/>
    <n v="1"/>
    <n v="75.011700000000005"/>
    <n v="17000"/>
    <n v="-1275198.9000000001"/>
    <m/>
  </r>
  <r>
    <n v="187"/>
    <d v="2021-06-29T00:00:00"/>
    <x v="46"/>
    <x v="46"/>
    <x v="3"/>
    <s v="當沖"/>
    <n v="1"/>
    <n v="74.970500000000001"/>
    <n v="-17000"/>
    <n v="1274498.5"/>
    <m/>
  </r>
  <r>
    <n v="188"/>
    <d v="2021-06-29T00:00:00"/>
    <x v="24"/>
    <x v="24"/>
    <x v="0"/>
    <s v="停利"/>
    <n v="2"/>
    <n v="30"/>
    <n v="-6000"/>
    <n v="180000"/>
    <m/>
  </r>
  <r>
    <n v="189"/>
    <d v="2021-06-29T00:00:00"/>
    <x v="36"/>
    <x v="36"/>
    <x v="0"/>
    <s v="停利"/>
    <n v="1"/>
    <n v="138.5"/>
    <n v="-2000"/>
    <n v="277000"/>
    <m/>
  </r>
  <r>
    <n v="190"/>
    <d v="2021-06-30T00:00:00"/>
    <x v="47"/>
    <x v="47"/>
    <x v="3"/>
    <s v="建倉"/>
    <n v="1"/>
    <n v="28.7666"/>
    <n v="15000"/>
    <n v="-431499"/>
    <m/>
  </r>
  <r>
    <n v="191"/>
    <d v="2021-06-30T00:00:00"/>
    <x v="47"/>
    <x v="47"/>
    <x v="3"/>
    <s v="出場觀望"/>
    <n v="1"/>
    <n v="28.85"/>
    <n v="-15000"/>
    <n v="432750"/>
    <m/>
  </r>
  <r>
    <n v="192"/>
    <d v="2021-06-30T00:00:00"/>
    <x v="23"/>
    <x v="23"/>
    <x v="0"/>
    <s v="停利"/>
    <n v="1"/>
    <n v="60.3"/>
    <n v="-1000"/>
    <n v="60300"/>
    <m/>
  </r>
  <r>
    <n v="193"/>
    <d v="2021-06-30T00:00:00"/>
    <x v="29"/>
    <x v="29"/>
    <x v="0"/>
    <s v="停損"/>
    <n v="2"/>
    <n v="109.8221649484536"/>
    <n v="-1552"/>
    <n v="170444"/>
    <m/>
  </r>
  <r>
    <n v="194"/>
    <d v="2021-06-30T00:00:00"/>
    <x v="44"/>
    <x v="44"/>
    <x v="0"/>
    <s v="停損"/>
    <n v="1"/>
    <n v="141"/>
    <n v="-1000"/>
    <n v="141000"/>
    <m/>
  </r>
  <r>
    <n v="195"/>
    <d v="2021-06-30T00:00:00"/>
    <x v="17"/>
    <x v="17"/>
    <x v="0"/>
    <s v="加碼"/>
    <n v="2"/>
    <n v="42.4"/>
    <n v="1000"/>
    <n v="-42400"/>
    <m/>
  </r>
  <r>
    <n v="196"/>
    <d v="2021-07-01T00:00:00"/>
    <x v="11"/>
    <x v="11"/>
    <x v="0"/>
    <s v="停利"/>
    <n v="2"/>
    <n v="51"/>
    <n v="-1000"/>
    <n v="51000"/>
    <m/>
  </r>
  <r>
    <n v="197"/>
    <d v="2021-07-01T00:00:00"/>
    <x v="48"/>
    <x v="48"/>
    <x v="3"/>
    <s v="建倉"/>
    <n v="1"/>
    <n v="15.1"/>
    <n v="10000"/>
    <n v="-151000"/>
    <m/>
  </r>
  <r>
    <n v="198"/>
    <d v="2021-07-02T00:00:00"/>
    <x v="49"/>
    <x v="49"/>
    <x v="0"/>
    <s v="建倉"/>
    <n v="1"/>
    <n v="105"/>
    <n v="1477"/>
    <n v="-155085"/>
    <m/>
  </r>
  <r>
    <n v="199"/>
    <d v="2021-07-02T00:00:00"/>
    <x v="49"/>
    <x v="49"/>
    <x v="0"/>
    <s v="建倉"/>
    <n v="1"/>
    <n v="106.5"/>
    <n v="523"/>
    <n v="-55699.5"/>
    <m/>
  </r>
  <r>
    <n v="200"/>
    <d v="2021-07-02T00:00:00"/>
    <x v="49"/>
    <x v="49"/>
    <x v="0"/>
    <s v="建倉"/>
    <n v="1"/>
    <n v="106"/>
    <n v="2000"/>
    <n v="-212000"/>
    <m/>
  </r>
  <r>
    <n v="201"/>
    <d v="2021-07-02T00:00:00"/>
    <x v="49"/>
    <x v="49"/>
    <x v="0"/>
    <s v="建倉"/>
    <n v="1"/>
    <n v="106"/>
    <n v="1000"/>
    <n v="-106000"/>
    <m/>
  </r>
  <r>
    <n v="202"/>
    <d v="2021-07-02T00:00:00"/>
    <x v="49"/>
    <x v="49"/>
    <x v="0"/>
    <s v="減碼"/>
    <n v="1"/>
    <n v="105"/>
    <n v="-3000"/>
    <n v="315000"/>
    <m/>
  </r>
  <r>
    <n v="203"/>
    <d v="2021-07-02T00:00:00"/>
    <x v="0"/>
    <x v="0"/>
    <x v="0"/>
    <s v="停損"/>
    <n v="5"/>
    <n v="22.2"/>
    <n v="-5000"/>
    <n v="111000"/>
    <m/>
  </r>
  <r>
    <n v="204"/>
    <d v="2021-07-02T00:00:00"/>
    <x v="39"/>
    <x v="39"/>
    <x v="0"/>
    <s v="加碼"/>
    <n v="1"/>
    <n v="80.099999999999994"/>
    <n v="2000"/>
    <n v="-160200"/>
    <m/>
  </r>
  <r>
    <n v="205"/>
    <d v="2021-07-02T00:00:00"/>
    <x v="48"/>
    <x v="48"/>
    <x v="3"/>
    <s v="出場觀望"/>
    <n v="1"/>
    <n v="15.25"/>
    <n v="-10000"/>
    <n v="152500"/>
    <m/>
  </r>
  <r>
    <n v="206"/>
    <d v="2021-07-02T00:00:00"/>
    <x v="16"/>
    <x v="16"/>
    <x v="0"/>
    <s v="停損"/>
    <n v="2"/>
    <n v="53.9"/>
    <n v="-2000"/>
    <n v="107800"/>
    <m/>
  </r>
  <r>
    <n v="207"/>
    <d v="2021-07-05T00:00:00"/>
    <x v="50"/>
    <x v="50"/>
    <x v="0"/>
    <s v="建倉"/>
    <n v="1"/>
    <n v="44.15"/>
    <n v="2000"/>
    <n v="-88300"/>
    <m/>
  </r>
  <r>
    <n v="208"/>
    <d v="2021-07-05T00:00:00"/>
    <x v="26"/>
    <x v="26"/>
    <x v="0"/>
    <s v="加碼"/>
    <n v="2"/>
    <n v="44.65"/>
    <n v="2000"/>
    <n v="-89300"/>
    <m/>
  </r>
  <r>
    <n v="209"/>
    <d v="2021-07-05T00:00:00"/>
    <x v="51"/>
    <x v="51"/>
    <x v="0"/>
    <s v="建倉"/>
    <n v="1"/>
    <n v="109.5"/>
    <n v="2000"/>
    <n v="-219000"/>
    <m/>
  </r>
  <r>
    <n v="210"/>
    <d v="2021-07-05T00:00:00"/>
    <x v="39"/>
    <x v="39"/>
    <x v="0"/>
    <s v="停損"/>
    <n v="1"/>
    <n v="79.8"/>
    <n v="-4000"/>
    <n v="319200"/>
    <m/>
  </r>
  <r>
    <n v="211"/>
    <d v="2021-07-05T00:00:00"/>
    <x v="15"/>
    <x v="15"/>
    <x v="0"/>
    <s v="減碼"/>
    <n v="1"/>
    <n v="49.95"/>
    <n v="-10000"/>
    <n v="499500"/>
    <m/>
  </r>
  <r>
    <n v="212"/>
    <d v="2021-07-06T00:00:00"/>
    <x v="41"/>
    <x v="41"/>
    <x v="0"/>
    <s v="加碼"/>
    <n v="1"/>
    <n v="58.9"/>
    <n v="1000"/>
    <n v="-58900"/>
    <m/>
  </r>
  <r>
    <n v="213"/>
    <d v="2021-07-06T00:00:00"/>
    <x v="52"/>
    <x v="52"/>
    <x v="0"/>
    <s v="當沖"/>
    <n v="1"/>
    <n v="33.299999999999997"/>
    <n v="6000"/>
    <n v="-199799.99999999997"/>
    <m/>
  </r>
  <r>
    <n v="214"/>
    <d v="2021-07-06T00:00:00"/>
    <x v="52"/>
    <x v="52"/>
    <x v="0"/>
    <s v="當沖"/>
    <n v="1"/>
    <n v="32.9"/>
    <n v="-6000"/>
    <n v="197400"/>
    <m/>
  </r>
  <r>
    <n v="215"/>
    <d v="2021-07-06T00:00:00"/>
    <x v="35"/>
    <x v="35"/>
    <x v="0"/>
    <s v="停利"/>
    <n v="1"/>
    <n v="142"/>
    <n v="-2000"/>
    <n v="284000"/>
    <m/>
  </r>
  <r>
    <n v="216"/>
    <d v="2021-07-07T00:00:00"/>
    <x v="41"/>
    <x v="41"/>
    <x v="0"/>
    <s v="出場觀望"/>
    <n v="1"/>
    <n v="57.3"/>
    <n v="-3000"/>
    <n v="171900"/>
    <m/>
  </r>
  <r>
    <n v="217"/>
    <d v="2021-07-07T00:00:00"/>
    <x v="53"/>
    <x v="53"/>
    <x v="0"/>
    <s v="建倉"/>
    <n v="1"/>
    <n v="175.5"/>
    <n v="2000"/>
    <n v="-351000"/>
    <m/>
  </r>
  <r>
    <n v="218"/>
    <d v="2021-07-07T00:00:00"/>
    <x v="52"/>
    <x v="52"/>
    <x v="0"/>
    <s v="建倉"/>
    <n v="1"/>
    <n v="33.25"/>
    <n v="3000"/>
    <n v="-99750"/>
    <m/>
  </r>
  <r>
    <n v="219"/>
    <d v="2021-07-07T00:00:00"/>
    <x v="17"/>
    <x v="17"/>
    <x v="0"/>
    <s v="加碼"/>
    <n v="2"/>
    <n v="43.45"/>
    <n v="1000"/>
    <n v="-43450"/>
    <m/>
  </r>
  <r>
    <n v="220"/>
    <d v="2021-07-08T00:00:00"/>
    <x v="52"/>
    <x v="52"/>
    <x v="0"/>
    <s v="加碼"/>
    <n v="1"/>
    <n v="33.049999999999997"/>
    <n v="3000"/>
    <n v="-99149.999999999985"/>
    <m/>
  </r>
  <r>
    <n v="221"/>
    <d v="2021-07-08T00:00:00"/>
    <x v="45"/>
    <x v="45"/>
    <x v="0"/>
    <s v="加碼"/>
    <n v="1"/>
    <n v="20.9"/>
    <n v="2000"/>
    <n v="-41800"/>
    <m/>
  </r>
  <r>
    <n v="222"/>
    <d v="2021-07-09T00:00:00"/>
    <x v="52"/>
    <x v="52"/>
    <x v="0"/>
    <s v="加碼"/>
    <n v="1"/>
    <n v="33.6"/>
    <n v="2000"/>
    <n v="-67200"/>
    <m/>
  </r>
  <r>
    <n v="223"/>
    <d v="2021-07-09T00:00:00"/>
    <x v="54"/>
    <x v="54"/>
    <x v="0"/>
    <s v="建倉"/>
    <n v="1"/>
    <n v="115"/>
    <n v="2000"/>
    <n v="-230000"/>
    <m/>
  </r>
  <r>
    <n v="224"/>
    <d v="2021-07-09T00:00:00"/>
    <x v="49"/>
    <x v="49"/>
    <x v="0"/>
    <s v="停損"/>
    <n v="1"/>
    <n v="101.5"/>
    <n v="-2000"/>
    <n v="203000"/>
    <m/>
  </r>
  <r>
    <n v="225"/>
    <d v="2021-07-09T00:00:00"/>
    <x v="18"/>
    <x v="18"/>
    <x v="0"/>
    <s v="停利"/>
    <n v="1"/>
    <n v="57.7"/>
    <n v="-4000"/>
    <n v="230800"/>
    <m/>
  </r>
  <r>
    <n v="226"/>
    <d v="2021-07-12T00:00:00"/>
    <x v="55"/>
    <x v="55"/>
    <x v="0"/>
    <s v="建倉"/>
    <n v="1"/>
    <n v="42.05"/>
    <n v="5000"/>
    <n v="-210250"/>
    <m/>
  </r>
  <r>
    <n v="227"/>
    <d v="2021-07-12T00:00:00"/>
    <x v="28"/>
    <x v="28"/>
    <x v="0"/>
    <s v="建倉"/>
    <n v="2"/>
    <n v="136"/>
    <n v="2000"/>
    <n v="-272000"/>
    <m/>
  </r>
  <r>
    <n v="228"/>
    <d v="2021-07-12T00:00:00"/>
    <x v="44"/>
    <x v="44"/>
    <x v="0"/>
    <s v="建倉"/>
    <n v="2"/>
    <n v="150"/>
    <n v="2000"/>
    <n v="-300000"/>
    <m/>
  </r>
  <r>
    <n v="229"/>
    <d v="2021-07-12T00:00:00"/>
    <x v="53"/>
    <x v="53"/>
    <x v="0"/>
    <s v="停損"/>
    <n v="1"/>
    <n v="167"/>
    <n v="-2000"/>
    <n v="334000"/>
    <m/>
  </r>
  <r>
    <n v="230"/>
    <d v="2021-07-12T00:00:00"/>
    <x v="43"/>
    <x v="43"/>
    <x v="0"/>
    <s v="停利"/>
    <n v="1"/>
    <n v="61"/>
    <n v="-1000"/>
    <n v="61000"/>
    <m/>
  </r>
  <r>
    <n v="231"/>
    <d v="2021-07-12T00:00:00"/>
    <x v="52"/>
    <x v="52"/>
    <x v="0"/>
    <s v="減碼"/>
    <n v="1"/>
    <n v="34.549999999999997"/>
    <n v="-6000"/>
    <n v="207299.99999999997"/>
    <m/>
  </r>
  <r>
    <n v="232"/>
    <d v="2021-07-13T00:00:00"/>
    <x v="56"/>
    <x v="56"/>
    <x v="3"/>
    <s v="建倉"/>
    <n v="1"/>
    <n v="48.25"/>
    <n v="3000"/>
    <n v="-144750"/>
    <m/>
  </r>
  <r>
    <n v="233"/>
    <d v="2021-07-13T00:00:00"/>
    <x v="52"/>
    <x v="52"/>
    <x v="0"/>
    <s v="停利"/>
    <n v="1"/>
    <n v="34.15"/>
    <n v="-2000"/>
    <n v="68300"/>
    <m/>
  </r>
  <r>
    <n v="234"/>
    <d v="2021-07-13T00:00:00"/>
    <x v="44"/>
    <x v="44"/>
    <x v="0"/>
    <s v="停損"/>
    <n v="2"/>
    <n v="149.5"/>
    <n v="-2000"/>
    <n v="299000"/>
    <m/>
  </r>
  <r>
    <n v="235"/>
    <d v="2021-07-13T00:00:00"/>
    <x v="51"/>
    <x v="51"/>
    <x v="0"/>
    <s v="停利"/>
    <n v="1"/>
    <n v="111"/>
    <n v="-2000"/>
    <n v="222000"/>
    <m/>
  </r>
  <r>
    <n v="236"/>
    <d v="2021-07-13T00:00:00"/>
    <x v="54"/>
    <x v="54"/>
    <x v="0"/>
    <s v="停損"/>
    <n v="1"/>
    <n v="110.5"/>
    <n v="-2000"/>
    <n v="221000"/>
    <m/>
  </r>
  <r>
    <n v="237"/>
    <d v="2021-07-13T00:00:00"/>
    <x v="56"/>
    <x v="56"/>
    <x v="3"/>
    <s v="當沖"/>
    <n v="1"/>
    <n v="48"/>
    <n v="3000"/>
    <n v="-144000"/>
    <m/>
  </r>
  <r>
    <n v="238"/>
    <d v="2021-07-13T00:00:00"/>
    <x v="44"/>
    <x v="44"/>
    <x v="0"/>
    <s v="當沖"/>
    <n v="2"/>
    <n v="152.5"/>
    <n v="2000"/>
    <n v="-305000"/>
    <m/>
  </r>
  <r>
    <n v="239"/>
    <d v="2021-07-13T00:00:00"/>
    <x v="57"/>
    <x v="57"/>
    <x v="0"/>
    <s v="當沖"/>
    <n v="1"/>
    <n v="28.4"/>
    <n v="5000"/>
    <n v="-142000"/>
    <m/>
  </r>
  <r>
    <n v="240"/>
    <d v="2021-07-13T00:00:00"/>
    <x v="56"/>
    <x v="56"/>
    <x v="3"/>
    <s v="當沖"/>
    <n v="1"/>
    <n v="47.6"/>
    <n v="-3000"/>
    <n v="142800"/>
    <m/>
  </r>
  <r>
    <n v="241"/>
    <d v="2021-07-13T00:00:00"/>
    <x v="44"/>
    <x v="44"/>
    <x v="0"/>
    <s v="當沖"/>
    <n v="2"/>
    <n v="150.5"/>
    <n v="-2000"/>
    <n v="301000"/>
    <m/>
  </r>
  <r>
    <n v="242"/>
    <d v="2021-07-13T00:00:00"/>
    <x v="57"/>
    <x v="57"/>
    <x v="0"/>
    <s v="當沖"/>
    <n v="1"/>
    <n v="28.2"/>
    <n v="-5000"/>
    <n v="141000"/>
    <m/>
  </r>
  <r>
    <n v="243"/>
    <d v="2021-07-14T00:00:00"/>
    <x v="58"/>
    <x v="58"/>
    <x v="0"/>
    <s v="建倉"/>
    <n v="1"/>
    <n v="20.8"/>
    <n v="10000"/>
    <n v="-208000"/>
    <m/>
  </r>
  <r>
    <n v="244"/>
    <d v="2021-07-14T00:00:00"/>
    <x v="55"/>
    <x v="55"/>
    <x v="0"/>
    <s v="加碼"/>
    <n v="1"/>
    <n v="42.3"/>
    <n v="2000"/>
    <n v="-84600"/>
    <m/>
  </r>
  <r>
    <n v="245"/>
    <d v="2021-07-14T00:00:00"/>
    <x v="59"/>
    <x v="59"/>
    <x v="0"/>
    <s v="建倉"/>
    <n v="1"/>
    <n v="65"/>
    <n v="2000"/>
    <n v="-130000"/>
    <m/>
  </r>
  <r>
    <n v="246"/>
    <d v="2021-07-14T00:00:00"/>
    <x v="56"/>
    <x v="56"/>
    <x v="3"/>
    <s v="出場觀望"/>
    <n v="1"/>
    <n v="50.6"/>
    <n v="-3000"/>
    <n v="151800"/>
    <m/>
  </r>
  <r>
    <n v="247"/>
    <d v="2021-07-14T00:00:00"/>
    <x v="56"/>
    <x v="56"/>
    <x v="3"/>
    <s v="建倉"/>
    <n v="2"/>
    <n v="51.7"/>
    <n v="6000"/>
    <n v="-310200"/>
    <m/>
  </r>
  <r>
    <n v="248"/>
    <d v="2021-07-14T00:00:00"/>
    <x v="56"/>
    <x v="56"/>
    <x v="3"/>
    <s v="出場觀望"/>
    <n v="2"/>
    <n v="50.2"/>
    <n v="-6000"/>
    <n v="301200"/>
    <m/>
  </r>
  <r>
    <n v="249"/>
    <d v="2021-07-14T00:00:00"/>
    <x v="60"/>
    <x v="60"/>
    <x v="3"/>
    <s v="當沖"/>
    <n v="1"/>
    <n v="54.75"/>
    <n v="8000"/>
    <n v="-438000"/>
    <m/>
  </r>
  <r>
    <n v="250"/>
    <d v="2021-07-14T00:00:00"/>
    <x v="60"/>
    <x v="60"/>
    <x v="3"/>
    <s v="當沖"/>
    <n v="1"/>
    <n v="54.25"/>
    <n v="-8000"/>
    <n v="434000"/>
    <m/>
  </r>
  <r>
    <n v="251"/>
    <d v="2021-07-14T00:00:00"/>
    <x v="28"/>
    <x v="28"/>
    <x v="0"/>
    <s v="當沖"/>
    <n v="2"/>
    <n v="146.5"/>
    <n v="-2000"/>
    <n v="293000"/>
    <m/>
  </r>
  <r>
    <n v="252"/>
    <d v="2021-07-14T00:00:00"/>
    <x v="28"/>
    <x v="28"/>
    <x v="0"/>
    <s v="當沖"/>
    <n v="2"/>
    <n v="149"/>
    <n v="2000"/>
    <n v="-298000"/>
    <m/>
  </r>
  <r>
    <n v="253"/>
    <d v="2021-07-14T00:00:00"/>
    <x v="34"/>
    <x v="34"/>
    <x v="0"/>
    <s v="當沖"/>
    <n v="2"/>
    <n v="388"/>
    <n v="1000"/>
    <n v="-388000"/>
    <m/>
  </r>
  <r>
    <n v="254"/>
    <d v="2021-07-14T00:00:00"/>
    <x v="34"/>
    <x v="34"/>
    <x v="0"/>
    <s v="當沖"/>
    <n v="2"/>
    <n v="387.5"/>
    <n v="-1000"/>
    <n v="387500"/>
    <m/>
  </r>
  <r>
    <n v="255"/>
    <d v="2021-07-14T00:00:00"/>
    <x v="17"/>
    <x v="17"/>
    <x v="0"/>
    <s v="出場觀望"/>
    <n v="2"/>
    <n v="41.6"/>
    <n v="-4000"/>
    <n v="166400"/>
    <m/>
  </r>
  <r>
    <n v="256"/>
    <d v="2021-07-15T00:00:00"/>
    <x v="58"/>
    <x v="58"/>
    <x v="0"/>
    <s v="加碼"/>
    <n v="1"/>
    <n v="21.05"/>
    <n v="4000"/>
    <n v="-84200"/>
    <m/>
  </r>
  <r>
    <n v="257"/>
    <d v="2021-07-15T00:00:00"/>
    <x v="26"/>
    <x v="26"/>
    <x v="0"/>
    <s v="加碼"/>
    <n v="2"/>
    <n v="45.05"/>
    <n v="4000"/>
    <n v="-180200"/>
    <m/>
  </r>
  <r>
    <n v="258"/>
    <d v="2021-07-15T00:00:00"/>
    <x v="55"/>
    <x v="55"/>
    <x v="0"/>
    <s v="減碼"/>
    <n v="1"/>
    <n v="42.3"/>
    <n v="-2000"/>
    <n v="84600"/>
    <m/>
  </r>
  <r>
    <n v="259"/>
    <d v="2021-07-16T00:00:00"/>
    <x v="61"/>
    <x v="61"/>
    <x v="0"/>
    <s v="建倉"/>
    <n v="1"/>
    <n v="89.2"/>
    <n v="2000"/>
    <n v="-178400"/>
    <m/>
  </r>
  <r>
    <n v="260"/>
    <d v="2021-07-16T00:00:00"/>
    <x v="50"/>
    <x v="50"/>
    <x v="0"/>
    <s v="加碼"/>
    <n v="1"/>
    <n v="45"/>
    <n v="4000"/>
    <n v="-180000"/>
    <m/>
  </r>
  <r>
    <n v="261"/>
    <d v="2021-07-16T00:00:00"/>
    <x v="62"/>
    <x v="62"/>
    <x v="0"/>
    <s v="建倉"/>
    <n v="1"/>
    <n v="35.979999999999997"/>
    <n v="5000"/>
    <n v="-179899.99999999997"/>
    <m/>
  </r>
  <r>
    <n v="262"/>
    <d v="2021-07-16T00:00:00"/>
    <x v="58"/>
    <x v="58"/>
    <x v="0"/>
    <s v="減碼"/>
    <n v="1"/>
    <n v="20.8062"/>
    <n v="-8000"/>
    <n v="166449.60000000001"/>
    <m/>
  </r>
  <r>
    <n v="263"/>
    <d v="2021-07-16T00:00:00"/>
    <x v="55"/>
    <x v="55"/>
    <x v="0"/>
    <s v="減碼"/>
    <n v="1"/>
    <n v="42.333300000000001"/>
    <n v="-3000"/>
    <n v="126999.90000000001"/>
    <m/>
  </r>
  <r>
    <n v="264"/>
    <d v="2021-07-16T00:00:00"/>
    <x v="26"/>
    <x v="26"/>
    <x v="0"/>
    <s v="減碼"/>
    <n v="2"/>
    <n v="44.6"/>
    <n v="-8000"/>
    <n v="356800"/>
    <m/>
  </r>
  <r>
    <n v="265"/>
    <d v="2021-07-19T00:00:00"/>
    <x v="62"/>
    <x v="62"/>
    <x v="0"/>
    <s v="加碼"/>
    <n v="1"/>
    <n v="36.450000000000003"/>
    <n v="2000"/>
    <n v="-72900"/>
    <m/>
  </r>
  <r>
    <n v="266"/>
    <d v="2021-07-19T00:00:00"/>
    <x v="53"/>
    <x v="53"/>
    <x v="0"/>
    <s v="當沖"/>
    <n v="2"/>
    <n v="171.25"/>
    <n v="2000"/>
    <n v="-342500"/>
    <m/>
  </r>
  <r>
    <n v="267"/>
    <d v="2021-07-19T00:00:00"/>
    <x v="53"/>
    <x v="53"/>
    <x v="0"/>
    <s v="當沖"/>
    <n v="2"/>
    <n v="167"/>
    <n v="-2000"/>
    <n v="334000"/>
    <m/>
  </r>
  <r>
    <n v="268"/>
    <d v="2021-07-19T00:00:00"/>
    <x v="61"/>
    <x v="61"/>
    <x v="0"/>
    <s v="停損"/>
    <n v="1"/>
    <n v="86.9"/>
    <n v="-2000"/>
    <n v="173800"/>
    <m/>
  </r>
  <r>
    <n v="269"/>
    <d v="2021-07-19T00:00:00"/>
    <x v="55"/>
    <x v="55"/>
    <x v="0"/>
    <s v="停損"/>
    <n v="1"/>
    <n v="41.55"/>
    <n v="-2000"/>
    <n v="83100"/>
    <m/>
  </r>
  <r>
    <n v="270"/>
    <d v="2021-07-19T00:00:00"/>
    <x v="28"/>
    <x v="28"/>
    <x v="0"/>
    <s v="停利"/>
    <n v="2"/>
    <n v="159.5"/>
    <n v="-2000"/>
    <n v="319000"/>
    <m/>
  </r>
  <r>
    <n v="271"/>
    <d v="2021-07-19T00:00:00"/>
    <x v="45"/>
    <x v="45"/>
    <x v="0"/>
    <s v="停損"/>
    <n v="1"/>
    <n v="20.8"/>
    <n v="-4000"/>
    <n v="83200"/>
    <m/>
  </r>
  <r>
    <n v="272"/>
    <d v="2021-07-20T00:00:00"/>
    <x v="50"/>
    <x v="50"/>
    <x v="0"/>
    <s v="停損"/>
    <n v="1"/>
    <n v="43.433300000000003"/>
    <n v="-6000"/>
    <n v="260599.80000000002"/>
    <m/>
  </r>
  <r>
    <n v="273"/>
    <d v="2021-07-20T00:00:00"/>
    <x v="58"/>
    <x v="58"/>
    <x v="0"/>
    <s v="停損"/>
    <n v="1"/>
    <n v="20.3"/>
    <n v="-6000"/>
    <n v="121800"/>
    <m/>
  </r>
  <r>
    <n v="274"/>
    <d v="2021-07-20T00:00:00"/>
    <x v="59"/>
    <x v="59"/>
    <x v="0"/>
    <s v="停損"/>
    <n v="1"/>
    <n v="64.7"/>
    <n v="-2000"/>
    <n v="129400"/>
    <m/>
  </r>
  <r>
    <n v="275"/>
    <d v="2021-07-20T00:00:00"/>
    <x v="15"/>
    <x v="15"/>
    <x v="0"/>
    <s v="減碼"/>
    <n v="1"/>
    <n v="63.9"/>
    <n v="-5000"/>
    <n v="319500"/>
    <m/>
  </r>
  <r>
    <n v="276"/>
    <d v="2021-07-21T00:00:00"/>
    <x v="11"/>
    <x v="11"/>
    <x v="0"/>
    <s v="建倉"/>
    <n v="3"/>
    <n v="52.1"/>
    <n v="2000"/>
    <n v="-104200"/>
    <m/>
  </r>
  <r>
    <n v="277"/>
    <d v="2021-07-21T00:00:00"/>
    <x v="11"/>
    <x v="11"/>
    <x v="0"/>
    <s v="出場觀望"/>
    <n v="3"/>
    <n v="51.7"/>
    <n v="-2000"/>
    <n v="103400"/>
    <m/>
  </r>
  <r>
    <n v="278"/>
    <d v="2021-07-21T00:00:00"/>
    <x v="63"/>
    <x v="63"/>
    <x v="0"/>
    <s v="當沖"/>
    <n v="1"/>
    <n v="158"/>
    <n v="1000"/>
    <n v="-158000"/>
    <m/>
  </r>
  <r>
    <n v="279"/>
    <d v="2021-07-21T00:00:00"/>
    <x v="63"/>
    <x v="63"/>
    <x v="0"/>
    <s v="當沖"/>
    <n v="1"/>
    <n v="155"/>
    <n v="-1000"/>
    <n v="155000"/>
    <m/>
  </r>
  <r>
    <n v="280"/>
    <d v="2021-07-22T00:00:00"/>
    <x v="18"/>
    <x v="18"/>
    <x v="0"/>
    <s v="建倉"/>
    <n v="2"/>
    <n v="60.7"/>
    <n v="3000"/>
    <n v="-182100"/>
    <m/>
  </r>
  <r>
    <n v="281"/>
    <d v="2021-07-22T00:00:00"/>
    <x v="62"/>
    <x v="62"/>
    <x v="0"/>
    <s v="停利"/>
    <n v="1"/>
    <n v="37.25"/>
    <n v="-7000"/>
    <n v="260750"/>
    <m/>
  </r>
  <r>
    <n v="282"/>
    <d v="2021-07-23T00:00:00"/>
    <x v="11"/>
    <x v="11"/>
    <x v="0"/>
    <s v="建倉"/>
    <n v="3"/>
    <n v="53"/>
    <n v="6000"/>
    <n v="-318000"/>
    <m/>
  </r>
  <r>
    <n v="283"/>
    <d v="2021-07-23T00:00:00"/>
    <x v="64"/>
    <x v="64"/>
    <x v="0"/>
    <s v="當沖"/>
    <n v="1"/>
    <n v="45.6"/>
    <n v="4000"/>
    <n v="-182400"/>
    <m/>
  </r>
  <r>
    <n v="284"/>
    <d v="2021-07-23T00:00:00"/>
    <x v="64"/>
    <x v="64"/>
    <x v="0"/>
    <s v="當沖"/>
    <n v="1"/>
    <n v="45"/>
    <n v="-4000"/>
    <n v="180000"/>
    <m/>
  </r>
  <r>
    <n v="285"/>
    <d v="2021-07-23T00:00:00"/>
    <x v="15"/>
    <x v="15"/>
    <x v="0"/>
    <s v="減碼"/>
    <n v="1"/>
    <n v="61.25"/>
    <n v="-2000"/>
    <n v="122500"/>
    <m/>
  </r>
  <r>
    <n v="286"/>
    <d v="2021-07-26T00:00:00"/>
    <x v="37"/>
    <x v="37"/>
    <x v="3"/>
    <s v="建倉"/>
    <n v="2"/>
    <n v="156.5"/>
    <n v="4000"/>
    <n v="-626000"/>
    <m/>
  </r>
  <r>
    <n v="287"/>
    <d v="2021-07-26T00:00:00"/>
    <x v="65"/>
    <x v="65"/>
    <x v="3"/>
    <s v="建倉"/>
    <n v="1"/>
    <n v="342.5"/>
    <n v="2000"/>
    <n v="-685000"/>
    <m/>
  </r>
  <r>
    <n v="288"/>
    <d v="2021-07-27T00:00:00"/>
    <x v="37"/>
    <x v="37"/>
    <x v="3"/>
    <s v="停損"/>
    <n v="2"/>
    <n v="155.5"/>
    <n v="-4000"/>
    <n v="622000"/>
    <m/>
  </r>
  <r>
    <n v="289"/>
    <d v="2021-07-27T00:00:00"/>
    <x v="65"/>
    <x v="65"/>
    <x v="3"/>
    <s v="停利"/>
    <n v="1"/>
    <n v="367.75"/>
    <n v="-2000"/>
    <n v="735500"/>
    <m/>
  </r>
  <r>
    <n v="290"/>
    <d v="2021-07-27T00:00:00"/>
    <x v="21"/>
    <x v="21"/>
    <x v="0"/>
    <s v="建倉"/>
    <n v="2"/>
    <n v="104.5"/>
    <n v="4000"/>
    <n v="-418000"/>
    <m/>
  </r>
  <r>
    <n v="291"/>
    <d v="2021-07-27T00:00:00"/>
    <x v="21"/>
    <x v="21"/>
    <x v="0"/>
    <s v="停損"/>
    <n v="2"/>
    <n v="102.5"/>
    <n v="-4000"/>
    <n v="410000"/>
    <m/>
  </r>
  <r>
    <n v="292"/>
    <d v="2021-07-27T00:00:00"/>
    <x v="25"/>
    <x v="25"/>
    <x v="0"/>
    <s v="建倉"/>
    <n v="3"/>
    <n v="167.5"/>
    <n v="2000"/>
    <n v="-335000"/>
    <m/>
  </r>
  <r>
    <n v="293"/>
    <d v="2021-07-27T00:00:00"/>
    <x v="25"/>
    <x v="25"/>
    <x v="0"/>
    <s v="停損"/>
    <n v="3"/>
    <n v="165"/>
    <n v="-2000"/>
    <n v="330000"/>
    <m/>
  </r>
  <r>
    <n v="294"/>
    <d v="2021-07-27T00:00:00"/>
    <x v="66"/>
    <x v="66"/>
    <x v="3"/>
    <s v="出場觀望"/>
    <n v="1"/>
    <n v="27.55"/>
    <n v="4000"/>
    <n v="-110200"/>
    <m/>
  </r>
  <r>
    <n v="295"/>
    <d v="2021-07-27T00:00:00"/>
    <x v="66"/>
    <x v="66"/>
    <x v="3"/>
    <s v="建倉"/>
    <n v="1"/>
    <n v="27.6"/>
    <n v="-4000"/>
    <n v="110400"/>
    <m/>
  </r>
  <r>
    <n v="296"/>
    <d v="2021-07-27T00:00:00"/>
    <x v="11"/>
    <x v="11"/>
    <x v="0"/>
    <s v="加碼"/>
    <n v="3"/>
    <n v="53"/>
    <n v="4000"/>
    <n v="-212000"/>
    <m/>
  </r>
  <r>
    <n v="297"/>
    <d v="2021-07-28T00:00:00"/>
    <x v="11"/>
    <x v="11"/>
    <x v="0"/>
    <s v="加碼"/>
    <n v="3"/>
    <n v="52.4"/>
    <n v="2000"/>
    <n v="-104800"/>
    <m/>
  </r>
  <r>
    <n v="298"/>
    <d v="2021-07-28T00:00:00"/>
    <x v="61"/>
    <x v="61"/>
    <x v="0"/>
    <s v="建倉"/>
    <n v="2"/>
    <n v="84.266660000000002"/>
    <n v="6000"/>
    <n v="-505599.96"/>
    <m/>
  </r>
  <r>
    <n v="299"/>
    <d v="2021-07-28T00:00:00"/>
    <x v="18"/>
    <x v="18"/>
    <x v="0"/>
    <s v="加碼"/>
    <n v="2"/>
    <n v="58.4"/>
    <n v="3000"/>
    <n v="-175200"/>
    <m/>
  </r>
  <r>
    <n v="300"/>
    <d v="2021-07-29T00:00:00"/>
    <x v="24"/>
    <x v="24"/>
    <x v="0"/>
    <s v="建倉"/>
    <n v="3"/>
    <n v="28.5"/>
    <n v="4000"/>
    <n v="-114000"/>
    <m/>
  </r>
  <r>
    <n v="301"/>
    <d v="2021-07-29T00:00:00"/>
    <x v="24"/>
    <x v="24"/>
    <x v="0"/>
    <s v="出場觀望"/>
    <n v="3"/>
    <n v="28.3"/>
    <n v="-4000"/>
    <n v="113200"/>
    <m/>
  </r>
  <r>
    <n v="302"/>
    <d v="2021-07-29T00:00:00"/>
    <x v="62"/>
    <x v="62"/>
    <x v="3"/>
    <s v="建倉"/>
    <n v="2"/>
    <n v="37.5"/>
    <n v="3000"/>
    <n v="-112500"/>
    <m/>
  </r>
  <r>
    <n v="303"/>
    <d v="2021-07-29T00:00:00"/>
    <x v="62"/>
    <x v="62"/>
    <x v="3"/>
    <s v="出場觀望"/>
    <n v="2"/>
    <n v="36.950000000000003"/>
    <n v="-3000"/>
    <n v="110850.00000000001"/>
    <m/>
  </r>
  <r>
    <n v="304"/>
    <d v="2021-07-30T00:00:00"/>
    <x v="24"/>
    <x v="24"/>
    <x v="0"/>
    <s v="建倉"/>
    <n v="3"/>
    <n v="28.585699999999999"/>
    <n v="7000"/>
    <n v="-200099.9"/>
    <m/>
  </r>
  <r>
    <n v="305"/>
    <d v="2021-07-30T00:00:00"/>
    <x v="11"/>
    <x v="11"/>
    <x v="0"/>
    <s v="減碼"/>
    <n v="3"/>
    <n v="52.6"/>
    <n v="-4000"/>
    <n v="210400"/>
    <m/>
  </r>
  <r>
    <n v="306"/>
    <d v="2021-07-30T00:00:00"/>
    <x v="61"/>
    <x v="61"/>
    <x v="0"/>
    <s v="減碼"/>
    <n v="2"/>
    <n v="86.9"/>
    <n v="-3000"/>
    <n v="260700.00000000003"/>
    <m/>
  </r>
  <r>
    <n v="307"/>
    <d v="2021-08-02T00:00:00"/>
    <x v="67"/>
    <x v="67"/>
    <x v="0"/>
    <s v="建倉"/>
    <n v="1"/>
    <n v="21.05"/>
    <n v="5000"/>
    <n v="-105250"/>
    <m/>
  </r>
  <r>
    <n v="308"/>
    <d v="2021-08-02T00:00:00"/>
    <x v="24"/>
    <x v="24"/>
    <x v="0"/>
    <s v="加碼"/>
    <n v="3"/>
    <n v="27.4"/>
    <n v="1000"/>
    <n v="-27400"/>
    <m/>
  </r>
  <r>
    <n v="309"/>
    <d v="2021-08-03T00:00:00"/>
    <x v="11"/>
    <x v="11"/>
    <x v="0"/>
    <s v="加碼"/>
    <n v="3"/>
    <n v="53.2"/>
    <n v="2000"/>
    <n v="-106400"/>
    <m/>
  </r>
  <r>
    <n v="310"/>
    <d v="2021-08-03T00:00:00"/>
    <x v="11"/>
    <x v="11"/>
    <x v="0"/>
    <s v="加碼"/>
    <n v="3"/>
    <n v="53.3"/>
    <n v="2000"/>
    <n v="-106600"/>
    <m/>
  </r>
  <r>
    <n v="311"/>
    <d v="2021-08-05T00:00:00"/>
    <x v="68"/>
    <x v="68"/>
    <x v="3"/>
    <s v="建倉"/>
    <n v="1"/>
    <n v="46.55"/>
    <n v="5000"/>
    <n v="-232750"/>
    <m/>
  </r>
  <r>
    <n v="312"/>
    <d v="2021-08-05T00:00:00"/>
    <x v="24"/>
    <x v="24"/>
    <x v="0"/>
    <s v="加碼"/>
    <n v="3"/>
    <n v="29.25"/>
    <n v="4000"/>
    <n v="-117000"/>
    <m/>
  </r>
  <r>
    <n v="313"/>
    <d v="2021-08-05T00:00:00"/>
    <x v="11"/>
    <x v="11"/>
    <x v="0"/>
    <s v="加碼"/>
    <n v="3"/>
    <n v="53.2"/>
    <n v="4000"/>
    <n v="-212800"/>
    <m/>
  </r>
  <r>
    <n v="314"/>
    <d v="2021-08-05T00:00:00"/>
    <x v="68"/>
    <x v="68"/>
    <x v="3"/>
    <s v="停損"/>
    <n v="1"/>
    <n v="46.25"/>
    <n v="-5000"/>
    <n v="231250"/>
    <m/>
  </r>
  <r>
    <n v="315"/>
    <d v="2021-08-06T00:00:00"/>
    <x v="24"/>
    <x v="24"/>
    <x v="0"/>
    <s v="出場觀望"/>
    <n v="3"/>
    <n v="28.541599999999999"/>
    <n v="-12000"/>
    <n v="342499.2"/>
    <m/>
  </r>
  <r>
    <n v="316"/>
    <d v="2021-08-06T00:00:00"/>
    <x v="69"/>
    <x v="69"/>
    <x v="0"/>
    <s v="建倉"/>
    <n v="1"/>
    <n v="23.774999999999999"/>
    <n v="8000"/>
    <n v="-190200"/>
    <m/>
  </r>
  <r>
    <n v="317"/>
    <d v="2021-08-06T00:00:00"/>
    <x v="69"/>
    <x v="69"/>
    <x v="0"/>
    <s v="停損"/>
    <n v="1"/>
    <n v="23.35"/>
    <n v="-8000"/>
    <n v="186800"/>
    <m/>
  </r>
  <r>
    <n v="318"/>
    <d v="2021-08-09T00:00:00"/>
    <x v="24"/>
    <x v="24"/>
    <x v="0"/>
    <s v="建倉"/>
    <n v="4"/>
    <n v="27.85"/>
    <n v="10000"/>
    <n v="-278500"/>
    <m/>
  </r>
  <r>
    <n v="319"/>
    <d v="2021-08-09T00:00:00"/>
    <x v="5"/>
    <x v="5"/>
    <x v="0"/>
    <s v="建倉"/>
    <n v="2"/>
    <n v="64"/>
    <n v="2000"/>
    <n v="-128000"/>
    <m/>
  </r>
  <r>
    <n v="320"/>
    <d v="2021-08-09T00:00:00"/>
    <x v="70"/>
    <x v="70"/>
    <x v="0"/>
    <s v="建倉"/>
    <n v="1"/>
    <n v="45.325000000000003"/>
    <n v="4000"/>
    <n v="-181300"/>
    <m/>
  </r>
  <r>
    <n v="321"/>
    <d v="2021-08-09T00:00:00"/>
    <x v="1"/>
    <x v="1"/>
    <x v="1"/>
    <s v="加碼"/>
    <n v="2"/>
    <n v="37.799999999999997"/>
    <n v="500"/>
    <n v="-18900"/>
    <m/>
  </r>
  <r>
    <n v="322"/>
    <d v="2021-08-09T00:00:00"/>
    <x v="71"/>
    <x v="71"/>
    <x v="0"/>
    <s v="建倉"/>
    <n v="1"/>
    <n v="291.5"/>
    <n v="1000"/>
    <n v="-291500"/>
    <m/>
  </r>
  <r>
    <n v="323"/>
    <d v="2021-08-09T00:00:00"/>
    <x v="11"/>
    <x v="11"/>
    <x v="0"/>
    <s v="減碼"/>
    <n v="3"/>
    <n v="52.133333333333333"/>
    <n v="-6000"/>
    <n v="312800"/>
    <m/>
  </r>
  <r>
    <n v="324"/>
    <d v="2021-08-09T00:00:00"/>
    <x v="72"/>
    <x v="72"/>
    <x v="0"/>
    <s v="建倉"/>
    <n v="1"/>
    <n v="27.475000000000001"/>
    <n v="10000"/>
    <n v="-274750"/>
    <m/>
  </r>
  <r>
    <n v="325"/>
    <d v="2021-08-09T00:00:00"/>
    <x v="72"/>
    <x v="72"/>
    <x v="0"/>
    <s v="減碼"/>
    <n v="1"/>
    <n v="26.981249999999999"/>
    <n v="-8000"/>
    <n v="215850"/>
    <m/>
  </r>
  <r>
    <n v="326"/>
    <d v="2021-08-09T00:00:00"/>
    <x v="72"/>
    <x v="72"/>
    <x v="0"/>
    <s v="加碼"/>
    <n v="1"/>
    <n v="26.9"/>
    <n v="3000"/>
    <n v="-80700"/>
    <m/>
  </r>
  <r>
    <n v="327"/>
    <d v="2021-08-09T00:00:00"/>
    <x v="72"/>
    <x v="72"/>
    <x v="0"/>
    <s v="減碼"/>
    <n v="1"/>
    <n v="26.3"/>
    <n v="-3000"/>
    <n v="78900"/>
    <m/>
  </r>
  <r>
    <n v="328"/>
    <d v="2021-08-10T00:00:00"/>
    <x v="5"/>
    <x v="5"/>
    <x v="0"/>
    <s v="加碼"/>
    <n v="2"/>
    <n v="63"/>
    <n v="2000"/>
    <n v="-126000"/>
    <m/>
  </r>
  <r>
    <n v="329"/>
    <d v="2021-08-10T00:00:00"/>
    <x v="15"/>
    <x v="15"/>
    <x v="4"/>
    <s v="停利"/>
    <n v="1"/>
    <n v="61.8"/>
    <n v="-3000"/>
    <n v="185400"/>
    <m/>
  </r>
  <r>
    <n v="330"/>
    <d v="2021-08-10T00:00:00"/>
    <x v="71"/>
    <x v="71"/>
    <x v="0"/>
    <s v="停損"/>
    <n v="1"/>
    <n v="282"/>
    <n v="-1000"/>
    <n v="282000"/>
    <m/>
  </r>
  <r>
    <n v="331"/>
    <d v="2021-08-10T00:00:00"/>
    <x v="71"/>
    <x v="71"/>
    <x v="0"/>
    <s v="當沖"/>
    <n v="1"/>
    <n v="275.5"/>
    <n v="1000"/>
    <n v="-275500"/>
    <m/>
  </r>
  <r>
    <n v="332"/>
    <d v="2021-08-10T00:00:00"/>
    <x v="71"/>
    <x v="71"/>
    <x v="0"/>
    <s v="當沖"/>
    <n v="1"/>
    <n v="277"/>
    <n v="-1000"/>
    <n v="277000"/>
    <m/>
  </r>
  <r>
    <n v="333"/>
    <d v="2021-08-10T00:00:00"/>
    <x v="11"/>
    <x v="11"/>
    <x v="0"/>
    <s v="減碼"/>
    <n v="3"/>
    <n v="52"/>
    <n v="-4000"/>
    <n v="208000"/>
    <m/>
  </r>
  <r>
    <n v="334"/>
    <d v="2021-08-10T00:00:00"/>
    <x v="24"/>
    <x v="24"/>
    <x v="0"/>
    <s v="停損"/>
    <n v="4"/>
    <n v="27.35"/>
    <n v="-10000"/>
    <n v="273500"/>
    <m/>
  </r>
  <r>
    <n v="335"/>
    <d v="2021-08-10T00:00:00"/>
    <x v="72"/>
    <x v="72"/>
    <x v="0"/>
    <s v="停損"/>
    <n v="1"/>
    <n v="26.15"/>
    <n v="-2000"/>
    <n v="52300"/>
    <m/>
  </r>
  <r>
    <n v="336"/>
    <d v="2021-08-10T00:00:00"/>
    <x v="67"/>
    <x v="67"/>
    <x v="0"/>
    <s v="停損"/>
    <n v="1"/>
    <n v="20.100000000000001"/>
    <n v="-5000"/>
    <n v="100500"/>
    <m/>
  </r>
  <r>
    <n v="337"/>
    <d v="2021-08-11T00:00:00"/>
    <x v="18"/>
    <x v="18"/>
    <x v="0"/>
    <s v="減碼"/>
    <n v="2"/>
    <n v="58.1"/>
    <n v="-2000"/>
    <n v="116200"/>
    <m/>
  </r>
  <r>
    <n v="338"/>
    <d v="2021-08-11T00:00:00"/>
    <x v="73"/>
    <x v="73"/>
    <x v="0"/>
    <s v="建倉"/>
    <n v="1"/>
    <n v="20.149999999999999"/>
    <n v="20000"/>
    <n v="-403000"/>
    <m/>
  </r>
  <r>
    <n v="339"/>
    <d v="2021-08-12T00:00:00"/>
    <x v="11"/>
    <x v="11"/>
    <x v="0"/>
    <s v="加碼"/>
    <n v="3"/>
    <n v="46.55"/>
    <n v="2000"/>
    <n v="-93100"/>
    <m/>
  </r>
  <r>
    <n v="340"/>
    <d v="2021-08-12T00:00:00"/>
    <x v="74"/>
    <x v="74"/>
    <x v="0"/>
    <s v="建倉"/>
    <n v="2"/>
    <n v="52.6"/>
    <n v="4000"/>
    <n v="-210400"/>
    <m/>
  </r>
  <r>
    <n v="341"/>
    <d v="2021-08-12T00:00:00"/>
    <x v="75"/>
    <x v="75"/>
    <x v="0"/>
    <s v="建倉"/>
    <n v="1"/>
    <n v="49.458333333333336"/>
    <n v="6000"/>
    <n v="-296750"/>
    <m/>
  </r>
  <r>
    <n v="342"/>
    <d v="2021-08-12T00:00:00"/>
    <x v="73"/>
    <x v="73"/>
    <x v="0"/>
    <s v="停損"/>
    <n v="1"/>
    <n v="19.484999999999999"/>
    <n v="-20000"/>
    <n v="389700"/>
    <m/>
  </r>
  <r>
    <n v="343"/>
    <d v="2021-08-13T00:00:00"/>
    <x v="11"/>
    <x v="11"/>
    <x v="0"/>
    <s v="加碼"/>
    <n v="3"/>
    <n v="48.35"/>
    <n v="2000"/>
    <n v="-96700"/>
    <m/>
  </r>
  <r>
    <n v="344"/>
    <d v="2021-08-13T00:00:00"/>
    <x v="61"/>
    <x v="61"/>
    <x v="0"/>
    <s v="停利"/>
    <n v="2"/>
    <n v="86.233329999999995"/>
    <n v="-3000"/>
    <n v="258699.99"/>
    <m/>
  </r>
  <r>
    <n v="345"/>
    <d v="2021-08-13T00:00:00"/>
    <x v="76"/>
    <x v="76"/>
    <x v="0"/>
    <s v="當沖"/>
    <n v="1"/>
    <n v="76.8"/>
    <n v="4000"/>
    <n v="-307200"/>
    <m/>
  </r>
  <r>
    <n v="346"/>
    <d v="2021-08-13T00:00:00"/>
    <x v="76"/>
    <x v="76"/>
    <x v="0"/>
    <s v="當沖"/>
    <n v="1"/>
    <n v="78.724999999999994"/>
    <n v="-4000"/>
    <n v="314900"/>
    <m/>
  </r>
  <r>
    <n v="347"/>
    <d v="2021-08-16T00:00:00"/>
    <x v="77"/>
    <x v="77"/>
    <x v="5"/>
    <s v="建倉"/>
    <n v="1"/>
    <n v="0.76500000000000001"/>
    <n v="0"/>
    <n v="-15321"/>
    <m/>
  </r>
  <r>
    <n v="348"/>
    <d v="2021-08-16T00:00:00"/>
    <x v="78"/>
    <x v="78"/>
    <x v="4"/>
    <s v="建倉"/>
    <n v="1"/>
    <n v="25.85"/>
    <n v="-6000"/>
    <n v="155100"/>
    <m/>
  </r>
  <r>
    <n v="349"/>
    <d v="2021-08-16T00:00:00"/>
    <x v="78"/>
    <x v="78"/>
    <x v="4"/>
    <s v="出場觀望"/>
    <n v="1"/>
    <n v="25.65"/>
    <n v="6000"/>
    <n v="-153900"/>
    <m/>
  </r>
  <r>
    <n v="350"/>
    <d v="2021-08-16T00:00:00"/>
    <x v="79"/>
    <x v="79"/>
    <x v="0"/>
    <s v="建倉"/>
    <n v="1"/>
    <n v="92.6"/>
    <n v="2000"/>
    <n v="-185200"/>
    <m/>
  </r>
  <r>
    <n v="351"/>
    <d v="2021-08-16T00:00:00"/>
    <x v="79"/>
    <x v="79"/>
    <x v="0"/>
    <s v="出場觀望"/>
    <n v="1"/>
    <n v="91.6"/>
    <n v="-2000"/>
    <n v="183200"/>
    <m/>
  </r>
  <r>
    <n v="352"/>
    <d v="2021-08-16T00:00:00"/>
    <x v="15"/>
    <x v="15"/>
    <x v="4"/>
    <s v="建倉"/>
    <n v="2"/>
    <n v="53.1"/>
    <n v="-3000"/>
    <n v="159300"/>
    <m/>
  </r>
  <r>
    <n v="353"/>
    <d v="2021-08-16T00:00:00"/>
    <x v="15"/>
    <x v="15"/>
    <x v="4"/>
    <s v="減碼"/>
    <n v="2"/>
    <n v="51.8"/>
    <n v="3000"/>
    <n v="-155400"/>
    <m/>
  </r>
  <r>
    <n v="354"/>
    <d v="2021-08-16T00:00:00"/>
    <x v="11"/>
    <x v="11"/>
    <x v="0"/>
    <s v="減碼"/>
    <n v="3"/>
    <n v="47.95"/>
    <n v="-1000"/>
    <n v="47950"/>
    <m/>
  </r>
  <r>
    <n v="355"/>
    <d v="2021-08-16T00:00:00"/>
    <x v="5"/>
    <x v="5"/>
    <x v="0"/>
    <s v="停利"/>
    <n v="2"/>
    <n v="68.099999999999994"/>
    <n v="-4000"/>
    <n v="272400"/>
    <m/>
  </r>
  <r>
    <n v="356"/>
    <d v="2021-08-16T00:00:00"/>
    <x v="74"/>
    <x v="74"/>
    <x v="0"/>
    <s v="停損"/>
    <n v="2"/>
    <n v="51.1"/>
    <n v="-4000"/>
    <n v="204400"/>
    <m/>
  </r>
  <r>
    <n v="357"/>
    <d v="2021-08-16T00:00:00"/>
    <x v="75"/>
    <x v="75"/>
    <x v="0"/>
    <s v="停損"/>
    <n v="1"/>
    <n v="47.475000000000001"/>
    <n v="-6000"/>
    <n v="284850"/>
    <m/>
  </r>
  <r>
    <n v="358"/>
    <d v="2021-08-16T00:00:00"/>
    <x v="70"/>
    <x v="70"/>
    <x v="0"/>
    <s v="停利"/>
    <n v="1"/>
    <n v="49.6"/>
    <n v="-4000"/>
    <n v="198400"/>
    <m/>
  </r>
  <r>
    <n v="359"/>
    <d v="2021-08-16T00:00:00"/>
    <x v="70"/>
    <x v="70"/>
    <x v="0"/>
    <s v="建倉"/>
    <n v="2"/>
    <n v="50"/>
    <n v="8000"/>
    <n v="-400000"/>
    <m/>
  </r>
  <r>
    <n v="360"/>
    <d v="2021-08-16T00:00:00"/>
    <x v="70"/>
    <x v="70"/>
    <x v="0"/>
    <s v="出場觀望"/>
    <n v="2"/>
    <n v="50.1"/>
    <n v="-8000"/>
    <n v="400800"/>
    <m/>
  </r>
  <r>
    <n v="361"/>
    <d v="2021-08-17T00:00:00"/>
    <x v="11"/>
    <x v="11"/>
    <x v="0"/>
    <s v="減碼"/>
    <n v="3"/>
    <n v="47.54"/>
    <n v="-5000"/>
    <n v="237700"/>
    <m/>
  </r>
  <r>
    <n v="362"/>
    <d v="2021-08-17T00:00:00"/>
    <x v="78"/>
    <x v="78"/>
    <x v="4"/>
    <s v="建倉"/>
    <n v="2"/>
    <n v="25.3"/>
    <n v="-8000"/>
    <n v="202400"/>
    <m/>
  </r>
  <r>
    <n v="363"/>
    <d v="2021-08-17T00:00:00"/>
    <x v="80"/>
    <x v="80"/>
    <x v="4"/>
    <s v="建倉"/>
    <n v="1"/>
    <n v="26.75"/>
    <n v="-6000"/>
    <n v="160500"/>
    <m/>
  </r>
  <r>
    <n v="364"/>
    <d v="2021-08-17T00:00:00"/>
    <x v="15"/>
    <x v="15"/>
    <x v="4"/>
    <s v="建倉"/>
    <n v="2"/>
    <n v="51.9"/>
    <n v="-4000"/>
    <n v="207600"/>
    <m/>
  </r>
  <r>
    <n v="365"/>
    <d v="2021-08-18T00:00:00"/>
    <x v="61"/>
    <x v="61"/>
    <x v="0"/>
    <s v="建倉"/>
    <n v="3"/>
    <n v="86.2"/>
    <n v="2000"/>
    <n v="-172400"/>
    <m/>
  </r>
  <r>
    <n v="366"/>
    <d v="2021-08-18T00:00:00"/>
    <x v="81"/>
    <x v="81"/>
    <x v="0"/>
    <s v="建倉"/>
    <n v="1"/>
    <n v="65.3"/>
    <n v="4000"/>
    <n v="-261200"/>
    <m/>
  </r>
  <r>
    <n v="367"/>
    <d v="2021-08-18T00:00:00"/>
    <x v="82"/>
    <x v="82"/>
    <x v="0"/>
    <s v="建倉"/>
    <n v="1"/>
    <n v="61.2"/>
    <n v="4000"/>
    <n v="-244800"/>
    <m/>
  </r>
  <r>
    <n v="368"/>
    <d v="2021-08-18T00:00:00"/>
    <x v="83"/>
    <x v="83"/>
    <x v="0"/>
    <s v="建倉"/>
    <n v="1"/>
    <n v="81"/>
    <n v="3000"/>
    <n v="-243000"/>
    <m/>
  </r>
  <r>
    <n v="369"/>
    <d v="2021-08-18T00:00:00"/>
    <x v="65"/>
    <x v="65"/>
    <x v="4"/>
    <s v="建倉"/>
    <n v="2"/>
    <n v="317.5"/>
    <n v="-1000"/>
    <n v="317500"/>
    <m/>
  </r>
  <r>
    <n v="370"/>
    <d v="2021-08-18T00:00:00"/>
    <x v="65"/>
    <x v="65"/>
    <x v="4"/>
    <s v="停損"/>
    <n v="2"/>
    <n v="320"/>
    <n v="1000"/>
    <n v="-320000"/>
    <m/>
  </r>
  <r>
    <n v="371"/>
    <d v="2021-08-18T00:00:00"/>
    <x v="78"/>
    <x v="78"/>
    <x v="4"/>
    <s v="停利"/>
    <n v="2"/>
    <n v="24.843699999999998"/>
    <n v="8000"/>
    <n v="-198749.59999999998"/>
    <m/>
  </r>
  <r>
    <n v="372"/>
    <d v="2021-08-18T00:00:00"/>
    <x v="80"/>
    <x v="80"/>
    <x v="4"/>
    <s v="停利"/>
    <n v="1"/>
    <n v="26.291599999999999"/>
    <n v="6000"/>
    <n v="-157749.6"/>
    <m/>
  </r>
  <r>
    <n v="373"/>
    <d v="2021-08-18T00:00:00"/>
    <x v="15"/>
    <x v="15"/>
    <x v="4"/>
    <s v="停利"/>
    <n v="2"/>
    <n v="50.75"/>
    <n v="4000"/>
    <n v="-203000"/>
    <m/>
  </r>
  <r>
    <n v="374"/>
    <d v="2021-08-18T00:00:00"/>
    <x v="77"/>
    <x v="77"/>
    <x v="5"/>
    <s v="停利"/>
    <n v="1"/>
    <n v="0.88"/>
    <n v="0"/>
    <n v="17558"/>
    <m/>
  </r>
  <r>
    <n v="375"/>
    <d v="2021-08-18T00:00:00"/>
    <x v="77"/>
    <x v="77"/>
    <x v="4"/>
    <s v="建倉"/>
    <n v="2"/>
    <n v="187"/>
    <n v="-1000"/>
    <n v="187000"/>
    <m/>
  </r>
  <r>
    <n v="376"/>
    <d v="2021-08-18T00:00:00"/>
    <x v="77"/>
    <x v="77"/>
    <x v="4"/>
    <s v="停損"/>
    <n v="2"/>
    <n v="189.5"/>
    <n v="1000"/>
    <n v="-189500"/>
    <m/>
  </r>
  <r>
    <n v="377"/>
    <d v="2021-08-18T00:00:00"/>
    <x v="77"/>
    <x v="77"/>
    <x v="4"/>
    <s v="建倉"/>
    <n v="2"/>
    <n v="191.5"/>
    <n v="1000"/>
    <n v="-191500"/>
    <m/>
  </r>
  <r>
    <n v="378"/>
    <d v="2021-08-18T00:00:00"/>
    <x v="77"/>
    <x v="77"/>
    <x v="4"/>
    <s v="停利"/>
    <n v="2"/>
    <n v="197"/>
    <n v="-1000"/>
    <n v="197000"/>
    <m/>
  </r>
  <r>
    <n v="379"/>
    <d v="2021-08-19T00:00:00"/>
    <x v="84"/>
    <x v="84"/>
    <x v="0"/>
    <s v="建倉"/>
    <n v="1"/>
    <n v="35.825000000000003"/>
    <n v="8000"/>
    <n v="-286600"/>
    <m/>
  </r>
  <r>
    <n v="380"/>
    <d v="2021-08-19T00:00:00"/>
    <x v="81"/>
    <x v="81"/>
    <x v="0"/>
    <s v="加碼"/>
    <n v="1"/>
    <n v="64.099999999999994"/>
    <n v="4000"/>
    <n v="-256399.99999999997"/>
    <m/>
  </r>
  <r>
    <n v="381"/>
    <d v="2021-08-19T00:00:00"/>
    <x v="82"/>
    <x v="82"/>
    <x v="0"/>
    <s v="加碼"/>
    <n v="1"/>
    <n v="63.25"/>
    <n v="2000"/>
    <n v="-126500"/>
    <m/>
  </r>
  <r>
    <n v="382"/>
    <d v="2021-08-19T00:00:00"/>
    <x v="11"/>
    <x v="11"/>
    <x v="0"/>
    <s v="減碼"/>
    <n v="3"/>
    <n v="46.6"/>
    <n v="-2000"/>
    <n v="93200"/>
    <m/>
  </r>
  <r>
    <n v="383"/>
    <d v="2021-08-19T00:00:00"/>
    <x v="61"/>
    <x v="61"/>
    <x v="0"/>
    <s v="加碼"/>
    <n v="3"/>
    <n v="84.5"/>
    <n v="2000"/>
    <n v="-169000"/>
    <m/>
  </r>
  <r>
    <n v="384"/>
    <d v="2021-08-19T00:00:00"/>
    <x v="61"/>
    <x v="61"/>
    <x v="0"/>
    <s v="停損"/>
    <n v="3"/>
    <n v="84"/>
    <n v="-4000"/>
    <n v="336000"/>
    <m/>
  </r>
  <r>
    <n v="385"/>
    <d v="2021-08-19T00:00:00"/>
    <x v="18"/>
    <x v="18"/>
    <x v="0"/>
    <s v="停損"/>
    <n v="2"/>
    <n v="57.1"/>
    <n v="-4000"/>
    <n v="228400"/>
    <m/>
  </r>
  <r>
    <n v="386"/>
    <d v="2021-08-19T00:00:00"/>
    <x v="83"/>
    <x v="83"/>
    <x v="0"/>
    <s v="減碼"/>
    <n v="1"/>
    <n v="78.8"/>
    <n v="-2000"/>
    <n v="157600"/>
    <m/>
  </r>
  <r>
    <n v="387"/>
    <d v="2021-08-19T00:00:00"/>
    <x v="83"/>
    <x v="83"/>
    <x v="0"/>
    <s v="加碼"/>
    <n v="1"/>
    <n v="79.3"/>
    <n v="2000"/>
    <n v="-158600"/>
    <m/>
  </r>
  <r>
    <n v="388"/>
    <d v="2021-08-19T00:00:00"/>
    <x v="83"/>
    <x v="83"/>
    <x v="0"/>
    <s v="停損"/>
    <n v="1"/>
    <n v="78.5"/>
    <n v="-3000"/>
    <n v="235500"/>
    <m/>
  </r>
  <r>
    <n v="389"/>
    <d v="2021-08-20T00:00:00"/>
    <x v="82"/>
    <x v="82"/>
    <x v="0"/>
    <s v="出場觀望"/>
    <n v="1"/>
    <n v="61.7"/>
    <n v="-1000"/>
    <n v="61700"/>
    <m/>
  </r>
  <r>
    <n v="390"/>
    <d v="2021-08-20T00:00:00"/>
    <x v="82"/>
    <x v="82"/>
    <x v="0"/>
    <s v="出場觀望"/>
    <n v="1"/>
    <n v="61.6"/>
    <n v="-5000"/>
    <n v="308000"/>
    <m/>
  </r>
  <r>
    <n v="391"/>
    <d v="2021-08-20T00:00:00"/>
    <x v="84"/>
    <x v="84"/>
    <x v="0"/>
    <s v="加碼"/>
    <n v="1"/>
    <n v="35.65"/>
    <n v="8000"/>
    <n v="-285200"/>
    <m/>
  </r>
  <r>
    <n v="392"/>
    <d v="2021-08-20T00:00:00"/>
    <x v="84"/>
    <x v="84"/>
    <x v="0"/>
    <s v="停損"/>
    <n v="1"/>
    <n v="35.25"/>
    <n v="-8000"/>
    <n v="282000"/>
    <m/>
  </r>
  <r>
    <n v="393"/>
    <d v="2021-08-20T00:00:00"/>
    <x v="84"/>
    <x v="84"/>
    <x v="0"/>
    <s v="停損"/>
    <n v="1"/>
    <n v="35.299999999999997"/>
    <n v="-8000"/>
    <n v="282400"/>
    <m/>
  </r>
  <r>
    <n v="394"/>
    <d v="2021-08-20T00:00:00"/>
    <x v="85"/>
    <x v="85"/>
    <x v="4"/>
    <s v="建倉"/>
    <n v="1"/>
    <n v="60.7"/>
    <n v="-4000"/>
    <n v="242800"/>
    <m/>
  </r>
  <r>
    <n v="395"/>
    <d v="2021-08-23T00:00:00"/>
    <x v="41"/>
    <x v="41"/>
    <x v="0"/>
    <s v="建倉"/>
    <n v="2"/>
    <n v="61.7"/>
    <n v="2000"/>
    <n v="-123400"/>
    <m/>
  </r>
  <r>
    <n v="396"/>
    <d v="2021-08-25T00:00:00"/>
    <x v="41"/>
    <x v="41"/>
    <x v="0"/>
    <s v="出場觀望"/>
    <n v="2"/>
    <n v="62.1"/>
    <n v="-1000"/>
    <n v="62100"/>
    <m/>
  </r>
  <r>
    <n v="397"/>
    <d v="2021-08-25T00:00:00"/>
    <x v="41"/>
    <x v="41"/>
    <x v="0"/>
    <s v="出場觀望"/>
    <n v="2"/>
    <n v="62.2"/>
    <n v="-1000"/>
    <n v="62200"/>
    <m/>
  </r>
  <r>
    <n v="398"/>
    <d v="2021-08-26T00:00:00"/>
    <x v="85"/>
    <x v="85"/>
    <x v="4"/>
    <s v="停損"/>
    <n v="1"/>
    <n v="74.099999999999994"/>
    <n v="4000"/>
    <n v="-296400"/>
    <m/>
  </r>
  <r>
    <n v="399"/>
    <d v="2021-08-30T00:00:00"/>
    <x v="86"/>
    <x v="86"/>
    <x v="0"/>
    <s v="建倉"/>
    <n v="1"/>
    <n v="20.5"/>
    <n v="15000"/>
    <n v="-307500"/>
    <m/>
  </r>
  <r>
    <n v="400"/>
    <d v="2021-08-30T00:00:00"/>
    <x v="11"/>
    <x v="11"/>
    <x v="0"/>
    <s v="停損"/>
    <n v="3"/>
    <n v="47.55"/>
    <n v="-500"/>
    <n v="23775"/>
    <m/>
  </r>
  <r>
    <n v="401"/>
    <d v="2021-08-30T00:00:00"/>
    <x v="11"/>
    <x v="11"/>
    <x v="0"/>
    <s v="停損"/>
    <n v="3"/>
    <n v="47.55"/>
    <n v="-500"/>
    <n v="23775"/>
    <m/>
  </r>
  <r>
    <n v="402"/>
    <d v="2021-08-30T00:00:00"/>
    <x v="11"/>
    <x v="11"/>
    <x v="0"/>
    <s v="停損"/>
    <n v="3"/>
    <n v="47.55"/>
    <n v="-192"/>
    <n v="9129.5999999999985"/>
    <m/>
  </r>
  <r>
    <n v="403"/>
    <d v="2021-08-30T00:00:00"/>
    <x v="11"/>
    <x v="11"/>
    <x v="0"/>
    <s v="停損"/>
    <n v="3"/>
    <n v="47.5"/>
    <n v="-500"/>
    <n v="23750"/>
    <m/>
  </r>
  <r>
    <n v="404"/>
    <d v="2021-08-30T00:00:00"/>
    <x v="81"/>
    <x v="81"/>
    <x v="0"/>
    <s v="減碼"/>
    <n v="1"/>
    <n v="65.7"/>
    <n v="-500"/>
    <n v="32850"/>
    <m/>
  </r>
  <r>
    <n v="405"/>
    <d v="2021-08-30T00:00:00"/>
    <x v="81"/>
    <x v="81"/>
    <x v="0"/>
    <s v="減碼"/>
    <n v="1"/>
    <n v="65.7"/>
    <n v="-500"/>
    <n v="32850"/>
    <m/>
  </r>
  <r>
    <n v="406"/>
    <d v="2021-08-30T00:00:00"/>
    <x v="81"/>
    <x v="81"/>
    <x v="0"/>
    <s v="減碼"/>
    <n v="1"/>
    <n v="65.7"/>
    <n v="-336"/>
    <n v="22075.200000000001"/>
    <m/>
  </r>
  <r>
    <n v="407"/>
    <d v="2021-08-30T00:00:00"/>
    <x v="81"/>
    <x v="81"/>
    <x v="0"/>
    <s v="減碼"/>
    <n v="1"/>
    <n v="65.599999999999994"/>
    <n v="-3000"/>
    <n v="196799.99999999997"/>
    <m/>
  </r>
  <r>
    <n v="408"/>
    <d v="2021-08-30T00:00:00"/>
    <x v="81"/>
    <x v="81"/>
    <x v="0"/>
    <s v="減碼"/>
    <n v="1"/>
    <n v="65.7"/>
    <n v="-164"/>
    <n v="10774.800000000001"/>
    <m/>
  </r>
  <r>
    <n v="409"/>
    <d v="2021-08-30T00:00:00"/>
    <x v="81"/>
    <x v="81"/>
    <x v="0"/>
    <s v="減碼"/>
    <n v="1"/>
    <n v="65.7"/>
    <n v="-500"/>
    <n v="32850"/>
    <m/>
  </r>
  <r>
    <n v="410"/>
    <d v="2021-08-31T00:00:00"/>
    <x v="15"/>
    <x v="15"/>
    <x v="4"/>
    <s v="建倉"/>
    <n v="3"/>
    <n v="62.3"/>
    <n v="3000"/>
    <n v="-186900"/>
    <m/>
  </r>
  <r>
    <n v="411"/>
    <d v="2021-08-31T00:00:00"/>
    <x v="56"/>
    <x v="56"/>
    <x v="0"/>
    <s v="建倉"/>
    <n v="3"/>
    <n v="49.15"/>
    <n v="4000"/>
    <n v="-196600"/>
    <m/>
  </r>
  <r>
    <n v="412"/>
    <d v="2021-08-31T00:00:00"/>
    <x v="81"/>
    <x v="81"/>
    <x v="0"/>
    <s v="停利"/>
    <n v="1"/>
    <n v="66.3"/>
    <n v="-3000"/>
    <n v="198900"/>
    <m/>
  </r>
  <r>
    <n v="413"/>
    <d v="2021-08-31T00:00:00"/>
    <x v="1"/>
    <x v="1"/>
    <x v="1"/>
    <s v="減碼"/>
    <n v="2"/>
    <n v="42.5"/>
    <n v="-3000"/>
    <n v="127500"/>
    <m/>
  </r>
  <r>
    <n v="414"/>
    <d v="2021-09-01T00:00:00"/>
    <x v="11"/>
    <x v="11"/>
    <x v="0"/>
    <s v="停損"/>
    <n v="3"/>
    <n v="48.15"/>
    <n v="-308"/>
    <n v="14830.199999999999"/>
    <m/>
  </r>
  <r>
    <n v="415"/>
    <d v="2021-09-01T00:00:00"/>
    <x v="2"/>
    <x v="2"/>
    <x v="0"/>
    <s v="建倉"/>
    <n v="5"/>
    <n v="38.4"/>
    <n v="4000"/>
    <n v="-153600"/>
    <m/>
  </r>
  <r>
    <n v="416"/>
    <d v="2021-09-02T00:00:00"/>
    <x v="56"/>
    <x v="56"/>
    <x v="0"/>
    <s v="出場觀望"/>
    <n v="3"/>
    <n v="48.85"/>
    <n v="-4000"/>
    <n v="195400"/>
    <m/>
  </r>
  <r>
    <n v="417"/>
    <d v="2021-09-02T00:00:00"/>
    <x v="2"/>
    <x v="2"/>
    <x v="0"/>
    <s v="停損"/>
    <n v="5"/>
    <n v="37.450000000000003"/>
    <n v="-800"/>
    <n v="29960.000000000004"/>
    <m/>
  </r>
  <r>
    <n v="418"/>
    <d v="2021-09-02T00:00:00"/>
    <x v="2"/>
    <x v="2"/>
    <x v="0"/>
    <s v="停損"/>
    <n v="5"/>
    <n v="37.450000000000003"/>
    <n v="-800"/>
    <n v="29960.000000000004"/>
    <m/>
  </r>
  <r>
    <n v="419"/>
    <d v="2021-09-02T00:00:00"/>
    <x v="2"/>
    <x v="2"/>
    <x v="0"/>
    <s v="停損"/>
    <n v="5"/>
    <n v="37.450000000000003"/>
    <n v="-800"/>
    <n v="29960.000000000004"/>
    <m/>
  </r>
  <r>
    <n v="420"/>
    <d v="2021-09-02T00:00:00"/>
    <x v="2"/>
    <x v="2"/>
    <x v="0"/>
    <s v="停損"/>
    <n v="5"/>
    <n v="37.450000000000003"/>
    <n v="-800"/>
    <n v="29960.000000000004"/>
    <m/>
  </r>
  <r>
    <n v="421"/>
    <d v="2021-09-02T00:00:00"/>
    <x v="2"/>
    <x v="2"/>
    <x v="0"/>
    <s v="停損"/>
    <n v="5"/>
    <n v="37.450000000000003"/>
    <n v="-800"/>
    <n v="29960.000000000004"/>
    <m/>
  </r>
  <r>
    <n v="422"/>
    <d v="2021-09-02T00:00:00"/>
    <x v="1"/>
    <x v="1"/>
    <x v="1"/>
    <s v="加碼"/>
    <n v="2"/>
    <n v="0"/>
    <n v="500"/>
    <n v="0"/>
    <m/>
  </r>
  <r>
    <n v="423"/>
    <d v="2021-09-02T00:00:00"/>
    <x v="87"/>
    <x v="87"/>
    <x v="0"/>
    <s v="建倉"/>
    <n v="1"/>
    <n v="20.85"/>
    <n v="5000"/>
    <n v="-104250"/>
    <m/>
  </r>
  <r>
    <n v="424"/>
    <d v="2021-09-02T00:00:00"/>
    <x v="86"/>
    <x v="86"/>
    <x v="0"/>
    <s v="減碼"/>
    <n v="1"/>
    <n v="20.5"/>
    <n v="-800"/>
    <n v="16400"/>
    <m/>
  </r>
  <r>
    <n v="425"/>
    <d v="2021-09-02T00:00:00"/>
    <x v="86"/>
    <x v="86"/>
    <x v="0"/>
    <s v="減碼"/>
    <n v="1"/>
    <n v="20.5"/>
    <n v="-800"/>
    <n v="16400"/>
    <m/>
  </r>
  <r>
    <n v="426"/>
    <d v="2021-09-02T00:00:00"/>
    <x v="86"/>
    <x v="86"/>
    <x v="0"/>
    <s v="減碼"/>
    <n v="1"/>
    <n v="20.5"/>
    <n v="-800"/>
    <n v="16400"/>
    <m/>
  </r>
  <r>
    <n v="427"/>
    <d v="2021-09-02T00:00:00"/>
    <x v="86"/>
    <x v="86"/>
    <x v="0"/>
    <s v="減碼"/>
    <n v="1"/>
    <n v="20.5"/>
    <n v="-800"/>
    <n v="16400"/>
    <m/>
  </r>
  <r>
    <n v="428"/>
    <d v="2021-09-02T00:00:00"/>
    <x v="86"/>
    <x v="86"/>
    <x v="0"/>
    <s v="減碼"/>
    <n v="1"/>
    <n v="20.5"/>
    <n v="-800"/>
    <n v="16400"/>
    <m/>
  </r>
  <r>
    <n v="429"/>
    <d v="2021-09-02T00:00:00"/>
    <x v="86"/>
    <x v="86"/>
    <x v="0"/>
    <s v="減碼"/>
    <n v="1"/>
    <n v="20.5"/>
    <n v="-10000"/>
    <n v="205000"/>
    <m/>
  </r>
  <r>
    <n v="430"/>
    <d v="2021-09-02T00:00:00"/>
    <x v="86"/>
    <x v="86"/>
    <x v="0"/>
    <s v="減碼"/>
    <n v="1"/>
    <n v="20.55"/>
    <n v="-500"/>
    <n v="10275"/>
    <m/>
  </r>
  <r>
    <n v="431"/>
    <d v="2021-09-02T00:00:00"/>
    <x v="86"/>
    <x v="86"/>
    <x v="0"/>
    <s v="減碼"/>
    <n v="1"/>
    <n v="20.55"/>
    <n v="-500"/>
    <n v="10275"/>
    <m/>
  </r>
  <r>
    <n v="432"/>
    <d v="2021-09-02T00:00:00"/>
    <x v="67"/>
    <x v="67"/>
    <x v="0"/>
    <s v="建倉"/>
    <n v="2"/>
    <n v="20.5"/>
    <n v="5000"/>
    <n v="-102500"/>
    <m/>
  </r>
  <r>
    <n v="433"/>
    <d v="2021-09-03T00:00:00"/>
    <x v="56"/>
    <x v="56"/>
    <x v="0"/>
    <s v="建倉"/>
    <n v="4"/>
    <n v="49.3"/>
    <n v="5000"/>
    <n v="-246500"/>
    <m/>
  </r>
  <r>
    <n v="434"/>
    <d v="2021-09-03T00:00:00"/>
    <x v="56"/>
    <x v="56"/>
    <x v="0"/>
    <s v="建倉"/>
    <n v="4"/>
    <n v="49.15"/>
    <n v="5000"/>
    <n v="-245750"/>
    <m/>
  </r>
  <r>
    <n v="435"/>
    <d v="2021-09-03T00:00:00"/>
    <x v="60"/>
    <x v="60"/>
    <x v="0"/>
    <s v="建倉"/>
    <n v="2"/>
    <n v="67.599999999999994"/>
    <n v="5000"/>
    <n v="-338000"/>
    <m/>
  </r>
  <r>
    <n v="436"/>
    <d v="2021-09-03T00:00:00"/>
    <x v="86"/>
    <x v="86"/>
    <x v="0"/>
    <s v="加碼"/>
    <n v="1"/>
    <n v="20.85"/>
    <n v="700"/>
    <n v="-14595.000000000002"/>
    <m/>
  </r>
  <r>
    <n v="437"/>
    <d v="2021-09-03T00:00:00"/>
    <x v="86"/>
    <x v="86"/>
    <x v="0"/>
    <s v="加碼"/>
    <n v="1"/>
    <n v="20.85"/>
    <n v="700"/>
    <n v="-14595.000000000002"/>
    <m/>
  </r>
  <r>
    <n v="438"/>
    <d v="2021-09-03T00:00:00"/>
    <x v="86"/>
    <x v="86"/>
    <x v="0"/>
    <s v="加碼"/>
    <n v="1"/>
    <n v="20.85"/>
    <n v="700"/>
    <n v="-14595.000000000002"/>
    <m/>
  </r>
  <r>
    <n v="439"/>
    <d v="2021-09-03T00:00:00"/>
    <x v="86"/>
    <x v="86"/>
    <x v="0"/>
    <s v="加碼"/>
    <n v="1"/>
    <n v="20.85"/>
    <n v="700"/>
    <n v="-14595.000000000002"/>
    <m/>
  </r>
  <r>
    <n v="440"/>
    <d v="2021-09-03T00:00:00"/>
    <x v="86"/>
    <x v="86"/>
    <x v="0"/>
    <s v="加碼"/>
    <n v="1"/>
    <n v="20.85"/>
    <n v="700"/>
    <n v="-14595.000000000002"/>
    <m/>
  </r>
  <r>
    <n v="441"/>
    <d v="2021-09-03T00:00:00"/>
    <x v="86"/>
    <x v="86"/>
    <x v="0"/>
    <s v="加碼"/>
    <n v="1"/>
    <n v="20.85"/>
    <n v="700"/>
    <n v="-14595.000000000002"/>
    <m/>
  </r>
  <r>
    <n v="442"/>
    <d v="2021-09-03T00:00:00"/>
    <x v="86"/>
    <x v="86"/>
    <x v="0"/>
    <s v="加碼"/>
    <n v="1"/>
    <n v="20.85"/>
    <n v="700"/>
    <n v="-14595.000000000002"/>
    <m/>
  </r>
  <r>
    <n v="443"/>
    <d v="2021-09-03T00:00:00"/>
    <x v="86"/>
    <x v="86"/>
    <x v="0"/>
    <s v="加碼"/>
    <n v="1"/>
    <n v="20.85"/>
    <n v="700"/>
    <n v="-14595.000000000002"/>
    <m/>
  </r>
  <r>
    <n v="444"/>
    <d v="2021-09-03T00:00:00"/>
    <x v="86"/>
    <x v="86"/>
    <x v="0"/>
    <s v="加碼"/>
    <n v="1"/>
    <n v="20.85"/>
    <n v="700"/>
    <n v="-14595.000000000002"/>
    <m/>
  </r>
  <r>
    <n v="445"/>
    <d v="2021-09-03T00:00:00"/>
    <x v="86"/>
    <x v="86"/>
    <x v="0"/>
    <s v="加碼"/>
    <n v="1"/>
    <n v="20.85"/>
    <n v="700"/>
    <n v="-14595.000000000002"/>
    <m/>
  </r>
  <r>
    <n v="446"/>
    <d v="2021-09-03T00:00:00"/>
    <x v="86"/>
    <x v="86"/>
    <x v="0"/>
    <s v="加碼"/>
    <n v="1"/>
    <n v="20.85"/>
    <n v="500"/>
    <n v="-10425"/>
    <m/>
  </r>
  <r>
    <n v="447"/>
    <d v="2021-09-03T00:00:00"/>
    <x v="86"/>
    <x v="86"/>
    <x v="0"/>
    <s v="加碼"/>
    <n v="1"/>
    <n v="20.85"/>
    <n v="500"/>
    <n v="-10425"/>
    <m/>
  </r>
  <r>
    <n v="448"/>
    <d v="2021-09-03T00:00:00"/>
    <x v="86"/>
    <x v="86"/>
    <x v="0"/>
    <s v="加碼"/>
    <n v="1"/>
    <n v="20.85"/>
    <n v="500"/>
    <n v="-10425"/>
    <m/>
  </r>
  <r>
    <n v="449"/>
    <d v="2021-09-03T00:00:00"/>
    <x v="86"/>
    <x v="86"/>
    <x v="0"/>
    <s v="加碼"/>
    <n v="1"/>
    <n v="20.85"/>
    <n v="500"/>
    <n v="-10425"/>
    <m/>
  </r>
  <r>
    <n v="450"/>
    <d v="2021-09-03T00:00:00"/>
    <x v="86"/>
    <x v="86"/>
    <x v="0"/>
    <s v="加碼"/>
    <n v="1"/>
    <n v="20.85"/>
    <n v="500"/>
    <n v="-10425"/>
    <m/>
  </r>
  <r>
    <n v="451"/>
    <d v="2021-09-03T00:00:00"/>
    <x v="86"/>
    <x v="86"/>
    <x v="0"/>
    <s v="加碼"/>
    <n v="1"/>
    <n v="20.85"/>
    <n v="500"/>
    <n v="-10425"/>
    <m/>
  </r>
  <r>
    <n v="452"/>
    <d v="2021-09-03T00:00:00"/>
    <x v="15"/>
    <x v="15"/>
    <x v="4"/>
    <s v="停利"/>
    <n v="3"/>
    <n v="56.5"/>
    <n v="-3000"/>
    <n v="169500"/>
    <m/>
  </r>
  <r>
    <n v="453"/>
    <d v="2021-09-03T00:00:00"/>
    <x v="15"/>
    <x v="15"/>
    <x v="4"/>
    <s v="停損"/>
    <n v="4"/>
    <n v="57"/>
    <n v="-3000"/>
    <n v="171000"/>
    <m/>
  </r>
  <r>
    <n v="454"/>
    <d v="2021-09-03T00:00:00"/>
    <x v="15"/>
    <x v="15"/>
    <x v="4"/>
    <s v="停損"/>
    <n v="4"/>
    <n v="56.7"/>
    <n v="-1000"/>
    <n v="56700"/>
    <m/>
  </r>
  <r>
    <n v="455"/>
    <d v="2021-09-03T00:00:00"/>
    <x v="15"/>
    <x v="15"/>
    <x v="4"/>
    <s v="建倉"/>
    <n v="4"/>
    <n v="57.1"/>
    <n v="4000"/>
    <n v="-228400"/>
    <m/>
  </r>
  <r>
    <n v="456"/>
    <d v="2021-09-06T00:00:00"/>
    <x v="2"/>
    <x v="2"/>
    <x v="0"/>
    <s v="建倉"/>
    <n v="6"/>
    <n v="38.6"/>
    <n v="5000"/>
    <n v="-193000"/>
    <m/>
  </r>
  <r>
    <n v="457"/>
    <d v="2021-09-06T00:00:00"/>
    <x v="60"/>
    <x v="60"/>
    <x v="0"/>
    <s v="停利"/>
    <n v="2"/>
    <n v="68.599999999999994"/>
    <n v="-5000"/>
    <n v="343000"/>
    <m/>
  </r>
  <r>
    <n v="458"/>
    <d v="2021-09-06T00:00:00"/>
    <x v="60"/>
    <x v="60"/>
    <x v="0"/>
    <s v="建倉"/>
    <n v="3"/>
    <n v="69.5"/>
    <n v="5000"/>
    <n v="-347500"/>
    <m/>
  </r>
  <r>
    <n v="459"/>
    <d v="2021-09-06T00:00:00"/>
    <x v="67"/>
    <x v="67"/>
    <x v="0"/>
    <s v="停損"/>
    <n v="2"/>
    <n v="20.05"/>
    <n v="-5000"/>
    <n v="100250"/>
    <m/>
  </r>
  <r>
    <n v="460"/>
    <d v="2021-09-06T00:00:00"/>
    <x v="31"/>
    <x v="31"/>
    <x v="4"/>
    <s v="建倉"/>
    <n v="1"/>
    <n v="41.65"/>
    <n v="-3000"/>
    <n v="124950"/>
    <m/>
  </r>
  <r>
    <n v="461"/>
    <d v="2021-09-07T00:00:00"/>
    <x v="56"/>
    <x v="56"/>
    <x v="0"/>
    <s v="停損"/>
    <n v="4"/>
    <n v="48.95"/>
    <n v="-4000"/>
    <n v="195800"/>
    <m/>
  </r>
  <r>
    <n v="462"/>
    <d v="2021-09-07T00:00:00"/>
    <x v="56"/>
    <x v="56"/>
    <x v="0"/>
    <s v="停損"/>
    <n v="4"/>
    <n v="49"/>
    <n v="-3000"/>
    <n v="147000"/>
    <m/>
  </r>
  <r>
    <n v="463"/>
    <d v="2021-09-07T00:00:00"/>
    <x v="56"/>
    <x v="56"/>
    <x v="0"/>
    <s v="停損"/>
    <n v="4"/>
    <n v="48.9"/>
    <n v="-3000"/>
    <n v="146700"/>
    <m/>
  </r>
  <r>
    <n v="464"/>
    <d v="2021-09-07T00:00:00"/>
    <x v="2"/>
    <x v="2"/>
    <x v="0"/>
    <s v="停損"/>
    <n v="6"/>
    <n v="38.25"/>
    <n v="-1000"/>
    <n v="38250"/>
    <m/>
  </r>
  <r>
    <n v="465"/>
    <d v="2021-09-07T00:00:00"/>
    <x v="2"/>
    <x v="2"/>
    <x v="0"/>
    <s v="加碼"/>
    <n v="6"/>
    <n v="38.700000000000003"/>
    <n v="1000"/>
    <n v="-38700"/>
    <m/>
  </r>
  <r>
    <n v="466"/>
    <d v="2021-09-07T00:00:00"/>
    <x v="2"/>
    <x v="2"/>
    <x v="0"/>
    <s v="停損"/>
    <n v="6"/>
    <n v="38.200000000000003"/>
    <n v="-4000"/>
    <n v="152800"/>
    <m/>
  </r>
  <r>
    <n v="467"/>
    <d v="2021-09-07T00:00:00"/>
    <x v="2"/>
    <x v="2"/>
    <x v="0"/>
    <s v="加碼"/>
    <n v="6"/>
    <n v="38.700000000000003"/>
    <n v="4000"/>
    <n v="-154800"/>
    <m/>
  </r>
  <r>
    <n v="468"/>
    <d v="2021-09-07T00:00:00"/>
    <x v="2"/>
    <x v="2"/>
    <x v="0"/>
    <s v="停損"/>
    <n v="6"/>
    <n v="38.25"/>
    <n v="-5000"/>
    <n v="191250"/>
    <m/>
  </r>
  <r>
    <n v="469"/>
    <d v="2021-09-07T00:00:00"/>
    <x v="60"/>
    <x v="60"/>
    <x v="0"/>
    <s v="出場觀望"/>
    <n v="3"/>
    <n v="69.7"/>
    <n v="-5000"/>
    <n v="348500"/>
    <m/>
  </r>
  <r>
    <n v="470"/>
    <d v="2021-09-07T00:00:00"/>
    <x v="88"/>
    <x v="88"/>
    <x v="4"/>
    <s v="建倉"/>
    <n v="2"/>
    <n v="27.7"/>
    <n v="-8000"/>
    <n v="221600"/>
    <m/>
  </r>
  <r>
    <n v="471"/>
    <d v="2021-09-07T00:00:00"/>
    <x v="87"/>
    <x v="87"/>
    <x v="0"/>
    <s v="停損"/>
    <n v="1"/>
    <n v="20.6"/>
    <n v="-5000"/>
    <n v="103000"/>
    <m/>
  </r>
  <r>
    <n v="472"/>
    <d v="2021-09-07T00:00:00"/>
    <x v="89"/>
    <x v="89"/>
    <x v="4"/>
    <s v="建倉"/>
    <n v="1"/>
    <n v="43.05"/>
    <n v="-4000"/>
    <n v="172200"/>
    <m/>
  </r>
  <r>
    <n v="473"/>
    <d v="2021-09-08T00:00:00"/>
    <x v="88"/>
    <x v="88"/>
    <x v="4"/>
    <s v="停利"/>
    <n v="2"/>
    <n v="27.35"/>
    <n v="8000"/>
    <n v="-218800"/>
    <m/>
  </r>
  <r>
    <n v="474"/>
    <d v="2021-09-08T00:00:00"/>
    <x v="31"/>
    <x v="31"/>
    <x v="4"/>
    <s v="停利"/>
    <n v="1"/>
    <n v="40.4"/>
    <n v="3000"/>
    <n v="-121200"/>
    <m/>
  </r>
  <r>
    <n v="475"/>
    <d v="2021-09-08T00:00:00"/>
    <x v="89"/>
    <x v="89"/>
    <x v="4"/>
    <s v="停利"/>
    <n v="1"/>
    <n v="42.7"/>
    <n v="4000"/>
    <n v="-170800"/>
    <m/>
  </r>
  <r>
    <n v="476"/>
    <d v="2021-09-13T00:00:00"/>
    <x v="56"/>
    <x v="56"/>
    <x v="0"/>
    <s v="建倉"/>
    <n v="5"/>
    <n v="50.2"/>
    <n v="4000"/>
    <n v="-200800"/>
    <m/>
  </r>
  <r>
    <n v="477"/>
    <d v="2021-09-13T00:00:00"/>
    <x v="56"/>
    <x v="56"/>
    <x v="0"/>
    <s v="建倉"/>
    <n v="5"/>
    <n v="50.2"/>
    <n v="6000"/>
    <n v="-301200"/>
    <m/>
  </r>
  <r>
    <n v="478"/>
    <d v="2021-09-13T00:00:00"/>
    <x v="88"/>
    <x v="88"/>
    <x v="4"/>
    <s v="建倉"/>
    <n v="3"/>
    <n v="27.35"/>
    <n v="-6000"/>
    <n v="164100"/>
    <m/>
  </r>
  <r>
    <n v="479"/>
    <d v="2021-09-13T00:00:00"/>
    <x v="90"/>
    <x v="90"/>
    <x v="4"/>
    <s v="建倉"/>
    <n v="1"/>
    <n v="177.5"/>
    <n v="-1000"/>
    <n v="177500"/>
    <m/>
  </r>
  <r>
    <n v="480"/>
    <d v="2021-09-14T00:00:00"/>
    <x v="11"/>
    <x v="11"/>
    <x v="0"/>
    <s v="建倉"/>
    <n v="4"/>
    <n v="51.6"/>
    <n v="6000"/>
    <n v="-309600"/>
    <m/>
  </r>
  <r>
    <n v="481"/>
    <d v="2021-09-14T00:00:00"/>
    <x v="90"/>
    <x v="90"/>
    <x v="4"/>
    <s v="停損"/>
    <n v="1"/>
    <n v="182"/>
    <n v="1000"/>
    <n v="-182000"/>
    <m/>
  </r>
  <r>
    <n v="482"/>
    <d v="2021-09-15T00:00:00"/>
    <x v="91"/>
    <x v="91"/>
    <x v="0"/>
    <s v="建倉"/>
    <n v="1"/>
    <n v="258"/>
    <n v="600"/>
    <n v="-154800"/>
    <m/>
  </r>
  <r>
    <n v="483"/>
    <d v="2021-09-15T00:00:00"/>
    <x v="91"/>
    <x v="91"/>
    <x v="0"/>
    <s v="建倉"/>
    <n v="1"/>
    <n v="258"/>
    <n v="400"/>
    <n v="-103200"/>
    <m/>
  </r>
  <r>
    <n v="484"/>
    <d v="2021-09-15T00:00:00"/>
    <x v="92"/>
    <x v="92"/>
    <x v="0"/>
    <s v="建倉"/>
    <n v="1"/>
    <n v="61.8"/>
    <n v="5000"/>
    <n v="-309000"/>
    <m/>
  </r>
  <r>
    <n v="485"/>
    <d v="2021-09-15T00:00:00"/>
    <x v="88"/>
    <x v="88"/>
    <x v="4"/>
    <s v="停利"/>
    <n v="3"/>
    <n v="26.8"/>
    <n v="6000"/>
    <n v="-160800"/>
    <m/>
  </r>
  <r>
    <n v="486"/>
    <d v="2021-09-15T00:00:00"/>
    <x v="82"/>
    <x v="82"/>
    <x v="0"/>
    <s v="建倉"/>
    <n v="2"/>
    <n v="61.2"/>
    <n v="1000"/>
    <n v="-61200"/>
    <m/>
  </r>
  <r>
    <n v="487"/>
    <d v="2021-09-16T00:00:00"/>
    <x v="93"/>
    <x v="93"/>
    <x v="0"/>
    <s v="建倉"/>
    <n v="1"/>
    <n v="25.2"/>
    <n v="4000"/>
    <n v="-100800"/>
    <m/>
  </r>
  <r>
    <n v="488"/>
    <d v="2021-09-16T00:00:00"/>
    <x v="93"/>
    <x v="93"/>
    <x v="0"/>
    <s v="建倉"/>
    <n v="1"/>
    <n v="25.2"/>
    <n v="4000"/>
    <n v="-100800"/>
    <m/>
  </r>
  <r>
    <n v="489"/>
    <d v="2021-09-16T00:00:00"/>
    <x v="0"/>
    <x v="0"/>
    <x v="0"/>
    <s v="建倉"/>
    <n v="6"/>
    <n v="20.3"/>
    <n v="10000"/>
    <n v="-203000"/>
    <m/>
  </r>
  <r>
    <n v="490"/>
    <d v="2021-09-16T00:00:00"/>
    <x v="91"/>
    <x v="91"/>
    <x v="0"/>
    <s v="加碼"/>
    <n v="1"/>
    <n v="250"/>
    <n v="-1000"/>
    <n v="250000"/>
    <m/>
  </r>
  <r>
    <n v="491"/>
    <d v="2021-09-16T00:00:00"/>
    <x v="91"/>
    <x v="91"/>
    <x v="0"/>
    <s v="加碼"/>
    <n v="1"/>
    <n v="252.5"/>
    <n v="1000"/>
    <n v="-252500"/>
    <m/>
  </r>
  <r>
    <n v="492"/>
    <d v="2021-09-16T00:00:00"/>
    <x v="94"/>
    <x v="94"/>
    <x v="4"/>
    <s v="建倉"/>
    <n v="1"/>
    <n v="23.35"/>
    <n v="-6000"/>
    <n v="140100"/>
    <m/>
  </r>
  <r>
    <n v="493"/>
    <d v="2021-09-16T00:00:00"/>
    <x v="40"/>
    <x v="40"/>
    <x v="0"/>
    <s v="建倉"/>
    <n v="1"/>
    <n v="27.2"/>
    <n v="4000"/>
    <n v="-108800"/>
    <m/>
  </r>
  <r>
    <n v="494"/>
    <d v="2021-09-16T00:00:00"/>
    <x v="40"/>
    <x v="40"/>
    <x v="0"/>
    <s v="建倉"/>
    <n v="1"/>
    <n v="27.05"/>
    <n v="4000"/>
    <n v="-108200"/>
    <m/>
  </r>
  <r>
    <n v="495"/>
    <d v="2021-09-16T00:00:00"/>
    <x v="40"/>
    <x v="40"/>
    <x v="0"/>
    <s v="建倉"/>
    <n v="1"/>
    <n v="27.3"/>
    <n v="4000"/>
    <n v="-109200"/>
    <m/>
  </r>
  <r>
    <n v="496"/>
    <d v="2021-09-16T00:00:00"/>
    <x v="40"/>
    <x v="40"/>
    <x v="0"/>
    <s v="減碼"/>
    <n v="1"/>
    <n v="26.5"/>
    <n v="-4000"/>
    <n v="106000"/>
    <m/>
  </r>
  <r>
    <n v="497"/>
    <d v="2021-09-16T00:00:00"/>
    <x v="95"/>
    <x v="95"/>
    <x v="4"/>
    <s v="建倉"/>
    <n v="1"/>
    <n v="32.5"/>
    <n v="-10000"/>
    <n v="325000"/>
    <m/>
  </r>
  <r>
    <n v="498"/>
    <d v="2021-09-16T00:00:00"/>
    <x v="74"/>
    <x v="74"/>
    <x v="4"/>
    <s v="建倉"/>
    <n v="3"/>
    <n v="49"/>
    <n v="-4000"/>
    <n v="196000"/>
    <m/>
  </r>
  <r>
    <n v="499"/>
    <d v="2021-09-16T00:00:00"/>
    <x v="74"/>
    <x v="74"/>
    <x v="4"/>
    <s v="停損"/>
    <n v="3"/>
    <n v="49.35"/>
    <n v="4000"/>
    <n v="-197400"/>
    <m/>
  </r>
  <r>
    <n v="500"/>
    <d v="2021-09-16T00:00:00"/>
    <x v="90"/>
    <x v="90"/>
    <x v="4"/>
    <s v="建倉"/>
    <n v="2"/>
    <n v="179"/>
    <n v="-2000"/>
    <n v="358000"/>
    <m/>
  </r>
  <r>
    <n v="501"/>
    <d v="2021-09-22T00:00:00"/>
    <x v="11"/>
    <x v="11"/>
    <x v="0"/>
    <s v="停損"/>
    <n v="4"/>
    <n v="50.2"/>
    <n v="-500"/>
    <n v="25100"/>
    <m/>
  </r>
  <r>
    <n v="502"/>
    <d v="2021-09-22T00:00:00"/>
    <x v="11"/>
    <x v="11"/>
    <x v="0"/>
    <s v="停損"/>
    <n v="4"/>
    <n v="50.2"/>
    <n v="-500"/>
    <n v="25100"/>
    <m/>
  </r>
  <r>
    <n v="503"/>
    <d v="2021-09-22T00:00:00"/>
    <x v="11"/>
    <x v="11"/>
    <x v="0"/>
    <s v="停損"/>
    <n v="4"/>
    <n v="50.2"/>
    <n v="-500"/>
    <n v="25100"/>
    <m/>
  </r>
  <r>
    <n v="504"/>
    <d v="2021-09-22T00:00:00"/>
    <x v="11"/>
    <x v="11"/>
    <x v="0"/>
    <s v="停損"/>
    <n v="4"/>
    <n v="50.2"/>
    <n v="-500"/>
    <n v="25100"/>
    <m/>
  </r>
  <r>
    <n v="505"/>
    <d v="2021-09-22T00:00:00"/>
    <x v="11"/>
    <x v="11"/>
    <x v="0"/>
    <s v="停損"/>
    <n v="4"/>
    <n v="50.2"/>
    <n v="-500"/>
    <n v="25100"/>
    <m/>
  </r>
  <r>
    <n v="506"/>
    <d v="2021-09-22T00:00:00"/>
    <x v="11"/>
    <x v="11"/>
    <x v="0"/>
    <s v="停損"/>
    <n v="4"/>
    <n v="50.2"/>
    <n v="-500"/>
    <n v="25100"/>
    <m/>
  </r>
  <r>
    <n v="507"/>
    <d v="2021-09-22T00:00:00"/>
    <x v="11"/>
    <x v="11"/>
    <x v="0"/>
    <s v="停損"/>
    <n v="4"/>
    <n v="50.2"/>
    <n v="-500"/>
    <n v="25100"/>
    <m/>
  </r>
  <r>
    <n v="508"/>
    <d v="2021-09-22T00:00:00"/>
    <x v="11"/>
    <x v="11"/>
    <x v="0"/>
    <s v="停損"/>
    <n v="4"/>
    <n v="50.2"/>
    <n v="-500"/>
    <n v="25100"/>
    <m/>
  </r>
  <r>
    <n v="509"/>
    <d v="2021-09-22T00:00:00"/>
    <x v="11"/>
    <x v="11"/>
    <x v="0"/>
    <s v="停損"/>
    <n v="4"/>
    <n v="50.2"/>
    <n v="-500"/>
    <n v="25100"/>
    <m/>
  </r>
  <r>
    <n v="510"/>
    <d v="2021-09-22T00:00:00"/>
    <x v="11"/>
    <x v="11"/>
    <x v="0"/>
    <s v="停損"/>
    <n v="4"/>
    <n v="50.2"/>
    <n v="-500"/>
    <n v="25100"/>
    <m/>
  </r>
  <r>
    <n v="511"/>
    <d v="2021-09-22T00:00:00"/>
    <x v="11"/>
    <x v="11"/>
    <x v="0"/>
    <s v="停損"/>
    <n v="4"/>
    <n v="50.2"/>
    <n v="-500"/>
    <n v="25100"/>
    <m/>
  </r>
  <r>
    <n v="512"/>
    <d v="2021-09-22T00:00:00"/>
    <x v="11"/>
    <x v="11"/>
    <x v="0"/>
    <s v="停損"/>
    <n v="4"/>
    <n v="50.2"/>
    <n v="-500"/>
    <n v="25100"/>
    <m/>
  </r>
  <r>
    <n v="513"/>
    <d v="2021-09-22T00:00:00"/>
    <x v="93"/>
    <x v="93"/>
    <x v="0"/>
    <s v="停損"/>
    <n v="1"/>
    <n v="23.3"/>
    <n v="-4000"/>
    <n v="93200"/>
    <m/>
  </r>
  <r>
    <n v="514"/>
    <d v="2021-09-22T00:00:00"/>
    <x v="93"/>
    <x v="93"/>
    <x v="0"/>
    <s v="停損"/>
    <n v="1"/>
    <n v="23.25"/>
    <n v="-4000"/>
    <n v="93000"/>
    <m/>
  </r>
  <r>
    <n v="515"/>
    <d v="2021-09-22T00:00:00"/>
    <x v="0"/>
    <x v="0"/>
    <x v="0"/>
    <s v="停損"/>
    <n v="6"/>
    <n v="19.45"/>
    <n v="-10000"/>
    <n v="194500"/>
    <m/>
  </r>
  <r>
    <n v="516"/>
    <d v="2021-09-22T00:00:00"/>
    <x v="0"/>
    <x v="0"/>
    <x v="1"/>
    <s v="出場觀望"/>
    <n v="4"/>
    <n v="19.25"/>
    <n v="-10000"/>
    <n v="192500"/>
    <m/>
  </r>
  <r>
    <n v="517"/>
    <d v="2021-09-22T00:00:00"/>
    <x v="40"/>
    <x v="40"/>
    <x v="0"/>
    <s v="停損"/>
    <n v="1"/>
    <n v="25.15"/>
    <n v="-6000"/>
    <n v="150900"/>
    <m/>
  </r>
  <r>
    <n v="518"/>
    <d v="2021-09-22T00:00:00"/>
    <x v="40"/>
    <x v="40"/>
    <x v="0"/>
    <s v="停損"/>
    <n v="1"/>
    <n v="25.1"/>
    <n v="-2000"/>
    <n v="50200"/>
    <m/>
  </r>
  <r>
    <n v="519"/>
    <d v="2021-09-22T00:00:00"/>
    <x v="56"/>
    <x v="56"/>
    <x v="0"/>
    <s v="停損"/>
    <n v="5"/>
    <n v="49.8"/>
    <n v="-5000"/>
    <n v="249000"/>
    <m/>
  </r>
  <r>
    <n v="520"/>
    <d v="2021-09-22T00:00:00"/>
    <x v="56"/>
    <x v="56"/>
    <x v="0"/>
    <s v="停損"/>
    <n v="5"/>
    <n v="49.8"/>
    <n v="-5000"/>
    <n v="249000"/>
    <m/>
  </r>
  <r>
    <n v="521"/>
    <d v="2021-09-22T00:00:00"/>
    <x v="92"/>
    <x v="92"/>
    <x v="0"/>
    <s v="停損"/>
    <n v="1"/>
    <n v="60.1"/>
    <n v="-5000"/>
    <n v="300500"/>
    <m/>
  </r>
  <r>
    <n v="522"/>
    <d v="2021-09-22T00:00:00"/>
    <x v="86"/>
    <x v="86"/>
    <x v="0"/>
    <s v="減碼"/>
    <n v="1"/>
    <n v="20.2"/>
    <n v="-800"/>
    <n v="16160"/>
    <m/>
  </r>
  <r>
    <n v="523"/>
    <d v="2021-09-22T00:00:00"/>
    <x v="86"/>
    <x v="86"/>
    <x v="0"/>
    <s v="停利"/>
    <n v="1"/>
    <n v="20.2"/>
    <n v="-800"/>
    <n v="16160"/>
    <m/>
  </r>
  <r>
    <n v="524"/>
    <d v="2021-09-22T00:00:00"/>
    <x v="86"/>
    <x v="86"/>
    <x v="0"/>
    <s v="停利"/>
    <n v="1"/>
    <n v="20.2"/>
    <n v="-800"/>
    <n v="16160"/>
    <m/>
  </r>
  <r>
    <n v="525"/>
    <d v="2021-09-22T00:00:00"/>
    <x v="86"/>
    <x v="86"/>
    <x v="0"/>
    <s v="停利"/>
    <n v="1"/>
    <n v="20.2"/>
    <n v="-800"/>
    <n v="16160"/>
    <m/>
  </r>
  <r>
    <n v="526"/>
    <d v="2021-09-22T00:00:00"/>
    <x v="86"/>
    <x v="86"/>
    <x v="0"/>
    <s v="停利"/>
    <n v="1"/>
    <n v="20.2"/>
    <n v="-800"/>
    <n v="16160"/>
    <m/>
  </r>
  <r>
    <n v="527"/>
    <d v="2021-09-22T00:00:00"/>
    <x v="86"/>
    <x v="86"/>
    <x v="0"/>
    <s v="停利"/>
    <n v="1"/>
    <n v="20.2"/>
    <n v="-800"/>
    <n v="16160"/>
    <m/>
  </r>
  <r>
    <n v="528"/>
    <d v="2021-09-22T00:00:00"/>
    <x v="86"/>
    <x v="86"/>
    <x v="0"/>
    <s v="停利"/>
    <n v="1"/>
    <n v="20.149999999999999"/>
    <n v="-200"/>
    <n v="4029.9999999999995"/>
    <m/>
  </r>
  <r>
    <n v="529"/>
    <d v="2021-09-22T00:00:00"/>
    <x v="86"/>
    <x v="86"/>
    <x v="0"/>
    <s v="停利"/>
    <n v="1"/>
    <n v="20.149999999999999"/>
    <n v="-500"/>
    <n v="10075"/>
    <m/>
  </r>
  <r>
    <n v="530"/>
    <d v="2021-09-22T00:00:00"/>
    <x v="86"/>
    <x v="86"/>
    <x v="0"/>
    <s v="停利"/>
    <n v="1"/>
    <n v="20.149999999999999"/>
    <n v="-500"/>
    <n v="10075"/>
    <m/>
  </r>
  <r>
    <n v="531"/>
    <d v="2021-09-22T00:00:00"/>
    <x v="86"/>
    <x v="86"/>
    <x v="0"/>
    <s v="停利"/>
    <n v="1"/>
    <n v="20.149999999999999"/>
    <n v="-500"/>
    <n v="10075"/>
    <m/>
  </r>
  <r>
    <n v="532"/>
    <d v="2021-09-22T00:00:00"/>
    <x v="86"/>
    <x v="86"/>
    <x v="0"/>
    <s v="停利"/>
    <n v="1"/>
    <n v="20.149999999999999"/>
    <n v="-500"/>
    <n v="10075"/>
    <m/>
  </r>
  <r>
    <n v="533"/>
    <d v="2021-09-22T00:00:00"/>
    <x v="86"/>
    <x v="86"/>
    <x v="0"/>
    <s v="停利"/>
    <n v="1"/>
    <n v="20.05"/>
    <n v="-600"/>
    <n v="12030"/>
    <m/>
  </r>
  <r>
    <n v="534"/>
    <d v="2021-09-22T00:00:00"/>
    <x v="86"/>
    <x v="86"/>
    <x v="0"/>
    <s v="停利"/>
    <n v="1"/>
    <n v="20.05"/>
    <n v="-600"/>
    <n v="12030"/>
    <m/>
  </r>
  <r>
    <n v="535"/>
    <d v="2021-09-22T00:00:00"/>
    <x v="86"/>
    <x v="86"/>
    <x v="0"/>
    <s v="停利"/>
    <n v="1"/>
    <n v="20.05"/>
    <n v="-600"/>
    <n v="12030"/>
    <m/>
  </r>
  <r>
    <n v="536"/>
    <d v="2021-09-22T00:00:00"/>
    <x v="86"/>
    <x v="86"/>
    <x v="0"/>
    <s v="停利"/>
    <n v="1"/>
    <n v="20.05"/>
    <n v="-600"/>
    <n v="12030"/>
    <m/>
  </r>
  <r>
    <n v="537"/>
    <d v="2021-09-22T00:00:00"/>
    <x v="86"/>
    <x v="86"/>
    <x v="0"/>
    <s v="停利"/>
    <n v="1"/>
    <n v="20.05"/>
    <n v="-600"/>
    <n v="12030"/>
    <m/>
  </r>
  <r>
    <n v="538"/>
    <d v="2021-09-22T00:00:00"/>
    <x v="66"/>
    <x v="66"/>
    <x v="0"/>
    <s v="建倉"/>
    <n v="1"/>
    <n v="28.5"/>
    <n v="11000"/>
    <n v="-313500"/>
    <m/>
  </r>
  <r>
    <n v="539"/>
    <d v="2021-09-22T00:00:00"/>
    <x v="65"/>
    <x v="65"/>
    <x v="4"/>
    <s v="建倉"/>
    <n v="3"/>
    <n v="254.5"/>
    <n v="-1000"/>
    <n v="254500"/>
    <m/>
  </r>
  <r>
    <n v="540"/>
    <d v="2021-09-23T00:00:00"/>
    <x v="91"/>
    <x v="91"/>
    <x v="0"/>
    <s v="加碼"/>
    <n v="1"/>
    <n v="254.5"/>
    <n v="100"/>
    <n v="-25450"/>
    <m/>
  </r>
  <r>
    <n v="541"/>
    <d v="2021-09-23T00:00:00"/>
    <x v="91"/>
    <x v="91"/>
    <x v="0"/>
    <s v="加碼"/>
    <n v="1"/>
    <n v="254.5"/>
    <n v="50"/>
    <n v="-12725"/>
    <m/>
  </r>
  <r>
    <n v="542"/>
    <d v="2021-09-23T00:00:00"/>
    <x v="91"/>
    <x v="91"/>
    <x v="0"/>
    <s v="加碼"/>
    <n v="1"/>
    <n v="254"/>
    <n v="50"/>
    <n v="-12700"/>
    <m/>
  </r>
  <r>
    <n v="543"/>
    <d v="2021-09-23T00:00:00"/>
    <x v="94"/>
    <x v="94"/>
    <x v="4"/>
    <s v="停利"/>
    <n v="1"/>
    <n v="22.45"/>
    <n v="6000"/>
    <n v="-134700"/>
    <m/>
  </r>
  <r>
    <n v="544"/>
    <d v="2021-09-23T00:00:00"/>
    <x v="56"/>
    <x v="56"/>
    <x v="0"/>
    <s v="建倉"/>
    <n v="6"/>
    <n v="51.5"/>
    <n v="3000"/>
    <n v="-154500"/>
    <m/>
  </r>
  <r>
    <n v="545"/>
    <d v="2021-09-23T00:00:00"/>
    <x v="56"/>
    <x v="56"/>
    <x v="0"/>
    <s v="停損"/>
    <n v="6"/>
    <n v="51"/>
    <n v="-3000"/>
    <n v="153000"/>
    <m/>
  </r>
  <r>
    <n v="546"/>
    <d v="2021-09-23T00:00:00"/>
    <x v="95"/>
    <x v="95"/>
    <x v="4"/>
    <s v="停利"/>
    <n v="1"/>
    <n v="31.2"/>
    <n v="1000"/>
    <n v="-31200"/>
    <m/>
  </r>
  <r>
    <n v="547"/>
    <d v="2021-09-23T00:00:00"/>
    <x v="95"/>
    <x v="95"/>
    <x v="4"/>
    <s v="停利"/>
    <n v="1"/>
    <n v="31.25"/>
    <n v="9000"/>
    <n v="-281250"/>
    <m/>
  </r>
  <r>
    <n v="548"/>
    <d v="2021-09-23T00:00:00"/>
    <x v="90"/>
    <x v="90"/>
    <x v="4"/>
    <s v="停損"/>
    <n v="2"/>
    <n v="182"/>
    <n v="2000"/>
    <n v="-364000"/>
    <m/>
  </r>
  <r>
    <n v="549"/>
    <d v="2021-09-23T00:00:00"/>
    <x v="66"/>
    <x v="66"/>
    <x v="0"/>
    <s v="出場觀望"/>
    <n v="1"/>
    <n v="28.75"/>
    <n v="-11000"/>
    <n v="316250"/>
    <m/>
  </r>
  <r>
    <n v="550"/>
    <d v="2021-09-23T00:00:00"/>
    <x v="65"/>
    <x v="65"/>
    <x v="4"/>
    <s v="停損"/>
    <n v="3"/>
    <n v="262.5"/>
    <n v="1000"/>
    <n v="-262500"/>
    <m/>
  </r>
  <r>
    <n v="551"/>
    <d v="2021-09-24T00:00:00"/>
    <x v="49"/>
    <x v="49"/>
    <x v="0"/>
    <s v="建倉"/>
    <n v="2"/>
    <n v="104"/>
    <n v="500"/>
    <n v="-52000"/>
    <m/>
  </r>
  <r>
    <n v="552"/>
    <d v="2021-09-24T00:00:00"/>
    <x v="49"/>
    <x v="49"/>
    <x v="0"/>
    <s v="建倉"/>
    <n v="2"/>
    <n v="104"/>
    <n v="500"/>
    <n v="-52000"/>
    <m/>
  </r>
  <r>
    <n v="553"/>
    <d v="2021-09-24T00:00:00"/>
    <x v="49"/>
    <x v="49"/>
    <x v="0"/>
    <s v="建倉"/>
    <n v="2"/>
    <n v="105.5"/>
    <n v="500"/>
    <n v="-52750"/>
    <m/>
  </r>
  <r>
    <n v="554"/>
    <d v="2021-09-24T00:00:00"/>
    <x v="49"/>
    <x v="49"/>
    <x v="0"/>
    <s v="建倉"/>
    <n v="2"/>
    <n v="105.5"/>
    <n v="500"/>
    <n v="-52750"/>
    <m/>
  </r>
  <r>
    <n v="555"/>
    <d v="2021-09-24T00:00:00"/>
    <x v="95"/>
    <x v="95"/>
    <x v="4"/>
    <s v="停損"/>
    <n v="1"/>
    <n v="30.5"/>
    <n v="10000"/>
    <n v="-305000"/>
    <m/>
  </r>
  <r>
    <n v="556"/>
    <d v="2021-09-24T00:00:00"/>
    <x v="95"/>
    <x v="95"/>
    <x v="4"/>
    <s v="建倉"/>
    <n v="1"/>
    <n v="30.4"/>
    <n v="-10000"/>
    <n v="304000"/>
    <m/>
  </r>
  <r>
    <n v="557"/>
    <d v="2021-09-24T00:00:00"/>
    <x v="96"/>
    <x v="96"/>
    <x v="4"/>
    <s v="建倉"/>
    <n v="1"/>
    <n v="92"/>
    <n v="-2000"/>
    <n v="184000"/>
    <m/>
  </r>
  <r>
    <n v="558"/>
    <d v="2021-09-24T00:00:00"/>
    <x v="96"/>
    <x v="96"/>
    <x v="4"/>
    <s v="停損"/>
    <n v="1"/>
    <n v="92.2"/>
    <n v="2000"/>
    <n v="-184400"/>
    <m/>
  </r>
  <r>
    <n v="559"/>
    <d v="2021-09-24T00:00:00"/>
    <x v="97"/>
    <x v="97"/>
    <x v="0"/>
    <s v="建倉"/>
    <n v="1"/>
    <n v="79.8"/>
    <n v="2000"/>
    <n v="-159600"/>
    <m/>
  </r>
  <r>
    <n v="560"/>
    <d v="2021-09-24T00:00:00"/>
    <x v="98"/>
    <x v="98"/>
    <x v="0"/>
    <s v="建倉"/>
    <n v="1"/>
    <n v="176"/>
    <n v="1000"/>
    <n v="-176000"/>
    <m/>
  </r>
  <r>
    <n v="561"/>
    <d v="2021-09-27T00:00:00"/>
    <x v="99"/>
    <x v="99"/>
    <x v="0"/>
    <s v="建倉"/>
    <n v="1"/>
    <n v="16.100000000000001"/>
    <n v="5000"/>
    <n v="-80500"/>
    <m/>
  </r>
  <r>
    <n v="562"/>
    <d v="2021-09-27T00:00:00"/>
    <x v="99"/>
    <x v="99"/>
    <x v="0"/>
    <s v="建倉"/>
    <n v="1"/>
    <n v="16.05"/>
    <n v="5000"/>
    <n v="-80250"/>
    <m/>
  </r>
  <r>
    <n v="563"/>
    <d v="2021-09-27T00:00:00"/>
    <x v="91"/>
    <x v="91"/>
    <x v="0"/>
    <s v="減碼"/>
    <n v="1"/>
    <n v="247"/>
    <n v="-200"/>
    <n v="49400"/>
    <m/>
  </r>
  <r>
    <n v="564"/>
    <d v="2021-09-27T00:00:00"/>
    <x v="98"/>
    <x v="98"/>
    <x v="0"/>
    <s v="停損"/>
    <n v="1"/>
    <n v="171.5"/>
    <n v="-1000"/>
    <n v="171500"/>
    <m/>
  </r>
  <r>
    <n v="565"/>
    <d v="2021-09-27T00:00:00"/>
    <x v="90"/>
    <x v="90"/>
    <x v="4"/>
    <s v="建倉"/>
    <n v="3"/>
    <n v="181"/>
    <n v="-1000"/>
    <n v="181000"/>
    <m/>
  </r>
  <r>
    <n v="566"/>
    <d v="2021-09-28T00:00:00"/>
    <x v="0"/>
    <x v="0"/>
    <x v="0"/>
    <s v="建倉"/>
    <n v="7"/>
    <n v="20.5"/>
    <n v="10000"/>
    <n v="-205000"/>
    <m/>
  </r>
  <r>
    <n v="567"/>
    <d v="2021-09-28T00:00:00"/>
    <x v="99"/>
    <x v="99"/>
    <x v="0"/>
    <s v="出場觀望"/>
    <n v="1"/>
    <n v="16.149999999999999"/>
    <n v="-10000"/>
    <n v="161500"/>
    <m/>
  </r>
  <r>
    <n v="568"/>
    <d v="2021-09-28T00:00:00"/>
    <x v="91"/>
    <x v="91"/>
    <x v="0"/>
    <s v="停損"/>
    <n v="1"/>
    <n v="245"/>
    <n v="-1000"/>
    <n v="245000"/>
    <m/>
  </r>
  <r>
    <n v="569"/>
    <d v="2021-09-28T00:00:00"/>
    <x v="26"/>
    <x v="26"/>
    <x v="0"/>
    <s v="加碼"/>
    <n v="2"/>
    <n v="43.35"/>
    <n v="2000"/>
    <n v="-86700"/>
    <m/>
  </r>
  <r>
    <n v="570"/>
    <d v="2021-09-29T00:00:00"/>
    <x v="0"/>
    <x v="0"/>
    <x v="0"/>
    <s v="建倉"/>
    <n v="7"/>
    <n v="20.399999999999999"/>
    <n v="5000"/>
    <n v="-102000"/>
    <m/>
  </r>
  <r>
    <n v="571"/>
    <d v="2021-09-29T00:00:00"/>
    <x v="100"/>
    <x v="100"/>
    <x v="0"/>
    <s v="建倉"/>
    <n v="1"/>
    <n v="22.7"/>
    <n v="2000"/>
    <n v="-45400"/>
    <m/>
  </r>
  <r>
    <n v="572"/>
    <d v="2021-09-29T00:00:00"/>
    <x v="100"/>
    <x v="100"/>
    <x v="0"/>
    <s v="建倉"/>
    <n v="1"/>
    <n v="22.8"/>
    <n v="10000"/>
    <n v="-228000"/>
    <m/>
  </r>
  <r>
    <n v="573"/>
    <d v="2021-09-29T00:00:00"/>
    <x v="81"/>
    <x v="81"/>
    <x v="0"/>
    <s v="建倉"/>
    <n v="2"/>
    <n v="68.900000000000006"/>
    <n v="3000"/>
    <n v="-206700.00000000003"/>
    <m/>
  </r>
  <r>
    <n v="574"/>
    <d v="2021-09-29T00:00:00"/>
    <x v="101"/>
    <x v="101"/>
    <x v="4"/>
    <s v="建倉"/>
    <n v="1"/>
    <n v="130.5"/>
    <n v="-3000"/>
    <n v="391500"/>
    <m/>
  </r>
  <r>
    <n v="575"/>
    <d v="2021-09-30T00:00:00"/>
    <x v="49"/>
    <x v="49"/>
    <x v="0"/>
    <s v="停利"/>
    <n v="2"/>
    <n v="111.5"/>
    <n v="-2000"/>
    <n v="223000"/>
    <m/>
  </r>
  <r>
    <n v="576"/>
    <d v="2021-09-30T00:00:00"/>
    <x v="0"/>
    <x v="0"/>
    <x v="0"/>
    <s v="減碼"/>
    <n v="7"/>
    <n v="21.3"/>
    <n v="-10000"/>
    <n v="213000"/>
    <m/>
  </r>
  <r>
    <n v="577"/>
    <d v="2021-09-30T00:00:00"/>
    <x v="40"/>
    <x v="40"/>
    <x v="0"/>
    <s v="建倉"/>
    <n v="2"/>
    <n v="26.95"/>
    <n v="2000"/>
    <n v="-53900"/>
    <m/>
  </r>
  <r>
    <n v="578"/>
    <d v="2021-09-30T00:00:00"/>
    <x v="102"/>
    <x v="102"/>
    <x v="0"/>
    <s v="建倉"/>
    <n v="1"/>
    <n v="25.6"/>
    <n v="2000"/>
    <n v="-51200"/>
    <m/>
  </r>
  <r>
    <n v="579"/>
    <d v="2021-09-30T00:00:00"/>
    <x v="102"/>
    <x v="102"/>
    <x v="0"/>
    <s v="建倉"/>
    <n v="1"/>
    <n v="26"/>
    <n v="5000"/>
    <n v="-130000"/>
    <m/>
  </r>
  <r>
    <n v="580"/>
    <d v="2021-09-30T00:00:00"/>
    <x v="97"/>
    <x v="97"/>
    <x v="0"/>
    <s v="停損"/>
    <n v="1"/>
    <n v="77.2"/>
    <n v="-1000"/>
    <n v="77200"/>
    <m/>
  </r>
  <r>
    <n v="581"/>
    <d v="2021-09-30T00:00:00"/>
    <x v="97"/>
    <x v="97"/>
    <x v="0"/>
    <s v="停損"/>
    <n v="1"/>
    <n v="77.2"/>
    <n v="-500"/>
    <n v="38600"/>
    <m/>
  </r>
  <r>
    <n v="582"/>
    <d v="2021-09-30T00:00:00"/>
    <x v="97"/>
    <x v="97"/>
    <x v="0"/>
    <s v="停損"/>
    <n v="1"/>
    <n v="77.400000000000006"/>
    <n v="-300"/>
    <n v="23220"/>
    <m/>
  </r>
  <r>
    <n v="583"/>
    <d v="2021-09-30T00:00:00"/>
    <x v="97"/>
    <x v="97"/>
    <x v="0"/>
    <s v="停損"/>
    <n v="1"/>
    <n v="77.5"/>
    <n v="-200"/>
    <n v="15500"/>
    <m/>
  </r>
  <r>
    <n v="584"/>
    <d v="2021-09-30T00:00:00"/>
    <x v="103"/>
    <x v="103"/>
    <x v="0"/>
    <s v="建倉"/>
    <n v="1"/>
    <n v="37.1"/>
    <n v="3000"/>
    <n v="-111300"/>
    <m/>
  </r>
  <r>
    <n v="585"/>
    <d v="2021-09-30T00:00:00"/>
    <x v="101"/>
    <x v="101"/>
    <x v="4"/>
    <s v="出場觀望"/>
    <n v="1"/>
    <n v="130.5"/>
    <n v="2000"/>
    <n v="-261000"/>
    <m/>
  </r>
  <r>
    <n v="586"/>
    <d v="2021-09-30T00:00:00"/>
    <x v="101"/>
    <x v="101"/>
    <x v="4"/>
    <s v="出場觀望"/>
    <n v="1"/>
    <n v="130.5"/>
    <n v="1000"/>
    <n v="-130500"/>
    <m/>
  </r>
  <r>
    <n v="587"/>
    <d v="2021-09-30T00:00:00"/>
    <x v="90"/>
    <x v="90"/>
    <x v="4"/>
    <s v="停利"/>
    <n v="3"/>
    <n v="169.5"/>
    <n v="1000"/>
    <n v="-169500"/>
    <m/>
  </r>
  <r>
    <n v="588"/>
    <d v="2021-10-01T00:00:00"/>
    <x v="100"/>
    <x v="100"/>
    <x v="0"/>
    <s v="加碼"/>
    <n v="1"/>
    <n v="22.6"/>
    <n v="3000"/>
    <n v="-67800"/>
    <m/>
  </r>
  <r>
    <n v="589"/>
    <d v="2021-10-01T00:00:00"/>
    <x v="103"/>
    <x v="103"/>
    <x v="0"/>
    <s v="出場觀望"/>
    <n v="1"/>
    <n v="38"/>
    <n v="-3000"/>
    <n v="114000"/>
    <m/>
  </r>
  <r>
    <n v="590"/>
    <d v="2021-10-01T00:00:00"/>
    <x v="40"/>
    <x v="40"/>
    <x v="0"/>
    <s v="加碼"/>
    <n v="2"/>
    <n v="27.1"/>
    <n v="5000"/>
    <n v="-135500"/>
    <m/>
  </r>
  <r>
    <n v="591"/>
    <d v="2021-10-01T00:00:00"/>
    <x v="26"/>
    <x v="26"/>
    <x v="0"/>
    <s v="減碼"/>
    <n v="2"/>
    <n v="41.7"/>
    <n v="-2000"/>
    <n v="83400"/>
    <m/>
  </r>
  <r>
    <n v="592"/>
    <d v="2021-10-01T00:00:00"/>
    <x v="104"/>
    <x v="104"/>
    <x v="0"/>
    <s v="建倉"/>
    <n v="1"/>
    <n v="76.7"/>
    <n v="1000"/>
    <n v="-76700"/>
    <m/>
  </r>
  <r>
    <n v="593"/>
    <d v="2021-10-01T00:00:00"/>
    <x v="1"/>
    <x v="1"/>
    <x v="1"/>
    <s v="減碼"/>
    <n v="2"/>
    <n v="38.799999999999997"/>
    <n v="-1000"/>
    <n v="38800"/>
    <m/>
  </r>
  <r>
    <n v="594"/>
    <d v="2021-10-01T00:00:00"/>
    <x v="15"/>
    <x v="15"/>
    <x v="4"/>
    <s v="建倉"/>
    <n v="5"/>
    <n v="52.8"/>
    <n v="-4000"/>
    <n v="211200"/>
    <m/>
  </r>
  <r>
    <n v="595"/>
    <d v="2021-10-04T00:00:00"/>
    <x v="100"/>
    <x v="100"/>
    <x v="0"/>
    <s v="加碼"/>
    <n v="1"/>
    <n v="22.85"/>
    <n v="5000"/>
    <n v="-114250"/>
    <m/>
  </r>
  <r>
    <n v="596"/>
    <d v="2021-10-04T00:00:00"/>
    <x v="102"/>
    <x v="102"/>
    <x v="0"/>
    <s v="停損"/>
    <n v="1"/>
    <n v="25.2"/>
    <n v="-7000"/>
    <n v="176400"/>
    <m/>
  </r>
  <r>
    <n v="597"/>
    <d v="2021-10-04T00:00:00"/>
    <x v="40"/>
    <x v="40"/>
    <x v="0"/>
    <s v="停損"/>
    <n v="2"/>
    <n v="26.05"/>
    <n v="-7000"/>
    <n v="182350"/>
    <m/>
  </r>
  <r>
    <n v="598"/>
    <d v="2021-10-04T00:00:00"/>
    <x v="0"/>
    <x v="0"/>
    <x v="0"/>
    <s v="停損"/>
    <n v="7"/>
    <n v="19.100000000000001"/>
    <n v="-5000"/>
    <n v="95500"/>
    <m/>
  </r>
  <r>
    <n v="599"/>
    <d v="2021-10-04T00:00:00"/>
    <x v="15"/>
    <x v="15"/>
    <x v="4"/>
    <s v="停損"/>
    <n v="5"/>
    <n v="52.8"/>
    <n v="4000"/>
    <n v="-211200"/>
    <m/>
  </r>
  <r>
    <n v="600"/>
    <d v="2021-10-04T00:00:00"/>
    <x v="15"/>
    <x v="15"/>
    <x v="4"/>
    <s v="當沖"/>
    <n v="6"/>
    <n v="53.2"/>
    <n v="3000"/>
    <n v="-159600"/>
    <m/>
  </r>
  <r>
    <n v="601"/>
    <d v="2021-10-04T00:00:00"/>
    <x v="89"/>
    <x v="89"/>
    <x v="4"/>
    <s v="建倉"/>
    <n v="2"/>
    <n v="40.200000000000003"/>
    <n v="-6000"/>
    <n v="241200.00000000003"/>
    <m/>
  </r>
  <r>
    <n v="602"/>
    <d v="2021-10-04T00:00:00"/>
    <x v="15"/>
    <x v="15"/>
    <x v="4"/>
    <s v="當沖"/>
    <n v="6"/>
    <n v="52.6"/>
    <n v="-3000"/>
    <n v="157800"/>
    <m/>
  </r>
  <r>
    <n v="603"/>
    <d v="2021-10-04T00:00:00"/>
    <x v="77"/>
    <x v="77"/>
    <x v="4"/>
    <s v="建倉"/>
    <n v="3"/>
    <n v="189"/>
    <n v="-1000"/>
    <n v="189000"/>
    <m/>
  </r>
  <r>
    <n v="604"/>
    <d v="2021-10-04T00:00:00"/>
    <x v="15"/>
    <x v="15"/>
    <x v="4"/>
    <s v="當沖"/>
    <n v="6"/>
    <n v="51.9"/>
    <n v="4000"/>
    <n v="-207600"/>
    <m/>
  </r>
  <r>
    <n v="605"/>
    <d v="2021-10-04T00:00:00"/>
    <x v="15"/>
    <x v="15"/>
    <x v="4"/>
    <s v="當沖"/>
    <n v="6"/>
    <n v="52.5"/>
    <n v="7000"/>
    <n v="-367500"/>
    <m/>
  </r>
  <r>
    <n v="606"/>
    <d v="2021-10-04T00:00:00"/>
    <x v="15"/>
    <x v="15"/>
    <x v="4"/>
    <s v="當沖"/>
    <n v="6"/>
    <n v="51"/>
    <n v="-7000"/>
    <n v="357000"/>
    <m/>
  </r>
  <r>
    <n v="607"/>
    <d v="2021-10-04T00:00:00"/>
    <x v="15"/>
    <x v="15"/>
    <x v="4"/>
    <s v="當沖"/>
    <n v="6"/>
    <n v="53"/>
    <n v="-3000"/>
    <n v="159000"/>
    <m/>
  </r>
  <r>
    <n v="608"/>
    <d v="2021-10-04T00:00:00"/>
    <x v="15"/>
    <x v="15"/>
    <x v="4"/>
    <s v="當沖"/>
    <n v="6"/>
    <n v="52.9"/>
    <n v="-1000"/>
    <n v="52900"/>
    <m/>
  </r>
  <r>
    <n v="609"/>
    <d v="2021-10-05T00:00:00"/>
    <x v="104"/>
    <x v="104"/>
    <x v="0"/>
    <s v="停損"/>
    <n v="1"/>
    <n v="73"/>
    <n v="-1000"/>
    <n v="73000"/>
    <m/>
  </r>
  <r>
    <n v="610"/>
    <d v="2021-10-05T00:00:00"/>
    <x v="10"/>
    <x v="10"/>
    <x v="4"/>
    <s v="建倉"/>
    <n v="3"/>
    <n v="67.2"/>
    <n v="-2000"/>
    <n v="134400"/>
    <m/>
  </r>
  <r>
    <n v="611"/>
    <d v="2021-10-05T00:00:00"/>
    <x v="81"/>
    <x v="81"/>
    <x v="0"/>
    <s v="停利"/>
    <n v="2"/>
    <n v="69.7"/>
    <n v="-3000"/>
    <n v="209100"/>
    <m/>
  </r>
  <r>
    <n v="612"/>
    <d v="2021-10-05T00:00:00"/>
    <x v="82"/>
    <x v="82"/>
    <x v="0"/>
    <s v="停利"/>
    <n v="2"/>
    <n v="70.7"/>
    <n v="-1000"/>
    <n v="70700"/>
    <m/>
  </r>
  <r>
    <n v="613"/>
    <d v="2021-10-05T00:00:00"/>
    <x v="10"/>
    <x v="10"/>
    <x v="4"/>
    <s v="加碼"/>
    <n v="3"/>
    <n v="66.3"/>
    <n v="-2000"/>
    <n v="132600"/>
    <m/>
  </r>
  <r>
    <n v="614"/>
    <d v="2021-10-05T00:00:00"/>
    <x v="10"/>
    <x v="10"/>
    <x v="4"/>
    <s v="減碼"/>
    <n v="3"/>
    <n v="65.8"/>
    <n v="2000"/>
    <n v="-131600"/>
    <m/>
  </r>
  <r>
    <n v="615"/>
    <d v="2021-10-06T00:00:00"/>
    <x v="15"/>
    <x v="15"/>
    <x v="4"/>
    <s v="換股操作"/>
    <n v="7"/>
    <n v="54.9"/>
    <n v="3000"/>
    <n v="-164700"/>
    <m/>
  </r>
  <r>
    <n v="616"/>
    <d v="2021-10-06T00:00:00"/>
    <x v="15"/>
    <x v="15"/>
    <x v="0"/>
    <s v="換股操作"/>
    <n v="7"/>
    <n v="55.2"/>
    <n v="-1000"/>
    <n v="55200"/>
    <m/>
  </r>
  <r>
    <n v="617"/>
    <d v="2021-10-06T00:00:00"/>
    <x v="15"/>
    <x v="15"/>
    <x v="0"/>
    <s v="換股操作"/>
    <n v="7"/>
    <n v="54.4"/>
    <n v="-2000"/>
    <n v="108800"/>
    <m/>
  </r>
  <r>
    <n v="618"/>
    <d v="2021-10-06T00:00:00"/>
    <x v="89"/>
    <x v="89"/>
    <x v="3"/>
    <s v="當沖"/>
    <n v="2"/>
    <n v="40.799999999999997"/>
    <n v="-4000"/>
    <n v="163200"/>
    <m/>
  </r>
  <r>
    <n v="619"/>
    <d v="2021-10-06T00:00:00"/>
    <x v="89"/>
    <x v="89"/>
    <x v="3"/>
    <s v="當沖"/>
    <n v="2"/>
    <n v="41.25"/>
    <n v="4000"/>
    <n v="-165000"/>
    <m/>
  </r>
  <r>
    <n v="620"/>
    <d v="2021-10-06T00:00:00"/>
    <x v="77"/>
    <x v="77"/>
    <x v="4"/>
    <s v="減碼"/>
    <n v="3"/>
    <n v="205"/>
    <n v="1000"/>
    <n v="-205000"/>
    <m/>
  </r>
  <r>
    <n v="621"/>
    <d v="2021-10-06T00:00:00"/>
    <x v="77"/>
    <x v="77"/>
    <x v="4"/>
    <s v="加碼"/>
    <n v="3"/>
    <n v="201.5"/>
    <n v="-1000"/>
    <n v="201500"/>
    <m/>
  </r>
  <r>
    <n v="622"/>
    <d v="2021-10-06T00:00:00"/>
    <x v="100"/>
    <x v="100"/>
    <x v="0"/>
    <s v="加碼"/>
    <n v="1"/>
    <n v="23.6"/>
    <n v="10000"/>
    <n v="-236000"/>
    <m/>
  </r>
  <r>
    <n v="623"/>
    <d v="2021-10-06T00:00:00"/>
    <x v="100"/>
    <x v="100"/>
    <x v="0"/>
    <s v="減碼"/>
    <n v="1"/>
    <n v="23.3"/>
    <n v="-10000"/>
    <n v="233000"/>
    <m/>
  </r>
  <r>
    <n v="624"/>
    <d v="2021-10-06T00:00:00"/>
    <x v="10"/>
    <x v="10"/>
    <x v="4"/>
    <s v="加碼"/>
    <n v="3"/>
    <n v="72"/>
    <n v="-2000"/>
    <n v="144000"/>
    <m/>
  </r>
  <r>
    <n v="625"/>
    <d v="2021-10-06T00:00:00"/>
    <x v="100"/>
    <x v="100"/>
    <x v="0"/>
    <s v="停損"/>
    <n v="1"/>
    <n v="23.05"/>
    <n v="-18000"/>
    <n v="414900"/>
    <m/>
  </r>
  <r>
    <n v="626"/>
    <d v="2021-10-06T00:00:00"/>
    <x v="100"/>
    <x v="100"/>
    <x v="0"/>
    <s v="停損"/>
    <n v="1"/>
    <n v="23.1"/>
    <n v="-2000"/>
    <n v="46200"/>
    <m/>
  </r>
  <r>
    <n v="627"/>
    <d v="2021-10-07T00:00:00"/>
    <x v="77"/>
    <x v="77"/>
    <x v="4"/>
    <s v="停損"/>
    <n v="3"/>
    <n v="213"/>
    <n v="1000"/>
    <n v="-213000"/>
    <m/>
  </r>
  <r>
    <n v="628"/>
    <d v="2021-10-08T00:00:00"/>
    <x v="86"/>
    <x v="86"/>
    <x v="0"/>
    <s v="停利"/>
    <n v="1"/>
    <n v="0"/>
    <n v="264"/>
    <n v="0"/>
    <m/>
  </r>
  <r>
    <n v="629"/>
    <d v="2021-10-08T00:00:00"/>
    <x v="86"/>
    <x v="86"/>
    <x v="0"/>
    <s v="停利"/>
    <n v="1"/>
    <n v="20.3"/>
    <n v="-264"/>
    <n v="5359.2"/>
    <m/>
  </r>
  <r>
    <n v="630"/>
    <d v="2021-10-08T00:00:00"/>
    <x v="89"/>
    <x v="89"/>
    <x v="4"/>
    <s v="停損"/>
    <n v="2"/>
    <n v="44"/>
    <n v="6000"/>
    <n v="-264000"/>
    <m/>
  </r>
  <r>
    <n v="631"/>
    <d v="2021-10-08T00:00:00"/>
    <x v="100"/>
    <x v="100"/>
    <x v="0"/>
    <s v="建倉"/>
    <n v="2"/>
    <n v="24.6"/>
    <n v="20000"/>
    <n v="-492000"/>
    <m/>
  </r>
  <r>
    <n v="632"/>
    <d v="2021-10-08T00:00:00"/>
    <x v="100"/>
    <x v="100"/>
    <x v="0"/>
    <s v="建倉"/>
    <n v="2"/>
    <n v="24.5"/>
    <n v="20000"/>
    <n v="-490000"/>
    <m/>
  </r>
  <r>
    <n v="633"/>
    <d v="2021-10-08T00:00:00"/>
    <x v="100"/>
    <x v="100"/>
    <x v="0"/>
    <s v="建倉"/>
    <n v="2"/>
    <n v="24.55"/>
    <n v="20000"/>
    <n v="-491000"/>
    <m/>
  </r>
  <r>
    <n v="634"/>
    <d v="2021-10-08T00:00:00"/>
    <x v="100"/>
    <x v="100"/>
    <x v="0"/>
    <s v="減碼"/>
    <n v="2"/>
    <n v="24.25"/>
    <n v="-40000"/>
    <n v="970000"/>
    <m/>
  </r>
  <r>
    <n v="635"/>
    <d v="2021-10-08T00:00:00"/>
    <x v="10"/>
    <x v="10"/>
    <x v="4"/>
    <s v="停損"/>
    <n v="3"/>
    <n v="74"/>
    <n v="4000"/>
    <n v="-296000"/>
    <m/>
  </r>
  <r>
    <n v="636"/>
    <d v="2021-10-13T00:00:00"/>
    <x v="100"/>
    <x v="100"/>
    <x v="0"/>
    <s v="停損"/>
    <n v="2"/>
    <n v="22.55"/>
    <n v="-10000"/>
    <n v="225500"/>
    <m/>
  </r>
  <r>
    <n v="637"/>
    <d v="2021-10-13T00:00:00"/>
    <x v="100"/>
    <x v="100"/>
    <x v="0"/>
    <s v="停損"/>
    <n v="2"/>
    <n v="22.55"/>
    <n v="-10000"/>
    <n v="225500"/>
    <m/>
  </r>
  <r>
    <n v="638"/>
    <d v="2021-10-18T00:00:00"/>
    <x v="105"/>
    <x v="105"/>
    <x v="0"/>
    <s v="建倉"/>
    <n v="1"/>
    <n v="243.5"/>
    <n v="1000"/>
    <n v="-243500"/>
    <m/>
  </r>
  <r>
    <n v="639"/>
    <d v="2021-10-18T00:00:00"/>
    <x v="105"/>
    <x v="105"/>
    <x v="0"/>
    <s v="加碼"/>
    <n v="1"/>
    <n v="242.5"/>
    <n v="1000"/>
    <n v="-242500"/>
    <m/>
  </r>
  <r>
    <n v="640"/>
    <d v="2021-10-20T00:00:00"/>
    <x v="105"/>
    <x v="105"/>
    <x v="0"/>
    <s v="減碼"/>
    <n v="1"/>
    <n v="244.5"/>
    <n v="-1000"/>
    <n v="244500"/>
    <m/>
  </r>
  <r>
    <n v="641"/>
    <d v="2021-10-22T00:00:00"/>
    <x v="1"/>
    <x v="1"/>
    <x v="1"/>
    <s v="停利"/>
    <n v="2"/>
    <n v="38.4"/>
    <n v="-500"/>
    <n v="19200"/>
    <m/>
  </r>
  <r>
    <n v="642"/>
    <d v="2021-10-22T00:00:00"/>
    <x v="1"/>
    <x v="1"/>
    <x v="1"/>
    <s v="停利"/>
    <n v="2"/>
    <n v="38.4"/>
    <n v="-431"/>
    <n v="16550.399999999998"/>
    <m/>
  </r>
  <r>
    <n v="643"/>
    <d v="2021-10-22T00:00:00"/>
    <x v="1"/>
    <x v="1"/>
    <x v="1"/>
    <s v="停利"/>
    <n v="2"/>
    <n v="38.35"/>
    <n v="-700"/>
    <n v="26845"/>
    <m/>
  </r>
  <r>
    <n v="644"/>
    <d v="2021-10-22T00:00:00"/>
    <x v="27"/>
    <x v="27"/>
    <x v="1"/>
    <s v="停利"/>
    <n v="1"/>
    <n v="137"/>
    <n v="-1000"/>
    <n v="137000"/>
    <m/>
  </r>
  <r>
    <n v="645"/>
    <d v="2021-10-22T00:00:00"/>
    <x v="1"/>
    <x v="1"/>
    <x v="1"/>
    <s v="停利"/>
    <n v="2"/>
    <n v="38.4"/>
    <n v="-51"/>
    <n v="1958.3999999999999"/>
    <m/>
  </r>
  <r>
    <n v="646"/>
    <d v="2021-10-22T00:00:00"/>
    <x v="1"/>
    <x v="1"/>
    <x v="1"/>
    <s v="停利"/>
    <n v="2"/>
    <n v="38.35"/>
    <n v="-318"/>
    <n v="12195.300000000001"/>
    <m/>
  </r>
  <r>
    <n v="647"/>
    <d v="2021-10-25T00:00:00"/>
    <x v="106"/>
    <x v="106"/>
    <x v="0"/>
    <s v="建倉"/>
    <n v="1"/>
    <n v="28.1"/>
    <n v="2000"/>
    <n v="-56200"/>
    <m/>
  </r>
  <r>
    <n v="648"/>
    <d v="2021-10-26T00:00:00"/>
    <x v="105"/>
    <x v="105"/>
    <x v="0"/>
    <s v="停損"/>
    <n v="1"/>
    <n v="236.5"/>
    <n v="-1000"/>
    <n v="236500"/>
    <m/>
  </r>
  <r>
    <n v="649"/>
    <d v="2021-10-28T00:00:00"/>
    <x v="106"/>
    <x v="106"/>
    <x v="0"/>
    <s v="停損"/>
    <n v="1"/>
    <n v="27.7"/>
    <n v="-2000"/>
    <n v="55400"/>
    <m/>
  </r>
  <r>
    <n v="650"/>
    <d v="2021-10-29T00:00:00"/>
    <x v="107"/>
    <x v="107"/>
    <x v="0"/>
    <s v="建倉"/>
    <n v="1"/>
    <n v="95.2"/>
    <n v="1000"/>
    <n v="-95200"/>
    <m/>
  </r>
  <r>
    <n v="651"/>
    <d v="2021-10-29T00:00:00"/>
    <x v="107"/>
    <x v="107"/>
    <x v="0"/>
    <s v="加碼"/>
    <n v="1"/>
    <n v="95.4"/>
    <n v="1000"/>
    <n v="-95400"/>
    <m/>
  </r>
  <r>
    <n v="652"/>
    <d v="2021-10-29T00:00:00"/>
    <x v="107"/>
    <x v="107"/>
    <x v="0"/>
    <s v="減碼"/>
    <n v="1"/>
    <n v="94.9"/>
    <n v="-1000"/>
    <n v="94900"/>
    <m/>
  </r>
  <r>
    <n v="653"/>
    <d v="2021-10-29T00:00:00"/>
    <x v="107"/>
    <x v="107"/>
    <x v="0"/>
    <s v="加碼"/>
    <n v="1"/>
    <n v="95.8"/>
    <n v="1000"/>
    <n v="-95800"/>
    <m/>
  </r>
  <r>
    <n v="654"/>
    <d v="2021-11-01T00:00:00"/>
    <x v="107"/>
    <x v="107"/>
    <x v="0"/>
    <s v="加碼"/>
    <n v="1"/>
    <n v="102"/>
    <n v="1000"/>
    <n v="-102000"/>
    <m/>
  </r>
  <r>
    <n v="655"/>
    <d v="2021-11-01T00:00:00"/>
    <x v="107"/>
    <x v="107"/>
    <x v="0"/>
    <s v="出場觀望"/>
    <n v="1"/>
    <n v="100"/>
    <n v="-1000"/>
    <n v="100000"/>
    <m/>
  </r>
  <r>
    <n v="656"/>
    <d v="2021-11-01T00:00:00"/>
    <x v="107"/>
    <x v="107"/>
    <x v="0"/>
    <s v="出場觀望"/>
    <n v="1"/>
    <n v="100"/>
    <n v="-2000"/>
    <n v="200000"/>
    <m/>
  </r>
  <r>
    <n v="657"/>
    <d v="2021-11-01T00:00:00"/>
    <x v="24"/>
    <x v="24"/>
    <x v="0"/>
    <s v="建倉"/>
    <n v="5"/>
    <n v="26.6"/>
    <n v="8000"/>
    <n v="-212800"/>
    <m/>
  </r>
  <r>
    <n v="658"/>
    <d v="2021-11-03T00:00:00"/>
    <x v="33"/>
    <x v="33"/>
    <x v="0"/>
    <s v="建倉"/>
    <n v="2"/>
    <n v="112"/>
    <n v="1000"/>
    <n v="-112000"/>
    <m/>
  </r>
  <r>
    <n v="659"/>
    <d v="2021-11-03T00:00:00"/>
    <x v="24"/>
    <x v="24"/>
    <x v="0"/>
    <s v="加碼"/>
    <n v="5"/>
    <n v="27"/>
    <n v="800"/>
    <n v="-21600"/>
    <m/>
  </r>
  <r>
    <n v="660"/>
    <d v="2021-11-03T00:00:00"/>
    <x v="24"/>
    <x v="24"/>
    <x v="0"/>
    <s v="加碼"/>
    <n v="5"/>
    <n v="27"/>
    <n v="800"/>
    <n v="-21600"/>
    <m/>
  </r>
  <r>
    <n v="661"/>
    <d v="2021-11-03T00:00:00"/>
    <x v="24"/>
    <x v="24"/>
    <x v="0"/>
    <s v="加碼"/>
    <n v="5"/>
    <n v="27"/>
    <n v="800"/>
    <n v="-21600"/>
    <m/>
  </r>
  <r>
    <n v="662"/>
    <d v="2021-11-03T00:00:00"/>
    <x v="24"/>
    <x v="24"/>
    <x v="0"/>
    <s v="加碼"/>
    <n v="5"/>
    <n v="27"/>
    <n v="800"/>
    <n v="-21600"/>
    <m/>
  </r>
  <r>
    <n v="663"/>
    <d v="2021-11-03T00:00:00"/>
    <x v="24"/>
    <x v="24"/>
    <x v="0"/>
    <s v="加碼"/>
    <n v="5"/>
    <n v="27"/>
    <n v="800"/>
    <n v="-21600"/>
    <m/>
  </r>
  <r>
    <n v="664"/>
    <d v="2021-11-05T00:00:00"/>
    <x v="108"/>
    <x v="108"/>
    <x v="4"/>
    <s v="建倉"/>
    <n v="1"/>
    <n v="67.099999999999994"/>
    <n v="-2000"/>
    <n v="134200"/>
    <m/>
  </r>
  <r>
    <n v="665"/>
    <d v="2021-11-05T00:00:00"/>
    <x v="108"/>
    <x v="108"/>
    <x v="4"/>
    <s v="停利"/>
    <n v="1"/>
    <n v="66.5"/>
    <n v="2000"/>
    <n v="-133000"/>
    <m/>
  </r>
  <r>
    <n v="666"/>
    <d v="2021-11-05T00:00:00"/>
    <x v="24"/>
    <x v="24"/>
    <x v="0"/>
    <s v="出場觀望"/>
    <n v="5"/>
    <n v="26.65"/>
    <n v="-12000"/>
    <n v="319800"/>
    <m/>
  </r>
  <r>
    <n v="667"/>
    <d v="2021-11-05T00:00:00"/>
    <x v="24"/>
    <x v="24"/>
    <x v="0"/>
    <s v="建倉"/>
    <n v="6"/>
    <n v="26.95"/>
    <n v="2000"/>
    <n v="-53900"/>
    <m/>
  </r>
  <r>
    <n v="668"/>
    <d v="2021-11-05T00:00:00"/>
    <x v="24"/>
    <x v="24"/>
    <x v="0"/>
    <s v="建倉"/>
    <n v="6"/>
    <n v="26.95"/>
    <n v="2000"/>
    <n v="-53900"/>
    <m/>
  </r>
  <r>
    <n v="669"/>
    <d v="2021-11-05T00:00:00"/>
    <x v="24"/>
    <x v="24"/>
    <x v="0"/>
    <s v="建倉"/>
    <n v="6"/>
    <n v="26.95"/>
    <n v="4000"/>
    <n v="-107800"/>
    <m/>
  </r>
  <r>
    <n v="670"/>
    <d v="2021-11-05T00:00:00"/>
    <x v="24"/>
    <x v="24"/>
    <x v="0"/>
    <s v="建倉"/>
    <n v="6"/>
    <n v="27"/>
    <n v="4000"/>
    <n v="-108000"/>
    <m/>
  </r>
  <r>
    <n v="671"/>
    <d v="2021-11-05T00:00:00"/>
    <x v="109"/>
    <x v="109"/>
    <x v="0"/>
    <s v="建倉"/>
    <n v="1"/>
    <n v="80"/>
    <n v="2000"/>
    <n v="-160000"/>
    <m/>
  </r>
  <r>
    <n v="672"/>
    <d v="2021-11-08T00:00:00"/>
    <x v="24"/>
    <x v="24"/>
    <x v="0"/>
    <s v="停損"/>
    <n v="6"/>
    <n v="27.9"/>
    <n v="4000"/>
    <n v="-111600"/>
    <m/>
  </r>
  <r>
    <n v="673"/>
    <d v="2021-11-08T00:00:00"/>
    <x v="109"/>
    <x v="109"/>
    <x v="0"/>
    <s v="建倉"/>
    <n v="1"/>
    <n v="80.2"/>
    <n v="1000"/>
    <n v="-80200"/>
    <m/>
  </r>
  <r>
    <n v="674"/>
    <d v="2021-11-08T00:00:00"/>
    <x v="109"/>
    <x v="109"/>
    <x v="0"/>
    <s v="加碼"/>
    <n v="1"/>
    <n v="80.099999999999994"/>
    <n v="1000"/>
    <n v="-80100"/>
    <m/>
  </r>
  <r>
    <n v="675"/>
    <d v="2021-11-09T00:00:00"/>
    <x v="26"/>
    <x v="26"/>
    <x v="0"/>
    <s v="建倉"/>
    <n v="3"/>
    <n v="42.9"/>
    <n v="1000"/>
    <n v="-42900"/>
    <m/>
  </r>
  <r>
    <n v="676"/>
    <d v="2021-11-09T00:00:00"/>
    <x v="24"/>
    <x v="24"/>
    <x v="0"/>
    <s v="停利"/>
    <n v="6"/>
    <n v="27.3"/>
    <n v="-4000"/>
    <n v="109200"/>
    <m/>
  </r>
  <r>
    <n v="677"/>
    <d v="2021-11-09T00:00:00"/>
    <x v="24"/>
    <x v="24"/>
    <x v="0"/>
    <s v="停利"/>
    <n v="6"/>
    <n v="27.3"/>
    <n v="-2000"/>
    <n v="54600"/>
    <m/>
  </r>
  <r>
    <n v="678"/>
    <d v="2021-11-09T00:00:00"/>
    <x v="24"/>
    <x v="24"/>
    <x v="0"/>
    <s v="停利"/>
    <n v="6"/>
    <n v="27.2"/>
    <n v="-500"/>
    <n v="13600"/>
    <m/>
  </r>
  <r>
    <n v="679"/>
    <d v="2021-11-09T00:00:00"/>
    <x v="24"/>
    <x v="24"/>
    <x v="0"/>
    <s v="停利"/>
    <n v="6"/>
    <n v="27.2"/>
    <n v="-500"/>
    <n v="13600"/>
    <m/>
  </r>
  <r>
    <n v="680"/>
    <d v="2021-11-09T00:00:00"/>
    <x v="24"/>
    <x v="24"/>
    <x v="0"/>
    <s v="停利"/>
    <n v="6"/>
    <n v="27.1"/>
    <n v="-4000"/>
    <n v="108400"/>
    <m/>
  </r>
  <r>
    <n v="681"/>
    <d v="2021-11-09T00:00:00"/>
    <x v="24"/>
    <x v="24"/>
    <x v="0"/>
    <s v="停利"/>
    <n v="6"/>
    <n v="27.15"/>
    <n v="-2000"/>
    <n v="54300"/>
    <m/>
  </r>
  <r>
    <n v="682"/>
    <d v="2021-11-09T00:00:00"/>
    <x v="24"/>
    <x v="24"/>
    <x v="0"/>
    <s v="停利"/>
    <n v="6"/>
    <n v="27.05"/>
    <n v="-500"/>
    <n v="13525"/>
    <m/>
  </r>
  <r>
    <n v="683"/>
    <d v="2021-11-09T00:00:00"/>
    <x v="24"/>
    <x v="24"/>
    <x v="0"/>
    <s v="停利"/>
    <n v="6"/>
    <n v="27.05"/>
    <n v="-500"/>
    <n v="13525"/>
    <m/>
  </r>
  <r>
    <n v="684"/>
    <d v="2021-11-09T00:00:00"/>
    <x v="24"/>
    <x v="24"/>
    <x v="0"/>
    <s v="停利"/>
    <n v="6"/>
    <n v="27.05"/>
    <n v="-500"/>
    <n v="13525"/>
    <m/>
  </r>
  <r>
    <n v="685"/>
    <d v="2021-11-09T00:00:00"/>
    <x v="24"/>
    <x v="24"/>
    <x v="0"/>
    <s v="停利"/>
    <n v="6"/>
    <n v="27.05"/>
    <n v="-500"/>
    <n v="13525"/>
    <m/>
  </r>
  <r>
    <n v="686"/>
    <d v="2021-11-09T00:00:00"/>
    <x v="24"/>
    <x v="24"/>
    <x v="0"/>
    <s v="停利"/>
    <n v="6"/>
    <n v="27.05"/>
    <n v="-500"/>
    <n v="13525"/>
    <m/>
  </r>
  <r>
    <n v="687"/>
    <d v="2021-11-09T00:00:00"/>
    <x v="24"/>
    <x v="24"/>
    <x v="0"/>
    <s v="停利"/>
    <n v="6"/>
    <n v="27.05"/>
    <n v="-500"/>
    <n v="13525"/>
    <m/>
  </r>
  <r>
    <n v="688"/>
    <d v="2021-11-10T00:00:00"/>
    <x v="43"/>
    <x v="43"/>
    <x v="0"/>
    <s v="建倉"/>
    <n v="2"/>
    <n v="58"/>
    <n v="1000"/>
    <n v="-58000"/>
    <m/>
  </r>
  <r>
    <n v="689"/>
    <d v="2021-11-10T00:00:00"/>
    <x v="83"/>
    <x v="83"/>
    <x v="0"/>
    <s v="建倉"/>
    <n v="2"/>
    <n v="76"/>
    <n v="4000"/>
    <n v="-304000"/>
    <m/>
  </r>
  <r>
    <n v="690"/>
    <d v="2021-11-10T00:00:00"/>
    <x v="110"/>
    <x v="110"/>
    <x v="0"/>
    <s v="建倉"/>
    <n v="1"/>
    <n v="34"/>
    <n v="2000"/>
    <n v="-68000"/>
    <m/>
  </r>
  <r>
    <n v="691"/>
    <d v="2021-11-10T00:00:00"/>
    <x v="26"/>
    <x v="26"/>
    <x v="0"/>
    <s v="加碼"/>
    <n v="3"/>
    <n v="43.25"/>
    <n v="1000"/>
    <n v="-43250"/>
    <m/>
  </r>
  <r>
    <n v="692"/>
    <d v="2021-11-10T00:00:00"/>
    <x v="33"/>
    <x v="33"/>
    <x v="0"/>
    <s v="加碼"/>
    <n v="2"/>
    <n v="113"/>
    <n v="1000"/>
    <n v="-113000"/>
    <m/>
  </r>
  <r>
    <n v="693"/>
    <d v="2021-11-10T00:00:00"/>
    <x v="110"/>
    <x v="110"/>
    <x v="0"/>
    <s v="加碼"/>
    <n v="1"/>
    <n v="34"/>
    <n v="4000"/>
    <n v="-136000"/>
    <m/>
  </r>
  <r>
    <n v="694"/>
    <d v="2021-11-10T00:00:00"/>
    <x v="110"/>
    <x v="110"/>
    <x v="0"/>
    <s v="減碼"/>
    <n v="1"/>
    <n v="33.65"/>
    <n v="-4000"/>
    <n v="134600"/>
    <m/>
  </r>
  <r>
    <n v="695"/>
    <d v="2021-11-11T00:00:00"/>
    <x v="83"/>
    <x v="83"/>
    <x v="0"/>
    <s v="加碼"/>
    <n v="2"/>
    <n v="79.900000000000006"/>
    <n v="1000"/>
    <n v="-79900"/>
    <m/>
  </r>
  <r>
    <n v="696"/>
    <d v="2021-11-11T00:00:00"/>
    <x v="108"/>
    <x v="108"/>
    <x v="4"/>
    <s v="建倉"/>
    <n v="2"/>
    <n v="64.7"/>
    <n v="-2000"/>
    <n v="129400"/>
    <m/>
  </r>
  <r>
    <n v="697"/>
    <d v="2021-11-11T00:00:00"/>
    <x v="111"/>
    <x v="111"/>
    <x v="0"/>
    <s v="建倉"/>
    <n v="1"/>
    <n v="60"/>
    <n v="1000"/>
    <n v="-60000"/>
    <m/>
  </r>
  <r>
    <n v="698"/>
    <d v="2021-11-11T00:00:00"/>
    <x v="112"/>
    <x v="112"/>
    <x v="0"/>
    <s v="建倉"/>
    <n v="1"/>
    <n v="65.7"/>
    <n v="1000"/>
    <n v="-65700"/>
    <m/>
  </r>
  <r>
    <n v="699"/>
    <d v="2021-11-12T00:00:00"/>
    <x v="109"/>
    <x v="109"/>
    <x v="0"/>
    <s v="停利"/>
    <n v="1"/>
    <n v="84"/>
    <n v="-4000"/>
    <n v="336000"/>
    <m/>
  </r>
  <r>
    <n v="700"/>
    <d v="2021-11-12T00:00:00"/>
    <x v="110"/>
    <x v="110"/>
    <x v="0"/>
    <s v="停損"/>
    <n v="1"/>
    <n v="33.549999999999997"/>
    <n v="-2000"/>
    <n v="67100"/>
    <m/>
  </r>
  <r>
    <n v="701"/>
    <d v="2021-11-12T00:00:00"/>
    <x v="83"/>
    <x v="83"/>
    <x v="0"/>
    <s v="停利"/>
    <n v="2"/>
    <n v="78.7"/>
    <n v="-2000"/>
    <n v="157400"/>
    <m/>
  </r>
  <r>
    <n v="702"/>
    <d v="2021-11-12T00:00:00"/>
    <x v="83"/>
    <x v="83"/>
    <x v="0"/>
    <s v="停利"/>
    <n v="2"/>
    <n v="78.599999999999994"/>
    <n v="-3000"/>
    <n v="235799.99999999997"/>
    <m/>
  </r>
  <r>
    <n v="703"/>
    <d v="2021-11-12T00:00:00"/>
    <x v="26"/>
    <x v="26"/>
    <x v="0"/>
    <s v="加碼"/>
    <n v="3"/>
    <n v="43.3"/>
    <n v="1000"/>
    <n v="-43300"/>
    <m/>
  </r>
  <r>
    <n v="704"/>
    <d v="2021-11-12T00:00:00"/>
    <x v="26"/>
    <x v="26"/>
    <x v="0"/>
    <s v="加碼"/>
    <n v="3"/>
    <n v="43.3"/>
    <n v="1000"/>
    <n v="-43300"/>
    <m/>
  </r>
  <r>
    <n v="705"/>
    <d v="2021-11-12T00:00:00"/>
    <x v="43"/>
    <x v="43"/>
    <x v="0"/>
    <s v="加碼"/>
    <n v="2"/>
    <n v="57.8"/>
    <n v="1000"/>
    <n v="-57800"/>
    <m/>
  </r>
  <r>
    <n v="706"/>
    <d v="2021-11-12T00:00:00"/>
    <x v="112"/>
    <x v="112"/>
    <x v="0"/>
    <s v="停損"/>
    <n v="1"/>
    <n v="64.3"/>
    <n v="-1000"/>
    <n v="64300"/>
    <m/>
  </r>
  <r>
    <n v="707"/>
    <d v="2021-11-12T00:00:00"/>
    <x v="108"/>
    <x v="108"/>
    <x v="4"/>
    <s v="減碼"/>
    <n v="2"/>
    <n v="65.099999999999994"/>
    <n v="1000"/>
    <n v="-65099.999999999993"/>
    <m/>
  </r>
  <r>
    <n v="708"/>
    <d v="2021-11-15T00:00:00"/>
    <x v="39"/>
    <x v="39"/>
    <x v="0"/>
    <s v="建倉"/>
    <n v="2"/>
    <n v="69.7"/>
    <n v="4000"/>
    <n v="-278800"/>
    <m/>
  </r>
  <r>
    <n v="709"/>
    <d v="2021-11-15T00:00:00"/>
    <x v="39"/>
    <x v="39"/>
    <x v="0"/>
    <s v="加碼"/>
    <n v="2"/>
    <n v="70.3"/>
    <n v="3000"/>
    <n v="-210900"/>
    <m/>
  </r>
  <r>
    <n v="710"/>
    <d v="2021-11-15T00:00:00"/>
    <x v="111"/>
    <x v="111"/>
    <x v="0"/>
    <s v="加碼"/>
    <n v="1"/>
    <n v="61.8"/>
    <n v="3000"/>
    <n v="-185400"/>
    <m/>
  </r>
  <r>
    <n v="711"/>
    <d v="2021-11-15T00:00:00"/>
    <x v="108"/>
    <x v="108"/>
    <x v="4"/>
    <s v="加碼"/>
    <n v="2"/>
    <n v="65.400000000000006"/>
    <n v="-2000"/>
    <n v="130800.00000000001"/>
    <m/>
  </r>
  <r>
    <n v="712"/>
    <d v="2021-11-15T00:00:00"/>
    <x v="108"/>
    <x v="108"/>
    <x v="4"/>
    <s v="加碼"/>
    <n v="2"/>
    <n v="65.400000000000006"/>
    <n v="-1000"/>
    <n v="65400.000000000007"/>
    <m/>
  </r>
  <r>
    <n v="713"/>
    <d v="2021-11-15T00:00:00"/>
    <x v="43"/>
    <x v="43"/>
    <x v="0"/>
    <s v="停損"/>
    <n v="2"/>
    <n v="57.3"/>
    <n v="-2000"/>
    <n v="114600"/>
    <m/>
  </r>
  <r>
    <n v="714"/>
    <d v="2021-11-15T00:00:00"/>
    <x v="54"/>
    <x v="54"/>
    <x v="0"/>
    <s v="建倉"/>
    <n v="2"/>
    <n v="112"/>
    <n v="1000"/>
    <n v="-112000"/>
    <m/>
  </r>
  <r>
    <n v="715"/>
    <d v="2021-11-15T00:00:00"/>
    <x v="54"/>
    <x v="54"/>
    <x v="0"/>
    <s v="建倉"/>
    <n v="2"/>
    <n v="112"/>
    <n v="1000"/>
    <n v="-112000"/>
    <m/>
  </r>
  <r>
    <n v="716"/>
    <d v="2021-11-15T00:00:00"/>
    <x v="54"/>
    <x v="54"/>
    <x v="0"/>
    <s v="出場觀望"/>
    <n v="2"/>
    <n v="113"/>
    <n v="-2000"/>
    <n v="226000"/>
    <m/>
  </r>
  <r>
    <n v="717"/>
    <d v="2021-11-17T00:00:00"/>
    <x v="111"/>
    <x v="111"/>
    <x v="0"/>
    <s v="停損"/>
    <n v="1"/>
    <n v="61.5"/>
    <n v="-4000"/>
    <n v="246000"/>
    <m/>
  </r>
  <r>
    <n v="718"/>
    <d v="2021-11-17T00:00:00"/>
    <x v="33"/>
    <x v="33"/>
    <x v="0"/>
    <s v="停利"/>
    <n v="2"/>
    <n v="121.5"/>
    <n v="-2000"/>
    <n v="243000"/>
    <m/>
  </r>
  <r>
    <n v="719"/>
    <d v="2021-11-17T00:00:00"/>
    <x v="108"/>
    <x v="108"/>
    <x v="4"/>
    <s v="停損"/>
    <n v="2"/>
    <n v="65.099999999999994"/>
    <n v="4000"/>
    <n v="-260399.99999999997"/>
    <m/>
  </r>
  <r>
    <n v="720"/>
    <d v="2021-11-18T00:00:00"/>
    <x v="109"/>
    <x v="109"/>
    <x v="0"/>
    <s v="建倉"/>
    <n v="2"/>
    <n v="83.5"/>
    <n v="4000"/>
    <n v="-334000"/>
    <m/>
  </r>
  <r>
    <n v="721"/>
    <d v="2021-11-18T00:00:00"/>
    <x v="39"/>
    <x v="39"/>
    <x v="0"/>
    <s v="加碼"/>
    <n v="2"/>
    <n v="71.3"/>
    <n v="2000"/>
    <n v="-142600"/>
    <m/>
  </r>
  <r>
    <n v="722"/>
    <d v="2021-11-19T00:00:00"/>
    <x v="39"/>
    <x v="39"/>
    <x v="0"/>
    <s v="減碼"/>
    <n v="2"/>
    <n v="70.5"/>
    <n v="-3000"/>
    <n v="211500"/>
    <m/>
  </r>
  <r>
    <n v="723"/>
    <d v="2021-11-19T00:00:00"/>
    <x v="39"/>
    <x v="39"/>
    <x v="0"/>
    <s v="減碼"/>
    <n v="2"/>
    <n v="69.900000000000006"/>
    <n v="-3000"/>
    <n v="209700.00000000003"/>
    <m/>
  </r>
  <r>
    <n v="724"/>
    <d v="2021-11-19T00:00:00"/>
    <x v="107"/>
    <x v="107"/>
    <x v="0"/>
    <s v="建倉"/>
    <n v="2"/>
    <n v="121.5"/>
    <n v="3000"/>
    <n v="-364500"/>
    <m/>
  </r>
  <r>
    <n v="725"/>
    <d v="2021-11-19T00:00:00"/>
    <x v="107"/>
    <x v="107"/>
    <x v="0"/>
    <s v="停損"/>
    <n v="2"/>
    <n v="119"/>
    <n v="-3000"/>
    <n v="357000"/>
    <m/>
  </r>
  <r>
    <n v="726"/>
    <d v="2021-11-22T00:00:00"/>
    <x v="98"/>
    <x v="98"/>
    <x v="0"/>
    <s v="建倉"/>
    <n v="2"/>
    <n v="182.5"/>
    <n v="2000"/>
    <n v="-365000"/>
    <m/>
  </r>
  <r>
    <n v="727"/>
    <d v="2021-11-22T00:00:00"/>
    <x v="98"/>
    <x v="98"/>
    <x v="0"/>
    <s v="建倉"/>
    <n v="2"/>
    <n v="182.5"/>
    <n v="2000"/>
    <n v="-365000"/>
    <m/>
  </r>
  <r>
    <n v="728"/>
    <d v="2021-11-25T00:00:00"/>
    <x v="109"/>
    <x v="109"/>
    <x v="0"/>
    <s v="停利"/>
    <n v="2"/>
    <n v="86.2"/>
    <n v="-4000"/>
    <n v="344800"/>
    <m/>
  </r>
  <r>
    <n v="729"/>
    <d v="2021-11-25T00:00:00"/>
    <x v="107"/>
    <x v="107"/>
    <x v="0"/>
    <s v="建倉"/>
    <n v="3"/>
    <n v="125.5"/>
    <n v="3000"/>
    <n v="-376500"/>
    <m/>
  </r>
  <r>
    <n v="730"/>
    <d v="2021-11-25T00:00:00"/>
    <x v="107"/>
    <x v="107"/>
    <x v="0"/>
    <s v="建倉"/>
    <n v="3"/>
    <n v="125.5"/>
    <n v="1000"/>
    <n v="-125500"/>
    <m/>
  </r>
  <r>
    <n v="731"/>
    <d v="2021-11-25T00:00:00"/>
    <x v="26"/>
    <x v="26"/>
    <x v="0"/>
    <s v="加碼"/>
    <n v="3"/>
    <n v="45.85"/>
    <n v="4000"/>
    <n v="-183400"/>
    <m/>
  </r>
  <r>
    <n v="732"/>
    <d v="2021-11-25T00:00:00"/>
    <x v="107"/>
    <x v="107"/>
    <x v="0"/>
    <s v="建倉"/>
    <n v="3"/>
    <n v="125.5"/>
    <n v="1000"/>
    <n v="-125500"/>
    <m/>
  </r>
  <r>
    <n v="733"/>
    <d v="2021-11-25T00:00:00"/>
    <x v="26"/>
    <x v="26"/>
    <x v="0"/>
    <s v="加碼"/>
    <n v="3"/>
    <n v="45.85"/>
    <n v="2000"/>
    <n v="-91700"/>
    <m/>
  </r>
  <r>
    <n v="734"/>
    <d v="2021-11-25T00:00:00"/>
    <x v="26"/>
    <x v="26"/>
    <x v="0"/>
    <s v="減碼"/>
    <n v="3"/>
    <n v="43.85"/>
    <n v="-4000"/>
    <n v="175400"/>
    <m/>
  </r>
  <r>
    <n v="735"/>
    <d v="2021-11-25T00:00:00"/>
    <x v="26"/>
    <x v="26"/>
    <x v="0"/>
    <s v="停損"/>
    <n v="3"/>
    <n v="43.5"/>
    <n v="-3000"/>
    <n v="130500"/>
    <m/>
  </r>
  <r>
    <n v="736"/>
    <d v="2021-11-25T00:00:00"/>
    <x v="26"/>
    <x v="26"/>
    <x v="0"/>
    <s v="停損"/>
    <n v="3"/>
    <n v="43.5"/>
    <n v="-2000"/>
    <n v="87000"/>
    <m/>
  </r>
  <r>
    <n v="737"/>
    <d v="2021-11-25T00:00:00"/>
    <x v="26"/>
    <x v="26"/>
    <x v="0"/>
    <s v="停損"/>
    <n v="3"/>
    <n v="43.6"/>
    <n v="-500"/>
    <n v="21800"/>
    <m/>
  </r>
  <r>
    <n v="738"/>
    <d v="2021-11-25T00:00:00"/>
    <x v="26"/>
    <x v="26"/>
    <x v="0"/>
    <s v="停損"/>
    <n v="3"/>
    <n v="43.5"/>
    <n v="-500"/>
    <n v="21750"/>
    <m/>
  </r>
  <r>
    <n v="739"/>
    <d v="2021-11-26T00:00:00"/>
    <x v="107"/>
    <x v="107"/>
    <x v="0"/>
    <s v="停損"/>
    <n v="3"/>
    <n v="121.5"/>
    <n v="-5000"/>
    <n v="607500"/>
    <m/>
  </r>
  <r>
    <n v="740"/>
    <d v="2021-11-26T00:00:00"/>
    <x v="98"/>
    <x v="98"/>
    <x v="0"/>
    <s v="停損"/>
    <n v="2"/>
    <n v="181.5"/>
    <n v="-2000"/>
    <n v="363000"/>
    <m/>
  </r>
  <r>
    <n v="741"/>
    <d v="2021-11-26T00:00:00"/>
    <x v="98"/>
    <x v="98"/>
    <x v="0"/>
    <s v="停損"/>
    <n v="2"/>
    <n v="182"/>
    <n v="-2000"/>
    <n v="364000"/>
    <m/>
  </r>
  <r>
    <n v="742"/>
    <d v="2021-11-29T00:00:00"/>
    <x v="39"/>
    <x v="39"/>
    <x v="0"/>
    <s v="停利"/>
    <n v="2"/>
    <n v="71.5"/>
    <n v="-3000"/>
    <n v="214500"/>
    <m/>
  </r>
  <r>
    <n v="743"/>
    <d v="2021-12-03T00:00:00"/>
    <x v="5"/>
    <x v="5"/>
    <x v="0"/>
    <s v="建倉"/>
    <n v="3"/>
    <n v="67.7"/>
    <n v="5000"/>
    <n v="-338500"/>
    <m/>
  </r>
  <r>
    <n v="744"/>
    <d v="2021-12-03T00:00:00"/>
    <x v="5"/>
    <x v="5"/>
    <x v="0"/>
    <s v="建倉"/>
    <n v="3"/>
    <n v="67.7"/>
    <n v="1000"/>
    <n v="-67700"/>
    <m/>
  </r>
  <r>
    <n v="745"/>
    <d v="2021-12-07T00:00:00"/>
    <x v="19"/>
    <x v="19"/>
    <x v="0"/>
    <s v="建倉"/>
    <n v="2"/>
    <n v="34.15"/>
    <n v="6000"/>
    <n v="-204900"/>
    <m/>
  </r>
  <r>
    <n v="746"/>
    <d v="2021-12-07T00:00:00"/>
    <x v="19"/>
    <x v="19"/>
    <x v="0"/>
    <s v="建倉"/>
    <n v="2"/>
    <n v="34.15"/>
    <n v="4000"/>
    <n v="-136600"/>
    <m/>
  </r>
  <r>
    <n v="747"/>
    <d v="2021-12-07T00:00:00"/>
    <x v="5"/>
    <x v="5"/>
    <x v="0"/>
    <s v="減碼"/>
    <n v="3"/>
    <n v="65.900000000000006"/>
    <n v="-1000"/>
    <n v="65900"/>
    <m/>
  </r>
  <r>
    <n v="748"/>
    <d v="2021-12-08T00:00:00"/>
    <x v="109"/>
    <x v="109"/>
    <x v="0"/>
    <s v="建倉"/>
    <n v="3"/>
    <n v="88.8"/>
    <n v="5000"/>
    <n v="-444000"/>
    <m/>
  </r>
  <r>
    <n v="749"/>
    <d v="2021-12-08T00:00:00"/>
    <x v="5"/>
    <x v="5"/>
    <x v="0"/>
    <s v="加碼"/>
    <n v="3"/>
    <n v="68.7"/>
    <n v="1000"/>
    <n v="-68700"/>
    <m/>
  </r>
  <r>
    <n v="750"/>
    <d v="2021-12-08T00:00:00"/>
    <x v="5"/>
    <x v="5"/>
    <x v="0"/>
    <s v="加碼"/>
    <n v="3"/>
    <n v="68.7"/>
    <n v="1000"/>
    <n v="-68700"/>
    <m/>
  </r>
  <r>
    <n v="751"/>
    <d v="2021-12-08T00:00:00"/>
    <x v="5"/>
    <x v="5"/>
    <x v="0"/>
    <s v="加碼"/>
    <n v="3"/>
    <n v="68.400000000000006"/>
    <n v="2000"/>
    <n v="-136800"/>
    <m/>
  </r>
  <r>
    <n v="752"/>
    <d v="2021-12-09T00:00:00"/>
    <x v="1"/>
    <x v="1"/>
    <x v="0"/>
    <s v="建倉"/>
    <n v="3"/>
    <n v="39.049999999999997"/>
    <n v="5000"/>
    <n v="-195250"/>
    <m/>
  </r>
  <r>
    <n v="753"/>
    <d v="2021-12-09T00:00:00"/>
    <x v="109"/>
    <x v="109"/>
    <x v="0"/>
    <s v="出場觀望"/>
    <n v="3"/>
    <n v="89.1"/>
    <n v="-5000"/>
    <n v="445500"/>
    <m/>
  </r>
  <r>
    <n v="754"/>
    <d v="2021-12-10T00:00:00"/>
    <x v="113"/>
    <x v="113"/>
    <x v="0"/>
    <s v="停損"/>
    <n v="1"/>
    <n v="44.45"/>
    <n v="-5000"/>
    <n v="222250"/>
    <m/>
  </r>
  <r>
    <n v="755"/>
    <d v="2021-12-10T00:00:00"/>
    <x v="113"/>
    <x v="113"/>
    <x v="0"/>
    <s v="建倉"/>
    <n v="1"/>
    <n v="44.7"/>
    <n v="5000"/>
    <n v="-223500"/>
    <m/>
  </r>
  <r>
    <n v="756"/>
    <d v="2021-12-10T00:00:00"/>
    <x v="19"/>
    <x v="19"/>
    <x v="0"/>
    <s v="停利"/>
    <n v="2"/>
    <n v="34.6"/>
    <n v="-10000"/>
    <n v="346000"/>
    <m/>
  </r>
  <r>
    <n v="757"/>
    <d v="2021-12-13T00:00:00"/>
    <x v="5"/>
    <x v="5"/>
    <x v="0"/>
    <s v="減碼"/>
    <n v="3"/>
    <n v="65.5"/>
    <n v="-1000"/>
    <n v="65500"/>
    <m/>
  </r>
  <r>
    <n v="758"/>
    <d v="2021-12-13T00:00:00"/>
    <x v="5"/>
    <x v="5"/>
    <x v="0"/>
    <s v="減碼"/>
    <n v="3"/>
    <n v="65.8"/>
    <n v="-3000"/>
    <n v="197400"/>
    <m/>
  </r>
  <r>
    <n v="759"/>
    <d v="2021-12-13T00:00:00"/>
    <x v="5"/>
    <x v="5"/>
    <x v="0"/>
    <s v="減碼"/>
    <n v="3"/>
    <n v="65.2"/>
    <n v="-2000"/>
    <n v="130400"/>
    <m/>
  </r>
  <r>
    <n v="760"/>
    <d v="2021-12-13T00:00:00"/>
    <x v="5"/>
    <x v="5"/>
    <x v="0"/>
    <s v="減碼"/>
    <n v="3"/>
    <n v="65.3"/>
    <n v="-1000"/>
    <n v="65300"/>
    <m/>
  </r>
  <r>
    <n v="761"/>
    <d v="2021-12-14T00:00:00"/>
    <x v="46"/>
    <x v="46"/>
    <x v="0"/>
    <s v="建倉"/>
    <n v="2"/>
    <n v="76.2"/>
    <n v="1000"/>
    <n v="-76200"/>
    <m/>
  </r>
  <r>
    <n v="762"/>
    <d v="2021-12-14T00:00:00"/>
    <x v="46"/>
    <x v="46"/>
    <x v="0"/>
    <s v="建倉"/>
    <n v="2"/>
    <n v="76.7"/>
    <n v="1000"/>
    <n v="-76700"/>
    <m/>
  </r>
  <r>
    <n v="763"/>
    <d v="2021-12-14T00:00:00"/>
    <x v="46"/>
    <x v="46"/>
    <x v="0"/>
    <s v="建倉"/>
    <n v="2"/>
    <n v="76.400000000000006"/>
    <n v="1000"/>
    <n v="-76400"/>
    <m/>
  </r>
  <r>
    <n v="764"/>
    <d v="2021-12-16T00:00:00"/>
    <x v="114"/>
    <x v="114"/>
    <x v="0"/>
    <s v="建倉"/>
    <n v="1"/>
    <n v="36.6"/>
    <n v="2000"/>
    <n v="-73200"/>
    <m/>
  </r>
  <r>
    <n v="765"/>
    <d v="2021-12-16T00:00:00"/>
    <x v="114"/>
    <x v="114"/>
    <x v="0"/>
    <s v="建倉"/>
    <n v="1"/>
    <n v="36.450000000000003"/>
    <n v="2000"/>
    <n v="-72900"/>
    <m/>
  </r>
  <r>
    <n v="766"/>
    <d v="2021-12-16T00:00:00"/>
    <x v="114"/>
    <x v="114"/>
    <x v="0"/>
    <s v="建倉"/>
    <n v="1"/>
    <n v="36.549999999999997"/>
    <n v="2000"/>
    <n v="-73100"/>
    <m/>
  </r>
  <r>
    <n v="767"/>
    <d v="2021-12-17T00:00:00"/>
    <x v="2"/>
    <x v="2"/>
    <x v="0"/>
    <s v="建倉"/>
    <n v="7"/>
    <n v="34.549999999999997"/>
    <n v="10000"/>
    <n v="-345500"/>
    <m/>
  </r>
  <r>
    <n v="768"/>
    <d v="2021-12-17T00:00:00"/>
    <x v="1"/>
    <x v="1"/>
    <x v="0"/>
    <s v="停損"/>
    <n v="3"/>
    <n v="37.700000000000003"/>
    <n v="-5000"/>
    <n v="188500"/>
    <m/>
  </r>
  <r>
    <n v="769"/>
    <d v="2021-12-17T00:00:00"/>
    <x v="2"/>
    <x v="2"/>
    <x v="0"/>
    <s v="建倉"/>
    <n v="7"/>
    <n v="34.75"/>
    <n v="5000"/>
    <n v="-173750"/>
    <m/>
  </r>
  <r>
    <n v="770"/>
    <d v="2021-12-20T00:00:00"/>
    <x v="46"/>
    <x v="46"/>
    <x v="0"/>
    <s v="停損"/>
    <n v="2"/>
    <n v="74.5"/>
    <n v="-3000"/>
    <n v="223500"/>
    <m/>
  </r>
  <r>
    <n v="771"/>
    <d v="2021-12-20T00:00:00"/>
    <x v="70"/>
    <x v="70"/>
    <x v="3"/>
    <s v="停利"/>
    <n v="3"/>
    <n v="58.1"/>
    <n v="-6000"/>
    <n v="348600"/>
    <m/>
  </r>
  <r>
    <n v="772"/>
    <d v="2021-12-20T00:00:00"/>
    <x v="70"/>
    <x v="70"/>
    <x v="3"/>
    <s v="建倉"/>
    <n v="3"/>
    <n v="57.6"/>
    <n v="6000"/>
    <n v="-345600"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  <r>
    <m/>
    <m/>
    <x v="115"/>
    <x v="115"/>
    <x v="6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多單概況" cacheId="33" applyNumberFormats="0" applyBorderFormats="0" applyFontFormats="0" applyPatternFormats="0" applyAlignmentFormats="0" applyWidthHeightFormats="1" dataCaption="數值" updatedVersion="7" minRefreshableVersion="3" showDrill="0" rowGrandTotals="0" colGrandTotals="0" itemPrintTitles="1" createdVersion="4" indent="0" compact="0" compactData="0" multipleFieldFilters="0" chartFormat="5">
  <location ref="A3:C9" firstHeaderRow="1" firstDataRow="1" firstDataCol="2" rowPageCount="1" colPageCount="1"/>
  <pivotFields count="11"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sortType="ascending" defaultSubtotal="0">
      <items count="164">
        <item x="11"/>
        <item x="68"/>
        <item x="23"/>
        <item x="106"/>
        <item x="49"/>
        <item x="61"/>
        <item x="73"/>
        <item x="93"/>
        <item x="0"/>
        <item m="1" x="163"/>
        <item x="99"/>
        <item x="91"/>
        <item x="108"/>
        <item x="50"/>
        <item x="112"/>
        <item x="17"/>
        <item x="24"/>
        <item x="94"/>
        <item x="40"/>
        <item x="102"/>
        <item x="84"/>
        <item x="100"/>
        <item x="58"/>
        <item x="55"/>
        <item x="4"/>
        <item x="18"/>
        <item x="111"/>
        <item x="5"/>
        <item x="20"/>
        <item x="56"/>
        <item x="95"/>
        <item x="110"/>
        <item x="47"/>
        <item x="2"/>
        <item x="70"/>
        <item x="74"/>
        <item x="19"/>
        <item x="96"/>
        <item x="92"/>
        <item x="60"/>
        <item x="64"/>
        <item x="88"/>
        <item x="8"/>
        <item x="76"/>
        <item x="42"/>
        <item x="7"/>
        <item x="81"/>
        <item m="1" x="119"/>
        <item m="1" x="140"/>
        <item m="1" x="144"/>
        <item x="78"/>
        <item x="72"/>
        <item x="21"/>
        <item x="97"/>
        <item m="1" x="123"/>
        <item m="1" x="142"/>
        <item x="39"/>
        <item m="1" x="117"/>
        <item m="1" x="126"/>
        <item m="1" x="151"/>
        <item m="1" x="116"/>
        <item m="1" x="124"/>
        <item m="1" x="133"/>
        <item x="26"/>
        <item m="1" x="137"/>
        <item m="1" x="139"/>
        <item m="1" x="148"/>
        <item m="1" x="158"/>
        <item x="1"/>
        <item x="12"/>
        <item x="87"/>
        <item x="107"/>
        <item x="103"/>
        <item m="1" x="160"/>
        <item m="1" x="129"/>
        <item m="1" x="138"/>
        <item m="1" x="150"/>
        <item m="1" x="152"/>
        <item m="1" x="134"/>
        <item m="1" x="156"/>
        <item x="13"/>
        <item x="48"/>
        <item x="53"/>
        <item x="86"/>
        <item m="1" x="145"/>
        <item m="1" x="128"/>
        <item m="1" x="161"/>
        <item x="67"/>
        <item x="16"/>
        <item x="109"/>
        <item x="105"/>
        <item x="43"/>
        <item x="101"/>
        <item x="80"/>
        <item x="31"/>
        <item x="32"/>
        <item x="98"/>
        <item x="63"/>
        <item x="9"/>
        <item x="22"/>
        <item m="1" x="131"/>
        <item m="1" x="121"/>
        <item x="6"/>
        <item x="82"/>
        <item x="90"/>
        <item x="71"/>
        <item x="37"/>
        <item m="1" x="132"/>
        <item m="1" x="122"/>
        <item x="83"/>
        <item x="79"/>
        <item m="1" x="125"/>
        <item m="1" x="127"/>
        <item x="14"/>
        <item x="59"/>
        <item x="52"/>
        <item x="85"/>
        <item x="89"/>
        <item x="27"/>
        <item m="1" x="135"/>
        <item m="1" x="153"/>
        <item m="1" x="149"/>
        <item m="1" x="159"/>
        <item m="1" x="141"/>
        <item m="1" x="154"/>
        <item m="1" x="146"/>
        <item m="1" x="118"/>
        <item x="28"/>
        <item x="113"/>
        <item x="29"/>
        <item x="3"/>
        <item x="44"/>
        <item x="25"/>
        <item x="51"/>
        <item x="69"/>
        <item x="41"/>
        <item x="36"/>
        <item x="33"/>
        <item x="35"/>
        <item x="66"/>
        <item x="46"/>
        <item x="54"/>
        <item x="30"/>
        <item x="15"/>
        <item m="1" x="130"/>
        <item m="1" x="143"/>
        <item m="1" x="155"/>
        <item x="34"/>
        <item x="65"/>
        <item x="38"/>
        <item x="10"/>
        <item x="45"/>
        <item x="75"/>
        <item x="57"/>
        <item x="77"/>
        <item x="114"/>
        <item x="62"/>
        <item x="104"/>
        <item m="1" x="162"/>
        <item m="1" x="157"/>
        <item m="1" x="120"/>
        <item m="1" x="147"/>
        <item m="1" x="136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7">
        <item x="5"/>
        <item x="2"/>
        <item m="1" x="130"/>
        <item x="10"/>
        <item m="1" x="156"/>
        <item m="1" x="145"/>
        <item x="11"/>
        <item x="18"/>
        <item x="9"/>
        <item x="4"/>
        <item m="1" x="122"/>
        <item x="13"/>
        <item x="17"/>
        <item x="12"/>
        <item x="8"/>
        <item m="1" x="127"/>
        <item x="1"/>
        <item m="1" x="152"/>
        <item x="14"/>
        <item x="16"/>
        <item m="1" x="133"/>
        <item x="7"/>
        <item x="0"/>
        <item m="1" x="158"/>
        <item x="3"/>
        <item m="1" x="141"/>
        <item x="6"/>
        <item x="15"/>
        <item m="1" x="154"/>
        <item x="19"/>
        <item x="20"/>
        <item x="21"/>
        <item m="1" x="129"/>
        <item x="22"/>
        <item x="78"/>
        <item x="23"/>
        <item x="24"/>
        <item x="25"/>
        <item m="1" x="150"/>
        <item x="26"/>
        <item x="27"/>
        <item x="28"/>
        <item x="29"/>
        <item x="30"/>
        <item x="31"/>
        <item x="32"/>
        <item x="33"/>
        <item m="1" x="148"/>
        <item x="34"/>
        <item m="1" x="140"/>
        <item x="35"/>
        <item m="1" x="131"/>
        <item x="36"/>
        <item x="37"/>
        <item m="1" x="123"/>
        <item x="38"/>
        <item x="39"/>
        <item x="40"/>
        <item x="41"/>
        <item x="42"/>
        <item x="43"/>
        <item m="1" x="146"/>
        <item x="44"/>
        <item x="45"/>
        <item x="46"/>
        <item x="47"/>
        <item m="1" x="116"/>
        <item x="48"/>
        <item x="49"/>
        <item m="1" x="120"/>
        <item x="50"/>
        <item x="51"/>
        <item x="52"/>
        <item m="1" x="139"/>
        <item x="53"/>
        <item x="54"/>
        <item x="55"/>
        <item x="56"/>
        <item x="57"/>
        <item x="58"/>
        <item x="59"/>
        <item m="1" x="118"/>
        <item x="60"/>
        <item m="1" x="144"/>
        <item x="61"/>
        <item m="1" x="153"/>
        <item x="62"/>
        <item m="1" x="136"/>
        <item m="1" x="143"/>
        <item x="63"/>
        <item m="1" x="137"/>
        <item x="64"/>
        <item x="65"/>
        <item x="66"/>
        <item m="1" x="161"/>
        <item m="1" x="126"/>
        <item x="67"/>
        <item x="68"/>
        <item x="69"/>
        <item x="70"/>
        <item x="71"/>
        <item x="72"/>
        <item m="1" x="119"/>
        <item x="73"/>
        <item x="74"/>
        <item m="1" x="160"/>
        <item x="75"/>
        <item x="76"/>
        <item x="77"/>
        <item x="79"/>
        <item m="1" x="163"/>
        <item x="80"/>
        <item x="81"/>
        <item x="82"/>
        <item x="83"/>
        <item x="84"/>
        <item m="1" x="132"/>
        <item x="85"/>
        <item m="1" x="147"/>
        <item m="1" x="159"/>
        <item m="1" x="135"/>
        <item m="1" x="164"/>
        <item x="86"/>
        <item m="1" x="134"/>
        <item x="87"/>
        <item x="88"/>
        <item m="1" x="157"/>
        <item x="89"/>
        <item m="1" x="162"/>
        <item x="90"/>
        <item x="91"/>
        <item x="92"/>
        <item x="93"/>
        <item x="94"/>
        <item x="95"/>
        <item x="96"/>
        <item x="97"/>
        <item x="98"/>
        <item x="99"/>
        <item m="1" x="121"/>
        <item m="1" x="155"/>
        <item m="1" x="151"/>
        <item x="100"/>
        <item x="101"/>
        <item x="102"/>
        <item m="1" x="165"/>
        <item m="1" x="117"/>
        <item m="1" x="142"/>
        <item x="103"/>
        <item m="1" x="166"/>
        <item x="104"/>
        <item m="1" x="149"/>
        <item x="115"/>
        <item x="105"/>
        <item m="1" x="124"/>
        <item x="106"/>
        <item x="107"/>
        <item m="1" x="128"/>
        <item x="108"/>
        <item x="109"/>
        <item m="1" x="125"/>
        <item x="110"/>
        <item x="111"/>
        <item x="112"/>
        <item x="113"/>
        <item m="1" x="138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x="0"/>
        <item x="1"/>
        <item x="3"/>
        <item x="5"/>
        <item x="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7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">
    <i>
      <x/>
      <x v="6"/>
    </i>
    <i>
      <x v="15"/>
      <x v="12"/>
    </i>
    <i>
      <x v="27"/>
      <x/>
    </i>
    <i>
      <x v="33"/>
      <x v="1"/>
    </i>
    <i>
      <x v="63"/>
      <x v="39"/>
    </i>
    <i>
      <x v="155"/>
      <x v="166"/>
    </i>
  </rowItems>
  <colItems count="1">
    <i/>
  </colItems>
  <pageFields count="1">
    <pageField fld="4" hier="-1"/>
  </pageFields>
  <dataFields count="1">
    <dataField name="部位" fld="8" baseField="0" baseItem="0" numFmtId="179"/>
  </dataFields>
  <formats count="184">
    <format dxfId="208">
      <pivotArea type="all" dataOnly="0" outline="0" fieldPosition="0"/>
    </format>
    <format dxfId="207">
      <pivotArea field="2" type="button" dataOnly="0" labelOnly="1" outline="0" axis="axisRow" fieldPosition="0"/>
    </format>
    <format dxfId="206">
      <pivotArea field="3" type="button" dataOnly="0" labelOnly="1" outline="0" axis="axisRow" fieldPosition="1"/>
    </format>
    <format dxfId="205">
      <pivotArea dataOnly="0" labelOnly="1" outline="0" axis="axisValues" fieldPosition="0"/>
    </format>
    <format dxfId="204">
      <pivotArea field="2" type="button" dataOnly="0" labelOnly="1" outline="0" axis="axisRow" fieldPosition="0"/>
    </format>
    <format dxfId="203">
      <pivotArea field="3" type="button" dataOnly="0" labelOnly="1" outline="0" axis="axisRow" fieldPosition="1"/>
    </format>
    <format dxfId="202">
      <pivotArea dataOnly="0" labelOnly="1" outline="0" axis="axisValues" fieldPosition="0"/>
    </format>
    <format dxfId="201">
      <pivotArea field="2" type="button" dataOnly="0" labelOnly="1" outline="0" axis="axisRow" fieldPosition="0"/>
    </format>
    <format dxfId="200">
      <pivotArea field="3" type="button" dataOnly="0" labelOnly="1" outline="0" axis="axisRow" fieldPosition="1"/>
    </format>
    <format dxfId="199">
      <pivotArea dataOnly="0" labelOnly="1" outline="0" axis="axisValues" fieldPosition="0"/>
    </format>
    <format dxfId="198">
      <pivotArea outline="0" collapsedLevelsAreSubtotals="1" fieldPosition="0"/>
    </format>
    <format dxfId="197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196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195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194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186">
      <pivotArea outline="0" collapsedLevelsAreSubtotals="1" fieldPosition="0"/>
    </format>
    <format dxfId="185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174">
      <pivotArea dataOnly="0" labelOnly="1" outline="0" fieldPosition="0">
        <references count="1">
          <reference field="2" count="0"/>
        </references>
      </pivotArea>
    </format>
    <format dxfId="173">
      <pivotArea dataOnly="0" labelOnly="1" outline="0" axis="axisValues" fieldPosition="0"/>
    </format>
    <format dxfId="172">
      <pivotArea outline="0" collapsedLevelsAreSubtotals="1" fieldPosition="0"/>
    </format>
    <format dxfId="171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161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160">
      <pivotArea type="all" dataOnly="0" outline="0" fieldPosition="0"/>
    </format>
    <format dxfId="159">
      <pivotArea field="2" type="button" dataOnly="0" labelOnly="1" outline="0" axis="axisRow" fieldPosition="0"/>
    </format>
    <format dxfId="158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157">
      <pivotArea field="2" type="button" dataOnly="0" labelOnly="1" outline="0" axis="axisRow" fieldPosition="0"/>
    </format>
    <format dxfId="156">
      <pivotArea field="3" type="button" dataOnly="0" labelOnly="1" outline="0" axis="axisRow" fieldPosition="1"/>
    </format>
    <format dxfId="155">
      <pivotArea dataOnly="0" labelOnly="1" outline="0" fieldPosition="0">
        <references count="1">
          <reference field="2" count="1">
            <x v="36"/>
          </reference>
        </references>
      </pivotArea>
    </format>
    <format dxfId="154">
      <pivotArea dataOnly="0" labelOnly="1" outline="0" fieldPosition="0">
        <references count="1">
          <reference field="3" count="0"/>
        </references>
      </pivotArea>
    </format>
    <format dxfId="153">
      <pivotArea dataOnly="0" labelOnly="1" outline="0" fieldPosition="0">
        <references count="1">
          <reference field="3" count="0"/>
        </references>
      </pivotArea>
    </format>
    <format dxfId="152">
      <pivotArea field="2" type="button" dataOnly="0" labelOnly="1" outline="0" axis="axisRow" fieldPosition="0"/>
    </format>
    <format dxfId="151">
      <pivotArea field="2" type="button" dataOnly="0" labelOnly="1" outline="0" axis="axisRow" fieldPosition="0"/>
    </format>
    <format dxfId="150">
      <pivotArea field="3" type="button" dataOnly="0" labelOnly="1" outline="0" axis="axisRow" fieldPosition="1"/>
    </format>
    <format dxfId="149">
      <pivotArea type="all" dataOnly="0" outline="0" fieldPosition="0"/>
    </format>
    <format dxfId="148">
      <pivotArea dataOnly="0" labelOnly="1" outline="0" fieldPosition="0">
        <references count="1">
          <reference field="2" count="0"/>
        </references>
      </pivotArea>
    </format>
    <format dxfId="147">
      <pivotArea dataOnly="0" labelOnly="1" outline="0" fieldPosition="0">
        <references count="1">
          <reference field="3" count="0"/>
        </references>
      </pivotArea>
    </format>
    <format dxfId="146">
      <pivotArea dataOnly="0" labelOnly="1" outline="0" fieldPosition="0">
        <references count="1">
          <reference field="2" count="0"/>
        </references>
      </pivotArea>
    </format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2" count="14">
            <x v="0"/>
            <x v="5"/>
            <x v="8"/>
            <x v="9"/>
            <x v="15"/>
            <x v="25"/>
            <x v="27"/>
            <x v="34"/>
            <x v="63"/>
            <x v="66"/>
            <x v="68"/>
            <x v="79"/>
            <x v="118"/>
            <x v="161"/>
          </reference>
        </references>
      </pivotArea>
    </format>
    <format dxfId="143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142">
      <pivotArea dataOnly="0" labelOnly="1" outline="0" fieldPosition="0">
        <references count="2">
          <reference field="2" count="1" selected="0">
            <x v="5"/>
          </reference>
          <reference field="3" count="1">
            <x v="84"/>
          </reference>
        </references>
      </pivotArea>
    </format>
    <format dxfId="141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140">
      <pivotArea dataOnly="0" labelOnly="1" outline="0" fieldPosition="0">
        <references count="2">
          <reference field="2" count="1" selected="0">
            <x v="9"/>
          </reference>
          <reference field="3" count="1">
            <x v="10"/>
          </reference>
        </references>
      </pivotArea>
    </format>
    <format dxfId="139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138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137">
      <pivotArea dataOnly="0" labelOnly="1" outline="0" fieldPosition="0">
        <references count="2">
          <reference field="2" count="1" selected="0">
            <x v="27"/>
          </reference>
          <reference field="3" count="1">
            <x v="0"/>
          </reference>
        </references>
      </pivotArea>
    </format>
    <format dxfId="136">
      <pivotArea dataOnly="0" labelOnly="1" outline="0" fieldPosition="0">
        <references count="2">
          <reference field="2" count="1" selected="0">
            <x v="34"/>
          </reference>
          <reference field="3" count="1">
            <x v="99"/>
          </reference>
        </references>
      </pivotArea>
    </format>
    <format dxfId="135">
      <pivotArea dataOnly="0" labelOnly="1" outline="0" fieldPosition="0">
        <references count="2">
          <reference field="2" count="1" selected="0">
            <x v="63"/>
          </reference>
          <reference field="3" count="1">
            <x v="39"/>
          </reference>
        </references>
      </pivotArea>
    </format>
    <format dxfId="134">
      <pivotArea dataOnly="0" labelOnly="1" outline="0" fieldPosition="0">
        <references count="2">
          <reference field="2" count="1" selected="0">
            <x v="66"/>
          </reference>
          <reference field="3" count="1">
            <x v="102"/>
          </reference>
        </references>
      </pivotArea>
    </format>
    <format dxfId="133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132">
      <pivotArea dataOnly="0" labelOnly="1" outline="0" fieldPosition="0">
        <references count="2">
          <reference field="2" count="1" selected="0">
            <x v="79"/>
          </reference>
          <reference field="3" count="1">
            <x v="49"/>
          </reference>
        </references>
      </pivotArea>
    </format>
    <format dxfId="131">
      <pivotArea dataOnly="0" labelOnly="1" outline="0" fieldPosition="0">
        <references count="2">
          <reference field="2" count="1" selected="0">
            <x v="118"/>
          </reference>
          <reference field="3" count="1">
            <x v="40"/>
          </reference>
        </references>
      </pivotArea>
    </format>
    <format dxfId="130">
      <pivotArea dataOnly="0" labelOnly="1" outline="0" fieldPosition="0">
        <references count="2">
          <reference field="2" count="1" selected="0">
            <x v="161"/>
          </reference>
          <reference field="3" count="1">
            <x v="90"/>
          </reference>
        </references>
      </pivotArea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4" type="button" dataOnly="0" labelOnly="1" outline="0" axis="axisPage" fieldPosition="0"/>
    </format>
    <format dxfId="126">
      <pivotArea field="2" type="button" dataOnly="0" labelOnly="1" outline="0" axis="axisRow" fieldPosition="0"/>
    </format>
    <format dxfId="125">
      <pivotArea field="3" type="button" dataOnly="0" labelOnly="1" outline="0" axis="axisRow" fieldPosition="1"/>
    </format>
    <format dxfId="124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122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121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120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119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118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117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116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115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114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106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105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104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100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99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4" type="button" dataOnly="0" labelOnly="1" outline="0" axis="axisPage" fieldPosition="0"/>
    </format>
    <format dxfId="94">
      <pivotArea field="2" type="button" dataOnly="0" labelOnly="1" outline="0" axis="axisRow" fieldPosition="0"/>
    </format>
    <format dxfId="93">
      <pivotArea field="3" type="button" dataOnly="0" labelOnly="1" outline="0" axis="axisRow" fieldPosition="1"/>
    </format>
    <format dxfId="92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91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90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89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74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73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72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71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70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69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68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67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66">
      <pivotArea dataOnly="0" labelOnly="1" outline="0" axis="axisValues" fieldPosition="0"/>
    </format>
    <format dxfId="65">
      <pivotArea field="4" type="button" dataOnly="0" labelOnly="1" outline="0" axis="axisPage" fieldPosition="0"/>
    </format>
    <format dxfId="64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63">
      <pivotArea outline="0" collapsedLevelsAreSubtotals="1" fieldPosition="0"/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4" type="button" dataOnly="0" labelOnly="1" outline="0" axis="axisPage" fieldPosition="0"/>
    </format>
    <format dxfId="58">
      <pivotArea field="2" type="button" dataOnly="0" labelOnly="1" outline="0" axis="axisRow" fieldPosition="0"/>
    </format>
    <format dxfId="57">
      <pivotArea field="3" type="button" dataOnly="0" labelOnly="1" outline="0" axis="axisRow" fieldPosition="1"/>
    </format>
    <format dxfId="56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54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53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52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51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50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49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48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47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46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45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44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43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42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41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40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39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38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37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36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35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34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33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32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31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30">
      <pivotArea dataOnly="0" labelOnly="1" outline="0" axis="axisValues" fieldPosition="0"/>
    </format>
    <format dxfId="29">
      <pivotArea dataOnly="0" labelOnly="1" outline="0" fieldPosition="0">
        <references count="1">
          <reference field="4" count="0"/>
        </references>
      </pivotArea>
    </format>
    <format dxfId="28">
      <pivotArea dataOnly="0" labelOnly="1" outline="0" fieldPosition="0">
        <references count="1">
          <reference field="4" count="0"/>
        </references>
      </pivotArea>
    </format>
    <format dxfId="27">
      <pivotArea field="2" type="button" dataOnly="0" labelOnly="1" outline="0" axis="axisRow" fieldPosition="0"/>
    </format>
    <format dxfId="26">
      <pivotArea field="3" type="button" dataOnly="0" labelOnly="1" outline="0" axis="axisRow" fieldPosition="1"/>
    </format>
    <format dxfId="25">
      <pivotArea dataOnly="0" labelOnly="1" outline="0" axis="axisValues" fieldPosition="0"/>
    </format>
  </formats>
  <pivotTableStyleInfo name="PivotStyleLight21" showRowHeaders="1" showColHeaders="1" showRowStripes="0" showColStripes="0" showLastColumn="1"/>
  <filters count="1">
    <filter fld="2" type="valueGreaterThan" evalOrder="-1" id="1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A8AEE-253A-48CE-9D54-EE4D6778A25C}" name="樞紐分析表3" cacheId="33" applyNumberFormats="0" applyBorderFormats="0" applyFontFormats="0" applyPatternFormats="0" applyAlignmentFormats="0" applyWidthHeightFormats="1" dataCaption="數值" updatedVersion="7" minRefreshableVersion="3" showDrill="0" rowGrandTotals="0" colGrandTotals="0" itemPrintTitles="1" createdVersion="4" indent="0" compact="0" compactData="0" multipleFieldFilters="0" chartFormat="5">
  <location ref="K3:N9" firstHeaderRow="1" firstDataRow="1" firstDataCol="3"/>
  <pivotFields count="11">
    <pivotField compact="0" numFmtId="178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measureFilter="1" sortType="ascending" defaultSubtotal="0">
      <items count="164">
        <item x="11"/>
        <item x="68"/>
        <item x="23"/>
        <item x="106"/>
        <item x="49"/>
        <item x="61"/>
        <item x="73"/>
        <item x="93"/>
        <item x="0"/>
        <item m="1" x="163"/>
        <item x="99"/>
        <item x="91"/>
        <item x="108"/>
        <item x="50"/>
        <item x="112"/>
        <item x="17"/>
        <item x="24"/>
        <item x="94"/>
        <item x="40"/>
        <item x="102"/>
        <item x="84"/>
        <item x="100"/>
        <item x="58"/>
        <item x="55"/>
        <item x="4"/>
        <item x="18"/>
        <item x="111"/>
        <item x="5"/>
        <item x="20"/>
        <item x="56"/>
        <item x="95"/>
        <item x="110"/>
        <item x="47"/>
        <item x="2"/>
        <item x="70"/>
        <item x="74"/>
        <item x="19"/>
        <item x="96"/>
        <item x="92"/>
        <item x="60"/>
        <item x="64"/>
        <item x="88"/>
        <item x="8"/>
        <item x="76"/>
        <item x="42"/>
        <item x="7"/>
        <item x="81"/>
        <item m="1" x="119"/>
        <item m="1" x="140"/>
        <item m="1" x="144"/>
        <item x="78"/>
        <item x="72"/>
        <item x="21"/>
        <item x="97"/>
        <item m="1" x="123"/>
        <item m="1" x="142"/>
        <item x="39"/>
        <item m="1" x="117"/>
        <item m="1" x="126"/>
        <item m="1" x="151"/>
        <item m="1" x="116"/>
        <item m="1" x="124"/>
        <item m="1" x="133"/>
        <item x="26"/>
        <item m="1" x="137"/>
        <item m="1" x="139"/>
        <item m="1" x="148"/>
        <item m="1" x="158"/>
        <item x="1"/>
        <item x="12"/>
        <item x="87"/>
        <item x="107"/>
        <item x="103"/>
        <item m="1" x="160"/>
        <item m="1" x="129"/>
        <item m="1" x="138"/>
        <item m="1" x="150"/>
        <item m="1" x="152"/>
        <item m="1" x="134"/>
        <item m="1" x="156"/>
        <item x="13"/>
        <item x="48"/>
        <item x="53"/>
        <item x="86"/>
        <item m="1" x="145"/>
        <item m="1" x="128"/>
        <item m="1" x="161"/>
        <item x="67"/>
        <item x="16"/>
        <item x="109"/>
        <item x="105"/>
        <item x="43"/>
        <item x="101"/>
        <item x="80"/>
        <item x="31"/>
        <item x="32"/>
        <item x="98"/>
        <item x="63"/>
        <item x="9"/>
        <item x="22"/>
        <item m="1" x="131"/>
        <item m="1" x="121"/>
        <item x="6"/>
        <item x="82"/>
        <item x="90"/>
        <item x="71"/>
        <item x="37"/>
        <item m="1" x="132"/>
        <item m="1" x="122"/>
        <item x="83"/>
        <item x="79"/>
        <item m="1" x="125"/>
        <item m="1" x="127"/>
        <item x="14"/>
        <item x="59"/>
        <item x="52"/>
        <item x="85"/>
        <item x="89"/>
        <item x="27"/>
        <item m="1" x="135"/>
        <item m="1" x="153"/>
        <item m="1" x="149"/>
        <item m="1" x="159"/>
        <item m="1" x="141"/>
        <item m="1" x="154"/>
        <item m="1" x="146"/>
        <item m="1" x="118"/>
        <item x="28"/>
        <item x="113"/>
        <item x="29"/>
        <item x="3"/>
        <item x="44"/>
        <item x="25"/>
        <item x="51"/>
        <item x="69"/>
        <item x="41"/>
        <item x="36"/>
        <item x="33"/>
        <item x="35"/>
        <item x="66"/>
        <item x="46"/>
        <item x="54"/>
        <item x="30"/>
        <item x="15"/>
        <item m="1" x="130"/>
        <item m="1" x="143"/>
        <item m="1" x="155"/>
        <item x="34"/>
        <item x="65"/>
        <item x="38"/>
        <item x="10"/>
        <item x="45"/>
        <item x="75"/>
        <item x="57"/>
        <item x="77"/>
        <item x="114"/>
        <item x="62"/>
        <item x="104"/>
        <item m="1" x="162"/>
        <item m="1" x="157"/>
        <item m="1" x="120"/>
        <item m="1" x="147"/>
        <item m="1" x="136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67">
        <item x="5"/>
        <item x="2"/>
        <item m="1" x="130"/>
        <item x="10"/>
        <item m="1" x="156"/>
        <item m="1" x="145"/>
        <item x="11"/>
        <item x="18"/>
        <item x="9"/>
        <item x="4"/>
        <item m="1" x="122"/>
        <item x="13"/>
        <item x="17"/>
        <item x="12"/>
        <item x="8"/>
        <item m="1" x="127"/>
        <item x="1"/>
        <item m="1" x="152"/>
        <item x="14"/>
        <item x="16"/>
        <item m="1" x="133"/>
        <item x="7"/>
        <item x="0"/>
        <item m="1" x="158"/>
        <item x="3"/>
        <item m="1" x="141"/>
        <item x="6"/>
        <item x="15"/>
        <item m="1" x="154"/>
        <item x="19"/>
        <item x="20"/>
        <item x="21"/>
        <item m="1" x="129"/>
        <item x="22"/>
        <item x="78"/>
        <item x="23"/>
        <item x="24"/>
        <item x="25"/>
        <item m="1" x="150"/>
        <item x="26"/>
        <item x="27"/>
        <item x="28"/>
        <item x="29"/>
        <item x="30"/>
        <item x="31"/>
        <item x="32"/>
        <item x="33"/>
        <item m="1" x="148"/>
        <item x="34"/>
        <item m="1" x="140"/>
        <item x="35"/>
        <item m="1" x="131"/>
        <item x="36"/>
        <item x="37"/>
        <item m="1" x="123"/>
        <item x="38"/>
        <item x="39"/>
        <item x="40"/>
        <item x="41"/>
        <item x="42"/>
        <item x="43"/>
        <item m="1" x="146"/>
        <item x="44"/>
        <item x="45"/>
        <item x="46"/>
        <item x="47"/>
        <item m="1" x="116"/>
        <item x="48"/>
        <item x="49"/>
        <item m="1" x="120"/>
        <item x="50"/>
        <item x="51"/>
        <item x="52"/>
        <item m="1" x="139"/>
        <item x="53"/>
        <item x="54"/>
        <item x="55"/>
        <item x="56"/>
        <item x="57"/>
        <item x="58"/>
        <item x="59"/>
        <item m="1" x="118"/>
        <item x="60"/>
        <item m="1" x="144"/>
        <item x="61"/>
        <item m="1" x="153"/>
        <item x="62"/>
        <item m="1" x="136"/>
        <item m="1" x="143"/>
        <item x="63"/>
        <item m="1" x="137"/>
        <item x="64"/>
        <item x="65"/>
        <item x="66"/>
        <item m="1" x="161"/>
        <item m="1" x="126"/>
        <item x="67"/>
        <item x="68"/>
        <item x="69"/>
        <item x="70"/>
        <item x="71"/>
        <item x="72"/>
        <item m="1" x="119"/>
        <item x="73"/>
        <item x="74"/>
        <item m="1" x="160"/>
        <item x="75"/>
        <item x="76"/>
        <item x="77"/>
        <item x="79"/>
        <item m="1" x="163"/>
        <item x="80"/>
        <item x="81"/>
        <item x="82"/>
        <item x="83"/>
        <item x="84"/>
        <item m="1" x="132"/>
        <item x="85"/>
        <item m="1" x="147"/>
        <item m="1" x="159"/>
        <item m="1" x="135"/>
        <item m="1" x="164"/>
        <item x="86"/>
        <item m="1" x="134"/>
        <item x="87"/>
        <item x="88"/>
        <item m="1" x="157"/>
        <item x="89"/>
        <item m="1" x="162"/>
        <item x="90"/>
        <item x="91"/>
        <item x="92"/>
        <item x="93"/>
        <item x="94"/>
        <item x="95"/>
        <item x="96"/>
        <item x="97"/>
        <item x="98"/>
        <item x="99"/>
        <item m="1" x="121"/>
        <item m="1" x="155"/>
        <item m="1" x="151"/>
        <item x="100"/>
        <item x="101"/>
        <item x="102"/>
        <item m="1" x="165"/>
        <item m="1" x="117"/>
        <item m="1" x="142"/>
        <item x="103"/>
        <item m="1" x="166"/>
        <item x="104"/>
        <item m="1" x="149"/>
        <item x="115"/>
        <item x="105"/>
        <item m="1" x="124"/>
        <item x="106"/>
        <item x="107"/>
        <item m="1" x="128"/>
        <item x="108"/>
        <item x="109"/>
        <item m="1" x="125"/>
        <item x="110"/>
        <item x="111"/>
        <item x="112"/>
        <item x="113"/>
        <item m="1" x="138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7">
        <item x="0"/>
        <item x="1"/>
        <item x="3"/>
        <item x="5"/>
        <item h="1" x="2"/>
        <item h="1" x="4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7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9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"/>
    <field x="3"/>
  </rowFields>
  <rowItems count="6">
    <i>
      <x/>
      <x v="27"/>
      <x/>
    </i>
    <i r="1">
      <x v="33"/>
      <x v="1"/>
    </i>
    <i r="1">
      <x v="155"/>
      <x v="166"/>
    </i>
    <i>
      <x v="1"/>
      <x/>
      <x v="6"/>
    </i>
    <i r="1">
      <x v="15"/>
      <x v="12"/>
    </i>
    <i r="1">
      <x v="63"/>
      <x v="39"/>
    </i>
  </rowItems>
  <colItems count="1">
    <i/>
  </colItems>
  <dataFields count="1">
    <dataField name="部位" fld="8" baseField="0" baseItem="0" numFmtId="179"/>
  </dataFields>
  <formats count="192">
    <format dxfId="400">
      <pivotArea type="all" dataOnly="0" outline="0" fieldPosition="0"/>
    </format>
    <format dxfId="399">
      <pivotArea field="2" type="button" dataOnly="0" labelOnly="1" outline="0" axis="axisRow" fieldPosition="1"/>
    </format>
    <format dxfId="398">
      <pivotArea field="3" type="button" dataOnly="0" labelOnly="1" outline="0" axis="axisRow" fieldPosition="2"/>
    </format>
    <format dxfId="397">
      <pivotArea dataOnly="0" labelOnly="1" outline="0" axis="axisValues" fieldPosition="0"/>
    </format>
    <format dxfId="396">
      <pivotArea field="2" type="button" dataOnly="0" labelOnly="1" outline="0" axis="axisRow" fieldPosition="1"/>
    </format>
    <format dxfId="395">
      <pivotArea field="3" type="button" dataOnly="0" labelOnly="1" outline="0" axis="axisRow" fieldPosition="2"/>
    </format>
    <format dxfId="394">
      <pivotArea dataOnly="0" labelOnly="1" outline="0" axis="axisValues" fieldPosition="0"/>
    </format>
    <format dxfId="393">
      <pivotArea field="2" type="button" dataOnly="0" labelOnly="1" outline="0" axis="axisRow" fieldPosition="1"/>
    </format>
    <format dxfId="392">
      <pivotArea field="3" type="button" dataOnly="0" labelOnly="1" outline="0" axis="axisRow" fieldPosition="2"/>
    </format>
    <format dxfId="391">
      <pivotArea dataOnly="0" labelOnly="1" outline="0" axis="axisValues" fieldPosition="0"/>
    </format>
    <format dxfId="390">
      <pivotArea outline="0" collapsedLevelsAreSubtotals="1" fieldPosition="0"/>
    </format>
    <format dxfId="389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388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387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386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385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384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383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382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381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380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379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378">
      <pivotArea outline="0" collapsedLevelsAreSubtotals="1" fieldPosition="0"/>
    </format>
    <format dxfId="377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376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375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374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373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372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371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370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369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368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367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366">
      <pivotArea dataOnly="0" labelOnly="1" outline="0" fieldPosition="0">
        <references count="1">
          <reference field="2" count="0"/>
        </references>
      </pivotArea>
    </format>
    <format dxfId="365">
      <pivotArea dataOnly="0" labelOnly="1" outline="0" axis="axisValues" fieldPosition="0"/>
    </format>
    <format dxfId="364">
      <pivotArea outline="0" collapsedLevelsAreSubtotals="1" fieldPosition="0"/>
    </format>
    <format dxfId="363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362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361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360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359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358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357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356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355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354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353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352">
      <pivotArea type="all" dataOnly="0" outline="0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349">
      <pivotArea field="2" type="button" dataOnly="0" labelOnly="1" outline="0" axis="axisRow" fieldPosition="1"/>
    </format>
    <format dxfId="348">
      <pivotArea field="3" type="button" dataOnly="0" labelOnly="1" outline="0" axis="axisRow" fieldPosition="2"/>
    </format>
    <format dxfId="347">
      <pivotArea dataOnly="0" labelOnly="1" outline="0" fieldPosition="0">
        <references count="1">
          <reference field="2" count="1">
            <x v="36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3" count="0"/>
        </references>
      </pivotArea>
    </format>
    <format dxfId="344">
      <pivotArea field="2" type="button" dataOnly="0" labelOnly="1" outline="0" axis="axisRow" fieldPosition="1"/>
    </format>
    <format dxfId="343">
      <pivotArea field="2" type="button" dataOnly="0" labelOnly="1" outline="0" axis="axisRow" fieldPosition="1"/>
    </format>
    <format dxfId="342">
      <pivotArea field="3" type="button" dataOnly="0" labelOnly="1" outline="0" axis="axisRow" fieldPosition="2"/>
    </format>
    <format dxfId="341">
      <pivotArea type="all" dataOnly="0" outline="0" fieldPosition="0"/>
    </format>
    <format dxfId="340">
      <pivotArea dataOnly="0" labelOnly="1" outline="0" fieldPosition="0">
        <references count="1">
          <reference field="2" count="0"/>
        </references>
      </pivotArea>
    </format>
    <format dxfId="339">
      <pivotArea dataOnly="0" labelOnly="1" outline="0" fieldPosition="0">
        <references count="1">
          <reference field="3" count="0"/>
        </references>
      </pivotArea>
    </format>
    <format dxfId="338">
      <pivotArea dataOnly="0" labelOnly="1" outline="0" fieldPosition="0">
        <references count="1">
          <reference field="2" count="0"/>
        </references>
      </pivotArea>
    </format>
    <format dxfId="337">
      <pivotArea outline="0" collapsedLevelsAreSubtotals="1" fieldPosition="0"/>
    </format>
    <format dxfId="336">
      <pivotArea dataOnly="0" labelOnly="1" outline="0" fieldPosition="0">
        <references count="1">
          <reference field="2" count="14">
            <x v="0"/>
            <x v="5"/>
            <x v="8"/>
            <x v="9"/>
            <x v="15"/>
            <x v="25"/>
            <x v="27"/>
            <x v="34"/>
            <x v="63"/>
            <x v="66"/>
            <x v="68"/>
            <x v="79"/>
            <x v="118"/>
            <x v="161"/>
          </reference>
        </references>
      </pivotArea>
    </format>
    <format dxfId="335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334">
      <pivotArea dataOnly="0" labelOnly="1" outline="0" fieldPosition="0">
        <references count="2">
          <reference field="2" count="1" selected="0">
            <x v="5"/>
          </reference>
          <reference field="3" count="1">
            <x v="84"/>
          </reference>
        </references>
      </pivotArea>
    </format>
    <format dxfId="333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332">
      <pivotArea dataOnly="0" labelOnly="1" outline="0" fieldPosition="0">
        <references count="2">
          <reference field="2" count="1" selected="0">
            <x v="9"/>
          </reference>
          <reference field="3" count="1">
            <x v="10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330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329">
      <pivotArea dataOnly="0" labelOnly="1" outline="0" fieldPosition="0">
        <references count="2">
          <reference field="2" count="1" selected="0">
            <x v="27"/>
          </reference>
          <reference field="3" count="1">
            <x v="0"/>
          </reference>
        </references>
      </pivotArea>
    </format>
    <format dxfId="328">
      <pivotArea dataOnly="0" labelOnly="1" outline="0" fieldPosition="0">
        <references count="2">
          <reference field="2" count="1" selected="0">
            <x v="34"/>
          </reference>
          <reference field="3" count="1">
            <x v="99"/>
          </reference>
        </references>
      </pivotArea>
    </format>
    <format dxfId="327">
      <pivotArea dataOnly="0" labelOnly="1" outline="0" fieldPosition="0">
        <references count="2">
          <reference field="2" count="1" selected="0">
            <x v="63"/>
          </reference>
          <reference field="3" count="1">
            <x v="39"/>
          </reference>
        </references>
      </pivotArea>
    </format>
    <format dxfId="326">
      <pivotArea dataOnly="0" labelOnly="1" outline="0" fieldPosition="0">
        <references count="2">
          <reference field="2" count="1" selected="0">
            <x v="66"/>
          </reference>
          <reference field="3" count="1">
            <x v="102"/>
          </reference>
        </references>
      </pivotArea>
    </format>
    <format dxfId="325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324">
      <pivotArea dataOnly="0" labelOnly="1" outline="0" fieldPosition="0">
        <references count="2">
          <reference field="2" count="1" selected="0">
            <x v="79"/>
          </reference>
          <reference field="3" count="1">
            <x v="49"/>
          </reference>
        </references>
      </pivotArea>
    </format>
    <format dxfId="323">
      <pivotArea dataOnly="0" labelOnly="1" outline="0" fieldPosition="0">
        <references count="2">
          <reference field="2" count="1" selected="0">
            <x v="118"/>
          </reference>
          <reference field="3" count="1">
            <x v="40"/>
          </reference>
        </references>
      </pivotArea>
    </format>
    <format dxfId="322">
      <pivotArea dataOnly="0" labelOnly="1" outline="0" fieldPosition="0">
        <references count="2">
          <reference field="2" count="1" selected="0">
            <x v="161"/>
          </reference>
          <reference field="3" count="1">
            <x v="90"/>
          </reference>
        </references>
      </pivotArea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4" type="button" dataOnly="0" labelOnly="1" outline="0" axis="axisRow" fieldPosition="0"/>
    </format>
    <format dxfId="318">
      <pivotArea field="2" type="button" dataOnly="0" labelOnly="1" outline="0" axis="axisRow" fieldPosition="1"/>
    </format>
    <format dxfId="317">
      <pivotArea field="3" type="button" dataOnly="0" labelOnly="1" outline="0" axis="axisRow" fieldPosition="2"/>
    </format>
    <format dxfId="316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314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313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312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311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310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309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308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307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306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305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304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303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302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301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300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299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297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296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295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294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293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292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291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290">
      <pivotArea dataOnly="0" labelOnly="1" outline="0" axis="axisValues" fieldPosition="0"/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field="4" type="button" dataOnly="0" labelOnly="1" outline="0" axis="axisRow" fieldPosition="0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283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282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281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280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279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278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277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276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275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274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273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272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271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270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269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268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267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266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265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264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263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262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261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260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259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258">
      <pivotArea dataOnly="0" labelOnly="1" outline="0" axis="axisValues" fieldPosition="0"/>
    </format>
    <format dxfId="257">
      <pivotArea field="4" type="button" dataOnly="0" labelOnly="1" outline="0" axis="axisRow" fieldPosition="0"/>
    </format>
    <format dxfId="256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255">
      <pivotArea outline="0" collapsedLevelsAreSubtotals="1" fieldPosition="0"/>
    </format>
    <format dxfId="254">
      <pivotArea dataOnly="0" labelOnly="1" outline="0" axis="axisValues" fieldPosition="0"/>
    </format>
    <format dxfId="253">
      <pivotArea type="all" dataOnly="0" outline="0" fieldPosition="0"/>
    </format>
    <format dxfId="252">
      <pivotArea outline="0" collapsedLevelsAreSubtotals="1" fieldPosition="0"/>
    </format>
    <format dxfId="251">
      <pivotArea field="4" type="button" dataOnly="0" labelOnly="1" outline="0" axis="axisRow" fieldPosition="0"/>
    </format>
    <format dxfId="250">
      <pivotArea field="2" type="button" dataOnly="0" labelOnly="1" outline="0" axis="axisRow" fieldPosition="1"/>
    </format>
    <format dxfId="249">
      <pivotArea field="3" type="button" dataOnly="0" labelOnly="1" outline="0" axis="axisRow" fieldPosition="2"/>
    </format>
    <format dxfId="248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247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246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245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243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242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241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240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239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238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237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236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235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234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233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232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231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230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229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228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227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226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225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224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223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222">
      <pivotArea dataOnly="0" labelOnly="1" outline="0" axis="axisValues" fieldPosition="0"/>
    </format>
    <format dxfId="221">
      <pivotArea dataOnly="0" labelOnly="1" outline="0" fieldPosition="0">
        <references count="1">
          <reference field="4" count="0"/>
        </references>
      </pivotArea>
    </format>
    <format dxfId="220">
      <pivotArea outline="0" collapsedLevelsAreSubtotals="1" fieldPosition="0"/>
    </format>
    <format dxfId="219">
      <pivotArea dataOnly="0" labelOnly="1" outline="0" fieldPosition="0">
        <references count="1">
          <reference field="4" count="1">
            <x v="1"/>
          </reference>
        </references>
      </pivotArea>
    </format>
    <format dxfId="218">
      <pivotArea dataOnly="0" labelOnly="1" outline="0" fieldPosition="0">
        <references count="1">
          <reference field="4" count="1" defaultSubtotal="1">
            <x v="1"/>
          </reference>
        </references>
      </pivotArea>
    </format>
    <format dxfId="217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216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215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214">
      <pivotArea field="4" type="button" dataOnly="0" labelOnly="1" outline="0" axis="axisRow" fieldPosition="0"/>
    </format>
    <format dxfId="213">
      <pivotArea field="2" type="button" dataOnly="0" labelOnly="1" outline="0" axis="axisRow" fieldPosition="1"/>
    </format>
    <format dxfId="212">
      <pivotArea field="3" type="button" dataOnly="0" labelOnly="1" outline="0" axis="axisRow" fieldPosition="2"/>
    </format>
    <format dxfId="211">
      <pivotArea dataOnly="0" labelOnly="1" outline="0" axis="axisValues" fieldPosition="0"/>
    </format>
    <format dxfId="210">
      <pivotArea field="4" type="button" dataOnly="0" labelOnly="1" outline="0" axis="axisRow" fieldPosition="0"/>
    </format>
    <format dxfId="209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</formats>
  <pivotTableStyleInfo name="PivotStyleLight21" showRowHeaders="1" showColHeaders="1" showRowStripes="0" showColStripes="0" showLastColumn="1"/>
  <filters count="1">
    <filter fld="2" type="valueGreaterThan" evalOrder="-1" id="13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B21B-4A27-46C5-A0F4-284C782BA9F1}" name="樞紐分析表1" cacheId="33" applyNumberFormats="0" applyBorderFormats="0" applyFontFormats="0" applyPatternFormats="0" applyAlignmentFormats="0" applyWidthHeightFormats="1" dataCaption="數值" updatedVersion="7" minRefreshableVersion="3" showDrill="0" rowGrandTotals="0" colGrandTotals="0" itemPrintTitles="1" createdVersion="4" indent="0" compact="0" compactData="0" multipleFieldFilters="0" chartFormat="5">
  <location ref="F3:H3" firstHeaderRow="1" firstDataRow="1" firstDataCol="2" rowPageCount="1" colPageCount="1"/>
  <pivotFields count="11"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sortType="ascending" defaultSubtotal="0">
      <items count="164">
        <item x="11"/>
        <item x="68"/>
        <item x="23"/>
        <item x="106"/>
        <item x="49"/>
        <item x="61"/>
        <item x="73"/>
        <item x="93"/>
        <item x="0"/>
        <item m="1" x="163"/>
        <item x="99"/>
        <item x="91"/>
        <item x="108"/>
        <item x="50"/>
        <item x="112"/>
        <item x="17"/>
        <item x="24"/>
        <item x="94"/>
        <item x="40"/>
        <item x="102"/>
        <item x="84"/>
        <item x="100"/>
        <item x="58"/>
        <item x="55"/>
        <item x="4"/>
        <item x="18"/>
        <item x="111"/>
        <item x="5"/>
        <item x="20"/>
        <item x="56"/>
        <item x="95"/>
        <item x="110"/>
        <item x="47"/>
        <item x="2"/>
        <item x="70"/>
        <item x="74"/>
        <item x="19"/>
        <item x="96"/>
        <item x="92"/>
        <item x="60"/>
        <item x="64"/>
        <item x="88"/>
        <item x="8"/>
        <item x="76"/>
        <item x="42"/>
        <item x="7"/>
        <item x="81"/>
        <item m="1" x="119"/>
        <item m="1" x="140"/>
        <item m="1" x="144"/>
        <item x="78"/>
        <item x="72"/>
        <item x="21"/>
        <item x="97"/>
        <item m="1" x="123"/>
        <item m="1" x="142"/>
        <item x="39"/>
        <item m="1" x="117"/>
        <item m="1" x="126"/>
        <item m="1" x="151"/>
        <item m="1" x="116"/>
        <item m="1" x="124"/>
        <item m="1" x="133"/>
        <item x="26"/>
        <item m="1" x="137"/>
        <item m="1" x="139"/>
        <item m="1" x="148"/>
        <item m="1" x="158"/>
        <item x="1"/>
        <item x="12"/>
        <item x="87"/>
        <item x="107"/>
        <item x="103"/>
        <item m="1" x="160"/>
        <item m="1" x="129"/>
        <item m="1" x="138"/>
        <item m="1" x="150"/>
        <item m="1" x="152"/>
        <item m="1" x="134"/>
        <item m="1" x="156"/>
        <item x="13"/>
        <item x="48"/>
        <item x="53"/>
        <item x="86"/>
        <item m="1" x="145"/>
        <item m="1" x="128"/>
        <item m="1" x="161"/>
        <item x="67"/>
        <item x="16"/>
        <item x="109"/>
        <item x="105"/>
        <item x="43"/>
        <item x="101"/>
        <item x="80"/>
        <item x="31"/>
        <item x="32"/>
        <item x="98"/>
        <item x="63"/>
        <item x="9"/>
        <item x="22"/>
        <item m="1" x="131"/>
        <item m="1" x="121"/>
        <item x="6"/>
        <item x="82"/>
        <item x="90"/>
        <item x="71"/>
        <item x="37"/>
        <item m="1" x="132"/>
        <item m="1" x="122"/>
        <item x="83"/>
        <item x="79"/>
        <item m="1" x="125"/>
        <item m="1" x="127"/>
        <item x="14"/>
        <item x="59"/>
        <item x="52"/>
        <item x="85"/>
        <item x="89"/>
        <item x="27"/>
        <item m="1" x="135"/>
        <item m="1" x="153"/>
        <item m="1" x="149"/>
        <item m="1" x="159"/>
        <item m="1" x="141"/>
        <item m="1" x="154"/>
        <item m="1" x="146"/>
        <item m="1" x="118"/>
        <item x="28"/>
        <item x="113"/>
        <item x="29"/>
        <item x="3"/>
        <item x="44"/>
        <item x="25"/>
        <item x="51"/>
        <item x="69"/>
        <item x="41"/>
        <item x="36"/>
        <item x="33"/>
        <item x="35"/>
        <item x="66"/>
        <item x="46"/>
        <item x="54"/>
        <item x="30"/>
        <item x="15"/>
        <item m="1" x="130"/>
        <item m="1" x="143"/>
        <item m="1" x="155"/>
        <item x="34"/>
        <item x="65"/>
        <item x="38"/>
        <item x="10"/>
        <item x="45"/>
        <item x="75"/>
        <item x="57"/>
        <item x="77"/>
        <item x="114"/>
        <item x="62"/>
        <item x="104"/>
        <item m="1" x="162"/>
        <item m="1" x="157"/>
        <item m="1" x="120"/>
        <item m="1" x="147"/>
        <item m="1" x="136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7">
        <item x="5"/>
        <item x="2"/>
        <item m="1" x="130"/>
        <item x="10"/>
        <item m="1" x="156"/>
        <item m="1" x="145"/>
        <item x="11"/>
        <item x="18"/>
        <item x="9"/>
        <item x="4"/>
        <item m="1" x="122"/>
        <item x="13"/>
        <item x="17"/>
        <item x="12"/>
        <item x="8"/>
        <item m="1" x="127"/>
        <item x="1"/>
        <item m="1" x="152"/>
        <item x="14"/>
        <item x="16"/>
        <item m="1" x="133"/>
        <item x="7"/>
        <item x="0"/>
        <item m="1" x="158"/>
        <item x="3"/>
        <item m="1" x="141"/>
        <item x="6"/>
        <item x="15"/>
        <item m="1" x="154"/>
        <item x="19"/>
        <item x="20"/>
        <item x="21"/>
        <item m="1" x="129"/>
        <item x="22"/>
        <item x="78"/>
        <item x="23"/>
        <item x="24"/>
        <item x="25"/>
        <item m="1" x="150"/>
        <item x="26"/>
        <item x="27"/>
        <item x="28"/>
        <item x="29"/>
        <item x="30"/>
        <item x="31"/>
        <item x="32"/>
        <item x="33"/>
        <item m="1" x="148"/>
        <item x="34"/>
        <item m="1" x="140"/>
        <item x="35"/>
        <item m="1" x="131"/>
        <item x="36"/>
        <item x="37"/>
        <item m="1" x="123"/>
        <item x="38"/>
        <item x="39"/>
        <item x="40"/>
        <item x="41"/>
        <item x="42"/>
        <item x="43"/>
        <item m="1" x="146"/>
        <item x="44"/>
        <item x="45"/>
        <item x="46"/>
        <item x="47"/>
        <item m="1" x="116"/>
        <item x="48"/>
        <item x="49"/>
        <item m="1" x="120"/>
        <item x="50"/>
        <item x="51"/>
        <item x="52"/>
        <item m="1" x="139"/>
        <item x="53"/>
        <item x="54"/>
        <item x="55"/>
        <item x="56"/>
        <item x="57"/>
        <item x="58"/>
        <item x="59"/>
        <item m="1" x="118"/>
        <item x="60"/>
        <item m="1" x="144"/>
        <item x="61"/>
        <item m="1" x="153"/>
        <item x="62"/>
        <item m="1" x="136"/>
        <item m="1" x="143"/>
        <item x="63"/>
        <item m="1" x="137"/>
        <item x="64"/>
        <item x="65"/>
        <item x="66"/>
        <item m="1" x="161"/>
        <item m="1" x="126"/>
        <item x="67"/>
        <item x="68"/>
        <item x="69"/>
        <item x="70"/>
        <item x="71"/>
        <item x="72"/>
        <item m="1" x="119"/>
        <item x="73"/>
        <item x="74"/>
        <item m="1" x="160"/>
        <item x="75"/>
        <item x="76"/>
        <item x="77"/>
        <item x="79"/>
        <item m="1" x="163"/>
        <item x="80"/>
        <item x="81"/>
        <item x="82"/>
        <item x="83"/>
        <item x="84"/>
        <item m="1" x="132"/>
        <item x="85"/>
        <item m="1" x="147"/>
        <item m="1" x="159"/>
        <item m="1" x="135"/>
        <item m="1" x="164"/>
        <item x="86"/>
        <item m="1" x="134"/>
        <item x="87"/>
        <item x="88"/>
        <item m="1" x="157"/>
        <item x="89"/>
        <item m="1" x="162"/>
        <item x="90"/>
        <item x="91"/>
        <item x="92"/>
        <item x="93"/>
        <item x="94"/>
        <item x="95"/>
        <item x="96"/>
        <item x="97"/>
        <item x="98"/>
        <item x="99"/>
        <item m="1" x="121"/>
        <item m="1" x="155"/>
        <item m="1" x="151"/>
        <item x="100"/>
        <item x="101"/>
        <item x="102"/>
        <item m="1" x="165"/>
        <item m="1" x="117"/>
        <item m="1" x="142"/>
        <item x="103"/>
        <item m="1" x="166"/>
        <item x="104"/>
        <item m="1" x="149"/>
        <item x="115"/>
        <item x="105"/>
        <item m="1" x="124"/>
        <item x="106"/>
        <item x="107"/>
        <item m="1" x="128"/>
        <item x="108"/>
        <item x="109"/>
        <item m="1" x="125"/>
        <item x="110"/>
        <item x="111"/>
        <item x="112"/>
        <item x="113"/>
        <item m="1" x="138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">
        <item h="1" x="0"/>
        <item h="1" x="1"/>
        <item h="1" x="3"/>
        <item h="1" x="5"/>
        <item x="2"/>
        <item x="4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7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9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colItems count="1">
    <i/>
  </colItems>
  <pageFields count="1">
    <pageField fld="4" hier="-1"/>
  </pageFields>
  <dataFields count="1">
    <dataField name="部位" fld="8" baseField="0" baseItem="0" numFmtId="179"/>
  </dataFields>
  <formats count="197">
    <format dxfId="597">
      <pivotArea type="all" dataOnly="0" outline="0" fieldPosition="0"/>
    </format>
    <format dxfId="596">
      <pivotArea field="2" type="button" dataOnly="0" labelOnly="1" outline="0" axis="axisRow" fieldPosition="0"/>
    </format>
    <format dxfId="595">
      <pivotArea field="3" type="button" dataOnly="0" labelOnly="1" outline="0" axis="axisRow" fieldPosition="1"/>
    </format>
    <format dxfId="594">
      <pivotArea dataOnly="0" labelOnly="1" outline="0" axis="axisValues" fieldPosition="0"/>
    </format>
    <format dxfId="593">
      <pivotArea field="2" type="button" dataOnly="0" labelOnly="1" outline="0" axis="axisRow" fieldPosition="0"/>
    </format>
    <format dxfId="592">
      <pivotArea field="3" type="button" dataOnly="0" labelOnly="1" outline="0" axis="axisRow" fieldPosition="1"/>
    </format>
    <format dxfId="591">
      <pivotArea dataOnly="0" labelOnly="1" outline="0" axis="axisValues" fieldPosition="0"/>
    </format>
    <format dxfId="590">
      <pivotArea field="2" type="button" dataOnly="0" labelOnly="1" outline="0" axis="axisRow" fieldPosition="0"/>
    </format>
    <format dxfId="589">
      <pivotArea field="3" type="button" dataOnly="0" labelOnly="1" outline="0" axis="axisRow" fieldPosition="1"/>
    </format>
    <format dxfId="588">
      <pivotArea dataOnly="0" labelOnly="1" outline="0" axis="axisValues" fieldPosition="0"/>
    </format>
    <format dxfId="587">
      <pivotArea outline="0" collapsedLevelsAreSubtotals="1" fieldPosition="0"/>
    </format>
    <format dxfId="586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585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584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583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582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581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580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579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578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577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576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575">
      <pivotArea outline="0" collapsedLevelsAreSubtotals="1" fieldPosition="0"/>
    </format>
    <format dxfId="574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573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572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571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570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569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568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567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566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565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564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563">
      <pivotArea dataOnly="0" labelOnly="1" outline="0" fieldPosition="0">
        <references count="1">
          <reference field="2" count="0"/>
        </references>
      </pivotArea>
    </format>
    <format dxfId="562">
      <pivotArea dataOnly="0" labelOnly="1" outline="0" axis="axisValues" fieldPosition="0"/>
    </format>
    <format dxfId="561">
      <pivotArea outline="0" collapsedLevelsAreSubtotals="1" fieldPosition="0"/>
    </format>
    <format dxfId="560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559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558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557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556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555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554">
      <pivotArea dataOnly="0" labelOnly="1" outline="0" fieldPosition="0">
        <references count="2">
          <reference field="2" count="1" selected="0">
            <x v="69"/>
          </reference>
          <reference field="3" count="1">
            <x v="13"/>
          </reference>
        </references>
      </pivotArea>
    </format>
    <format dxfId="553">
      <pivotArea dataOnly="0" labelOnly="1" outline="0" fieldPosition="0">
        <references count="2">
          <reference field="2" count="1" selected="0">
            <x v="80"/>
          </reference>
          <reference field="3" count="1">
            <x v="11"/>
          </reference>
        </references>
      </pivotArea>
    </format>
    <format dxfId="552">
      <pivotArea dataOnly="0" labelOnly="1" outline="0" fieldPosition="0">
        <references count="2">
          <reference field="2" count="1" selected="0">
            <x v="88"/>
          </reference>
          <reference field="3" count="1">
            <x v="19"/>
          </reference>
        </references>
      </pivotArea>
    </format>
    <format dxfId="551">
      <pivotArea dataOnly="0" labelOnly="1" outline="0" fieldPosition="0">
        <references count="2">
          <reference field="2" count="1" selected="0">
            <x v="111"/>
          </reference>
          <reference field="3" count="1">
            <x v="4"/>
          </reference>
        </references>
      </pivotArea>
    </format>
    <format dxfId="550">
      <pivotArea dataOnly="0" labelOnly="1" outline="0" fieldPosition="0">
        <references count="2">
          <reference field="2" count="1" selected="0">
            <x v="143"/>
          </reference>
          <reference field="3" count="1">
            <x v="27"/>
          </reference>
        </references>
      </pivotArea>
    </format>
    <format dxfId="549">
      <pivotArea type="all" dataOnly="0" outline="0" fieldPosition="0"/>
    </format>
    <format dxfId="548">
      <pivotArea field="2" type="button" dataOnly="0" labelOnly="1" outline="0" axis="axisRow" fieldPosition="0"/>
    </format>
    <format dxfId="547">
      <pivotArea dataOnly="0" labelOnly="1" outline="0" fieldPosition="0">
        <references count="1">
          <reference field="2" count="10">
            <x v="0"/>
            <x v="8"/>
            <x v="15"/>
            <x v="25"/>
            <x v="68"/>
            <x v="69"/>
            <x v="80"/>
            <x v="88"/>
            <x v="111"/>
            <x v="143"/>
          </reference>
        </references>
      </pivotArea>
    </format>
    <format dxfId="546">
      <pivotArea field="2" type="button" dataOnly="0" labelOnly="1" outline="0" axis="axisRow" fieldPosition="0"/>
    </format>
    <format dxfId="545">
      <pivotArea field="3" type="button" dataOnly="0" labelOnly="1" outline="0" axis="axisRow" fieldPosition="1"/>
    </format>
    <format dxfId="544">
      <pivotArea dataOnly="0" labelOnly="1" outline="0" fieldPosition="0">
        <references count="1">
          <reference field="2" count="1">
            <x v="36"/>
          </reference>
        </references>
      </pivotArea>
    </format>
    <format dxfId="543">
      <pivotArea dataOnly="0" labelOnly="1" outline="0" fieldPosition="0">
        <references count="1">
          <reference field="3" count="0"/>
        </references>
      </pivotArea>
    </format>
    <format dxfId="542">
      <pivotArea dataOnly="0" labelOnly="1" outline="0" fieldPosition="0">
        <references count="1">
          <reference field="3" count="0"/>
        </references>
      </pivotArea>
    </format>
    <format dxfId="541">
      <pivotArea field="2" type="button" dataOnly="0" labelOnly="1" outline="0" axis="axisRow" fieldPosition="0"/>
    </format>
    <format dxfId="540">
      <pivotArea field="2" type="button" dataOnly="0" labelOnly="1" outline="0" axis="axisRow" fieldPosition="0"/>
    </format>
    <format dxfId="539">
      <pivotArea field="3" type="button" dataOnly="0" labelOnly="1" outline="0" axis="axisRow" fieldPosition="1"/>
    </format>
    <format dxfId="538">
      <pivotArea type="all" dataOnly="0" outline="0" fieldPosition="0"/>
    </format>
    <format dxfId="537">
      <pivotArea dataOnly="0" labelOnly="1" outline="0" fieldPosition="0">
        <references count="1">
          <reference field="2" count="0"/>
        </references>
      </pivotArea>
    </format>
    <format dxfId="536">
      <pivotArea dataOnly="0" labelOnly="1" outline="0" fieldPosition="0">
        <references count="1">
          <reference field="3" count="0"/>
        </references>
      </pivotArea>
    </format>
    <format dxfId="535">
      <pivotArea dataOnly="0" labelOnly="1" outline="0" fieldPosition="0">
        <references count="1">
          <reference field="2" count="0"/>
        </references>
      </pivotArea>
    </format>
    <format dxfId="534">
      <pivotArea outline="0" collapsedLevelsAreSubtotals="1" fieldPosition="0"/>
    </format>
    <format dxfId="533">
      <pivotArea dataOnly="0" labelOnly="1" outline="0" fieldPosition="0">
        <references count="1">
          <reference field="2" count="14">
            <x v="0"/>
            <x v="5"/>
            <x v="8"/>
            <x v="9"/>
            <x v="15"/>
            <x v="25"/>
            <x v="27"/>
            <x v="34"/>
            <x v="63"/>
            <x v="66"/>
            <x v="68"/>
            <x v="79"/>
            <x v="118"/>
            <x v="161"/>
          </reference>
        </references>
      </pivotArea>
    </format>
    <format dxfId="532">
      <pivotArea dataOnly="0" labelOnly="1" outline="0" fieldPosition="0">
        <references count="2">
          <reference field="2" count="1" selected="0">
            <x v="0"/>
          </reference>
          <reference field="3" count="1">
            <x v="6"/>
          </reference>
        </references>
      </pivotArea>
    </format>
    <format dxfId="531">
      <pivotArea dataOnly="0" labelOnly="1" outline="0" fieldPosition="0">
        <references count="2">
          <reference field="2" count="1" selected="0">
            <x v="5"/>
          </reference>
          <reference field="3" count="1">
            <x v="84"/>
          </reference>
        </references>
      </pivotArea>
    </format>
    <format dxfId="530">
      <pivotArea dataOnly="0" labelOnly="1" outline="0" fieldPosition="0">
        <references count="2">
          <reference field="2" count="1" selected="0">
            <x v="8"/>
          </reference>
          <reference field="3" count="1">
            <x v="22"/>
          </reference>
        </references>
      </pivotArea>
    </format>
    <format dxfId="529">
      <pivotArea dataOnly="0" labelOnly="1" outline="0" fieldPosition="0">
        <references count="2">
          <reference field="2" count="1" selected="0">
            <x v="9"/>
          </reference>
          <reference field="3" count="1">
            <x v="10"/>
          </reference>
        </references>
      </pivotArea>
    </format>
    <format dxfId="528">
      <pivotArea dataOnly="0" labelOnly="1" outline="0" fieldPosition="0">
        <references count="2">
          <reference field="2" count="1" selected="0">
            <x v="15"/>
          </reference>
          <reference field="3" count="1">
            <x v="12"/>
          </reference>
        </references>
      </pivotArea>
    </format>
    <format dxfId="527">
      <pivotArea dataOnly="0" labelOnly="1" outline="0" fieldPosition="0">
        <references count="2">
          <reference field="2" count="1" selected="0">
            <x v="25"/>
          </reference>
          <reference field="3" count="1">
            <x v="7"/>
          </reference>
        </references>
      </pivotArea>
    </format>
    <format dxfId="526">
      <pivotArea dataOnly="0" labelOnly="1" outline="0" fieldPosition="0">
        <references count="2">
          <reference field="2" count="1" selected="0">
            <x v="27"/>
          </reference>
          <reference field="3" count="1">
            <x v="0"/>
          </reference>
        </references>
      </pivotArea>
    </format>
    <format dxfId="525">
      <pivotArea dataOnly="0" labelOnly="1" outline="0" fieldPosition="0">
        <references count="2">
          <reference field="2" count="1" selected="0">
            <x v="34"/>
          </reference>
          <reference field="3" count="1">
            <x v="99"/>
          </reference>
        </references>
      </pivotArea>
    </format>
    <format dxfId="524">
      <pivotArea dataOnly="0" labelOnly="1" outline="0" fieldPosition="0">
        <references count="2">
          <reference field="2" count="1" selected="0">
            <x v="63"/>
          </reference>
          <reference field="3" count="1">
            <x v="39"/>
          </reference>
        </references>
      </pivotArea>
    </format>
    <format dxfId="523">
      <pivotArea dataOnly="0" labelOnly="1" outline="0" fieldPosition="0">
        <references count="2">
          <reference field="2" count="1" selected="0">
            <x v="66"/>
          </reference>
          <reference field="3" count="1">
            <x v="102"/>
          </reference>
        </references>
      </pivotArea>
    </format>
    <format dxfId="522">
      <pivotArea dataOnly="0" labelOnly="1" outline="0" fieldPosition="0">
        <references count="2">
          <reference field="2" count="1" selected="0">
            <x v="68"/>
          </reference>
          <reference field="3" count="1">
            <x v="16"/>
          </reference>
        </references>
      </pivotArea>
    </format>
    <format dxfId="521">
      <pivotArea dataOnly="0" labelOnly="1" outline="0" fieldPosition="0">
        <references count="2">
          <reference field="2" count="1" selected="0">
            <x v="79"/>
          </reference>
          <reference field="3" count="1">
            <x v="49"/>
          </reference>
        </references>
      </pivotArea>
    </format>
    <format dxfId="520">
      <pivotArea dataOnly="0" labelOnly="1" outline="0" fieldPosition="0">
        <references count="2">
          <reference field="2" count="1" selected="0">
            <x v="118"/>
          </reference>
          <reference field="3" count="1">
            <x v="40"/>
          </reference>
        </references>
      </pivotArea>
    </format>
    <format dxfId="519">
      <pivotArea dataOnly="0" labelOnly="1" outline="0" fieldPosition="0">
        <references count="2">
          <reference field="2" count="1" selected="0">
            <x v="161"/>
          </reference>
          <reference field="3" count="1">
            <x v="90"/>
          </reference>
        </references>
      </pivotArea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field="4" type="button" dataOnly="0" labelOnly="1" outline="0" axis="axisPage" fieldPosition="0"/>
    </format>
    <format dxfId="515">
      <pivotArea field="2" type="button" dataOnly="0" labelOnly="1" outline="0" axis="axisRow" fieldPosition="0"/>
    </format>
    <format dxfId="514">
      <pivotArea field="3" type="button" dataOnly="0" labelOnly="1" outline="0" axis="axisRow" fieldPosition="1"/>
    </format>
    <format dxfId="513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512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511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510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509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508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507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506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505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504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503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502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501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500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499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498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497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496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495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494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493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492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491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490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489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488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487">
      <pivotArea dataOnly="0" labelOnly="1" outline="0" axis="axisValues" fieldPosition="0"/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field="4" type="button" dataOnly="0" labelOnly="1" outline="0" axis="axisPage" fieldPosition="0"/>
    </format>
    <format dxfId="483">
      <pivotArea field="2" type="button" dataOnly="0" labelOnly="1" outline="0" axis="axisRow" fieldPosition="0"/>
    </format>
    <format dxfId="482">
      <pivotArea field="3" type="button" dataOnly="0" labelOnly="1" outline="0" axis="axisRow" fieldPosition="1"/>
    </format>
    <format dxfId="481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480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479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478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477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476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475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474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473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472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471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470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469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468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467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466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465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464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463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462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461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460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459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458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457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456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455">
      <pivotArea dataOnly="0" labelOnly="1" outline="0" axis="axisValues" fieldPosition="0"/>
    </format>
    <format dxfId="454">
      <pivotArea field="4" type="button" dataOnly="0" labelOnly="1" outline="0" axis="axisPage" fieldPosition="0"/>
    </format>
    <format dxfId="453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452">
      <pivotArea outline="0" collapsedLevelsAreSubtotals="1" fieldPosition="0"/>
    </format>
    <format dxfId="451">
      <pivotArea dataOnly="0" labelOnly="1" outline="0" axis="axisValues" fieldPosition="0"/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field="4" type="button" dataOnly="0" labelOnly="1" outline="0" axis="axisPage" fieldPosition="0"/>
    </format>
    <format dxfId="447">
      <pivotArea field="2" type="button" dataOnly="0" labelOnly="1" outline="0" axis="axisRow" fieldPosition="0"/>
    </format>
    <format dxfId="446">
      <pivotArea field="3" type="button" dataOnly="0" labelOnly="1" outline="0" axis="axisRow" fieldPosition="1"/>
    </format>
    <format dxfId="445">
      <pivotArea dataOnly="0" labelOnly="1" outline="0" fieldPosition="0">
        <references count="1">
          <reference field="4" count="3">
            <x v="0"/>
            <x v="1"/>
            <x v="2"/>
          </reference>
        </references>
      </pivotArea>
    </format>
    <format dxfId="444">
      <pivotArea dataOnly="0" labelOnly="1" outline="0" fieldPosition="0">
        <references count="2">
          <reference field="2" count="17">
            <x v="8"/>
            <x v="15"/>
            <x v="18"/>
            <x v="19"/>
            <x v="21"/>
            <x v="46"/>
            <x v="58"/>
            <x v="63"/>
            <x v="72"/>
            <x v="73"/>
            <x v="76"/>
            <x v="78"/>
            <x v="83"/>
            <x v="103"/>
            <x v="143"/>
            <x v="158"/>
            <x v="161"/>
          </reference>
          <reference field="4" count="1" selected="0">
            <x v="0"/>
          </reference>
        </references>
      </pivotArea>
    </format>
    <format dxfId="443">
      <pivotArea dataOnly="0" labelOnly="1" outline="0" fieldPosition="0">
        <references count="2">
          <reference field="2" count="4">
            <x v="0"/>
            <x v="66"/>
            <x v="68"/>
            <x v="118"/>
          </reference>
          <reference field="4" count="1" selected="0">
            <x v="1"/>
          </reference>
        </references>
      </pivotArea>
    </format>
    <format dxfId="442">
      <pivotArea dataOnly="0" labelOnly="1" outline="0" fieldPosition="0">
        <references count="2">
          <reference field="2" count="1">
            <x v="78"/>
          </reference>
          <reference field="4" count="1" selected="0">
            <x v="2"/>
          </reference>
        </references>
      </pivotArea>
    </format>
    <format dxfId="441">
      <pivotArea dataOnly="0" labelOnly="1" outline="0" fieldPosition="0">
        <references count="3">
          <reference field="2" count="1" selected="0">
            <x v="8"/>
          </reference>
          <reference field="3" count="1">
            <x v="22"/>
          </reference>
          <reference field="4" count="1" selected="0">
            <x v="0"/>
          </reference>
        </references>
      </pivotArea>
    </format>
    <format dxfId="440">
      <pivotArea dataOnly="0" labelOnly="1" outline="0" fieldPosition="0">
        <references count="3">
          <reference field="2" count="1" selected="0">
            <x v="15"/>
          </reference>
          <reference field="3" count="1">
            <x v="12"/>
          </reference>
          <reference field="4" count="1" selected="0">
            <x v="0"/>
          </reference>
        </references>
      </pivotArea>
    </format>
    <format dxfId="439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4" count="1" selected="0">
            <x v="0"/>
          </reference>
        </references>
      </pivotArea>
    </format>
    <format dxfId="438">
      <pivotArea dataOnly="0" labelOnly="1" outline="0" fieldPosition="0">
        <references count="3">
          <reference field="2" count="1" selected="0">
            <x v="19"/>
          </reference>
          <reference field="3" count="1">
            <x v="144"/>
          </reference>
          <reference field="4" count="1" selected="0">
            <x v="0"/>
          </reference>
        </references>
      </pivotArea>
    </format>
    <format dxfId="437">
      <pivotArea dataOnly="0" labelOnly="1" outline="0" fieldPosition="0">
        <references count="3">
          <reference field="2" count="1" selected="0">
            <x v="21"/>
          </reference>
          <reference field="3" count="1">
            <x v="142"/>
          </reference>
          <reference field="4" count="1" selected="0">
            <x v="0"/>
          </reference>
        </references>
      </pivotArea>
    </format>
    <format dxfId="436">
      <pivotArea dataOnly="0" labelOnly="1" outline="0" fieldPosition="0">
        <references count="3">
          <reference field="2" count="1" selected="0">
            <x v="46"/>
          </reference>
          <reference field="3" count="1">
            <x v="112"/>
          </reference>
          <reference field="4" count="1" selected="0">
            <x v="0"/>
          </reference>
        </references>
      </pivotArea>
    </format>
    <format dxfId="435">
      <pivotArea dataOnly="0" labelOnly="1" outline="0" fieldPosition="0">
        <references count="3">
          <reference field="2" count="1" selected="0">
            <x v="58"/>
          </reference>
          <reference field="3" count="1">
            <x v="146"/>
          </reference>
          <reference field="4" count="1" selected="0">
            <x v="0"/>
          </reference>
        </references>
      </pivotArea>
    </format>
    <format dxfId="434">
      <pivotArea dataOnly="0" labelOnly="1" outline="0" fieldPosition="0">
        <references count="3">
          <reference field="2" count="1" selected="0">
            <x v="63"/>
          </reference>
          <reference field="3" count="1">
            <x v="39"/>
          </reference>
          <reference field="4" count="1" selected="0">
            <x v="0"/>
          </reference>
        </references>
      </pivotArea>
    </format>
    <format dxfId="433">
      <pivotArea dataOnly="0" labelOnly="1" outline="0" fieldPosition="0">
        <references count="3">
          <reference field="2" count="1" selected="0">
            <x v="72"/>
          </reference>
          <reference field="3" count="1">
            <x v="148"/>
          </reference>
          <reference field="4" count="1" selected="0">
            <x v="0"/>
          </reference>
        </references>
      </pivotArea>
    </format>
    <format dxfId="432">
      <pivotArea dataOnly="0" labelOnly="1" outline="0" fieldPosition="0">
        <references count="3">
          <reference field="2" count="1" selected="0">
            <x v="73"/>
          </reference>
          <reference field="3" count="1">
            <x v="149"/>
          </reference>
          <reference field="4" count="1" selected="0">
            <x v="0"/>
          </reference>
        </references>
      </pivotArea>
    </format>
    <format dxfId="431">
      <pivotArea dataOnly="0" labelOnly="1" outline="0" fieldPosition="0">
        <references count="3">
          <reference field="2" count="1" selected="0">
            <x v="76"/>
          </reference>
          <reference field="3" count="1">
            <x v="139"/>
          </reference>
          <reference field="4" count="1" selected="0">
            <x v="0"/>
          </reference>
        </references>
      </pivotArea>
    </format>
    <format dxfId="430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0"/>
          </reference>
        </references>
      </pivotArea>
    </format>
    <format dxfId="429">
      <pivotArea dataOnly="0" labelOnly="1" outline="0" fieldPosition="0">
        <references count="3">
          <reference field="2" count="1" selected="0">
            <x v="83"/>
          </reference>
          <reference field="3" count="1">
            <x v="122"/>
          </reference>
          <reference field="4" count="1" selected="0">
            <x v="0"/>
          </reference>
        </references>
      </pivotArea>
    </format>
    <format dxfId="428">
      <pivotArea dataOnly="0" labelOnly="1" outline="0" fieldPosition="0">
        <references count="3">
          <reference field="2" count="1" selected="0">
            <x v="103"/>
          </reference>
          <reference field="3" count="1">
            <x v="113"/>
          </reference>
          <reference field="4" count="1" selected="0">
            <x v="0"/>
          </reference>
        </references>
      </pivotArea>
    </format>
    <format dxfId="427">
      <pivotArea dataOnly="0" labelOnly="1" outline="0" fieldPosition="0">
        <references count="3">
          <reference field="2" count="1" selected="0">
            <x v="143"/>
          </reference>
          <reference field="3" count="1">
            <x v="27"/>
          </reference>
          <reference field="4" count="1" selected="0">
            <x v="0"/>
          </reference>
        </references>
      </pivotArea>
    </format>
    <format dxfId="426">
      <pivotArea dataOnly="0" labelOnly="1" outline="0" fieldPosition="0">
        <references count="3">
          <reference field="2" count="1" selected="0">
            <x v="158"/>
          </reference>
          <reference field="3" count="1">
            <x v="140"/>
          </reference>
          <reference field="4" count="1" selected="0">
            <x v="0"/>
          </reference>
        </references>
      </pivotArea>
    </format>
    <format dxfId="425">
      <pivotArea dataOnly="0" labelOnly="1" outline="0" fieldPosition="0">
        <references count="3">
          <reference field="2" count="1" selected="0">
            <x v="161"/>
          </reference>
          <reference field="3" count="1">
            <x v="90"/>
          </reference>
          <reference field="4" count="1" selected="0">
            <x v="0"/>
          </reference>
        </references>
      </pivotArea>
    </format>
    <format dxfId="424">
      <pivotArea dataOnly="0" labelOnly="1" outline="0" fieldPosition="0">
        <references count="3">
          <reference field="2" count="1" selected="0">
            <x v="0"/>
          </reference>
          <reference field="3" count="1">
            <x v="6"/>
          </reference>
          <reference field="4" count="1" selected="0">
            <x v="1"/>
          </reference>
        </references>
      </pivotArea>
    </format>
    <format dxfId="423">
      <pivotArea dataOnly="0" labelOnly="1" outline="0" fieldPosition="0">
        <references count="3">
          <reference field="2" count="1" selected="0">
            <x v="66"/>
          </reference>
          <reference field="3" count="1">
            <x v="102"/>
          </reference>
          <reference field="4" count="1" selected="0">
            <x v="1"/>
          </reference>
        </references>
      </pivotArea>
    </format>
    <format dxfId="422">
      <pivotArea dataOnly="0" labelOnly="1" outline="0" fieldPosition="0">
        <references count="3">
          <reference field="2" count="1" selected="0">
            <x v="68"/>
          </reference>
          <reference field="3" count="1">
            <x v="16"/>
          </reference>
          <reference field="4" count="1" selected="0">
            <x v="1"/>
          </reference>
        </references>
      </pivotArea>
    </format>
    <format dxfId="421">
      <pivotArea dataOnly="0" labelOnly="1" outline="0" fieldPosition="0">
        <references count="3">
          <reference field="2" count="1" selected="0">
            <x v="118"/>
          </reference>
          <reference field="3" count="1">
            <x v="40"/>
          </reference>
          <reference field="4" count="1" selected="0">
            <x v="1"/>
          </reference>
        </references>
      </pivotArea>
    </format>
    <format dxfId="420">
      <pivotArea dataOnly="0" labelOnly="1" outline="0" fieldPosition="0">
        <references count="3">
          <reference field="2" count="1" selected="0">
            <x v="78"/>
          </reference>
          <reference field="3" count="1">
            <x v="118"/>
          </reference>
          <reference field="4" count="1" selected="0">
            <x v="2"/>
          </reference>
        </references>
      </pivotArea>
    </format>
    <format dxfId="419">
      <pivotArea dataOnly="0" labelOnly="1" outline="0" axis="axisValues" fieldPosition="0"/>
    </format>
    <format dxfId="418">
      <pivotArea dataOnly="0" labelOnly="1" outline="0" fieldPosition="0">
        <references count="1">
          <reference field="4" count="0"/>
        </references>
      </pivotArea>
    </format>
    <format dxfId="417">
      <pivotArea dataOnly="0" labelOnly="1" outline="0" fieldPosition="0">
        <references count="1">
          <reference field="4" count="0"/>
        </references>
      </pivotArea>
    </format>
    <format dxfId="416">
      <pivotArea field="2" type="button" dataOnly="0" labelOnly="1" outline="0" axis="axisRow" fieldPosition="0"/>
    </format>
    <format dxfId="415">
      <pivotArea field="3" type="button" dataOnly="0" labelOnly="1" outline="0" axis="axisRow" fieldPosition="1"/>
    </format>
    <format dxfId="414">
      <pivotArea dataOnly="0" labelOnly="1" outline="0" axis="axisValues" fieldPosition="0"/>
    </format>
    <format dxfId="413">
      <pivotArea type="all" dataOnly="0" outline="0" fieldPosition="0"/>
    </format>
    <format dxfId="412">
      <pivotArea field="3" type="button" dataOnly="0" labelOnly="1" outline="0" axis="axisRow" fieldPosition="1"/>
    </format>
    <format dxfId="411">
      <pivotArea dataOnly="0" labelOnly="1" outline="0" axis="axisValues" fieldPosition="0"/>
    </format>
    <format dxfId="410">
      <pivotArea field="4" type="button" dataOnly="0" labelOnly="1" outline="0" axis="axisPage" fieldPosition="0"/>
    </format>
    <format dxfId="409">
      <pivotArea field="2" type="button" dataOnly="0" labelOnly="1" outline="0" axis="axisRow" fieldPosition="0"/>
    </format>
    <format dxfId="408">
      <pivotArea dataOnly="0" labelOnly="1" outline="0" fieldPosition="0">
        <references count="1">
          <reference field="4" count="0"/>
        </references>
      </pivotArea>
    </format>
    <format dxfId="407">
      <pivotArea field="2" type="button" dataOnly="0" labelOnly="1" outline="0" axis="axisRow" fieldPosition="0"/>
    </format>
    <format dxfId="406">
      <pivotArea field="3" type="button" dataOnly="0" labelOnly="1" outline="0" axis="axisRow" fieldPosition="1"/>
    </format>
    <format dxfId="405">
      <pivotArea dataOnly="0" labelOnly="1" outline="0" axis="axisValues" fieldPosition="0"/>
    </format>
    <format dxfId="404">
      <pivotArea type="all" dataOnly="0" outline="0" fieldPosition="0"/>
    </format>
    <format dxfId="403">
      <pivotArea field="2" type="button" dataOnly="0" labelOnly="1" outline="0" axis="axisRow" fieldPosition="0"/>
    </format>
    <format dxfId="402">
      <pivotArea field="3" type="button" dataOnly="0" labelOnly="1" outline="0" axis="axisRow" fieldPosition="1"/>
    </format>
    <format dxfId="401">
      <pivotArea dataOnly="0" labelOnly="1" outline="0" axis="axisValues" fieldPosition="0"/>
    </format>
  </formats>
  <pivotTableStyleInfo name="PivotStyleLight18" showRowHeaders="1" showColHeaders="1" showRowStripes="0" showColStripes="0" showLastColumn="1"/>
  <filters count="1">
    <filter fld="2" type="valueLessThan" evalOrder="-1" id="11" iMeasureFld="0">
      <autoFilter ref="A1">
        <filterColumn colId="0">
          <customFilters>
            <customFilter operator="less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結算" cacheId="28" applyNumberFormats="0" applyBorderFormats="0" applyFontFormats="0" applyPatternFormats="0" applyAlignmentFormats="0" applyWidthHeightFormats="1" dataCaption="數值" updatedVersion="7" minRefreshableVersion="5" useAutoFormatting="1" rowGrandTotals="0" colGrandTotals="0" itemPrintTitles="1" createdVersion="4" indent="0" outline="1" outlineData="1" multipleFieldFilters="0" chartFormat="109" rowHeaderCaption="日期">
  <location ref="D1:G5" firstHeaderRow="0" firstDataRow="1" firstDataCol="1"/>
  <pivotFields count="13">
    <pivotField axis="axisRow" showAll="0" defaultSubtotal="0">
      <items count="109">
        <item m="1" x="83"/>
        <item m="1" x="26"/>
        <item m="1" x="67"/>
        <item m="1" x="8"/>
        <item m="1" x="45"/>
        <item m="1" x="43"/>
        <item m="1" x="48"/>
        <item m="1" x="108"/>
        <item m="1" x="105"/>
        <item m="1" x="40"/>
        <item m="1" x="84"/>
        <item m="1" x="9"/>
        <item m="1" x="51"/>
        <item m="1" x="100"/>
        <item m="1" x="37"/>
        <item m="1" x="30"/>
        <item m="1" x="70"/>
        <item m="1" x="13"/>
        <item m="1" x="55"/>
        <item m="1" x="103"/>
        <item m="1" x="24"/>
        <item m="1" x="98"/>
        <item m="1" x="19"/>
        <item m="1" x="62"/>
        <item m="1" x="5"/>
        <item m="1" x="44"/>
        <item m="1" x="92"/>
        <item m="1" x="15"/>
        <item m="1" x="57"/>
        <item m="1" x="107"/>
        <item m="1" x="41"/>
        <item m="1" x="87"/>
        <item m="1" x="11"/>
        <item m="1" x="35"/>
        <item m="1" x="76"/>
        <item m="1" x="18"/>
        <item m="1" x="61"/>
        <item m="1" x="90"/>
        <item m="1" x="31"/>
        <item m="1" x="72"/>
        <item m="1" x="14"/>
        <item m="1" x="56"/>
        <item m="1" x="106"/>
        <item m="1" x="27"/>
        <item m="1" x="68"/>
        <item m="1" x="10"/>
        <item m="1" x="52"/>
        <item m="1" x="79"/>
        <item m="1" x="21"/>
        <item m="1" x="64"/>
        <item m="1" x="6"/>
        <item m="1" x="46"/>
        <item m="1" x="74"/>
        <item m="1" x="17"/>
        <item m="1" x="60"/>
        <item m="1" x="25"/>
        <item m="1" x="66"/>
        <item m="1" x="99"/>
        <item m="1" x="36"/>
        <item m="1" x="77"/>
        <item m="1" x="20"/>
        <item m="1" x="63"/>
        <item m="1" x="93"/>
        <item m="1" x="33"/>
        <item m="1" x="73"/>
        <item m="1" x="16"/>
        <item m="1" x="58"/>
        <item m="1" x="88"/>
        <item m="1" x="29"/>
        <item m="1" x="69"/>
        <item m="1" x="12"/>
        <item m="1" x="54"/>
        <item m="1" x="81"/>
        <item m="1" x="23"/>
        <item m="1" x="65"/>
        <item m="1" x="7"/>
        <item m="1" x="49"/>
        <item m="1" x="85"/>
        <item m="1" x="28"/>
        <item m="1" x="53"/>
        <item m="1" x="101"/>
        <item m="1" x="38"/>
        <item m="1" x="80"/>
        <item m="1" x="22"/>
        <item m="1" x="47"/>
        <item m="1" x="94"/>
        <item m="1" x="34"/>
        <item m="1" x="75"/>
        <item m="1" x="42"/>
        <item m="1" x="82"/>
        <item m="1" x="96"/>
        <item m="1" x="32"/>
        <item m="1" x="102"/>
        <item x="0"/>
        <item m="1" x="95"/>
        <item m="1" x="71"/>
        <item m="1" x="89"/>
        <item m="1" x="39"/>
        <item m="1" x="50"/>
        <item x="1"/>
        <item m="1" x="97"/>
        <item m="1" x="91"/>
        <item m="1" x="86"/>
        <item x="2"/>
        <item m="1" x="104"/>
        <item m="1" x="78"/>
        <item m="1" x="59"/>
        <item x="4"/>
        <item x="3"/>
      </items>
    </pivotField>
    <pivotField numFmtId="179" showAll="0"/>
    <pivotField numFmtId="179" showAll="0"/>
    <pivotField showAll="0"/>
    <pivotField numFmtId="179" showAll="0"/>
    <pivotField numFmtId="179" showAll="0"/>
    <pivotField numFmtId="179" showAll="0"/>
    <pivotField numFmtId="179" showAl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4">
    <i>
      <x v="93"/>
    </i>
    <i>
      <x v="99"/>
    </i>
    <i>
      <x v="103"/>
    </i>
    <i>
      <x v="108"/>
    </i>
  </rowItems>
  <colFields count="1">
    <field x="-2"/>
  </colFields>
  <colItems count="3">
    <i>
      <x/>
    </i>
    <i i="1">
      <x v="1"/>
    </i>
    <i i="2">
      <x v="2"/>
    </i>
  </colItems>
  <dataFields count="3">
    <dataField name="可用現金" fld="12" baseField="0" baseItem="0" numFmtId="179"/>
    <dataField name="長期部位" fld="11" baseField="0" baseItem="0" numFmtId="179"/>
    <dataField name="非長期部位" fld="10" baseField="0" baseItem="0" numFmtId="179"/>
  </dataFields>
  <formats count="13"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fieldPosition="0">
        <references count="1">
          <reference field="0" count="0"/>
        </references>
      </pivotArea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  <format dxfId="6">
      <pivotArea type="all" dataOnly="0" outline="0" fieldPosition="0"/>
    </format>
    <format dxfId="5">
      <pivotArea field="0" type="button" dataOnly="0" labelOnly="1" outline="0" axis="axisRow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2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filters count="1">
    <filter fld="0" type="dateBetween" evalOrder="-1" id="208" name="日期">
      <autoFilter ref="A1">
        <filterColumn colId="0">
          <customFilters and="1">
            <customFilter operator="greaterThanOrEqual" val="44470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交易" displayName="交易" ref="A1:K1070" totalsRowShown="0" headerRowDxfId="627" dataDxfId="626" dataCellStyle="千分位">
  <autoFilter ref="A1:K1070" xr:uid="{00000000-0009-0000-0100-000002000000}"/>
  <sortState xmlns:xlrd2="http://schemas.microsoft.com/office/spreadsheetml/2017/richdata2" ref="A2:K1070">
    <sortCondition ref="A1:A1070"/>
  </sortState>
  <tableColumns count="11">
    <tableColumn id="12" xr3:uid="{00000000-0010-0000-0000-00000C000000}" name="序號" dataDxfId="625" dataCellStyle="千分位"/>
    <tableColumn id="1" xr3:uid="{00000000-0010-0000-0000-000001000000}" name="日期" dataDxfId="624"/>
    <tableColumn id="2" xr3:uid="{00000000-0010-0000-0000-000002000000}" name="代號" dataDxfId="623"/>
    <tableColumn id="3" xr3:uid="{00000000-0010-0000-0000-000003000000}" name="標的" dataDxfId="622">
      <calculatedColumnFormula>IF(B2="","",IFERROR(INDEX(股名1,MATCH($C2,代號1,0)),IFERROR(INDEX(股名2,MATCH($C2,代號2,0)),IFERROR(INDEX(股名3,MATCH($C2,代號3,0)),INDEX(股名4,MATCH($C2,代號4,0))))))</calculatedColumnFormula>
    </tableColumn>
    <tableColumn id="4" xr3:uid="{00000000-0010-0000-0000-000004000000}" name="部位類型" dataDxfId="621"/>
    <tableColumn id="5" xr3:uid="{00000000-0010-0000-0000-000005000000}" name="摘要" dataDxfId="620"/>
    <tableColumn id="6" xr3:uid="{00000000-0010-0000-0000-000006000000}" name="編號" dataDxfId="619" dataCellStyle="千分位"/>
    <tableColumn id="7" xr3:uid="{00000000-0010-0000-0000-000007000000}" name="價格" dataDxfId="618" dataCellStyle="千分位"/>
    <tableColumn id="8" xr3:uid="{00000000-0010-0000-0000-000008000000}" name="數量" dataDxfId="617" dataCellStyle="千分位"/>
    <tableColumn id="9" xr3:uid="{00000000-0010-0000-0000-000009000000}" name="金額" dataDxfId="616" dataCellStyle="千分位">
      <calculatedColumnFormula>交易[[#This Row],[價格]]*交易[[#This Row],[數量]]*-1</calculatedColumnFormula>
    </tableColumn>
    <tableColumn id="10" xr3:uid="{00000000-0010-0000-0000-00000A000000}" name="備註" dataDxfId="615" dataCellStyle="千分位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9EF164-808F-4363-8A9B-B60FC861BCBA}" name="表格3" displayName="表格3" ref="A1:M28" totalsRowShown="0" headerRowDxfId="611">
  <autoFilter ref="A1:M28" xr:uid="{959EF164-808F-4363-8A9B-B60FC861BCBA}"/>
  <sortState xmlns:xlrd2="http://schemas.microsoft.com/office/spreadsheetml/2017/richdata2" ref="A2:M10">
    <sortCondition ref="A1:A10"/>
  </sortState>
  <tableColumns count="13">
    <tableColumn id="1" xr3:uid="{C125898F-A2AB-4E6B-AA32-0990E65B78C2}" name="參考日期" dataDxfId="610"/>
    <tableColumn id="2" xr3:uid="{039A9082-06C9-4DEE-9FA0-32E662668532}" name="代號" dataDxfId="609"/>
    <tableColumn id="3" xr3:uid="{6E939EDC-53C6-422E-BE24-BA0AF50A23F9}" name="標的" dataDxfId="608"/>
    <tableColumn id="4" xr3:uid="{EF1ADEBD-8C57-48E0-A19B-03F817941B3C}" name="數量" dataDxfId="607"/>
    <tableColumn id="5" xr3:uid="{3FB2638D-7BBD-4F95-A49C-4ECB3F1D0910}" name="參考價" dataDxfId="606" dataCellStyle="千分位"/>
    <tableColumn id="6" xr3:uid="{07BEDF44-1EC5-49B4-B18E-AC062D10483B}" name="參考成本" dataDxfId="605" dataCellStyle="千分位"/>
    <tableColumn id="8" xr3:uid="{3E78E300-4D5C-48D0-96F5-64D2981FB25A}" name="停損策略" dataDxfId="604"/>
    <tableColumn id="9" xr3:uid="{6B6A5B2F-4179-4B4D-927C-082020E6AF9D}" name="參數" dataDxfId="603"/>
    <tableColumn id="7" xr3:uid="{89AA8033-1BFF-423E-AA73-F7AE1A3CA7CC}" name="部位" dataDxfId="602" dataCellStyle="千分位"/>
    <tableColumn id="11" xr3:uid="{52E139B9-3929-4B42-A358-9DBA4A7D9A5B}" name="目標價" dataDxfId="601" dataCellStyle="千分位"/>
    <tableColumn id="10" xr3:uid="{00B03DE1-0E3A-44F4-85D2-F9F1ED188356}" name="停損價" dataDxfId="600" dataCellStyle="千分位"/>
    <tableColumn id="13" xr3:uid="{3E165964-70D9-4143-812B-E07500E753F5}" name="資本影響" dataDxfId="599" dataCellStyle="百分比">
      <calculatedColumnFormula>IF(K2="","",-ABS(K2-E2)*D2/LOOKUP(A2,明細日期,明細資產總值))</calculatedColumnFormula>
    </tableColumn>
    <tableColumn id="12" xr3:uid="{7B9BBBD2-5020-49C5-B359-503EBFB831B8}" name="風報比" dataDxfId="598" dataCellStyle="千分位">
      <calculatedColumnFormula>IF(表格3[[#This Row],[停損價]]="","",(表格3[[#This Row],[目標價]]-表格3[[#This Row],[停損價]])/(表格3[[#This Row],[參考價]]-表格3[[#This Row],[停損價]]))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明細" displayName="明細" ref="A1:J15" totalsRowShown="0" headerRowDxfId="24" dataDxfId="23">
  <autoFilter ref="A1:J15" xr:uid="{00000000-000C-0000-FFFF-FFFF01000000}"/>
  <sortState xmlns:xlrd2="http://schemas.microsoft.com/office/spreadsheetml/2017/richdata2" ref="A2:J15">
    <sortCondition ref="A1:A15"/>
  </sortState>
  <tableColumns count="10">
    <tableColumn id="1" xr3:uid="{00000000-0010-0000-0100-000001000000}" name="日期" dataDxfId="22"/>
    <tableColumn id="2" xr3:uid="{00000000-0010-0000-0100-000002000000}" name="非長期部位-現股" dataDxfId="21" dataCellStyle="千分位"/>
    <tableColumn id="10" xr3:uid="{00000000-0010-0000-0100-00000A000000}" name="非長期部位-其他權益" dataDxfId="20" dataCellStyle="千分位"/>
    <tableColumn id="3" xr3:uid="{00000000-0010-0000-0100-000003000000}" name="長期部位-證券" dataDxfId="19" dataCellStyle="千分位"/>
    <tableColumn id="7" xr3:uid="{00000000-0010-0000-0100-000007000000}" name="長期部位-其他" dataDxfId="18" dataCellStyle="千分位"/>
    <tableColumn id="4" xr3:uid="{00000000-0010-0000-0100-000004000000}" name="現金-銀行餘額" dataDxfId="17" dataCellStyle="千分位"/>
    <tableColumn id="5" xr3:uid="{00000000-0010-0000-0100-000005000000}" name="現金-未入帳款" dataDxfId="16" dataCellStyle="千分位"/>
    <tableColumn id="6" xr3:uid="{00000000-0010-0000-0100-000006000000}" name="現金-其他增減" dataDxfId="15" dataCellStyle="千分位"/>
    <tableColumn id="8" xr3:uid="{00000000-0010-0000-0100-000008000000}" name="資產總值" dataDxfId="14" dataCellStyle="千分位">
      <calculatedColumnFormula>SUM(明細[[#This Row],[非長期部位-現股]:[現金-其他增減]])</calculatedColumnFormula>
    </tableColumn>
    <tableColumn id="9" xr3:uid="{00000000-0010-0000-0100-000009000000}" name="備註" dataDxfId="13" dataCellStyle="千分位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日期" xr10:uid="{111477CC-4BFB-4395-A237-F68FD73E8913}" sourceName="日期">
  <pivotTables>
    <pivotTable tabId="38" name="結算"/>
  </pivotTables>
  <state minimalRefreshVersion="6" lastRefreshVersion="6" pivotCacheId="1851440784" filterType="dateBetween">
    <selection startDate="2021-10-01T00:00:00" endDate="2021-12-31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日期" xr10:uid="{786F6D9F-F33A-4B05-9E85-455DB595E86D}" cache="NativeTimeline_日期" caption="日期" level="1" selectionLevel="1" scrollPosition="2021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Relationship Id="rId4" Type="http://schemas.microsoft.com/office/2011/relationships/timeline" Target="../timelines/timelin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/>
  <dimension ref="A1:X1360"/>
  <sheetViews>
    <sheetView zoomScaleNormal="100" workbookViewId="0">
      <selection activeCell="E1" sqref="E1"/>
    </sheetView>
  </sheetViews>
  <sheetFormatPr defaultColWidth="8.75" defaultRowHeight="16.5"/>
  <cols>
    <col min="1" max="1" width="5.5" style="177" customWidth="1"/>
    <col min="2" max="13" width="5.5" style="68" customWidth="1"/>
    <col min="14" max="14" width="8.625" style="68" customWidth="1"/>
    <col min="15" max="16" width="5.5" style="68" customWidth="1"/>
    <col min="17" max="17" width="12" style="250" bestFit="1" customWidth="1"/>
    <col min="18" max="18" width="10.625" style="131" customWidth="1"/>
    <col min="19" max="19" width="9" style="131" bestFit="1" customWidth="1"/>
    <col min="20" max="20" width="10.625" style="132" customWidth="1"/>
    <col min="21" max="21" width="10.625" style="133" customWidth="1"/>
    <col min="22" max="22" width="11.75" style="133" bestFit="1" customWidth="1"/>
    <col min="23" max="23" width="5.5" style="134" customWidth="1"/>
    <col min="24" max="24" width="10" style="2" bestFit="1" customWidth="1"/>
    <col min="25" max="16384" width="8.75" style="2"/>
  </cols>
  <sheetData>
    <row r="1" spans="1:24">
      <c r="G1" s="180">
        <f>SUBTOTAL(9,G7:G5001)</f>
        <v>0</v>
      </c>
      <c r="H1" s="180">
        <f>SUBTOTAL(9,H7:H5001)</f>
        <v>0</v>
      </c>
      <c r="I1" s="180"/>
      <c r="J1" s="180"/>
      <c r="K1" s="180">
        <f>SUBTOTAL(9,K7:K5001)</f>
        <v>0</v>
      </c>
      <c r="L1" s="180"/>
      <c r="M1" s="179" t="s">
        <v>2828</v>
      </c>
      <c r="N1" s="181">
        <f>SUM(G1:M1)</f>
        <v>0</v>
      </c>
    </row>
    <row r="2" spans="1:24" s="143" customFormat="1">
      <c r="A2" s="356" t="s">
        <v>3132</v>
      </c>
      <c r="P2" s="68"/>
      <c r="Q2" s="250"/>
      <c r="R2" s="131"/>
      <c r="S2" s="131"/>
      <c r="T2" s="132"/>
      <c r="U2" s="133"/>
      <c r="V2" s="133"/>
      <c r="W2" s="134"/>
      <c r="X2" s="2"/>
    </row>
    <row r="3" spans="1:24" s="166" customFormat="1">
      <c r="A3" s="356" t="s">
        <v>3133</v>
      </c>
      <c r="G3" s="187"/>
      <c r="H3" s="187"/>
      <c r="I3" s="187"/>
      <c r="J3" s="187"/>
      <c r="K3" s="187"/>
      <c r="L3" s="187"/>
      <c r="M3" s="187"/>
      <c r="N3" s="187"/>
      <c r="P3" s="167"/>
      <c r="Q3" s="251"/>
      <c r="R3" s="168"/>
      <c r="S3" s="131"/>
      <c r="T3" s="132"/>
      <c r="U3" s="133"/>
      <c r="V3" s="133" t="s">
        <v>2832</v>
      </c>
      <c r="W3" s="131"/>
      <c r="X3" s="133" t="s">
        <v>2833</v>
      </c>
    </row>
    <row r="4" spans="1:24" s="163" customFormat="1" ht="15" thickBot="1">
      <c r="A4" s="357" t="s">
        <v>3134</v>
      </c>
      <c r="G4" s="178"/>
      <c r="H4" s="178"/>
      <c r="I4" s="324"/>
      <c r="J4" s="324"/>
      <c r="K4" s="178"/>
      <c r="L4" s="324"/>
      <c r="M4" s="324"/>
      <c r="N4" s="325"/>
      <c r="P4" s="162"/>
      <c r="Q4" s="252" t="s">
        <v>2834</v>
      </c>
      <c r="R4" s="162"/>
      <c r="S4" s="230"/>
      <c r="T4" s="165"/>
      <c r="U4" s="164"/>
      <c r="V4" s="164">
        <f>SUBTOTAL(9,V7:V5001)</f>
        <v>0</v>
      </c>
      <c r="W4" s="161"/>
      <c r="X4" s="164">
        <f>SUBTOTAL(9,X7:X5001)</f>
        <v>0</v>
      </c>
    </row>
    <row r="5" spans="1:24" ht="17.25" thickBot="1">
      <c r="A5" s="169" t="s">
        <v>2677</v>
      </c>
      <c r="B5" s="144" t="s">
        <v>0</v>
      </c>
      <c r="C5" s="144" t="s">
        <v>1525</v>
      </c>
      <c r="D5" s="144" t="s">
        <v>2678</v>
      </c>
      <c r="E5" s="144" t="s">
        <v>2821</v>
      </c>
      <c r="F5" s="144" t="s">
        <v>2679</v>
      </c>
      <c r="G5" s="144" t="s">
        <v>2680</v>
      </c>
      <c r="H5" s="144" t="s">
        <v>2681</v>
      </c>
      <c r="I5" s="144" t="s">
        <v>2682</v>
      </c>
      <c r="J5" s="144" t="s">
        <v>2683</v>
      </c>
      <c r="K5" s="144" t="s">
        <v>2684</v>
      </c>
      <c r="L5" s="144" t="s">
        <v>2685</v>
      </c>
      <c r="M5" s="144" t="s">
        <v>2686</v>
      </c>
      <c r="N5" s="144" t="s">
        <v>2822</v>
      </c>
      <c r="O5" s="144" t="s">
        <v>2687</v>
      </c>
      <c r="P5" s="135"/>
      <c r="Q5" s="253" t="e">
        <f>IF(B5="","",DATE(LEFT(B5,3)+1911,MID(B5,4,2),RIGHT(B5,2)))</f>
        <v>#VALUE!</v>
      </c>
      <c r="R5" s="182" t="e">
        <f>IF(C5="","",IFERROR(INDEX(代號1,MATCH($C5,股名1,0)),IFERROR(INDEX(代號2,MATCH($C5,股名2,0)),INDEX(代號3,MATCH($C5,股名3,0)))))</f>
        <v>#N/A</v>
      </c>
      <c r="S5" s="185" t="str">
        <f>IF(D5="","",IF(IFERROR(FIND("資",D5)&gt;0,FALSE),"資券",IF(IFERROR(FIND("券",D5)&gt;0,FALSE),"資券","波段")))</f>
        <v>波段</v>
      </c>
      <c r="T5" s="183" t="str">
        <f>IF(F5="","",F5)</f>
        <v>價格</v>
      </c>
      <c r="U5" s="184" t="e">
        <f>IF(D5="","",IF(IFERROR(FIND("買",D5)&gt;0,FALSE),E5,IF(IFERROR(FIND("賣",D5)&gt;0,FALSE),-E5,IF(IFERROR(FIND("資",D5)&gt;0,FALSE),E5,-E5))))</f>
        <v>#VALUE!</v>
      </c>
      <c r="V5" s="184" t="e">
        <f>IF(Q5="","",T5*U5*-1)</f>
        <v>#VALUE!</v>
      </c>
      <c r="X5" s="186" t="str">
        <f>IFERROR((-1)*LEFT(N5,FIND("扣",N5)-1),IFERROR(1*LEFT(N5,FIND("入",N5)-1),""))</f>
        <v/>
      </c>
    </row>
    <row r="6" spans="1:24" ht="17.649999999999999" customHeight="1">
      <c r="A6" s="169" t="s">
        <v>2677</v>
      </c>
      <c r="B6" s="144" t="s">
        <v>0</v>
      </c>
      <c r="C6" s="144" t="s">
        <v>1525</v>
      </c>
      <c r="D6" s="144" t="s">
        <v>2678</v>
      </c>
      <c r="E6" s="144" t="s">
        <v>2821</v>
      </c>
      <c r="F6" s="144" t="s">
        <v>2679</v>
      </c>
      <c r="G6" s="144" t="s">
        <v>2680</v>
      </c>
      <c r="H6" s="144" t="s">
        <v>2681</v>
      </c>
      <c r="I6" s="144" t="s">
        <v>2682</v>
      </c>
      <c r="J6" s="144" t="s">
        <v>2683</v>
      </c>
      <c r="K6" s="144" t="s">
        <v>2684</v>
      </c>
      <c r="L6" s="144" t="s">
        <v>2685</v>
      </c>
      <c r="M6" s="144" t="s">
        <v>2686</v>
      </c>
      <c r="N6" s="144" t="s">
        <v>2822</v>
      </c>
      <c r="O6" s="144" t="s">
        <v>2687</v>
      </c>
      <c r="P6" s="135" t="s">
        <v>356</v>
      </c>
      <c r="Q6" s="254" t="s">
        <v>2688</v>
      </c>
      <c r="R6" s="70" t="s">
        <v>2689</v>
      </c>
      <c r="S6" s="257" t="s">
        <v>2830</v>
      </c>
      <c r="T6" s="136" t="s">
        <v>2691</v>
      </c>
      <c r="U6" s="137" t="s">
        <v>2690</v>
      </c>
      <c r="V6" s="137" t="s">
        <v>2829</v>
      </c>
      <c r="W6" s="133"/>
      <c r="X6" s="137" t="s">
        <v>2831</v>
      </c>
    </row>
    <row r="7" spans="1:24" s="147" customFormat="1" ht="18.399999999999999" customHeight="1">
      <c r="A7" s="173"/>
      <c r="B7" s="155"/>
      <c r="C7" s="155"/>
      <c r="D7" s="156"/>
      <c r="E7" s="157"/>
      <c r="F7" s="155"/>
      <c r="G7" s="155"/>
      <c r="H7" s="155"/>
      <c r="I7" s="155"/>
      <c r="J7" s="155"/>
      <c r="K7" s="155"/>
      <c r="L7" s="155"/>
      <c r="M7" s="155"/>
      <c r="N7" s="156"/>
      <c r="O7" s="155"/>
      <c r="P7" s="138"/>
      <c r="Q7" s="255" t="str">
        <f t="shared" ref="Q7" si="0">IF(B7="","",DATE(LEFT(B7,3)+1911,MID(B7,4,2),RIGHT(B7,2)))</f>
        <v/>
      </c>
      <c r="R7" s="139" t="str">
        <f t="shared" ref="R7" si="1">IF(C7="","",IFERROR(INDEX(代號1,MATCH($C7,股名1,0)),IFERROR(INDEX(代號2,MATCH($C7,股名2,0)),INDEX(代號3,MATCH($C7,股名3,0)))))</f>
        <v/>
      </c>
      <c r="S7" s="128" t="str">
        <f t="shared" ref="S7:S70" si="2">IF(D7="","",IF(IFERROR(FIND("資",D7)&gt;0,FALSE),"資券",IF(IFERROR(FIND("券",D7)&gt;0,FALSE),"資券","波段")))</f>
        <v/>
      </c>
      <c r="T7" s="140" t="str">
        <f t="shared" ref="T7:T70" si="3">IF(F7="","",F7)</f>
        <v/>
      </c>
      <c r="U7" s="141" t="str">
        <f t="shared" ref="U7:U70" si="4">IF(D7="","",IF(IFERROR(FIND("買",D7)&gt;0,FALSE),E7,IF(IFERROR(FIND("賣",D7)&gt;0,FALSE),-E7,IF(IFERROR(FIND("資",D7)&gt;0,FALSE),E7,-E7))))</f>
        <v/>
      </c>
      <c r="V7" s="141" t="str">
        <f t="shared" ref="V7:V70" si="5">IF(Q7="","",T7*U7*-1)</f>
        <v/>
      </c>
      <c r="W7" s="142"/>
      <c r="X7" s="186" t="str">
        <f t="shared" ref="X7:X70" si="6">IFERROR((-1)*LEFT(N7,FIND("扣",N7)-1),IFERROR(1*LEFT(N7,FIND("入",N7)-1),""))</f>
        <v/>
      </c>
    </row>
    <row r="8" spans="1:24" s="147" customFormat="1" ht="18.600000000000001" customHeight="1">
      <c r="A8" s="174"/>
      <c r="B8" s="326"/>
      <c r="C8" s="326"/>
      <c r="D8" s="326"/>
      <c r="E8" s="327"/>
      <c r="F8" s="326"/>
      <c r="G8" s="326"/>
      <c r="H8" s="326"/>
      <c r="I8" s="326"/>
      <c r="J8" s="326"/>
      <c r="K8" s="326"/>
      <c r="L8" s="326"/>
      <c r="M8" s="326"/>
      <c r="N8" s="326"/>
      <c r="O8" s="326"/>
      <c r="P8" s="138"/>
      <c r="Q8" s="255" t="str">
        <f t="shared" ref="Q8:Q71" si="7">IF(B8="","",DATE(LEFT(B8,3)+1911,MID(B8,4,2),RIGHT(B8,2)))</f>
        <v/>
      </c>
      <c r="R8" s="139" t="str">
        <f t="shared" ref="R8:R71" si="8">IF(C8="","",IFERROR(INDEX(代號1,MATCH($C8,股名1,0)),IFERROR(INDEX(代號2,MATCH($C8,股名2,0)),INDEX(代號3,MATCH($C8,股名3,0)))))</f>
        <v/>
      </c>
      <c r="S8" s="128" t="str">
        <f t="shared" si="2"/>
        <v/>
      </c>
      <c r="T8" s="140" t="str">
        <f t="shared" si="3"/>
        <v/>
      </c>
      <c r="U8" s="141" t="str">
        <f t="shared" si="4"/>
        <v/>
      </c>
      <c r="V8" s="141" t="str">
        <f t="shared" si="5"/>
        <v/>
      </c>
      <c r="W8" s="142"/>
      <c r="X8" s="186" t="str">
        <f t="shared" si="6"/>
        <v/>
      </c>
    </row>
    <row r="9" spans="1:24" s="147" customFormat="1" ht="17.649999999999999" customHeight="1">
      <c r="A9" s="173"/>
      <c r="B9" s="155"/>
      <c r="C9" s="155"/>
      <c r="D9" s="156"/>
      <c r="E9" s="157"/>
      <c r="F9" s="155"/>
      <c r="G9" s="155"/>
      <c r="H9" s="155"/>
      <c r="I9" s="155"/>
      <c r="J9" s="155"/>
      <c r="K9" s="155"/>
      <c r="L9" s="155"/>
      <c r="M9" s="155"/>
      <c r="N9" s="156"/>
      <c r="O9" s="155"/>
      <c r="P9" s="138"/>
      <c r="Q9" s="255" t="str">
        <f t="shared" si="7"/>
        <v/>
      </c>
      <c r="R9" s="139" t="str">
        <f t="shared" si="8"/>
        <v/>
      </c>
      <c r="S9" s="128" t="str">
        <f t="shared" si="2"/>
        <v/>
      </c>
      <c r="T9" s="140" t="str">
        <f t="shared" si="3"/>
        <v/>
      </c>
      <c r="U9" s="141" t="str">
        <f t="shared" si="4"/>
        <v/>
      </c>
      <c r="V9" s="141" t="str">
        <f t="shared" si="5"/>
        <v/>
      </c>
      <c r="W9" s="142"/>
      <c r="X9" s="186" t="str">
        <f t="shared" si="6"/>
        <v/>
      </c>
    </row>
    <row r="10" spans="1:24" s="147" customFormat="1" ht="18.600000000000001" customHeight="1">
      <c r="A10" s="174"/>
      <c r="B10" s="326"/>
      <c r="C10" s="326"/>
      <c r="D10" s="326"/>
      <c r="E10" s="327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138"/>
      <c r="Q10" s="255" t="str">
        <f t="shared" si="7"/>
        <v/>
      </c>
      <c r="R10" s="139" t="str">
        <f t="shared" si="8"/>
        <v/>
      </c>
      <c r="S10" s="128" t="str">
        <f t="shared" si="2"/>
        <v/>
      </c>
      <c r="T10" s="140" t="str">
        <f t="shared" si="3"/>
        <v/>
      </c>
      <c r="U10" s="141" t="str">
        <f t="shared" si="4"/>
        <v/>
      </c>
      <c r="V10" s="141" t="str">
        <f t="shared" si="5"/>
        <v/>
      </c>
      <c r="W10" s="142"/>
      <c r="X10" s="186" t="str">
        <f t="shared" si="6"/>
        <v/>
      </c>
    </row>
    <row r="11" spans="1:24" s="147" customFormat="1" ht="17.649999999999999" customHeight="1">
      <c r="A11" s="173"/>
      <c r="B11" s="155"/>
      <c r="C11" s="155"/>
      <c r="D11" s="158"/>
      <c r="E11" s="157"/>
      <c r="F11" s="155"/>
      <c r="G11" s="155"/>
      <c r="H11" s="155"/>
      <c r="I11" s="155"/>
      <c r="J11" s="155"/>
      <c r="K11" s="155"/>
      <c r="L11" s="155"/>
      <c r="M11" s="155"/>
      <c r="N11" s="158"/>
      <c r="O11" s="155"/>
      <c r="P11" s="138"/>
      <c r="Q11" s="255" t="str">
        <f t="shared" si="7"/>
        <v/>
      </c>
      <c r="R11" s="139" t="str">
        <f t="shared" si="8"/>
        <v/>
      </c>
      <c r="S11" s="128" t="str">
        <f t="shared" si="2"/>
        <v/>
      </c>
      <c r="T11" s="140" t="str">
        <f t="shared" si="3"/>
        <v/>
      </c>
      <c r="U11" s="141" t="str">
        <f t="shared" si="4"/>
        <v/>
      </c>
      <c r="V11" s="141" t="str">
        <f t="shared" si="5"/>
        <v/>
      </c>
      <c r="W11" s="142"/>
      <c r="X11" s="186" t="str">
        <f t="shared" si="6"/>
        <v/>
      </c>
    </row>
    <row r="12" spans="1:24" s="147" customFormat="1" ht="17.649999999999999" customHeight="1">
      <c r="A12" s="173"/>
      <c r="B12" s="155"/>
      <c r="C12" s="155"/>
      <c r="D12" s="158"/>
      <c r="E12" s="157"/>
      <c r="F12" s="155"/>
      <c r="G12" s="155"/>
      <c r="H12" s="155"/>
      <c r="I12" s="155"/>
      <c r="J12" s="155"/>
      <c r="K12" s="155"/>
      <c r="L12" s="155"/>
      <c r="M12" s="155"/>
      <c r="N12" s="158"/>
      <c r="O12" s="155"/>
      <c r="P12" s="138"/>
      <c r="Q12" s="255" t="str">
        <f t="shared" si="7"/>
        <v/>
      </c>
      <c r="R12" s="139" t="str">
        <f t="shared" si="8"/>
        <v/>
      </c>
      <c r="S12" s="128" t="str">
        <f t="shared" si="2"/>
        <v/>
      </c>
      <c r="T12" s="140" t="str">
        <f t="shared" si="3"/>
        <v/>
      </c>
      <c r="U12" s="141" t="str">
        <f t="shared" si="4"/>
        <v/>
      </c>
      <c r="V12" s="141" t="str">
        <f t="shared" si="5"/>
        <v/>
      </c>
      <c r="W12" s="142"/>
      <c r="X12" s="186" t="str">
        <f t="shared" si="6"/>
        <v/>
      </c>
    </row>
    <row r="13" spans="1:24" s="147" customFormat="1" ht="18.600000000000001" customHeight="1">
      <c r="A13" s="173"/>
      <c r="B13" s="155"/>
      <c r="C13" s="155"/>
      <c r="D13" s="158"/>
      <c r="E13" s="157"/>
      <c r="F13" s="155"/>
      <c r="G13" s="155"/>
      <c r="H13" s="155"/>
      <c r="I13" s="155"/>
      <c r="J13" s="155"/>
      <c r="K13" s="155"/>
      <c r="L13" s="155"/>
      <c r="M13" s="155"/>
      <c r="N13" s="158"/>
      <c r="O13" s="155"/>
      <c r="P13" s="138"/>
      <c r="Q13" s="255" t="str">
        <f t="shared" si="7"/>
        <v/>
      </c>
      <c r="R13" s="139" t="str">
        <f t="shared" si="8"/>
        <v/>
      </c>
      <c r="S13" s="128" t="str">
        <f t="shared" si="2"/>
        <v/>
      </c>
      <c r="T13" s="140" t="str">
        <f t="shared" si="3"/>
        <v/>
      </c>
      <c r="U13" s="141" t="str">
        <f t="shared" si="4"/>
        <v/>
      </c>
      <c r="V13" s="141" t="str">
        <f t="shared" si="5"/>
        <v/>
      </c>
      <c r="W13" s="142"/>
      <c r="X13" s="186" t="str">
        <f t="shared" si="6"/>
        <v/>
      </c>
    </row>
    <row r="14" spans="1:24" s="147" customFormat="1" ht="17.649999999999999" customHeight="1">
      <c r="A14" s="173"/>
      <c r="B14" s="155"/>
      <c r="C14" s="155"/>
      <c r="D14" s="158"/>
      <c r="E14" s="157"/>
      <c r="F14" s="155"/>
      <c r="G14" s="157"/>
      <c r="H14" s="157"/>
      <c r="I14" s="155"/>
      <c r="J14" s="155"/>
      <c r="K14" s="155"/>
      <c r="L14" s="155"/>
      <c r="M14" s="155"/>
      <c r="N14" s="158"/>
      <c r="O14" s="155"/>
      <c r="P14" s="138"/>
      <c r="Q14" s="255" t="str">
        <f t="shared" si="7"/>
        <v/>
      </c>
      <c r="R14" s="139" t="str">
        <f t="shared" si="8"/>
        <v/>
      </c>
      <c r="S14" s="128" t="str">
        <f t="shared" si="2"/>
        <v/>
      </c>
      <c r="T14" s="140" t="str">
        <f t="shared" si="3"/>
        <v/>
      </c>
      <c r="U14" s="141" t="str">
        <f t="shared" si="4"/>
        <v/>
      </c>
      <c r="V14" s="141" t="str">
        <f t="shared" si="5"/>
        <v/>
      </c>
      <c r="W14" s="142"/>
      <c r="X14" s="186" t="str">
        <f t="shared" si="6"/>
        <v/>
      </c>
    </row>
    <row r="15" spans="1:24" s="147" customFormat="1" ht="18.600000000000001" customHeight="1">
      <c r="A15" s="173"/>
      <c r="B15" s="155"/>
      <c r="C15" s="155"/>
      <c r="D15" s="156"/>
      <c r="E15" s="157"/>
      <c r="F15" s="155"/>
      <c r="G15" s="155"/>
      <c r="H15" s="155"/>
      <c r="I15" s="155"/>
      <c r="J15" s="155"/>
      <c r="K15" s="155"/>
      <c r="L15" s="155"/>
      <c r="M15" s="155"/>
      <c r="N15" s="156"/>
      <c r="O15" s="155"/>
      <c r="P15" s="138"/>
      <c r="Q15" s="255" t="str">
        <f t="shared" si="7"/>
        <v/>
      </c>
      <c r="R15" s="139" t="str">
        <f t="shared" si="8"/>
        <v/>
      </c>
      <c r="S15" s="128" t="str">
        <f t="shared" si="2"/>
        <v/>
      </c>
      <c r="T15" s="140" t="str">
        <f t="shared" si="3"/>
        <v/>
      </c>
      <c r="U15" s="141" t="str">
        <f t="shared" si="4"/>
        <v/>
      </c>
      <c r="V15" s="141" t="str">
        <f t="shared" si="5"/>
        <v/>
      </c>
      <c r="W15" s="142"/>
      <c r="X15" s="186" t="str">
        <f t="shared" si="6"/>
        <v/>
      </c>
    </row>
    <row r="16" spans="1:24" s="147" customFormat="1" ht="17.45" customHeight="1">
      <c r="A16" s="175"/>
      <c r="B16" s="328"/>
      <c r="C16" s="328"/>
      <c r="D16" s="328"/>
      <c r="E16" s="329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138"/>
      <c r="Q16" s="255" t="str">
        <f t="shared" si="7"/>
        <v/>
      </c>
      <c r="R16" s="139" t="str">
        <f t="shared" si="8"/>
        <v/>
      </c>
      <c r="S16" s="128" t="str">
        <f t="shared" si="2"/>
        <v/>
      </c>
      <c r="T16" s="140" t="str">
        <f t="shared" si="3"/>
        <v/>
      </c>
      <c r="U16" s="141" t="str">
        <f t="shared" si="4"/>
        <v/>
      </c>
      <c r="V16" s="141" t="str">
        <f t="shared" si="5"/>
        <v/>
      </c>
      <c r="W16" s="142"/>
      <c r="X16" s="186" t="str">
        <f t="shared" si="6"/>
        <v/>
      </c>
    </row>
    <row r="17" spans="1:24" s="147" customFormat="1" ht="17.25" customHeight="1">
      <c r="A17" s="173"/>
      <c r="B17" s="155"/>
      <c r="C17" s="155"/>
      <c r="D17" s="156"/>
      <c r="E17" s="157"/>
      <c r="F17" s="155"/>
      <c r="G17" s="157"/>
      <c r="H17" s="157"/>
      <c r="I17" s="155"/>
      <c r="J17" s="155"/>
      <c r="K17" s="155"/>
      <c r="L17" s="155"/>
      <c r="M17" s="155"/>
      <c r="N17" s="156"/>
      <c r="O17" s="155"/>
      <c r="P17" s="138"/>
      <c r="Q17" s="255" t="str">
        <f t="shared" si="7"/>
        <v/>
      </c>
      <c r="R17" s="139" t="str">
        <f t="shared" si="8"/>
        <v/>
      </c>
      <c r="S17" s="128" t="str">
        <f t="shared" si="2"/>
        <v/>
      </c>
      <c r="T17" s="140" t="str">
        <f t="shared" si="3"/>
        <v/>
      </c>
      <c r="U17" s="141" t="str">
        <f t="shared" si="4"/>
        <v/>
      </c>
      <c r="V17" s="141" t="str">
        <f t="shared" si="5"/>
        <v/>
      </c>
      <c r="W17" s="142"/>
      <c r="X17" s="186" t="str">
        <f t="shared" si="6"/>
        <v/>
      </c>
    </row>
    <row r="18" spans="1:24" s="147" customFormat="1" ht="17.649999999999999" customHeight="1">
      <c r="A18" s="175"/>
      <c r="B18" s="328"/>
      <c r="C18" s="328"/>
      <c r="D18" s="328"/>
      <c r="E18" s="329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138"/>
      <c r="Q18" s="255" t="str">
        <f t="shared" si="7"/>
        <v/>
      </c>
      <c r="R18" s="139" t="str">
        <f t="shared" si="8"/>
        <v/>
      </c>
      <c r="S18" s="128" t="str">
        <f t="shared" si="2"/>
        <v/>
      </c>
      <c r="T18" s="140" t="str">
        <f t="shared" si="3"/>
        <v/>
      </c>
      <c r="U18" s="141" t="str">
        <f t="shared" si="4"/>
        <v/>
      </c>
      <c r="V18" s="141" t="str">
        <f t="shared" si="5"/>
        <v/>
      </c>
      <c r="W18" s="142"/>
      <c r="X18" s="186" t="str">
        <f t="shared" si="6"/>
        <v/>
      </c>
    </row>
    <row r="19" spans="1:24" s="147" customFormat="1" ht="18.600000000000001" customHeight="1">
      <c r="A19" s="173"/>
      <c r="B19" s="155"/>
      <c r="C19" s="155"/>
      <c r="D19" s="158"/>
      <c r="E19" s="157"/>
      <c r="F19" s="155"/>
      <c r="G19" s="155"/>
      <c r="H19" s="155"/>
      <c r="I19" s="155"/>
      <c r="J19" s="155"/>
      <c r="K19" s="155"/>
      <c r="L19" s="155"/>
      <c r="M19" s="155"/>
      <c r="N19" s="158"/>
      <c r="O19" s="155"/>
      <c r="P19" s="138"/>
      <c r="Q19" s="255" t="str">
        <f t="shared" si="7"/>
        <v/>
      </c>
      <c r="R19" s="139" t="str">
        <f t="shared" si="8"/>
        <v/>
      </c>
      <c r="S19" s="128" t="str">
        <f t="shared" si="2"/>
        <v/>
      </c>
      <c r="T19" s="140" t="str">
        <f t="shared" si="3"/>
        <v/>
      </c>
      <c r="U19" s="141" t="str">
        <f t="shared" si="4"/>
        <v/>
      </c>
      <c r="V19" s="141" t="str">
        <f t="shared" si="5"/>
        <v/>
      </c>
      <c r="W19" s="142"/>
      <c r="X19" s="186" t="str">
        <f t="shared" si="6"/>
        <v/>
      </c>
    </row>
    <row r="20" spans="1:24" s="147" customFormat="1" ht="17.45" customHeight="1">
      <c r="A20" s="173"/>
      <c r="B20" s="155"/>
      <c r="C20" s="155"/>
      <c r="D20" s="158"/>
      <c r="E20" s="157"/>
      <c r="F20" s="155"/>
      <c r="G20" s="155"/>
      <c r="H20" s="155"/>
      <c r="I20" s="155"/>
      <c r="J20" s="155"/>
      <c r="K20" s="155"/>
      <c r="L20" s="155"/>
      <c r="M20" s="155"/>
      <c r="N20" s="158"/>
      <c r="O20" s="155"/>
      <c r="P20" s="138"/>
      <c r="Q20" s="255" t="str">
        <f t="shared" si="7"/>
        <v/>
      </c>
      <c r="R20" s="139" t="str">
        <f t="shared" si="8"/>
        <v/>
      </c>
      <c r="S20" s="128" t="str">
        <f t="shared" si="2"/>
        <v/>
      </c>
      <c r="T20" s="140" t="str">
        <f t="shared" si="3"/>
        <v/>
      </c>
      <c r="U20" s="141" t="str">
        <f t="shared" si="4"/>
        <v/>
      </c>
      <c r="V20" s="141" t="str">
        <f t="shared" si="5"/>
        <v/>
      </c>
      <c r="W20" s="142"/>
      <c r="X20" s="186" t="str">
        <f t="shared" si="6"/>
        <v/>
      </c>
    </row>
    <row r="21" spans="1:24" s="147" customFormat="1" ht="17.45" customHeight="1">
      <c r="A21" s="173"/>
      <c r="B21" s="155"/>
      <c r="C21" s="155"/>
      <c r="D21" s="158"/>
      <c r="E21" s="157"/>
      <c r="F21" s="155"/>
      <c r="G21" s="155"/>
      <c r="H21" s="155"/>
      <c r="I21" s="155"/>
      <c r="J21" s="155"/>
      <c r="K21" s="155"/>
      <c r="L21" s="155"/>
      <c r="M21" s="155"/>
      <c r="N21" s="158"/>
      <c r="O21" s="155"/>
      <c r="P21" s="138"/>
      <c r="Q21" s="255" t="str">
        <f t="shared" si="7"/>
        <v/>
      </c>
      <c r="R21" s="139" t="str">
        <f t="shared" si="8"/>
        <v/>
      </c>
      <c r="S21" s="128" t="str">
        <f t="shared" si="2"/>
        <v/>
      </c>
      <c r="T21" s="140" t="str">
        <f t="shared" si="3"/>
        <v/>
      </c>
      <c r="U21" s="141" t="str">
        <f t="shared" si="4"/>
        <v/>
      </c>
      <c r="V21" s="141" t="str">
        <f t="shared" si="5"/>
        <v/>
      </c>
      <c r="W21" s="142"/>
      <c r="X21" s="186" t="str">
        <f t="shared" si="6"/>
        <v/>
      </c>
    </row>
    <row r="22" spans="1:24" s="147" customFormat="1" ht="17.649999999999999" customHeight="1">
      <c r="A22" s="173"/>
      <c r="B22" s="155"/>
      <c r="C22" s="155"/>
      <c r="D22" s="155"/>
      <c r="E22" s="157"/>
      <c r="F22" s="155"/>
      <c r="G22" s="155"/>
      <c r="H22" s="157"/>
      <c r="I22" s="155"/>
      <c r="J22" s="155"/>
      <c r="K22" s="155"/>
      <c r="L22" s="155"/>
      <c r="M22" s="155"/>
      <c r="N22" s="158"/>
      <c r="O22" s="155"/>
      <c r="P22" s="138"/>
      <c r="Q22" s="255" t="str">
        <f t="shared" si="7"/>
        <v/>
      </c>
      <c r="R22" s="139" t="str">
        <f t="shared" si="8"/>
        <v/>
      </c>
      <c r="S22" s="128" t="str">
        <f t="shared" si="2"/>
        <v/>
      </c>
      <c r="T22" s="140" t="str">
        <f t="shared" si="3"/>
        <v/>
      </c>
      <c r="U22" s="141" t="str">
        <f t="shared" si="4"/>
        <v/>
      </c>
      <c r="V22" s="141" t="str">
        <f t="shared" si="5"/>
        <v/>
      </c>
      <c r="W22" s="142"/>
      <c r="X22" s="186" t="str">
        <f t="shared" si="6"/>
        <v/>
      </c>
    </row>
    <row r="23" spans="1:24" s="147" customFormat="1" ht="17.45" customHeight="1">
      <c r="A23" s="175"/>
      <c r="B23" s="328"/>
      <c r="C23" s="328"/>
      <c r="D23" s="328"/>
      <c r="E23" s="329"/>
      <c r="F23" s="328"/>
      <c r="G23" s="328"/>
      <c r="H23" s="329"/>
      <c r="I23" s="328"/>
      <c r="J23" s="328"/>
      <c r="K23" s="328"/>
      <c r="L23" s="328"/>
      <c r="M23" s="328"/>
      <c r="N23" s="328"/>
      <c r="O23" s="328"/>
      <c r="P23" s="138"/>
      <c r="Q23" s="255" t="str">
        <f t="shared" si="7"/>
        <v/>
      </c>
      <c r="R23" s="139" t="str">
        <f t="shared" si="8"/>
        <v/>
      </c>
      <c r="S23" s="128" t="str">
        <f t="shared" si="2"/>
        <v/>
      </c>
      <c r="T23" s="140" t="str">
        <f t="shared" si="3"/>
        <v/>
      </c>
      <c r="U23" s="141" t="str">
        <f t="shared" si="4"/>
        <v/>
      </c>
      <c r="V23" s="141" t="str">
        <f t="shared" si="5"/>
        <v/>
      </c>
      <c r="W23" s="142"/>
      <c r="X23" s="186" t="str">
        <f t="shared" si="6"/>
        <v/>
      </c>
    </row>
    <row r="24" spans="1:24" s="147" customFormat="1" ht="17.25" customHeight="1">
      <c r="A24" s="173"/>
      <c r="B24" s="155"/>
      <c r="C24" s="155"/>
      <c r="D24" s="155"/>
      <c r="E24" s="157"/>
      <c r="F24" s="155"/>
      <c r="G24" s="155"/>
      <c r="H24" s="155"/>
      <c r="I24" s="155"/>
      <c r="J24" s="155"/>
      <c r="K24" s="155"/>
      <c r="L24" s="155"/>
      <c r="M24" s="155"/>
      <c r="N24" s="156"/>
      <c r="O24" s="155"/>
      <c r="P24" s="138"/>
      <c r="Q24" s="255" t="str">
        <f t="shared" si="7"/>
        <v/>
      </c>
      <c r="R24" s="139" t="str">
        <f t="shared" si="8"/>
        <v/>
      </c>
      <c r="S24" s="128" t="str">
        <f t="shared" si="2"/>
        <v/>
      </c>
      <c r="T24" s="140" t="str">
        <f t="shared" si="3"/>
        <v/>
      </c>
      <c r="U24" s="141" t="str">
        <f t="shared" si="4"/>
        <v/>
      </c>
      <c r="V24" s="141" t="str">
        <f t="shared" si="5"/>
        <v/>
      </c>
      <c r="W24" s="142"/>
      <c r="X24" s="186" t="str">
        <f t="shared" si="6"/>
        <v/>
      </c>
    </row>
    <row r="25" spans="1:24" s="147" customFormat="1" ht="17.45" customHeight="1">
      <c r="A25" s="173"/>
      <c r="B25" s="155"/>
      <c r="C25" s="155"/>
      <c r="D25" s="155"/>
      <c r="E25" s="157"/>
      <c r="F25" s="155"/>
      <c r="G25" s="155"/>
      <c r="H25" s="155"/>
      <c r="I25" s="155"/>
      <c r="J25" s="155"/>
      <c r="K25" s="155"/>
      <c r="L25" s="155"/>
      <c r="M25" s="155"/>
      <c r="N25" s="158"/>
      <c r="O25" s="155"/>
      <c r="P25" s="138"/>
      <c r="Q25" s="255" t="str">
        <f t="shared" si="7"/>
        <v/>
      </c>
      <c r="R25" s="139" t="str">
        <f t="shared" si="8"/>
        <v/>
      </c>
      <c r="S25" s="128" t="str">
        <f t="shared" si="2"/>
        <v/>
      </c>
      <c r="T25" s="140" t="str">
        <f t="shared" si="3"/>
        <v/>
      </c>
      <c r="U25" s="141" t="str">
        <f t="shared" si="4"/>
        <v/>
      </c>
      <c r="V25" s="141" t="str">
        <f t="shared" si="5"/>
        <v/>
      </c>
      <c r="W25" s="142"/>
      <c r="X25" s="186" t="str">
        <f t="shared" si="6"/>
        <v/>
      </c>
    </row>
    <row r="26" spans="1:24" s="147" customFormat="1" ht="17.25" customHeight="1">
      <c r="A26" s="175"/>
      <c r="B26" s="328"/>
      <c r="C26" s="328"/>
      <c r="D26" s="328"/>
      <c r="E26" s="329"/>
      <c r="F26" s="328"/>
      <c r="G26" s="329"/>
      <c r="H26" s="329"/>
      <c r="I26" s="328"/>
      <c r="J26" s="328"/>
      <c r="K26" s="328"/>
      <c r="L26" s="328"/>
      <c r="M26" s="328"/>
      <c r="N26" s="328"/>
      <c r="O26" s="328"/>
      <c r="P26" s="138"/>
      <c r="Q26" s="255" t="str">
        <f t="shared" si="7"/>
        <v/>
      </c>
      <c r="R26" s="139" t="str">
        <f t="shared" si="8"/>
        <v/>
      </c>
      <c r="S26" s="128" t="str">
        <f t="shared" si="2"/>
        <v/>
      </c>
      <c r="T26" s="140" t="str">
        <f t="shared" si="3"/>
        <v/>
      </c>
      <c r="U26" s="141" t="str">
        <f t="shared" si="4"/>
        <v/>
      </c>
      <c r="V26" s="141" t="str">
        <f t="shared" si="5"/>
        <v/>
      </c>
      <c r="W26" s="142"/>
      <c r="X26" s="186" t="str">
        <f t="shared" si="6"/>
        <v/>
      </c>
    </row>
    <row r="27" spans="1:24" s="147" customFormat="1" ht="17.45" customHeight="1">
      <c r="A27" s="173"/>
      <c r="B27" s="155"/>
      <c r="C27" s="155"/>
      <c r="D27" s="155"/>
      <c r="E27" s="157"/>
      <c r="F27" s="155"/>
      <c r="G27" s="155"/>
      <c r="H27" s="155"/>
      <c r="I27" s="155"/>
      <c r="J27" s="155"/>
      <c r="K27" s="155"/>
      <c r="L27" s="155"/>
      <c r="M27" s="155"/>
      <c r="N27" s="156"/>
      <c r="O27" s="155"/>
      <c r="P27" s="138"/>
      <c r="Q27" s="255" t="str">
        <f t="shared" si="7"/>
        <v/>
      </c>
      <c r="R27" s="139" t="str">
        <f t="shared" si="8"/>
        <v/>
      </c>
      <c r="S27" s="128" t="str">
        <f t="shared" si="2"/>
        <v/>
      </c>
      <c r="T27" s="140" t="str">
        <f t="shared" si="3"/>
        <v/>
      </c>
      <c r="U27" s="141" t="str">
        <f t="shared" si="4"/>
        <v/>
      </c>
      <c r="V27" s="141" t="str">
        <f t="shared" si="5"/>
        <v/>
      </c>
      <c r="W27" s="142"/>
      <c r="X27" s="186" t="str">
        <f t="shared" si="6"/>
        <v/>
      </c>
    </row>
    <row r="28" spans="1:24" s="147" customFormat="1" ht="17.25" customHeight="1">
      <c r="A28" s="173"/>
      <c r="B28" s="155"/>
      <c r="C28" s="155"/>
      <c r="D28" s="156"/>
      <c r="E28" s="157"/>
      <c r="F28" s="155"/>
      <c r="G28" s="155"/>
      <c r="H28" s="157"/>
      <c r="I28" s="155"/>
      <c r="J28" s="155"/>
      <c r="K28" s="155"/>
      <c r="L28" s="155"/>
      <c r="M28" s="155"/>
      <c r="N28" s="156"/>
      <c r="O28" s="155"/>
      <c r="P28" s="138"/>
      <c r="Q28" s="255" t="str">
        <f t="shared" si="7"/>
        <v/>
      </c>
      <c r="R28" s="139" t="str">
        <f t="shared" si="8"/>
        <v/>
      </c>
      <c r="S28" s="128" t="str">
        <f t="shared" si="2"/>
        <v/>
      </c>
      <c r="T28" s="140" t="str">
        <f t="shared" si="3"/>
        <v/>
      </c>
      <c r="U28" s="141" t="str">
        <f t="shared" si="4"/>
        <v/>
      </c>
      <c r="V28" s="141" t="str">
        <f t="shared" si="5"/>
        <v/>
      </c>
      <c r="W28" s="142"/>
      <c r="X28" s="186" t="str">
        <f t="shared" si="6"/>
        <v/>
      </c>
    </row>
    <row r="29" spans="1:24" s="147" customFormat="1" ht="17.45" customHeight="1">
      <c r="A29" s="174"/>
      <c r="B29" s="326"/>
      <c r="C29" s="326"/>
      <c r="D29" s="326"/>
      <c r="E29" s="327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138"/>
      <c r="Q29" s="255" t="str">
        <f t="shared" si="7"/>
        <v/>
      </c>
      <c r="R29" s="139" t="str">
        <f t="shared" si="8"/>
        <v/>
      </c>
      <c r="S29" s="128" t="str">
        <f t="shared" si="2"/>
        <v/>
      </c>
      <c r="T29" s="140" t="str">
        <f t="shared" si="3"/>
        <v/>
      </c>
      <c r="U29" s="141" t="str">
        <f t="shared" si="4"/>
        <v/>
      </c>
      <c r="V29" s="141" t="str">
        <f t="shared" si="5"/>
        <v/>
      </c>
      <c r="W29" s="142"/>
      <c r="X29" s="186" t="str">
        <f t="shared" si="6"/>
        <v/>
      </c>
    </row>
    <row r="30" spans="1:24" s="147" customFormat="1" ht="17.649999999999999" customHeight="1">
      <c r="A30" s="173"/>
      <c r="B30" s="155"/>
      <c r="C30" s="155"/>
      <c r="D30" s="156"/>
      <c r="E30" s="157"/>
      <c r="F30" s="155"/>
      <c r="G30" s="155"/>
      <c r="H30" s="155"/>
      <c r="I30" s="155"/>
      <c r="J30" s="155"/>
      <c r="K30" s="155"/>
      <c r="L30" s="155"/>
      <c r="M30" s="155"/>
      <c r="N30" s="156"/>
      <c r="O30" s="155"/>
      <c r="P30" s="138"/>
      <c r="Q30" s="255" t="str">
        <f t="shared" si="7"/>
        <v/>
      </c>
      <c r="R30" s="139" t="str">
        <f t="shared" si="8"/>
        <v/>
      </c>
      <c r="S30" s="128" t="str">
        <f t="shared" si="2"/>
        <v/>
      </c>
      <c r="T30" s="140" t="str">
        <f t="shared" si="3"/>
        <v/>
      </c>
      <c r="U30" s="141" t="str">
        <f t="shared" si="4"/>
        <v/>
      </c>
      <c r="V30" s="141" t="str">
        <f t="shared" si="5"/>
        <v/>
      </c>
      <c r="W30" s="142"/>
      <c r="X30" s="186" t="str">
        <f t="shared" si="6"/>
        <v/>
      </c>
    </row>
    <row r="31" spans="1:24" s="147" customFormat="1" ht="17.45" customHeight="1">
      <c r="A31" s="174"/>
      <c r="B31" s="326"/>
      <c r="C31" s="326"/>
      <c r="D31" s="326"/>
      <c r="E31" s="327"/>
      <c r="F31" s="326"/>
      <c r="G31" s="326"/>
      <c r="H31" s="326"/>
      <c r="I31" s="326"/>
      <c r="J31" s="326"/>
      <c r="K31" s="326"/>
      <c r="L31" s="326"/>
      <c r="M31" s="326"/>
      <c r="N31" s="326"/>
      <c r="O31" s="326"/>
      <c r="P31" s="138"/>
      <c r="Q31" s="255" t="str">
        <f t="shared" si="7"/>
        <v/>
      </c>
      <c r="R31" s="139" t="str">
        <f t="shared" si="8"/>
        <v/>
      </c>
      <c r="S31" s="128" t="str">
        <f t="shared" si="2"/>
        <v/>
      </c>
      <c r="T31" s="140" t="str">
        <f t="shared" si="3"/>
        <v/>
      </c>
      <c r="U31" s="141" t="str">
        <f t="shared" si="4"/>
        <v/>
      </c>
      <c r="V31" s="141" t="str">
        <f t="shared" si="5"/>
        <v/>
      </c>
      <c r="W31" s="142"/>
      <c r="X31" s="186" t="str">
        <f t="shared" si="6"/>
        <v/>
      </c>
    </row>
    <row r="32" spans="1:24" s="147" customFormat="1" ht="17.649999999999999" customHeight="1">
      <c r="A32" s="173"/>
      <c r="B32" s="155"/>
      <c r="C32" s="155"/>
      <c r="D32" s="156"/>
      <c r="E32" s="157"/>
      <c r="F32" s="155"/>
      <c r="G32" s="155"/>
      <c r="H32" s="155"/>
      <c r="I32" s="155"/>
      <c r="J32" s="155"/>
      <c r="K32" s="155"/>
      <c r="L32" s="155"/>
      <c r="M32" s="155"/>
      <c r="N32" s="156"/>
      <c r="O32" s="155"/>
      <c r="P32" s="138"/>
      <c r="Q32" s="255" t="str">
        <f t="shared" si="7"/>
        <v/>
      </c>
      <c r="R32" s="139" t="str">
        <f t="shared" si="8"/>
        <v/>
      </c>
      <c r="S32" s="128" t="str">
        <f t="shared" si="2"/>
        <v/>
      </c>
      <c r="T32" s="140" t="str">
        <f t="shared" si="3"/>
        <v/>
      </c>
      <c r="U32" s="141" t="str">
        <f t="shared" si="4"/>
        <v/>
      </c>
      <c r="V32" s="141" t="str">
        <f t="shared" si="5"/>
        <v/>
      </c>
      <c r="W32" s="142"/>
      <c r="X32" s="186" t="str">
        <f t="shared" si="6"/>
        <v/>
      </c>
    </row>
    <row r="33" spans="1:24" s="147" customFormat="1" ht="17.45" customHeight="1">
      <c r="A33" s="174"/>
      <c r="B33" s="326"/>
      <c r="C33" s="326"/>
      <c r="D33" s="326"/>
      <c r="E33" s="327"/>
      <c r="F33" s="326"/>
      <c r="G33" s="326"/>
      <c r="H33" s="326"/>
      <c r="I33" s="326"/>
      <c r="J33" s="326"/>
      <c r="K33" s="326"/>
      <c r="L33" s="326"/>
      <c r="M33" s="326"/>
      <c r="N33" s="326"/>
      <c r="O33" s="326"/>
      <c r="P33" s="138"/>
      <c r="Q33" s="255" t="str">
        <f t="shared" si="7"/>
        <v/>
      </c>
      <c r="R33" s="139" t="str">
        <f t="shared" si="8"/>
        <v/>
      </c>
      <c r="S33" s="128" t="str">
        <f t="shared" si="2"/>
        <v/>
      </c>
      <c r="T33" s="140" t="str">
        <f t="shared" si="3"/>
        <v/>
      </c>
      <c r="U33" s="141" t="str">
        <f t="shared" si="4"/>
        <v/>
      </c>
      <c r="V33" s="141" t="str">
        <f t="shared" si="5"/>
        <v/>
      </c>
      <c r="W33" s="142"/>
      <c r="X33" s="186" t="str">
        <f t="shared" si="6"/>
        <v/>
      </c>
    </row>
    <row r="34" spans="1:24" s="147" customFormat="1" ht="17.649999999999999" customHeight="1">
      <c r="A34" s="173"/>
      <c r="B34" s="155"/>
      <c r="C34" s="155"/>
      <c r="D34" s="156"/>
      <c r="E34" s="157"/>
      <c r="F34" s="155"/>
      <c r="G34" s="155"/>
      <c r="H34" s="155"/>
      <c r="I34" s="155"/>
      <c r="J34" s="155"/>
      <c r="K34" s="155"/>
      <c r="L34" s="155"/>
      <c r="M34" s="155"/>
      <c r="N34" s="156"/>
      <c r="O34" s="155"/>
      <c r="P34" s="138"/>
      <c r="Q34" s="255" t="str">
        <f t="shared" si="7"/>
        <v/>
      </c>
      <c r="R34" s="139" t="str">
        <f t="shared" si="8"/>
        <v/>
      </c>
      <c r="S34" s="128" t="str">
        <f t="shared" si="2"/>
        <v/>
      </c>
      <c r="T34" s="140" t="str">
        <f t="shared" si="3"/>
        <v/>
      </c>
      <c r="U34" s="141" t="str">
        <f t="shared" si="4"/>
        <v/>
      </c>
      <c r="V34" s="141" t="str">
        <f t="shared" si="5"/>
        <v/>
      </c>
      <c r="W34" s="142"/>
      <c r="X34" s="186" t="str">
        <f t="shared" si="6"/>
        <v/>
      </c>
    </row>
    <row r="35" spans="1:24" s="147" customFormat="1" ht="17.45" customHeight="1">
      <c r="A35" s="174"/>
      <c r="B35" s="326"/>
      <c r="C35" s="326"/>
      <c r="D35" s="326"/>
      <c r="E35" s="327"/>
      <c r="F35" s="326"/>
      <c r="G35" s="326"/>
      <c r="H35" s="327"/>
      <c r="I35" s="326"/>
      <c r="J35" s="326"/>
      <c r="K35" s="326"/>
      <c r="L35" s="326"/>
      <c r="M35" s="326"/>
      <c r="N35" s="326"/>
      <c r="O35" s="326"/>
      <c r="P35" s="138"/>
      <c r="Q35" s="255" t="str">
        <f t="shared" si="7"/>
        <v/>
      </c>
      <c r="R35" s="139" t="str">
        <f t="shared" si="8"/>
        <v/>
      </c>
      <c r="S35" s="128" t="str">
        <f t="shared" si="2"/>
        <v/>
      </c>
      <c r="T35" s="140" t="str">
        <f t="shared" si="3"/>
        <v/>
      </c>
      <c r="U35" s="141" t="str">
        <f t="shared" si="4"/>
        <v/>
      </c>
      <c r="V35" s="141" t="str">
        <f t="shared" si="5"/>
        <v/>
      </c>
      <c r="W35" s="142"/>
      <c r="X35" s="186" t="str">
        <f t="shared" si="6"/>
        <v/>
      </c>
    </row>
    <row r="36" spans="1:24" s="147" customFormat="1" ht="17.649999999999999" customHeight="1">
      <c r="A36" s="173"/>
      <c r="B36" s="155"/>
      <c r="C36" s="155"/>
      <c r="D36" s="156"/>
      <c r="E36" s="157"/>
      <c r="F36" s="155"/>
      <c r="G36" s="155"/>
      <c r="H36" s="155"/>
      <c r="I36" s="155"/>
      <c r="J36" s="155"/>
      <c r="K36" s="155"/>
      <c r="L36" s="155"/>
      <c r="M36" s="155"/>
      <c r="N36" s="156"/>
      <c r="O36" s="155"/>
      <c r="P36" s="138"/>
      <c r="Q36" s="255" t="str">
        <f t="shared" si="7"/>
        <v/>
      </c>
      <c r="R36" s="139" t="str">
        <f t="shared" si="8"/>
        <v/>
      </c>
      <c r="S36" s="128" t="str">
        <f t="shared" si="2"/>
        <v/>
      </c>
      <c r="T36" s="140" t="str">
        <f t="shared" si="3"/>
        <v/>
      </c>
      <c r="U36" s="141" t="str">
        <f t="shared" si="4"/>
        <v/>
      </c>
      <c r="V36" s="141" t="str">
        <f t="shared" si="5"/>
        <v/>
      </c>
      <c r="W36" s="142"/>
      <c r="X36" s="186" t="str">
        <f t="shared" si="6"/>
        <v/>
      </c>
    </row>
    <row r="37" spans="1:24" s="147" customFormat="1" ht="17.45" customHeight="1">
      <c r="A37" s="174"/>
      <c r="B37" s="326"/>
      <c r="C37" s="326"/>
      <c r="D37" s="326"/>
      <c r="E37" s="327"/>
      <c r="F37" s="326"/>
      <c r="G37" s="326"/>
      <c r="H37" s="326"/>
      <c r="I37" s="326"/>
      <c r="J37" s="326"/>
      <c r="K37" s="326"/>
      <c r="L37" s="326"/>
      <c r="M37" s="326"/>
      <c r="N37" s="326"/>
      <c r="O37" s="326"/>
      <c r="P37" s="138"/>
      <c r="Q37" s="255" t="str">
        <f t="shared" si="7"/>
        <v/>
      </c>
      <c r="R37" s="139" t="str">
        <f t="shared" si="8"/>
        <v/>
      </c>
      <c r="S37" s="128" t="str">
        <f t="shared" si="2"/>
        <v/>
      </c>
      <c r="T37" s="140" t="str">
        <f t="shared" si="3"/>
        <v/>
      </c>
      <c r="U37" s="141" t="str">
        <f t="shared" si="4"/>
        <v/>
      </c>
      <c r="V37" s="141" t="str">
        <f t="shared" si="5"/>
        <v/>
      </c>
      <c r="W37" s="142"/>
      <c r="X37" s="186" t="str">
        <f t="shared" si="6"/>
        <v/>
      </c>
    </row>
    <row r="38" spans="1:24" s="147" customFormat="1" ht="17.649999999999999" customHeight="1">
      <c r="A38" s="173"/>
      <c r="B38" s="155"/>
      <c r="C38" s="155"/>
      <c r="D38" s="156"/>
      <c r="E38" s="157"/>
      <c r="F38" s="155"/>
      <c r="G38" s="155"/>
      <c r="H38" s="155"/>
      <c r="I38" s="155"/>
      <c r="J38" s="155"/>
      <c r="K38" s="155"/>
      <c r="L38" s="155"/>
      <c r="M38" s="155"/>
      <c r="N38" s="156"/>
      <c r="O38" s="155"/>
      <c r="P38" s="138"/>
      <c r="Q38" s="255" t="str">
        <f t="shared" si="7"/>
        <v/>
      </c>
      <c r="R38" s="139" t="str">
        <f t="shared" si="8"/>
        <v/>
      </c>
      <c r="S38" s="128" t="str">
        <f t="shared" si="2"/>
        <v/>
      </c>
      <c r="T38" s="140" t="str">
        <f t="shared" si="3"/>
        <v/>
      </c>
      <c r="U38" s="141" t="str">
        <f t="shared" si="4"/>
        <v/>
      </c>
      <c r="V38" s="141" t="str">
        <f t="shared" si="5"/>
        <v/>
      </c>
      <c r="W38" s="142"/>
      <c r="X38" s="186" t="str">
        <f t="shared" si="6"/>
        <v/>
      </c>
    </row>
    <row r="39" spans="1:24" s="147" customFormat="1" ht="17.45" customHeight="1">
      <c r="A39" s="174"/>
      <c r="B39" s="326"/>
      <c r="C39" s="326"/>
      <c r="D39" s="326"/>
      <c r="E39" s="327"/>
      <c r="F39" s="326"/>
      <c r="G39" s="326"/>
      <c r="H39" s="326"/>
      <c r="I39" s="326"/>
      <c r="J39" s="326"/>
      <c r="K39" s="326"/>
      <c r="L39" s="326"/>
      <c r="M39" s="326"/>
      <c r="N39" s="326"/>
      <c r="O39" s="326"/>
      <c r="P39" s="138"/>
      <c r="Q39" s="255" t="str">
        <f t="shared" si="7"/>
        <v/>
      </c>
      <c r="R39" s="139" t="str">
        <f t="shared" si="8"/>
        <v/>
      </c>
      <c r="S39" s="128" t="str">
        <f t="shared" si="2"/>
        <v/>
      </c>
      <c r="T39" s="140" t="str">
        <f t="shared" si="3"/>
        <v/>
      </c>
      <c r="U39" s="141" t="str">
        <f t="shared" si="4"/>
        <v/>
      </c>
      <c r="V39" s="141" t="str">
        <f t="shared" si="5"/>
        <v/>
      </c>
      <c r="W39" s="142"/>
      <c r="X39" s="186" t="str">
        <f t="shared" si="6"/>
        <v/>
      </c>
    </row>
    <row r="40" spans="1:24" s="147" customFormat="1" ht="17.649999999999999" customHeight="1">
      <c r="A40" s="173"/>
      <c r="B40" s="155"/>
      <c r="C40" s="155"/>
      <c r="D40" s="156"/>
      <c r="E40" s="157"/>
      <c r="F40" s="155"/>
      <c r="G40" s="155"/>
      <c r="H40" s="155"/>
      <c r="I40" s="155"/>
      <c r="J40" s="155"/>
      <c r="K40" s="155"/>
      <c r="L40" s="155"/>
      <c r="M40" s="155"/>
      <c r="N40" s="156"/>
      <c r="O40" s="155"/>
      <c r="P40" s="138"/>
      <c r="Q40" s="255" t="str">
        <f t="shared" si="7"/>
        <v/>
      </c>
      <c r="R40" s="139" t="str">
        <f t="shared" si="8"/>
        <v/>
      </c>
      <c r="S40" s="128" t="str">
        <f t="shared" si="2"/>
        <v/>
      </c>
      <c r="T40" s="140" t="str">
        <f t="shared" si="3"/>
        <v/>
      </c>
      <c r="U40" s="141" t="str">
        <f t="shared" si="4"/>
        <v/>
      </c>
      <c r="V40" s="141" t="str">
        <f t="shared" si="5"/>
        <v/>
      </c>
      <c r="W40" s="142"/>
      <c r="X40" s="186" t="str">
        <f t="shared" si="6"/>
        <v/>
      </c>
    </row>
    <row r="41" spans="1:24" s="147" customFormat="1" ht="17.45" customHeight="1">
      <c r="A41" s="174"/>
      <c r="B41" s="326"/>
      <c r="C41" s="326"/>
      <c r="D41" s="326"/>
      <c r="E41" s="327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138"/>
      <c r="Q41" s="255" t="str">
        <f t="shared" si="7"/>
        <v/>
      </c>
      <c r="R41" s="139" t="str">
        <f t="shared" si="8"/>
        <v/>
      </c>
      <c r="S41" s="128" t="str">
        <f t="shared" si="2"/>
        <v/>
      </c>
      <c r="T41" s="140" t="str">
        <f t="shared" si="3"/>
        <v/>
      </c>
      <c r="U41" s="141" t="str">
        <f t="shared" si="4"/>
        <v/>
      </c>
      <c r="V41" s="141" t="str">
        <f t="shared" si="5"/>
        <v/>
      </c>
      <c r="W41" s="142"/>
      <c r="X41" s="186" t="str">
        <f t="shared" si="6"/>
        <v/>
      </c>
    </row>
    <row r="42" spans="1:24" s="147" customFormat="1" ht="17.25" customHeight="1">
      <c r="A42" s="173"/>
      <c r="B42" s="155"/>
      <c r="C42" s="155"/>
      <c r="D42" s="156"/>
      <c r="E42" s="157"/>
      <c r="F42" s="155"/>
      <c r="G42" s="155"/>
      <c r="H42" s="155"/>
      <c r="I42" s="155"/>
      <c r="J42" s="155"/>
      <c r="K42" s="155"/>
      <c r="L42" s="155"/>
      <c r="M42" s="155"/>
      <c r="N42" s="156"/>
      <c r="O42" s="155"/>
      <c r="P42" s="138"/>
      <c r="Q42" s="255" t="str">
        <f t="shared" si="7"/>
        <v/>
      </c>
      <c r="R42" s="139" t="str">
        <f t="shared" si="8"/>
        <v/>
      </c>
      <c r="S42" s="128" t="str">
        <f t="shared" si="2"/>
        <v/>
      </c>
      <c r="T42" s="140" t="str">
        <f t="shared" si="3"/>
        <v/>
      </c>
      <c r="U42" s="141" t="str">
        <f t="shared" si="4"/>
        <v/>
      </c>
      <c r="V42" s="141" t="str">
        <f t="shared" si="5"/>
        <v/>
      </c>
      <c r="W42" s="142"/>
      <c r="X42" s="186" t="str">
        <f t="shared" si="6"/>
        <v/>
      </c>
    </row>
    <row r="43" spans="1:24" s="147" customFormat="1">
      <c r="A43" s="174"/>
      <c r="B43" s="326"/>
      <c r="C43" s="326"/>
      <c r="D43" s="326"/>
      <c r="E43" s="327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138"/>
      <c r="Q43" s="255" t="str">
        <f t="shared" si="7"/>
        <v/>
      </c>
      <c r="R43" s="139" t="str">
        <f t="shared" si="8"/>
        <v/>
      </c>
      <c r="S43" s="128" t="str">
        <f t="shared" si="2"/>
        <v/>
      </c>
      <c r="T43" s="140" t="str">
        <f t="shared" si="3"/>
        <v/>
      </c>
      <c r="U43" s="141" t="str">
        <f t="shared" si="4"/>
        <v/>
      </c>
      <c r="V43" s="141" t="str">
        <f t="shared" si="5"/>
        <v/>
      </c>
      <c r="W43" s="142"/>
      <c r="X43" s="186" t="str">
        <f t="shared" si="6"/>
        <v/>
      </c>
    </row>
    <row r="44" spans="1:24" s="147" customFormat="1" ht="17.25" customHeight="1">
      <c r="A44" s="173"/>
      <c r="B44" s="155"/>
      <c r="C44" s="155"/>
      <c r="D44" s="156"/>
      <c r="E44" s="157"/>
      <c r="F44" s="155"/>
      <c r="G44" s="155"/>
      <c r="H44" s="157"/>
      <c r="I44" s="155"/>
      <c r="J44" s="155"/>
      <c r="K44" s="155"/>
      <c r="L44" s="155"/>
      <c r="M44" s="155"/>
      <c r="N44" s="156"/>
      <c r="O44" s="155"/>
      <c r="P44" s="138"/>
      <c r="Q44" s="255" t="str">
        <f t="shared" si="7"/>
        <v/>
      </c>
      <c r="R44" s="139" t="str">
        <f t="shared" si="8"/>
        <v/>
      </c>
      <c r="S44" s="128" t="str">
        <f t="shared" si="2"/>
        <v/>
      </c>
      <c r="T44" s="140" t="str">
        <f t="shared" si="3"/>
        <v/>
      </c>
      <c r="U44" s="141" t="str">
        <f t="shared" si="4"/>
        <v/>
      </c>
      <c r="V44" s="141" t="str">
        <f t="shared" si="5"/>
        <v/>
      </c>
      <c r="W44" s="142"/>
      <c r="X44" s="186" t="str">
        <f t="shared" si="6"/>
        <v/>
      </c>
    </row>
    <row r="45" spans="1:24" s="147" customFormat="1" ht="17.25" customHeight="1">
      <c r="A45" s="174"/>
      <c r="B45" s="326"/>
      <c r="C45" s="326"/>
      <c r="D45" s="326"/>
      <c r="E45" s="327"/>
      <c r="F45" s="326"/>
      <c r="G45" s="326"/>
      <c r="H45" s="326"/>
      <c r="I45" s="326"/>
      <c r="J45" s="326"/>
      <c r="K45" s="326"/>
      <c r="L45" s="326"/>
      <c r="M45" s="326"/>
      <c r="N45" s="326"/>
      <c r="O45" s="326"/>
      <c r="P45" s="138"/>
      <c r="Q45" s="255" t="str">
        <f t="shared" si="7"/>
        <v/>
      </c>
      <c r="R45" s="139" t="str">
        <f t="shared" si="8"/>
        <v/>
      </c>
      <c r="S45" s="128" t="str">
        <f t="shared" si="2"/>
        <v/>
      </c>
      <c r="T45" s="140" t="str">
        <f t="shared" si="3"/>
        <v/>
      </c>
      <c r="U45" s="141" t="str">
        <f t="shared" si="4"/>
        <v/>
      </c>
      <c r="V45" s="141" t="str">
        <f t="shared" si="5"/>
        <v/>
      </c>
      <c r="W45" s="142"/>
      <c r="X45" s="186" t="str">
        <f t="shared" si="6"/>
        <v/>
      </c>
    </row>
    <row r="46" spans="1:24" s="147" customFormat="1" ht="17.25" customHeight="1">
      <c r="A46" s="173"/>
      <c r="B46" s="155"/>
      <c r="C46" s="155"/>
      <c r="D46" s="158"/>
      <c r="E46" s="157"/>
      <c r="F46" s="155"/>
      <c r="G46" s="155"/>
      <c r="H46" s="155"/>
      <c r="I46" s="155"/>
      <c r="J46" s="155"/>
      <c r="K46" s="155"/>
      <c r="L46" s="155"/>
      <c r="M46" s="155"/>
      <c r="N46" s="158"/>
      <c r="O46" s="155"/>
      <c r="P46" s="138"/>
      <c r="Q46" s="255" t="str">
        <f t="shared" si="7"/>
        <v/>
      </c>
      <c r="R46" s="139" t="str">
        <f t="shared" si="8"/>
        <v/>
      </c>
      <c r="S46" s="128" t="str">
        <f t="shared" si="2"/>
        <v/>
      </c>
      <c r="T46" s="140" t="str">
        <f t="shared" si="3"/>
        <v/>
      </c>
      <c r="U46" s="141" t="str">
        <f t="shared" si="4"/>
        <v/>
      </c>
      <c r="V46" s="141" t="str">
        <f t="shared" si="5"/>
        <v/>
      </c>
      <c r="W46" s="142"/>
      <c r="X46" s="186" t="str">
        <f t="shared" si="6"/>
        <v/>
      </c>
    </row>
    <row r="47" spans="1:24" s="147" customFormat="1" ht="17.25" customHeight="1">
      <c r="A47" s="173"/>
      <c r="B47" s="155"/>
      <c r="C47" s="155"/>
      <c r="D47" s="158"/>
      <c r="E47" s="157"/>
      <c r="F47" s="155"/>
      <c r="G47" s="155"/>
      <c r="H47" s="155"/>
      <c r="I47" s="155"/>
      <c r="J47" s="155"/>
      <c r="K47" s="155"/>
      <c r="L47" s="155"/>
      <c r="M47" s="155"/>
      <c r="N47" s="158"/>
      <c r="O47" s="155"/>
      <c r="P47" s="138"/>
      <c r="Q47" s="255" t="str">
        <f t="shared" si="7"/>
        <v/>
      </c>
      <c r="R47" s="139" t="str">
        <f t="shared" si="8"/>
        <v/>
      </c>
      <c r="S47" s="128" t="str">
        <f t="shared" si="2"/>
        <v/>
      </c>
      <c r="T47" s="140" t="str">
        <f t="shared" si="3"/>
        <v/>
      </c>
      <c r="U47" s="141" t="str">
        <f t="shared" si="4"/>
        <v/>
      </c>
      <c r="V47" s="141" t="str">
        <f t="shared" si="5"/>
        <v/>
      </c>
      <c r="W47" s="142"/>
      <c r="X47" s="186" t="str">
        <f t="shared" si="6"/>
        <v/>
      </c>
    </row>
    <row r="48" spans="1:24" s="147" customFormat="1" ht="17.45" customHeight="1">
      <c r="A48" s="173"/>
      <c r="B48" s="155"/>
      <c r="C48" s="155"/>
      <c r="D48" s="156"/>
      <c r="E48" s="157"/>
      <c r="F48" s="155"/>
      <c r="G48" s="155"/>
      <c r="H48" s="155"/>
      <c r="I48" s="155"/>
      <c r="J48" s="155"/>
      <c r="K48" s="155"/>
      <c r="L48" s="155"/>
      <c r="M48" s="155"/>
      <c r="N48" s="156"/>
      <c r="O48" s="155"/>
      <c r="P48" s="138"/>
      <c r="Q48" s="255" t="str">
        <f t="shared" si="7"/>
        <v/>
      </c>
      <c r="R48" s="139" t="str">
        <f t="shared" si="8"/>
        <v/>
      </c>
      <c r="S48" s="128" t="str">
        <f t="shared" si="2"/>
        <v/>
      </c>
      <c r="T48" s="140" t="str">
        <f t="shared" si="3"/>
        <v/>
      </c>
      <c r="U48" s="141" t="str">
        <f t="shared" si="4"/>
        <v/>
      </c>
      <c r="V48" s="141" t="str">
        <f t="shared" si="5"/>
        <v/>
      </c>
      <c r="W48" s="142"/>
      <c r="X48" s="186" t="str">
        <f t="shared" si="6"/>
        <v/>
      </c>
    </row>
    <row r="49" spans="1:24" s="147" customFormat="1" ht="17.649999999999999" customHeight="1">
      <c r="A49" s="175"/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138"/>
      <c r="Q49" s="255" t="str">
        <f t="shared" si="7"/>
        <v/>
      </c>
      <c r="R49" s="139" t="str">
        <f t="shared" si="8"/>
        <v/>
      </c>
      <c r="S49" s="128" t="str">
        <f t="shared" si="2"/>
        <v/>
      </c>
      <c r="T49" s="140" t="str">
        <f t="shared" si="3"/>
        <v/>
      </c>
      <c r="U49" s="141" t="str">
        <f t="shared" si="4"/>
        <v/>
      </c>
      <c r="V49" s="141" t="str">
        <f t="shared" si="5"/>
        <v/>
      </c>
      <c r="W49" s="142"/>
      <c r="X49" s="186" t="str">
        <f t="shared" si="6"/>
        <v/>
      </c>
    </row>
    <row r="50" spans="1:24" s="147" customFormat="1" ht="16.899999999999999" customHeight="1">
      <c r="A50" s="173"/>
      <c r="B50" s="155"/>
      <c r="C50" s="155"/>
      <c r="D50" s="158"/>
      <c r="E50" s="157"/>
      <c r="F50" s="155"/>
      <c r="G50" s="155"/>
      <c r="H50" s="155"/>
      <c r="I50" s="155"/>
      <c r="J50" s="155"/>
      <c r="K50" s="155"/>
      <c r="L50" s="155"/>
      <c r="M50" s="155"/>
      <c r="N50" s="158"/>
      <c r="O50" s="155"/>
      <c r="P50" s="138"/>
      <c r="Q50" s="255" t="str">
        <f t="shared" si="7"/>
        <v/>
      </c>
      <c r="R50" s="139" t="str">
        <f t="shared" si="8"/>
        <v/>
      </c>
      <c r="S50" s="128" t="str">
        <f t="shared" si="2"/>
        <v/>
      </c>
      <c r="T50" s="140" t="str">
        <f t="shared" si="3"/>
        <v/>
      </c>
      <c r="U50" s="141" t="str">
        <f t="shared" si="4"/>
        <v/>
      </c>
      <c r="V50" s="141" t="str">
        <f t="shared" si="5"/>
        <v/>
      </c>
      <c r="W50" s="142"/>
      <c r="X50" s="186" t="str">
        <f t="shared" si="6"/>
        <v/>
      </c>
    </row>
    <row r="51" spans="1:24" s="147" customFormat="1" ht="17.649999999999999" customHeight="1">
      <c r="A51" s="173"/>
      <c r="B51" s="155"/>
      <c r="C51" s="155"/>
      <c r="D51" s="156"/>
      <c r="E51" s="157"/>
      <c r="F51" s="155"/>
      <c r="G51" s="155"/>
      <c r="H51" s="155"/>
      <c r="I51" s="155"/>
      <c r="J51" s="155"/>
      <c r="K51" s="155"/>
      <c r="L51" s="155"/>
      <c r="M51" s="155"/>
      <c r="N51" s="156"/>
      <c r="O51" s="155"/>
      <c r="P51" s="138"/>
      <c r="Q51" s="255" t="str">
        <f t="shared" si="7"/>
        <v/>
      </c>
      <c r="R51" s="139" t="str">
        <f t="shared" si="8"/>
        <v/>
      </c>
      <c r="S51" s="128" t="str">
        <f t="shared" si="2"/>
        <v/>
      </c>
      <c r="T51" s="140" t="str">
        <f t="shared" si="3"/>
        <v/>
      </c>
      <c r="U51" s="141" t="str">
        <f t="shared" si="4"/>
        <v/>
      </c>
      <c r="V51" s="141" t="str">
        <f t="shared" si="5"/>
        <v/>
      </c>
      <c r="W51" s="142"/>
      <c r="X51" s="186" t="str">
        <f t="shared" si="6"/>
        <v/>
      </c>
    </row>
    <row r="52" spans="1:24" s="147" customFormat="1" ht="16.899999999999999" customHeight="1">
      <c r="A52" s="174"/>
      <c r="B52" s="326"/>
      <c r="C52" s="326"/>
      <c r="D52" s="326"/>
      <c r="E52" s="327"/>
      <c r="F52" s="326"/>
      <c r="G52" s="326"/>
      <c r="H52" s="326"/>
      <c r="I52" s="326"/>
      <c r="J52" s="326"/>
      <c r="K52" s="326"/>
      <c r="L52" s="326"/>
      <c r="M52" s="326"/>
      <c r="N52" s="326"/>
      <c r="O52" s="326"/>
      <c r="P52" s="138"/>
      <c r="Q52" s="255" t="str">
        <f t="shared" si="7"/>
        <v/>
      </c>
      <c r="R52" s="139" t="str">
        <f t="shared" si="8"/>
        <v/>
      </c>
      <c r="S52" s="128" t="str">
        <f t="shared" si="2"/>
        <v/>
      </c>
      <c r="T52" s="140" t="str">
        <f t="shared" si="3"/>
        <v/>
      </c>
      <c r="U52" s="141" t="str">
        <f t="shared" si="4"/>
        <v/>
      </c>
      <c r="V52" s="141" t="str">
        <f t="shared" si="5"/>
        <v/>
      </c>
      <c r="W52" s="142"/>
      <c r="X52" s="186" t="str">
        <f t="shared" si="6"/>
        <v/>
      </c>
    </row>
    <row r="53" spans="1:24" s="147" customFormat="1" ht="17.45" customHeight="1">
      <c r="A53" s="173"/>
      <c r="B53" s="155"/>
      <c r="C53" s="155"/>
      <c r="D53" s="156"/>
      <c r="E53" s="157"/>
      <c r="F53" s="155"/>
      <c r="G53" s="155"/>
      <c r="H53" s="155"/>
      <c r="I53" s="155"/>
      <c r="J53" s="155"/>
      <c r="K53" s="155"/>
      <c r="L53" s="155"/>
      <c r="M53" s="155"/>
      <c r="N53" s="156"/>
      <c r="O53" s="155"/>
      <c r="P53" s="138"/>
      <c r="Q53" s="255" t="str">
        <f t="shared" si="7"/>
        <v/>
      </c>
      <c r="R53" s="139" t="str">
        <f t="shared" si="8"/>
        <v/>
      </c>
      <c r="S53" s="128" t="str">
        <f t="shared" si="2"/>
        <v/>
      </c>
      <c r="T53" s="140" t="str">
        <f t="shared" si="3"/>
        <v/>
      </c>
      <c r="U53" s="141" t="str">
        <f t="shared" si="4"/>
        <v/>
      </c>
      <c r="V53" s="141" t="str">
        <f t="shared" si="5"/>
        <v/>
      </c>
      <c r="W53" s="142"/>
      <c r="X53" s="186" t="str">
        <f t="shared" si="6"/>
        <v/>
      </c>
    </row>
    <row r="54" spans="1:24" s="147" customFormat="1" ht="17.649999999999999" customHeight="1">
      <c r="A54" s="174"/>
      <c r="B54" s="326"/>
      <c r="C54" s="326"/>
      <c r="D54" s="326"/>
      <c r="E54" s="327"/>
      <c r="F54" s="326"/>
      <c r="G54" s="326"/>
      <c r="H54" s="326"/>
      <c r="I54" s="326"/>
      <c r="J54" s="326"/>
      <c r="K54" s="326"/>
      <c r="L54" s="326"/>
      <c r="M54" s="326"/>
      <c r="N54" s="326"/>
      <c r="O54" s="326"/>
      <c r="P54" s="138"/>
      <c r="Q54" s="255" t="str">
        <f t="shared" si="7"/>
        <v/>
      </c>
      <c r="R54" s="139" t="str">
        <f t="shared" si="8"/>
        <v/>
      </c>
      <c r="S54" s="128" t="str">
        <f t="shared" si="2"/>
        <v/>
      </c>
      <c r="T54" s="140" t="str">
        <f t="shared" si="3"/>
        <v/>
      </c>
      <c r="U54" s="141" t="str">
        <f t="shared" si="4"/>
        <v/>
      </c>
      <c r="V54" s="141" t="str">
        <f t="shared" si="5"/>
        <v/>
      </c>
      <c r="W54" s="142"/>
      <c r="X54" s="186" t="str">
        <f t="shared" si="6"/>
        <v/>
      </c>
    </row>
    <row r="55" spans="1:24" s="147" customFormat="1" ht="16.899999999999999" customHeight="1">
      <c r="A55" s="173"/>
      <c r="B55" s="155"/>
      <c r="C55" s="155"/>
      <c r="D55" s="156"/>
      <c r="E55" s="157"/>
      <c r="F55" s="155"/>
      <c r="G55" s="155"/>
      <c r="H55" s="155"/>
      <c r="I55" s="155"/>
      <c r="J55" s="155"/>
      <c r="K55" s="155"/>
      <c r="L55" s="155"/>
      <c r="M55" s="155"/>
      <c r="N55" s="156"/>
      <c r="O55" s="155"/>
      <c r="P55" s="138"/>
      <c r="Q55" s="255" t="str">
        <f t="shared" si="7"/>
        <v/>
      </c>
      <c r="R55" s="139" t="str">
        <f t="shared" si="8"/>
        <v/>
      </c>
      <c r="S55" s="128" t="str">
        <f t="shared" si="2"/>
        <v/>
      </c>
      <c r="T55" s="140" t="str">
        <f t="shared" si="3"/>
        <v/>
      </c>
      <c r="U55" s="141" t="str">
        <f t="shared" si="4"/>
        <v/>
      </c>
      <c r="V55" s="141" t="str">
        <f t="shared" si="5"/>
        <v/>
      </c>
      <c r="W55" s="142"/>
      <c r="X55" s="186" t="str">
        <f t="shared" si="6"/>
        <v/>
      </c>
    </row>
    <row r="56" spans="1:24" s="147" customFormat="1" ht="17.649999999999999" customHeight="1">
      <c r="A56" s="174"/>
      <c r="B56" s="326"/>
      <c r="C56" s="326"/>
      <c r="D56" s="326"/>
      <c r="E56" s="327"/>
      <c r="F56" s="326"/>
      <c r="G56" s="326"/>
      <c r="H56" s="326"/>
      <c r="I56" s="326"/>
      <c r="J56" s="326"/>
      <c r="K56" s="326"/>
      <c r="L56" s="326"/>
      <c r="M56" s="326"/>
      <c r="N56" s="326"/>
      <c r="O56" s="326"/>
      <c r="P56" s="138"/>
      <c r="Q56" s="255" t="str">
        <f t="shared" si="7"/>
        <v/>
      </c>
      <c r="R56" s="139" t="str">
        <f t="shared" si="8"/>
        <v/>
      </c>
      <c r="S56" s="128" t="str">
        <f t="shared" si="2"/>
        <v/>
      </c>
      <c r="T56" s="140" t="str">
        <f t="shared" si="3"/>
        <v/>
      </c>
      <c r="U56" s="141" t="str">
        <f t="shared" si="4"/>
        <v/>
      </c>
      <c r="V56" s="141" t="str">
        <f t="shared" si="5"/>
        <v/>
      </c>
      <c r="W56" s="142"/>
      <c r="X56" s="186" t="str">
        <f t="shared" si="6"/>
        <v/>
      </c>
    </row>
    <row r="57" spans="1:24" s="147" customFormat="1" ht="16.899999999999999" customHeight="1">
      <c r="A57" s="173"/>
      <c r="B57" s="155"/>
      <c r="C57" s="155"/>
      <c r="D57" s="155"/>
      <c r="E57" s="157"/>
      <c r="F57" s="155"/>
      <c r="G57" s="155"/>
      <c r="H57" s="157"/>
      <c r="I57" s="155"/>
      <c r="J57" s="155"/>
      <c r="K57" s="155"/>
      <c r="L57" s="155"/>
      <c r="M57" s="155"/>
      <c r="N57" s="158"/>
      <c r="O57" s="155"/>
      <c r="P57" s="138"/>
      <c r="Q57" s="255" t="str">
        <f t="shared" si="7"/>
        <v/>
      </c>
      <c r="R57" s="139" t="str">
        <f t="shared" si="8"/>
        <v/>
      </c>
      <c r="S57" s="128" t="str">
        <f t="shared" si="2"/>
        <v/>
      </c>
      <c r="T57" s="140" t="str">
        <f t="shared" si="3"/>
        <v/>
      </c>
      <c r="U57" s="141" t="str">
        <f t="shared" si="4"/>
        <v/>
      </c>
      <c r="V57" s="141" t="str">
        <f t="shared" si="5"/>
        <v/>
      </c>
      <c r="W57" s="142"/>
      <c r="X57" s="186" t="str">
        <f t="shared" si="6"/>
        <v/>
      </c>
    </row>
    <row r="58" spans="1:24" s="147" customFormat="1" ht="17.45" customHeight="1">
      <c r="A58" s="175"/>
      <c r="B58" s="328"/>
      <c r="C58" s="328"/>
      <c r="D58" s="328"/>
      <c r="E58" s="328"/>
      <c r="F58" s="328"/>
      <c r="G58" s="328"/>
      <c r="H58" s="328"/>
      <c r="I58" s="328"/>
      <c r="J58" s="328"/>
      <c r="K58" s="328"/>
      <c r="L58" s="328"/>
      <c r="M58" s="328"/>
      <c r="N58" s="328"/>
      <c r="O58" s="328"/>
      <c r="P58" s="138"/>
      <c r="Q58" s="255" t="str">
        <f t="shared" si="7"/>
        <v/>
      </c>
      <c r="R58" s="139" t="str">
        <f t="shared" si="8"/>
        <v/>
      </c>
      <c r="S58" s="128" t="str">
        <f t="shared" si="2"/>
        <v/>
      </c>
      <c r="T58" s="140" t="str">
        <f t="shared" si="3"/>
        <v/>
      </c>
      <c r="U58" s="141" t="str">
        <f t="shared" si="4"/>
        <v/>
      </c>
      <c r="V58" s="141" t="str">
        <f t="shared" si="5"/>
        <v/>
      </c>
      <c r="W58" s="142"/>
      <c r="X58" s="186" t="str">
        <f t="shared" si="6"/>
        <v/>
      </c>
    </row>
    <row r="59" spans="1:24" s="147" customFormat="1" ht="16.899999999999999" customHeight="1">
      <c r="A59" s="173"/>
      <c r="B59" s="155"/>
      <c r="C59" s="155"/>
      <c r="D59" s="155"/>
      <c r="E59" s="157"/>
      <c r="F59" s="155"/>
      <c r="G59" s="155"/>
      <c r="H59" s="155"/>
      <c r="I59" s="155"/>
      <c r="J59" s="155"/>
      <c r="K59" s="155"/>
      <c r="L59" s="155"/>
      <c r="M59" s="155"/>
      <c r="N59" s="156"/>
      <c r="O59" s="155"/>
      <c r="P59" s="138"/>
      <c r="Q59" s="255" t="str">
        <f t="shared" si="7"/>
        <v/>
      </c>
      <c r="R59" s="139" t="str">
        <f t="shared" si="8"/>
        <v/>
      </c>
      <c r="S59" s="128" t="str">
        <f t="shared" si="2"/>
        <v/>
      </c>
      <c r="T59" s="140" t="str">
        <f t="shared" si="3"/>
        <v/>
      </c>
      <c r="U59" s="141" t="str">
        <f t="shared" si="4"/>
        <v/>
      </c>
      <c r="V59" s="141" t="str">
        <f t="shared" si="5"/>
        <v/>
      </c>
      <c r="W59" s="142"/>
      <c r="X59" s="186" t="str">
        <f t="shared" si="6"/>
        <v/>
      </c>
    </row>
    <row r="60" spans="1:24" s="147" customFormat="1" ht="17.649999999999999" customHeight="1">
      <c r="A60" s="173"/>
      <c r="B60" s="155"/>
      <c r="C60" s="155"/>
      <c r="D60" s="158"/>
      <c r="E60" s="157"/>
      <c r="F60" s="155"/>
      <c r="G60" s="155"/>
      <c r="H60" s="155"/>
      <c r="I60" s="155"/>
      <c r="J60" s="155"/>
      <c r="K60" s="155"/>
      <c r="L60" s="155"/>
      <c r="M60" s="155"/>
      <c r="N60" s="158"/>
      <c r="O60" s="155"/>
      <c r="P60" s="138"/>
      <c r="Q60" s="255" t="str">
        <f t="shared" si="7"/>
        <v/>
      </c>
      <c r="R60" s="139" t="str">
        <f t="shared" si="8"/>
        <v/>
      </c>
      <c r="S60" s="128" t="str">
        <f t="shared" si="2"/>
        <v/>
      </c>
      <c r="T60" s="140" t="str">
        <f t="shared" si="3"/>
        <v/>
      </c>
      <c r="U60" s="141" t="str">
        <f t="shared" si="4"/>
        <v/>
      </c>
      <c r="V60" s="141" t="str">
        <f t="shared" si="5"/>
        <v/>
      </c>
      <c r="W60" s="142"/>
      <c r="X60" s="186" t="str">
        <f t="shared" si="6"/>
        <v/>
      </c>
    </row>
    <row r="61" spans="1:24" s="147" customFormat="1" ht="17.649999999999999" customHeight="1">
      <c r="A61" s="173"/>
      <c r="B61" s="155"/>
      <c r="C61" s="155"/>
      <c r="D61" s="158"/>
      <c r="E61" s="157"/>
      <c r="F61" s="155"/>
      <c r="G61" s="155"/>
      <c r="H61" s="155"/>
      <c r="I61" s="155"/>
      <c r="J61" s="155"/>
      <c r="K61" s="155"/>
      <c r="L61" s="155"/>
      <c r="M61" s="155"/>
      <c r="N61" s="158"/>
      <c r="O61" s="155"/>
      <c r="P61" s="138"/>
      <c r="Q61" s="255" t="str">
        <f t="shared" si="7"/>
        <v/>
      </c>
      <c r="R61" s="139" t="str">
        <f t="shared" si="8"/>
        <v/>
      </c>
      <c r="S61" s="128" t="str">
        <f t="shared" si="2"/>
        <v/>
      </c>
      <c r="T61" s="140" t="str">
        <f t="shared" si="3"/>
        <v/>
      </c>
      <c r="U61" s="141" t="str">
        <f t="shared" si="4"/>
        <v/>
      </c>
      <c r="V61" s="141" t="str">
        <f t="shared" si="5"/>
        <v/>
      </c>
      <c r="W61" s="142"/>
      <c r="X61" s="186" t="str">
        <f t="shared" si="6"/>
        <v/>
      </c>
    </row>
    <row r="62" spans="1:24" s="147" customFormat="1" ht="17.649999999999999" customHeight="1">
      <c r="A62" s="173"/>
      <c r="B62" s="155"/>
      <c r="C62" s="155"/>
      <c r="D62" s="158"/>
      <c r="E62" s="157"/>
      <c r="F62" s="155"/>
      <c r="G62" s="155"/>
      <c r="H62" s="155"/>
      <c r="I62" s="155"/>
      <c r="J62" s="155"/>
      <c r="K62" s="155"/>
      <c r="L62" s="155"/>
      <c r="M62" s="155"/>
      <c r="N62" s="158"/>
      <c r="O62" s="155"/>
      <c r="P62" s="138"/>
      <c r="Q62" s="255" t="str">
        <f t="shared" si="7"/>
        <v/>
      </c>
      <c r="R62" s="139" t="str">
        <f t="shared" si="8"/>
        <v/>
      </c>
      <c r="S62" s="128" t="str">
        <f t="shared" si="2"/>
        <v/>
      </c>
      <c r="T62" s="140" t="str">
        <f t="shared" si="3"/>
        <v/>
      </c>
      <c r="U62" s="141" t="str">
        <f t="shared" si="4"/>
        <v/>
      </c>
      <c r="V62" s="141" t="str">
        <f t="shared" si="5"/>
        <v/>
      </c>
      <c r="W62" s="142"/>
      <c r="X62" s="186" t="str">
        <f t="shared" si="6"/>
        <v/>
      </c>
    </row>
    <row r="63" spans="1:24" s="147" customFormat="1" ht="17.649999999999999" customHeight="1">
      <c r="A63" s="173"/>
      <c r="B63" s="155"/>
      <c r="C63" s="155"/>
      <c r="D63" s="156"/>
      <c r="E63" s="157"/>
      <c r="F63" s="155"/>
      <c r="G63" s="155"/>
      <c r="H63" s="155"/>
      <c r="I63" s="155"/>
      <c r="J63" s="155"/>
      <c r="K63" s="155"/>
      <c r="L63" s="155"/>
      <c r="M63" s="155"/>
      <c r="N63" s="156"/>
      <c r="O63" s="155"/>
      <c r="P63" s="138"/>
      <c r="Q63" s="255" t="str">
        <f t="shared" si="7"/>
        <v/>
      </c>
      <c r="R63" s="139" t="str">
        <f t="shared" si="8"/>
        <v/>
      </c>
      <c r="S63" s="128" t="str">
        <f t="shared" si="2"/>
        <v/>
      </c>
      <c r="T63" s="140" t="str">
        <f t="shared" si="3"/>
        <v/>
      </c>
      <c r="U63" s="141" t="str">
        <f t="shared" si="4"/>
        <v/>
      </c>
      <c r="V63" s="141" t="str">
        <f t="shared" si="5"/>
        <v/>
      </c>
      <c r="W63" s="142"/>
      <c r="X63" s="186" t="str">
        <f t="shared" si="6"/>
        <v/>
      </c>
    </row>
    <row r="64" spans="1:24" s="147" customFormat="1" ht="17.45" customHeight="1">
      <c r="A64" s="174"/>
      <c r="B64" s="326"/>
      <c r="C64" s="326"/>
      <c r="D64" s="326"/>
      <c r="E64" s="327"/>
      <c r="F64" s="326"/>
      <c r="G64" s="326"/>
      <c r="H64" s="326"/>
      <c r="I64" s="326"/>
      <c r="J64" s="326"/>
      <c r="K64" s="326"/>
      <c r="L64" s="326"/>
      <c r="M64" s="326"/>
      <c r="N64" s="326"/>
      <c r="O64" s="326"/>
      <c r="P64" s="138"/>
      <c r="Q64" s="255" t="str">
        <f t="shared" si="7"/>
        <v/>
      </c>
      <c r="R64" s="139" t="str">
        <f t="shared" si="8"/>
        <v/>
      </c>
      <c r="S64" s="128" t="str">
        <f t="shared" si="2"/>
        <v/>
      </c>
      <c r="T64" s="140" t="str">
        <f t="shared" si="3"/>
        <v/>
      </c>
      <c r="U64" s="141" t="str">
        <f t="shared" si="4"/>
        <v/>
      </c>
      <c r="V64" s="141" t="str">
        <f t="shared" si="5"/>
        <v/>
      </c>
      <c r="W64" s="142"/>
      <c r="X64" s="186" t="str">
        <f t="shared" si="6"/>
        <v/>
      </c>
    </row>
    <row r="65" spans="1:24" s="147" customFormat="1" ht="17.649999999999999" customHeight="1">
      <c r="A65" s="173"/>
      <c r="B65" s="155"/>
      <c r="C65" s="155"/>
      <c r="D65" s="158"/>
      <c r="E65" s="157"/>
      <c r="F65" s="155"/>
      <c r="G65" s="155"/>
      <c r="H65" s="155"/>
      <c r="I65" s="155"/>
      <c r="J65" s="155"/>
      <c r="K65" s="155"/>
      <c r="L65" s="155"/>
      <c r="M65" s="155"/>
      <c r="N65" s="158"/>
      <c r="O65" s="155"/>
      <c r="P65" s="138"/>
      <c r="Q65" s="255" t="str">
        <f t="shared" si="7"/>
        <v/>
      </c>
      <c r="R65" s="139" t="str">
        <f t="shared" si="8"/>
        <v/>
      </c>
      <c r="S65" s="128" t="str">
        <f t="shared" si="2"/>
        <v/>
      </c>
      <c r="T65" s="140" t="str">
        <f t="shared" si="3"/>
        <v/>
      </c>
      <c r="U65" s="141" t="str">
        <f t="shared" si="4"/>
        <v/>
      </c>
      <c r="V65" s="141" t="str">
        <f t="shared" si="5"/>
        <v/>
      </c>
      <c r="W65" s="142"/>
      <c r="X65" s="186" t="str">
        <f t="shared" si="6"/>
        <v/>
      </c>
    </row>
    <row r="66" spans="1:24" s="147" customFormat="1" ht="16.899999999999999" customHeight="1">
      <c r="A66" s="173"/>
      <c r="B66" s="155"/>
      <c r="C66" s="155"/>
      <c r="D66" s="158"/>
      <c r="E66" s="157"/>
      <c r="F66" s="155"/>
      <c r="G66" s="155"/>
      <c r="H66" s="155"/>
      <c r="I66" s="155"/>
      <c r="J66" s="155"/>
      <c r="K66" s="155"/>
      <c r="L66" s="155"/>
      <c r="M66" s="155"/>
      <c r="N66" s="158"/>
      <c r="O66" s="155"/>
      <c r="P66" s="138"/>
      <c r="Q66" s="255" t="str">
        <f t="shared" si="7"/>
        <v/>
      </c>
      <c r="R66" s="139" t="str">
        <f t="shared" si="8"/>
        <v/>
      </c>
      <c r="S66" s="128" t="str">
        <f t="shared" si="2"/>
        <v/>
      </c>
      <c r="T66" s="140" t="str">
        <f t="shared" si="3"/>
        <v/>
      </c>
      <c r="U66" s="141" t="str">
        <f t="shared" si="4"/>
        <v/>
      </c>
      <c r="V66" s="141" t="str">
        <f t="shared" si="5"/>
        <v/>
      </c>
      <c r="W66" s="142"/>
      <c r="X66" s="186" t="str">
        <f t="shared" si="6"/>
        <v/>
      </c>
    </row>
    <row r="67" spans="1:24" s="147" customFormat="1" ht="17.649999999999999" customHeight="1">
      <c r="A67" s="173"/>
      <c r="B67" s="155"/>
      <c r="C67" s="155"/>
      <c r="D67" s="158"/>
      <c r="E67" s="157"/>
      <c r="F67" s="155"/>
      <c r="G67" s="155"/>
      <c r="H67" s="155"/>
      <c r="I67" s="155"/>
      <c r="J67" s="155"/>
      <c r="K67" s="155"/>
      <c r="L67" s="155"/>
      <c r="M67" s="155"/>
      <c r="N67" s="158"/>
      <c r="O67" s="155"/>
      <c r="P67" s="138"/>
      <c r="Q67" s="255" t="str">
        <f t="shared" si="7"/>
        <v/>
      </c>
      <c r="R67" s="139" t="str">
        <f t="shared" si="8"/>
        <v/>
      </c>
      <c r="S67" s="128" t="str">
        <f t="shared" si="2"/>
        <v/>
      </c>
      <c r="T67" s="140" t="str">
        <f t="shared" si="3"/>
        <v/>
      </c>
      <c r="U67" s="141" t="str">
        <f t="shared" si="4"/>
        <v/>
      </c>
      <c r="V67" s="141" t="str">
        <f t="shared" si="5"/>
        <v/>
      </c>
      <c r="W67" s="142"/>
      <c r="X67" s="186" t="str">
        <f t="shared" si="6"/>
        <v/>
      </c>
    </row>
    <row r="68" spans="1:24" s="147" customFormat="1" ht="16.899999999999999" customHeight="1">
      <c r="A68" s="173"/>
      <c r="B68" s="155"/>
      <c r="C68" s="155"/>
      <c r="D68" s="158"/>
      <c r="E68" s="157"/>
      <c r="F68" s="155"/>
      <c r="G68" s="155"/>
      <c r="H68" s="155"/>
      <c r="I68" s="155"/>
      <c r="J68" s="155"/>
      <c r="K68" s="155"/>
      <c r="L68" s="155"/>
      <c r="M68" s="155"/>
      <c r="N68" s="158"/>
      <c r="O68" s="155"/>
      <c r="P68" s="138"/>
      <c r="Q68" s="255" t="str">
        <f t="shared" si="7"/>
        <v/>
      </c>
      <c r="R68" s="139" t="str">
        <f t="shared" si="8"/>
        <v/>
      </c>
      <c r="S68" s="128" t="str">
        <f t="shared" si="2"/>
        <v/>
      </c>
      <c r="T68" s="140" t="str">
        <f t="shared" si="3"/>
        <v/>
      </c>
      <c r="U68" s="141" t="str">
        <f t="shared" si="4"/>
        <v/>
      </c>
      <c r="V68" s="141" t="str">
        <f t="shared" si="5"/>
        <v/>
      </c>
      <c r="W68" s="142"/>
      <c r="X68" s="186" t="str">
        <f t="shared" si="6"/>
        <v/>
      </c>
    </row>
    <row r="69" spans="1:24" s="147" customFormat="1" ht="16.899999999999999" customHeight="1">
      <c r="A69" s="173"/>
      <c r="B69" s="155"/>
      <c r="C69" s="155"/>
      <c r="D69" s="158"/>
      <c r="E69" s="157"/>
      <c r="F69" s="155"/>
      <c r="G69" s="155"/>
      <c r="H69" s="155"/>
      <c r="I69" s="155"/>
      <c r="J69" s="155"/>
      <c r="K69" s="155"/>
      <c r="L69" s="155"/>
      <c r="M69" s="155"/>
      <c r="N69" s="158"/>
      <c r="O69" s="155"/>
      <c r="P69" s="138"/>
      <c r="Q69" s="255" t="str">
        <f t="shared" si="7"/>
        <v/>
      </c>
      <c r="R69" s="139" t="str">
        <f t="shared" si="8"/>
        <v/>
      </c>
      <c r="S69" s="128" t="str">
        <f t="shared" si="2"/>
        <v/>
      </c>
      <c r="T69" s="140" t="str">
        <f t="shared" si="3"/>
        <v/>
      </c>
      <c r="U69" s="141" t="str">
        <f t="shared" si="4"/>
        <v/>
      </c>
      <c r="V69" s="141" t="str">
        <f t="shared" si="5"/>
        <v/>
      </c>
      <c r="W69" s="142"/>
      <c r="X69" s="186" t="str">
        <f t="shared" si="6"/>
        <v/>
      </c>
    </row>
    <row r="70" spans="1:24" s="147" customFormat="1" ht="17.45" customHeight="1">
      <c r="A70" s="173"/>
      <c r="B70" s="155"/>
      <c r="C70" s="155"/>
      <c r="D70" s="158"/>
      <c r="E70" s="157"/>
      <c r="F70" s="155"/>
      <c r="G70" s="155"/>
      <c r="H70" s="155"/>
      <c r="I70" s="155"/>
      <c r="J70" s="155"/>
      <c r="K70" s="155"/>
      <c r="L70" s="155"/>
      <c r="M70" s="155"/>
      <c r="N70" s="158"/>
      <c r="O70" s="155"/>
      <c r="P70" s="138"/>
      <c r="Q70" s="255" t="str">
        <f t="shared" si="7"/>
        <v/>
      </c>
      <c r="R70" s="139" t="str">
        <f t="shared" si="8"/>
        <v/>
      </c>
      <c r="S70" s="128" t="str">
        <f t="shared" si="2"/>
        <v/>
      </c>
      <c r="T70" s="140" t="str">
        <f t="shared" si="3"/>
        <v/>
      </c>
      <c r="U70" s="141" t="str">
        <f t="shared" si="4"/>
        <v/>
      </c>
      <c r="V70" s="141" t="str">
        <f t="shared" si="5"/>
        <v/>
      </c>
      <c r="W70" s="142"/>
      <c r="X70" s="186" t="str">
        <f t="shared" si="6"/>
        <v/>
      </c>
    </row>
    <row r="71" spans="1:24" s="147" customFormat="1" ht="17.649999999999999" customHeight="1">
      <c r="A71" s="173"/>
      <c r="B71" s="155"/>
      <c r="C71" s="155"/>
      <c r="D71" s="158"/>
      <c r="E71" s="157"/>
      <c r="F71" s="155"/>
      <c r="G71" s="155"/>
      <c r="H71" s="155"/>
      <c r="I71" s="155"/>
      <c r="J71" s="155"/>
      <c r="K71" s="155"/>
      <c r="L71" s="155"/>
      <c r="M71" s="155"/>
      <c r="N71" s="158"/>
      <c r="O71" s="155"/>
      <c r="P71" s="138"/>
      <c r="Q71" s="255" t="str">
        <f t="shared" si="7"/>
        <v/>
      </c>
      <c r="R71" s="139" t="str">
        <f t="shared" si="8"/>
        <v/>
      </c>
      <c r="S71" s="128" t="str">
        <f t="shared" ref="S71:S134" si="9">IF(D71="","",IF(IFERROR(FIND("資",D71)&gt;0,FALSE),"資券",IF(IFERROR(FIND("券",D71)&gt;0,FALSE),"資券","波段")))</f>
        <v/>
      </c>
      <c r="T71" s="140" t="str">
        <f t="shared" ref="T71:T134" si="10">IF(F71="","",F71)</f>
        <v/>
      </c>
      <c r="U71" s="141" t="str">
        <f t="shared" ref="U71:U134" si="11">IF(D71="","",IF(IFERROR(FIND("買",D71)&gt;0,FALSE),E71,IF(IFERROR(FIND("賣",D71)&gt;0,FALSE),-E71,IF(IFERROR(FIND("資",D71)&gt;0,FALSE),E71,-E71))))</f>
        <v/>
      </c>
      <c r="V71" s="141" t="str">
        <f t="shared" ref="V71:V134" si="12">IF(Q71="","",T71*U71*-1)</f>
        <v/>
      </c>
      <c r="W71" s="142"/>
      <c r="X71" s="186" t="str">
        <f t="shared" ref="X71:X134" si="13">IFERROR((-1)*LEFT(N71,FIND("扣",N71)-1),IFERROR(1*LEFT(N71,FIND("入",N71)-1),""))</f>
        <v/>
      </c>
    </row>
    <row r="72" spans="1:24" s="147" customFormat="1" ht="17.45" customHeight="1">
      <c r="A72" s="173"/>
      <c r="B72" s="155"/>
      <c r="C72" s="155"/>
      <c r="D72" s="158"/>
      <c r="E72" s="157"/>
      <c r="F72" s="155"/>
      <c r="G72" s="155"/>
      <c r="H72" s="157"/>
      <c r="I72" s="155"/>
      <c r="J72" s="155"/>
      <c r="K72" s="155"/>
      <c r="L72" s="155"/>
      <c r="M72" s="155"/>
      <c r="N72" s="158"/>
      <c r="O72" s="155"/>
      <c r="P72" s="138"/>
      <c r="Q72" s="255" t="str">
        <f t="shared" ref="Q72:Q135" si="14">IF(B72="","",DATE(LEFT(B72,3)+1911,MID(B72,4,2),RIGHT(B72,2)))</f>
        <v/>
      </c>
      <c r="R72" s="139" t="str">
        <f t="shared" ref="R72:R135" si="15">IF(C72="","",IFERROR(INDEX(代號1,MATCH($C72,股名1,0)),IFERROR(INDEX(代號2,MATCH($C72,股名2,0)),INDEX(代號3,MATCH($C72,股名3,0)))))</f>
        <v/>
      </c>
      <c r="S72" s="128" t="str">
        <f t="shared" si="9"/>
        <v/>
      </c>
      <c r="T72" s="140" t="str">
        <f t="shared" si="10"/>
        <v/>
      </c>
      <c r="U72" s="141" t="str">
        <f t="shared" si="11"/>
        <v/>
      </c>
      <c r="V72" s="141" t="str">
        <f t="shared" si="12"/>
        <v/>
      </c>
      <c r="W72" s="142"/>
      <c r="X72" s="186" t="str">
        <f t="shared" si="13"/>
        <v/>
      </c>
    </row>
    <row r="73" spans="1:24" s="147" customFormat="1" ht="17.25" customHeight="1">
      <c r="A73" s="173"/>
      <c r="B73" s="155"/>
      <c r="C73" s="155"/>
      <c r="D73" s="156"/>
      <c r="E73" s="157"/>
      <c r="F73" s="155"/>
      <c r="G73" s="155"/>
      <c r="H73" s="155"/>
      <c r="I73" s="155"/>
      <c r="J73" s="155"/>
      <c r="K73" s="155"/>
      <c r="L73" s="155"/>
      <c r="M73" s="155"/>
      <c r="N73" s="156"/>
      <c r="O73" s="155"/>
      <c r="P73" s="138"/>
      <c r="Q73" s="255" t="str">
        <f t="shared" si="14"/>
        <v/>
      </c>
      <c r="R73" s="139" t="str">
        <f t="shared" si="15"/>
        <v/>
      </c>
      <c r="S73" s="128" t="str">
        <f t="shared" si="9"/>
        <v/>
      </c>
      <c r="T73" s="140" t="str">
        <f t="shared" si="10"/>
        <v/>
      </c>
      <c r="U73" s="141" t="str">
        <f t="shared" si="11"/>
        <v/>
      </c>
      <c r="V73" s="141" t="str">
        <f t="shared" si="12"/>
        <v/>
      </c>
      <c r="W73" s="142"/>
      <c r="X73" s="186" t="str">
        <f t="shared" si="13"/>
        <v/>
      </c>
    </row>
    <row r="74" spans="1:24" s="147" customFormat="1">
      <c r="A74" s="175"/>
      <c r="B74" s="328"/>
      <c r="C74" s="328"/>
      <c r="D74" s="328"/>
      <c r="E74" s="329"/>
      <c r="F74" s="328"/>
      <c r="G74" s="328"/>
      <c r="H74" s="329"/>
      <c r="I74" s="328"/>
      <c r="J74" s="328"/>
      <c r="K74" s="328"/>
      <c r="L74" s="328"/>
      <c r="M74" s="328"/>
      <c r="N74" s="328"/>
      <c r="O74" s="328"/>
      <c r="P74" s="138"/>
      <c r="Q74" s="255" t="str">
        <f t="shared" si="14"/>
        <v/>
      </c>
      <c r="R74" s="139" t="str">
        <f t="shared" si="15"/>
        <v/>
      </c>
      <c r="S74" s="128" t="str">
        <f t="shared" si="9"/>
        <v/>
      </c>
      <c r="T74" s="140" t="str">
        <f t="shared" si="10"/>
        <v/>
      </c>
      <c r="U74" s="141" t="str">
        <f t="shared" si="11"/>
        <v/>
      </c>
      <c r="V74" s="141" t="str">
        <f t="shared" si="12"/>
        <v/>
      </c>
      <c r="W74" s="142"/>
      <c r="X74" s="186" t="str">
        <f t="shared" si="13"/>
        <v/>
      </c>
    </row>
    <row r="75" spans="1:24" s="147" customFormat="1" ht="17.649999999999999" customHeight="1">
      <c r="A75" s="173"/>
      <c r="B75" s="155"/>
      <c r="C75" s="155"/>
      <c r="D75" s="156"/>
      <c r="E75" s="157"/>
      <c r="F75" s="155"/>
      <c r="G75" s="155"/>
      <c r="H75" s="155"/>
      <c r="I75" s="155"/>
      <c r="J75" s="155"/>
      <c r="K75" s="155"/>
      <c r="L75" s="155"/>
      <c r="M75" s="155"/>
      <c r="N75" s="156"/>
      <c r="O75" s="155"/>
      <c r="P75" s="138"/>
      <c r="Q75" s="255" t="str">
        <f t="shared" si="14"/>
        <v/>
      </c>
      <c r="R75" s="139" t="str">
        <f t="shared" si="15"/>
        <v/>
      </c>
      <c r="S75" s="128" t="str">
        <f t="shared" si="9"/>
        <v/>
      </c>
      <c r="T75" s="140" t="str">
        <f t="shared" si="10"/>
        <v/>
      </c>
      <c r="U75" s="141" t="str">
        <f t="shared" si="11"/>
        <v/>
      </c>
      <c r="V75" s="141" t="str">
        <f t="shared" si="12"/>
        <v/>
      </c>
      <c r="W75" s="142"/>
      <c r="X75" s="186" t="str">
        <f t="shared" si="13"/>
        <v/>
      </c>
    </row>
    <row r="76" spans="1:24" s="147" customFormat="1">
      <c r="A76" s="175"/>
      <c r="B76" s="328"/>
      <c r="C76" s="328"/>
      <c r="D76" s="328"/>
      <c r="E76" s="329"/>
      <c r="F76" s="328"/>
      <c r="G76" s="328"/>
      <c r="H76" s="329"/>
      <c r="I76" s="328"/>
      <c r="J76" s="328"/>
      <c r="K76" s="328"/>
      <c r="L76" s="328"/>
      <c r="M76" s="328"/>
      <c r="N76" s="328"/>
      <c r="O76" s="328"/>
      <c r="P76" s="138"/>
      <c r="Q76" s="255" t="str">
        <f t="shared" si="14"/>
        <v/>
      </c>
      <c r="R76" s="139" t="str">
        <f t="shared" si="15"/>
        <v/>
      </c>
      <c r="S76" s="128" t="str">
        <f t="shared" si="9"/>
        <v/>
      </c>
      <c r="T76" s="140" t="str">
        <f t="shared" si="10"/>
        <v/>
      </c>
      <c r="U76" s="141" t="str">
        <f t="shared" si="11"/>
        <v/>
      </c>
      <c r="V76" s="141" t="str">
        <f t="shared" si="12"/>
        <v/>
      </c>
      <c r="W76" s="142"/>
      <c r="X76" s="186" t="str">
        <f t="shared" si="13"/>
        <v/>
      </c>
    </row>
    <row r="77" spans="1:24" s="147" customFormat="1" ht="17.25" customHeight="1">
      <c r="A77" s="173"/>
      <c r="B77" s="155"/>
      <c r="C77" s="155"/>
      <c r="D77" s="156"/>
      <c r="E77" s="157"/>
      <c r="F77" s="155"/>
      <c r="G77" s="155"/>
      <c r="H77" s="155"/>
      <c r="I77" s="155"/>
      <c r="J77" s="155"/>
      <c r="K77" s="155"/>
      <c r="L77" s="155"/>
      <c r="M77" s="155"/>
      <c r="N77" s="156"/>
      <c r="O77" s="155"/>
      <c r="P77" s="138"/>
      <c r="Q77" s="255" t="str">
        <f t="shared" si="14"/>
        <v/>
      </c>
      <c r="R77" s="139" t="str">
        <f t="shared" si="15"/>
        <v/>
      </c>
      <c r="S77" s="128" t="str">
        <f t="shared" si="9"/>
        <v/>
      </c>
      <c r="T77" s="140" t="str">
        <f t="shared" si="10"/>
        <v/>
      </c>
      <c r="U77" s="141" t="str">
        <f t="shared" si="11"/>
        <v/>
      </c>
      <c r="V77" s="141" t="str">
        <f t="shared" si="12"/>
        <v/>
      </c>
      <c r="W77" s="142"/>
      <c r="X77" s="186" t="str">
        <f t="shared" si="13"/>
        <v/>
      </c>
    </row>
    <row r="78" spans="1:24" s="147" customFormat="1">
      <c r="A78" s="175"/>
      <c r="B78" s="328"/>
      <c r="C78" s="328"/>
      <c r="D78" s="328"/>
      <c r="E78" s="329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138"/>
      <c r="Q78" s="255" t="str">
        <f t="shared" si="14"/>
        <v/>
      </c>
      <c r="R78" s="139" t="str">
        <f t="shared" si="15"/>
        <v/>
      </c>
      <c r="S78" s="128" t="str">
        <f t="shared" si="9"/>
        <v/>
      </c>
      <c r="T78" s="140" t="str">
        <f t="shared" si="10"/>
        <v/>
      </c>
      <c r="U78" s="141" t="str">
        <f t="shared" si="11"/>
        <v/>
      </c>
      <c r="V78" s="141" t="str">
        <f t="shared" si="12"/>
        <v/>
      </c>
      <c r="W78" s="142"/>
      <c r="X78" s="186" t="str">
        <f t="shared" si="13"/>
        <v/>
      </c>
    </row>
    <row r="79" spans="1:24" s="147" customFormat="1" ht="17.649999999999999" customHeight="1">
      <c r="A79" s="173"/>
      <c r="B79" s="155"/>
      <c r="C79" s="155"/>
      <c r="D79" s="156"/>
      <c r="E79" s="157"/>
      <c r="F79" s="155"/>
      <c r="G79" s="155"/>
      <c r="H79" s="155"/>
      <c r="I79" s="155"/>
      <c r="J79" s="155"/>
      <c r="K79" s="155"/>
      <c r="L79" s="155"/>
      <c r="M79" s="155"/>
      <c r="N79" s="156"/>
      <c r="O79" s="155"/>
      <c r="P79" s="138"/>
      <c r="Q79" s="255" t="str">
        <f t="shared" si="14"/>
        <v/>
      </c>
      <c r="R79" s="139" t="str">
        <f t="shared" si="15"/>
        <v/>
      </c>
      <c r="S79" s="128" t="str">
        <f t="shared" si="9"/>
        <v/>
      </c>
      <c r="T79" s="140" t="str">
        <f t="shared" si="10"/>
        <v/>
      </c>
      <c r="U79" s="141" t="str">
        <f t="shared" si="11"/>
        <v/>
      </c>
      <c r="V79" s="141" t="str">
        <f t="shared" si="12"/>
        <v/>
      </c>
      <c r="W79" s="142"/>
      <c r="X79" s="186" t="str">
        <f t="shared" si="13"/>
        <v/>
      </c>
    </row>
    <row r="80" spans="1:24" s="147" customFormat="1">
      <c r="A80" s="175"/>
      <c r="B80" s="328"/>
      <c r="C80" s="328"/>
      <c r="D80" s="328"/>
      <c r="E80" s="329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138"/>
      <c r="Q80" s="255" t="str">
        <f t="shared" si="14"/>
        <v/>
      </c>
      <c r="R80" s="139" t="str">
        <f t="shared" si="15"/>
        <v/>
      </c>
      <c r="S80" s="128" t="str">
        <f t="shared" si="9"/>
        <v/>
      </c>
      <c r="T80" s="140" t="str">
        <f t="shared" si="10"/>
        <v/>
      </c>
      <c r="U80" s="141" t="str">
        <f t="shared" si="11"/>
        <v/>
      </c>
      <c r="V80" s="141" t="str">
        <f t="shared" si="12"/>
        <v/>
      </c>
      <c r="W80" s="142"/>
      <c r="X80" s="186" t="str">
        <f t="shared" si="13"/>
        <v/>
      </c>
    </row>
    <row r="81" spans="1:24" s="147" customFormat="1" ht="17.25" customHeight="1">
      <c r="A81" s="173"/>
      <c r="B81" s="155"/>
      <c r="C81" s="155"/>
      <c r="D81" s="156"/>
      <c r="E81" s="157"/>
      <c r="F81" s="155"/>
      <c r="G81" s="155"/>
      <c r="H81" s="155"/>
      <c r="I81" s="155"/>
      <c r="J81" s="155"/>
      <c r="K81" s="155"/>
      <c r="L81" s="155"/>
      <c r="M81" s="155"/>
      <c r="N81" s="156"/>
      <c r="O81" s="155"/>
      <c r="P81" s="138"/>
      <c r="Q81" s="255" t="str">
        <f t="shared" si="14"/>
        <v/>
      </c>
      <c r="R81" s="139" t="str">
        <f t="shared" si="15"/>
        <v/>
      </c>
      <c r="S81" s="128" t="str">
        <f t="shared" si="9"/>
        <v/>
      </c>
      <c r="T81" s="140" t="str">
        <f t="shared" si="10"/>
        <v/>
      </c>
      <c r="U81" s="141" t="str">
        <f t="shared" si="11"/>
        <v/>
      </c>
      <c r="V81" s="141" t="str">
        <f t="shared" si="12"/>
        <v/>
      </c>
      <c r="W81" s="142"/>
      <c r="X81" s="186" t="str">
        <f t="shared" si="13"/>
        <v/>
      </c>
    </row>
    <row r="82" spans="1:24" s="147" customFormat="1">
      <c r="A82" s="171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38"/>
      <c r="Q82" s="255" t="str">
        <f t="shared" si="14"/>
        <v/>
      </c>
      <c r="R82" s="139" t="str">
        <f t="shared" si="15"/>
        <v/>
      </c>
      <c r="S82" s="128" t="str">
        <f t="shared" si="9"/>
        <v/>
      </c>
      <c r="T82" s="140" t="str">
        <f t="shared" si="10"/>
        <v/>
      </c>
      <c r="U82" s="141" t="str">
        <f t="shared" si="11"/>
        <v/>
      </c>
      <c r="V82" s="141" t="str">
        <f t="shared" si="12"/>
        <v/>
      </c>
      <c r="W82" s="142"/>
      <c r="X82" s="186" t="str">
        <f t="shared" si="13"/>
        <v/>
      </c>
    </row>
    <row r="83" spans="1:24" s="147" customFormat="1" ht="17.649999999999999" customHeight="1">
      <c r="A83" s="170"/>
      <c r="B83" s="145"/>
      <c r="C83" s="145"/>
      <c r="D83" s="149"/>
      <c r="E83" s="150"/>
      <c r="F83" s="145"/>
      <c r="G83" s="145"/>
      <c r="H83" s="145"/>
      <c r="I83" s="145"/>
      <c r="J83" s="145"/>
      <c r="K83" s="145"/>
      <c r="L83" s="145"/>
      <c r="M83" s="145"/>
      <c r="N83" s="149"/>
      <c r="O83" s="145"/>
      <c r="P83" s="138"/>
      <c r="Q83" s="255" t="str">
        <f t="shared" si="14"/>
        <v/>
      </c>
      <c r="R83" s="139" t="str">
        <f t="shared" si="15"/>
        <v/>
      </c>
      <c r="S83" s="128" t="str">
        <f t="shared" si="9"/>
        <v/>
      </c>
      <c r="T83" s="140" t="str">
        <f t="shared" si="10"/>
        <v/>
      </c>
      <c r="U83" s="141" t="str">
        <f t="shared" si="11"/>
        <v/>
      </c>
      <c r="V83" s="141" t="str">
        <f t="shared" si="12"/>
        <v/>
      </c>
      <c r="W83" s="142"/>
      <c r="X83" s="186" t="str">
        <f t="shared" si="13"/>
        <v/>
      </c>
    </row>
    <row r="84" spans="1:24" s="147" customFormat="1">
      <c r="A84" s="170"/>
      <c r="B84" s="145"/>
      <c r="C84" s="145"/>
      <c r="D84" s="149"/>
      <c r="E84" s="150"/>
      <c r="F84" s="145"/>
      <c r="G84" s="145"/>
      <c r="H84" s="145"/>
      <c r="I84" s="145"/>
      <c r="J84" s="145"/>
      <c r="K84" s="145"/>
      <c r="L84" s="145"/>
      <c r="M84" s="145"/>
      <c r="N84" s="149"/>
      <c r="O84" s="145"/>
      <c r="P84" s="138"/>
      <c r="Q84" s="255" t="str">
        <f t="shared" si="14"/>
        <v/>
      </c>
      <c r="R84" s="139" t="str">
        <f t="shared" si="15"/>
        <v/>
      </c>
      <c r="S84" s="128" t="str">
        <f t="shared" si="9"/>
        <v/>
      </c>
      <c r="T84" s="140" t="str">
        <f t="shared" si="10"/>
        <v/>
      </c>
      <c r="U84" s="141" t="str">
        <f t="shared" si="11"/>
        <v/>
      </c>
      <c r="V84" s="141" t="str">
        <f t="shared" si="12"/>
        <v/>
      </c>
      <c r="W84" s="142"/>
      <c r="X84" s="186" t="str">
        <f t="shared" si="13"/>
        <v/>
      </c>
    </row>
    <row r="85" spans="1:24" s="147" customFormat="1" ht="17.649999999999999" customHeight="1">
      <c r="A85" s="170"/>
      <c r="B85" s="145"/>
      <c r="C85" s="145"/>
      <c r="D85" s="149"/>
      <c r="E85" s="150"/>
      <c r="F85" s="145"/>
      <c r="G85" s="145"/>
      <c r="H85" s="145"/>
      <c r="I85" s="145"/>
      <c r="J85" s="145"/>
      <c r="K85" s="145"/>
      <c r="L85" s="145"/>
      <c r="M85" s="145"/>
      <c r="N85" s="149"/>
      <c r="O85" s="145"/>
      <c r="P85" s="138"/>
      <c r="Q85" s="255" t="str">
        <f t="shared" si="14"/>
        <v/>
      </c>
      <c r="R85" s="139" t="str">
        <f t="shared" si="15"/>
        <v/>
      </c>
      <c r="S85" s="128" t="str">
        <f t="shared" si="9"/>
        <v/>
      </c>
      <c r="T85" s="140" t="str">
        <f t="shared" si="10"/>
        <v/>
      </c>
      <c r="U85" s="141" t="str">
        <f t="shared" si="11"/>
        <v/>
      </c>
      <c r="V85" s="141" t="str">
        <f t="shared" si="12"/>
        <v/>
      </c>
      <c r="W85" s="142"/>
      <c r="X85" s="186" t="str">
        <f t="shared" si="13"/>
        <v/>
      </c>
    </row>
    <row r="86" spans="1:24" s="147" customFormat="1">
      <c r="A86" s="170"/>
      <c r="B86" s="145"/>
      <c r="C86" s="145"/>
      <c r="D86" s="149"/>
      <c r="E86" s="150"/>
      <c r="F86" s="145"/>
      <c r="G86" s="145"/>
      <c r="H86" s="145"/>
      <c r="I86" s="145"/>
      <c r="J86" s="145"/>
      <c r="K86" s="145"/>
      <c r="L86" s="145"/>
      <c r="M86" s="145"/>
      <c r="N86" s="149"/>
      <c r="O86" s="145"/>
      <c r="P86" s="138"/>
      <c r="Q86" s="255" t="str">
        <f t="shared" si="14"/>
        <v/>
      </c>
      <c r="R86" s="139" t="str">
        <f t="shared" si="15"/>
        <v/>
      </c>
      <c r="S86" s="128" t="str">
        <f t="shared" si="9"/>
        <v/>
      </c>
      <c r="T86" s="140" t="str">
        <f t="shared" si="10"/>
        <v/>
      </c>
      <c r="U86" s="141" t="str">
        <f t="shared" si="11"/>
        <v/>
      </c>
      <c r="V86" s="141" t="str">
        <f t="shared" si="12"/>
        <v/>
      </c>
      <c r="W86" s="142"/>
      <c r="X86" s="186" t="str">
        <f t="shared" si="13"/>
        <v/>
      </c>
    </row>
    <row r="87" spans="1:24" s="147" customFormat="1" ht="17.649999999999999" customHeight="1">
      <c r="A87" s="170"/>
      <c r="B87" s="145"/>
      <c r="C87" s="145"/>
      <c r="D87" s="146"/>
      <c r="E87" s="150"/>
      <c r="F87" s="145"/>
      <c r="G87" s="145"/>
      <c r="H87" s="150"/>
      <c r="I87" s="145"/>
      <c r="J87" s="145"/>
      <c r="K87" s="145"/>
      <c r="L87" s="145"/>
      <c r="M87" s="145"/>
      <c r="N87" s="146"/>
      <c r="O87" s="145"/>
      <c r="P87" s="138"/>
      <c r="Q87" s="255" t="str">
        <f t="shared" si="14"/>
        <v/>
      </c>
      <c r="R87" s="139" t="str">
        <f t="shared" si="15"/>
        <v/>
      </c>
      <c r="S87" s="128" t="str">
        <f t="shared" si="9"/>
        <v/>
      </c>
      <c r="T87" s="140" t="str">
        <f t="shared" si="10"/>
        <v/>
      </c>
      <c r="U87" s="141" t="str">
        <f t="shared" si="11"/>
        <v/>
      </c>
      <c r="V87" s="141" t="str">
        <f t="shared" si="12"/>
        <v/>
      </c>
      <c r="W87" s="142"/>
      <c r="X87" s="186" t="str">
        <f t="shared" si="13"/>
        <v/>
      </c>
    </row>
    <row r="88" spans="1:24" s="147" customFormat="1">
      <c r="A88" s="172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38"/>
      <c r="Q88" s="255" t="str">
        <f t="shared" si="14"/>
        <v/>
      </c>
      <c r="R88" s="139" t="str">
        <f t="shared" si="15"/>
        <v/>
      </c>
      <c r="S88" s="128" t="str">
        <f t="shared" si="9"/>
        <v/>
      </c>
      <c r="T88" s="140" t="str">
        <f t="shared" si="10"/>
        <v/>
      </c>
      <c r="U88" s="141" t="str">
        <f t="shared" si="11"/>
        <v/>
      </c>
      <c r="V88" s="141" t="str">
        <f t="shared" si="12"/>
        <v/>
      </c>
      <c r="W88" s="142"/>
      <c r="X88" s="186" t="str">
        <f t="shared" si="13"/>
        <v/>
      </c>
    </row>
    <row r="89" spans="1:24" s="147" customFormat="1" ht="17.649999999999999" customHeight="1">
      <c r="A89" s="170"/>
      <c r="B89" s="145"/>
      <c r="C89" s="145"/>
      <c r="D89" s="146"/>
      <c r="E89" s="150"/>
      <c r="F89" s="145"/>
      <c r="G89" s="145"/>
      <c r="H89" s="145"/>
      <c r="I89" s="145"/>
      <c r="J89" s="145"/>
      <c r="K89" s="145"/>
      <c r="L89" s="145"/>
      <c r="M89" s="145"/>
      <c r="N89" s="146"/>
      <c r="O89" s="145"/>
      <c r="P89" s="138"/>
      <c r="Q89" s="255" t="str">
        <f t="shared" si="14"/>
        <v/>
      </c>
      <c r="R89" s="139" t="str">
        <f t="shared" si="15"/>
        <v/>
      </c>
      <c r="S89" s="128" t="str">
        <f t="shared" si="9"/>
        <v/>
      </c>
      <c r="T89" s="140" t="str">
        <f t="shared" si="10"/>
        <v/>
      </c>
      <c r="U89" s="141" t="str">
        <f t="shared" si="11"/>
        <v/>
      </c>
      <c r="V89" s="141" t="str">
        <f t="shared" si="12"/>
        <v/>
      </c>
      <c r="W89" s="142"/>
      <c r="X89" s="186" t="str">
        <f t="shared" si="13"/>
        <v/>
      </c>
    </row>
    <row r="90" spans="1:24" s="147" customFormat="1">
      <c r="A90" s="171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38"/>
      <c r="Q90" s="255" t="str">
        <f t="shared" si="14"/>
        <v/>
      </c>
      <c r="R90" s="139" t="str">
        <f t="shared" si="15"/>
        <v/>
      </c>
      <c r="S90" s="128" t="str">
        <f t="shared" si="9"/>
        <v/>
      </c>
      <c r="T90" s="140" t="str">
        <f t="shared" si="10"/>
        <v/>
      </c>
      <c r="U90" s="141" t="str">
        <f t="shared" si="11"/>
        <v/>
      </c>
      <c r="V90" s="141" t="str">
        <f t="shared" si="12"/>
        <v/>
      </c>
      <c r="W90" s="142"/>
      <c r="X90" s="186" t="str">
        <f t="shared" si="13"/>
        <v/>
      </c>
    </row>
    <row r="91" spans="1:24" s="147" customFormat="1">
      <c r="A91" s="170"/>
      <c r="B91" s="145"/>
      <c r="C91" s="145"/>
      <c r="D91" s="146"/>
      <c r="E91" s="150"/>
      <c r="F91" s="145"/>
      <c r="G91" s="145"/>
      <c r="H91" s="145"/>
      <c r="I91" s="145"/>
      <c r="J91" s="145"/>
      <c r="K91" s="145"/>
      <c r="L91" s="145"/>
      <c r="M91" s="145"/>
      <c r="N91" s="146"/>
      <c r="O91" s="145"/>
      <c r="P91" s="138"/>
      <c r="Q91" s="255" t="str">
        <f t="shared" si="14"/>
        <v/>
      </c>
      <c r="R91" s="139" t="str">
        <f t="shared" si="15"/>
        <v/>
      </c>
      <c r="S91" s="128" t="str">
        <f t="shared" si="9"/>
        <v/>
      </c>
      <c r="T91" s="140" t="str">
        <f t="shared" si="10"/>
        <v/>
      </c>
      <c r="U91" s="141" t="str">
        <f t="shared" si="11"/>
        <v/>
      </c>
      <c r="V91" s="141" t="str">
        <f t="shared" si="12"/>
        <v/>
      </c>
      <c r="W91" s="142"/>
      <c r="X91" s="186" t="str">
        <f t="shared" si="13"/>
        <v/>
      </c>
    </row>
    <row r="92" spans="1:24" s="147" customFormat="1">
      <c r="A92" s="171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38"/>
      <c r="Q92" s="255" t="str">
        <f t="shared" si="14"/>
        <v/>
      </c>
      <c r="R92" s="139" t="str">
        <f t="shared" si="15"/>
        <v/>
      </c>
      <c r="S92" s="128" t="str">
        <f t="shared" si="9"/>
        <v/>
      </c>
      <c r="T92" s="140" t="str">
        <f t="shared" si="10"/>
        <v/>
      </c>
      <c r="U92" s="141" t="str">
        <f t="shared" si="11"/>
        <v/>
      </c>
      <c r="V92" s="141" t="str">
        <f t="shared" si="12"/>
        <v/>
      </c>
      <c r="W92" s="142"/>
      <c r="X92" s="186" t="str">
        <f t="shared" si="13"/>
        <v/>
      </c>
    </row>
    <row r="93" spans="1:24" s="147" customFormat="1">
      <c r="A93" s="170"/>
      <c r="B93" s="145"/>
      <c r="C93" s="145"/>
      <c r="D93" s="149"/>
      <c r="E93" s="150"/>
      <c r="F93" s="145"/>
      <c r="G93" s="145"/>
      <c r="H93" s="145"/>
      <c r="I93" s="145"/>
      <c r="J93" s="145"/>
      <c r="K93" s="145"/>
      <c r="L93" s="145"/>
      <c r="M93" s="145"/>
      <c r="N93" s="149"/>
      <c r="O93" s="145"/>
      <c r="P93" s="138"/>
      <c r="Q93" s="255" t="str">
        <f t="shared" si="14"/>
        <v/>
      </c>
      <c r="R93" s="139" t="str">
        <f t="shared" si="15"/>
        <v/>
      </c>
      <c r="S93" s="128" t="str">
        <f t="shared" si="9"/>
        <v/>
      </c>
      <c r="T93" s="140" t="str">
        <f t="shared" si="10"/>
        <v/>
      </c>
      <c r="U93" s="141" t="str">
        <f t="shared" si="11"/>
        <v/>
      </c>
      <c r="V93" s="141" t="str">
        <f t="shared" si="12"/>
        <v/>
      </c>
      <c r="W93" s="142"/>
      <c r="X93" s="186" t="str">
        <f t="shared" si="13"/>
        <v/>
      </c>
    </row>
    <row r="94" spans="1:24" s="147" customFormat="1">
      <c r="A94" s="170"/>
      <c r="B94" s="145"/>
      <c r="C94" s="145"/>
      <c r="D94" s="146"/>
      <c r="E94" s="150"/>
      <c r="F94" s="145"/>
      <c r="G94" s="145"/>
      <c r="H94" s="145"/>
      <c r="I94" s="145"/>
      <c r="J94" s="145"/>
      <c r="K94" s="145"/>
      <c r="L94" s="145"/>
      <c r="M94" s="145"/>
      <c r="N94" s="146"/>
      <c r="O94" s="145"/>
      <c r="P94" s="138"/>
      <c r="Q94" s="255" t="str">
        <f t="shared" si="14"/>
        <v/>
      </c>
      <c r="R94" s="139" t="str">
        <f t="shared" si="15"/>
        <v/>
      </c>
      <c r="S94" s="128" t="str">
        <f t="shared" si="9"/>
        <v/>
      </c>
      <c r="T94" s="140" t="str">
        <f t="shared" si="10"/>
        <v/>
      </c>
      <c r="U94" s="141" t="str">
        <f t="shared" si="11"/>
        <v/>
      </c>
      <c r="V94" s="141" t="str">
        <f t="shared" si="12"/>
        <v/>
      </c>
      <c r="W94" s="142"/>
      <c r="X94" s="186" t="str">
        <f t="shared" si="13"/>
        <v/>
      </c>
    </row>
    <row r="95" spans="1:24" s="147" customFormat="1">
      <c r="A95" s="171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38"/>
      <c r="Q95" s="255" t="str">
        <f t="shared" si="14"/>
        <v/>
      </c>
      <c r="R95" s="139" t="str">
        <f t="shared" si="15"/>
        <v/>
      </c>
      <c r="S95" s="128" t="str">
        <f t="shared" si="9"/>
        <v/>
      </c>
      <c r="T95" s="140" t="str">
        <f t="shared" si="10"/>
        <v/>
      </c>
      <c r="U95" s="141" t="str">
        <f t="shared" si="11"/>
        <v/>
      </c>
      <c r="V95" s="141" t="str">
        <f t="shared" si="12"/>
        <v/>
      </c>
      <c r="W95" s="142"/>
      <c r="X95" s="186" t="str">
        <f t="shared" si="13"/>
        <v/>
      </c>
    </row>
    <row r="96" spans="1:24" s="147" customFormat="1">
      <c r="A96" s="170"/>
      <c r="B96" s="145"/>
      <c r="C96" s="145"/>
      <c r="D96" s="146"/>
      <c r="E96" s="150"/>
      <c r="F96" s="145"/>
      <c r="G96" s="145"/>
      <c r="H96" s="145"/>
      <c r="I96" s="145"/>
      <c r="J96" s="145"/>
      <c r="K96" s="145"/>
      <c r="L96" s="145"/>
      <c r="M96" s="145"/>
      <c r="N96" s="146"/>
      <c r="O96" s="145"/>
      <c r="P96" s="138"/>
      <c r="Q96" s="255" t="str">
        <f t="shared" si="14"/>
        <v/>
      </c>
      <c r="R96" s="139" t="str">
        <f t="shared" si="15"/>
        <v/>
      </c>
      <c r="S96" s="128" t="str">
        <f t="shared" si="9"/>
        <v/>
      </c>
      <c r="T96" s="140" t="str">
        <f t="shared" si="10"/>
        <v/>
      </c>
      <c r="U96" s="141" t="str">
        <f t="shared" si="11"/>
        <v/>
      </c>
      <c r="V96" s="141" t="str">
        <f t="shared" si="12"/>
        <v/>
      </c>
      <c r="W96" s="142"/>
      <c r="X96" s="186" t="str">
        <f t="shared" si="13"/>
        <v/>
      </c>
    </row>
    <row r="97" spans="1:24" s="147" customFormat="1">
      <c r="A97" s="171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38"/>
      <c r="Q97" s="255" t="str">
        <f t="shared" si="14"/>
        <v/>
      </c>
      <c r="R97" s="139" t="str">
        <f t="shared" si="15"/>
        <v/>
      </c>
      <c r="S97" s="128" t="str">
        <f t="shared" si="9"/>
        <v/>
      </c>
      <c r="T97" s="140" t="str">
        <f t="shared" si="10"/>
        <v/>
      </c>
      <c r="U97" s="141" t="str">
        <f t="shared" si="11"/>
        <v/>
      </c>
      <c r="V97" s="141" t="str">
        <f t="shared" si="12"/>
        <v/>
      </c>
      <c r="W97" s="142"/>
      <c r="X97" s="186" t="str">
        <f t="shared" si="13"/>
        <v/>
      </c>
    </row>
    <row r="98" spans="1:24" s="147" customFormat="1">
      <c r="A98" s="170"/>
      <c r="B98" s="145"/>
      <c r="C98" s="145"/>
      <c r="D98" s="145"/>
      <c r="E98" s="150"/>
      <c r="F98" s="145"/>
      <c r="G98" s="145"/>
      <c r="H98" s="145"/>
      <c r="I98" s="145"/>
      <c r="J98" s="145"/>
      <c r="K98" s="145"/>
      <c r="L98" s="145"/>
      <c r="M98" s="145"/>
      <c r="N98" s="149"/>
      <c r="O98" s="145"/>
      <c r="P98" s="138"/>
      <c r="Q98" s="255" t="str">
        <f t="shared" si="14"/>
        <v/>
      </c>
      <c r="R98" s="139" t="str">
        <f t="shared" si="15"/>
        <v/>
      </c>
      <c r="S98" s="128" t="str">
        <f t="shared" si="9"/>
        <v/>
      </c>
      <c r="T98" s="140" t="str">
        <f t="shared" si="10"/>
        <v/>
      </c>
      <c r="U98" s="141" t="str">
        <f t="shared" si="11"/>
        <v/>
      </c>
      <c r="V98" s="141" t="str">
        <f t="shared" si="12"/>
        <v/>
      </c>
      <c r="W98" s="142"/>
      <c r="X98" s="186" t="str">
        <f t="shared" si="13"/>
        <v/>
      </c>
    </row>
    <row r="99" spans="1:24" s="147" customFormat="1">
      <c r="A99" s="172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38"/>
      <c r="Q99" s="255" t="str">
        <f t="shared" si="14"/>
        <v/>
      </c>
      <c r="R99" s="139" t="str">
        <f t="shared" si="15"/>
        <v/>
      </c>
      <c r="S99" s="128" t="str">
        <f t="shared" si="9"/>
        <v/>
      </c>
      <c r="T99" s="140" t="str">
        <f t="shared" si="10"/>
        <v/>
      </c>
      <c r="U99" s="141" t="str">
        <f t="shared" si="11"/>
        <v/>
      </c>
      <c r="V99" s="141" t="str">
        <f t="shared" si="12"/>
        <v/>
      </c>
      <c r="W99" s="142"/>
      <c r="X99" s="186" t="str">
        <f t="shared" si="13"/>
        <v/>
      </c>
    </row>
    <row r="100" spans="1:24" s="147" customFormat="1">
      <c r="A100" s="170"/>
      <c r="B100" s="145"/>
      <c r="C100" s="145"/>
      <c r="D100" s="145"/>
      <c r="E100" s="150"/>
      <c r="F100" s="145"/>
      <c r="G100" s="145"/>
      <c r="H100" s="145"/>
      <c r="I100" s="145"/>
      <c r="J100" s="145"/>
      <c r="K100" s="145"/>
      <c r="L100" s="145"/>
      <c r="M100" s="145"/>
      <c r="N100" s="146"/>
      <c r="O100" s="145"/>
      <c r="P100" s="138"/>
      <c r="Q100" s="255" t="str">
        <f t="shared" si="14"/>
        <v/>
      </c>
      <c r="R100" s="139" t="str">
        <f t="shared" si="15"/>
        <v/>
      </c>
      <c r="S100" s="128" t="str">
        <f t="shared" si="9"/>
        <v/>
      </c>
      <c r="T100" s="140" t="str">
        <f t="shared" si="10"/>
        <v/>
      </c>
      <c r="U100" s="141" t="str">
        <f t="shared" si="11"/>
        <v/>
      </c>
      <c r="V100" s="141" t="str">
        <f t="shared" si="12"/>
        <v/>
      </c>
      <c r="W100" s="142"/>
      <c r="X100" s="186" t="str">
        <f t="shared" si="13"/>
        <v/>
      </c>
    </row>
    <row r="101" spans="1:24" s="147" customFormat="1">
      <c r="A101" s="170"/>
      <c r="B101" s="145"/>
      <c r="C101" s="145"/>
      <c r="D101" s="146"/>
      <c r="E101" s="150"/>
      <c r="F101" s="145"/>
      <c r="G101" s="145"/>
      <c r="H101" s="145"/>
      <c r="I101" s="145"/>
      <c r="J101" s="145"/>
      <c r="K101" s="145"/>
      <c r="L101" s="145"/>
      <c r="M101" s="145"/>
      <c r="N101" s="146"/>
      <c r="O101" s="145"/>
      <c r="P101" s="138"/>
      <c r="Q101" s="255" t="str">
        <f t="shared" si="14"/>
        <v/>
      </c>
      <c r="R101" s="139" t="str">
        <f t="shared" si="15"/>
        <v/>
      </c>
      <c r="S101" s="128" t="str">
        <f t="shared" si="9"/>
        <v/>
      </c>
      <c r="T101" s="140" t="str">
        <f t="shared" si="10"/>
        <v/>
      </c>
      <c r="U101" s="141" t="str">
        <f t="shared" si="11"/>
        <v/>
      </c>
      <c r="V101" s="141" t="str">
        <f t="shared" si="12"/>
        <v/>
      </c>
      <c r="W101" s="142"/>
      <c r="X101" s="186" t="str">
        <f t="shared" si="13"/>
        <v/>
      </c>
    </row>
    <row r="102" spans="1:24" s="147" customFormat="1">
      <c r="A102" s="172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38"/>
      <c r="Q102" s="255" t="str">
        <f t="shared" si="14"/>
        <v/>
      </c>
      <c r="R102" s="139" t="str">
        <f t="shared" si="15"/>
        <v/>
      </c>
      <c r="S102" s="128" t="str">
        <f t="shared" si="9"/>
        <v/>
      </c>
      <c r="T102" s="140" t="str">
        <f t="shared" si="10"/>
        <v/>
      </c>
      <c r="U102" s="141" t="str">
        <f t="shared" si="11"/>
        <v/>
      </c>
      <c r="V102" s="141" t="str">
        <f t="shared" si="12"/>
        <v/>
      </c>
      <c r="W102" s="142"/>
      <c r="X102" s="186" t="str">
        <f t="shared" si="13"/>
        <v/>
      </c>
    </row>
    <row r="103" spans="1:24" s="147" customFormat="1">
      <c r="A103" s="170"/>
      <c r="B103" s="145"/>
      <c r="C103" s="145"/>
      <c r="D103" s="146"/>
      <c r="E103" s="150"/>
      <c r="F103" s="145"/>
      <c r="G103" s="145"/>
      <c r="H103" s="145"/>
      <c r="I103" s="145"/>
      <c r="J103" s="145"/>
      <c r="K103" s="145"/>
      <c r="L103" s="145"/>
      <c r="M103" s="145"/>
      <c r="N103" s="146"/>
      <c r="O103" s="145"/>
      <c r="P103" s="138"/>
      <c r="Q103" s="255" t="str">
        <f t="shared" si="14"/>
        <v/>
      </c>
      <c r="R103" s="139" t="str">
        <f t="shared" si="15"/>
        <v/>
      </c>
      <c r="S103" s="128" t="str">
        <f t="shared" si="9"/>
        <v/>
      </c>
      <c r="T103" s="140" t="str">
        <f t="shared" si="10"/>
        <v/>
      </c>
      <c r="U103" s="141" t="str">
        <f t="shared" si="11"/>
        <v/>
      </c>
      <c r="V103" s="141" t="str">
        <f t="shared" si="12"/>
        <v/>
      </c>
      <c r="W103" s="142"/>
      <c r="X103" s="186" t="str">
        <f t="shared" si="13"/>
        <v/>
      </c>
    </row>
    <row r="104" spans="1:24" s="147" customFormat="1">
      <c r="A104" s="172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38"/>
      <c r="Q104" s="255" t="str">
        <f t="shared" si="14"/>
        <v/>
      </c>
      <c r="R104" s="139" t="str">
        <f t="shared" si="15"/>
        <v/>
      </c>
      <c r="S104" s="128" t="str">
        <f t="shared" si="9"/>
        <v/>
      </c>
      <c r="T104" s="140" t="str">
        <f t="shared" si="10"/>
        <v/>
      </c>
      <c r="U104" s="141" t="str">
        <f t="shared" si="11"/>
        <v/>
      </c>
      <c r="V104" s="141" t="str">
        <f t="shared" si="12"/>
        <v/>
      </c>
      <c r="W104" s="142"/>
      <c r="X104" s="186" t="str">
        <f t="shared" si="13"/>
        <v/>
      </c>
    </row>
    <row r="105" spans="1:24" s="147" customFormat="1">
      <c r="A105" s="170"/>
      <c r="B105" s="145"/>
      <c r="C105" s="145"/>
      <c r="D105" s="145"/>
      <c r="E105" s="150"/>
      <c r="F105" s="145"/>
      <c r="G105" s="145"/>
      <c r="H105" s="145"/>
      <c r="I105" s="145"/>
      <c r="J105" s="145"/>
      <c r="K105" s="145"/>
      <c r="L105" s="145"/>
      <c r="M105" s="145"/>
      <c r="N105" s="149"/>
      <c r="O105" s="145"/>
      <c r="P105" s="138"/>
      <c r="Q105" s="255" t="str">
        <f t="shared" si="14"/>
        <v/>
      </c>
      <c r="R105" s="139" t="str">
        <f t="shared" si="15"/>
        <v/>
      </c>
      <c r="S105" s="128" t="str">
        <f t="shared" si="9"/>
        <v/>
      </c>
      <c r="T105" s="140" t="str">
        <f t="shared" si="10"/>
        <v/>
      </c>
      <c r="U105" s="141" t="str">
        <f t="shared" si="11"/>
        <v/>
      </c>
      <c r="V105" s="141" t="str">
        <f t="shared" si="12"/>
        <v/>
      </c>
      <c r="W105" s="142"/>
      <c r="X105" s="186" t="str">
        <f t="shared" si="13"/>
        <v/>
      </c>
    </row>
    <row r="106" spans="1:24" s="147" customFormat="1">
      <c r="A106" s="172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38"/>
      <c r="Q106" s="255" t="str">
        <f t="shared" si="14"/>
        <v/>
      </c>
      <c r="R106" s="139" t="str">
        <f t="shared" si="15"/>
        <v/>
      </c>
      <c r="S106" s="128" t="str">
        <f t="shared" si="9"/>
        <v/>
      </c>
      <c r="T106" s="140" t="str">
        <f t="shared" si="10"/>
        <v/>
      </c>
      <c r="U106" s="141" t="str">
        <f t="shared" si="11"/>
        <v/>
      </c>
      <c r="V106" s="141" t="str">
        <f t="shared" si="12"/>
        <v/>
      </c>
      <c r="W106" s="142"/>
      <c r="X106" s="186" t="str">
        <f t="shared" si="13"/>
        <v/>
      </c>
    </row>
    <row r="107" spans="1:24" s="147" customFormat="1">
      <c r="A107" s="170"/>
      <c r="B107" s="145"/>
      <c r="C107" s="145"/>
      <c r="D107" s="145"/>
      <c r="E107" s="150"/>
      <c r="F107" s="145"/>
      <c r="G107" s="145"/>
      <c r="H107" s="145"/>
      <c r="I107" s="145"/>
      <c r="J107" s="145"/>
      <c r="K107" s="145"/>
      <c r="L107" s="145"/>
      <c r="M107" s="145"/>
      <c r="N107" s="146"/>
      <c r="O107" s="145"/>
      <c r="P107" s="138"/>
      <c r="Q107" s="255" t="str">
        <f t="shared" si="14"/>
        <v/>
      </c>
      <c r="R107" s="139" t="str">
        <f t="shared" si="15"/>
        <v/>
      </c>
      <c r="S107" s="128" t="str">
        <f t="shared" si="9"/>
        <v/>
      </c>
      <c r="T107" s="140" t="str">
        <f t="shared" si="10"/>
        <v/>
      </c>
      <c r="U107" s="141" t="str">
        <f t="shared" si="11"/>
        <v/>
      </c>
      <c r="V107" s="141" t="str">
        <f t="shared" si="12"/>
        <v/>
      </c>
      <c r="W107" s="142"/>
      <c r="X107" s="186" t="str">
        <f t="shared" si="13"/>
        <v/>
      </c>
    </row>
    <row r="108" spans="1:24" s="147" customFormat="1">
      <c r="A108" s="170"/>
      <c r="B108" s="145"/>
      <c r="C108" s="145"/>
      <c r="D108" s="145"/>
      <c r="E108" s="150"/>
      <c r="F108" s="145"/>
      <c r="G108" s="145"/>
      <c r="H108" s="145"/>
      <c r="I108" s="145"/>
      <c r="J108" s="145"/>
      <c r="K108" s="145"/>
      <c r="L108" s="145"/>
      <c r="M108" s="145"/>
      <c r="N108" s="149"/>
      <c r="O108" s="145"/>
      <c r="P108" s="138"/>
      <c r="Q108" s="255" t="str">
        <f t="shared" si="14"/>
        <v/>
      </c>
      <c r="R108" s="139" t="str">
        <f t="shared" si="15"/>
        <v/>
      </c>
      <c r="S108" s="128" t="str">
        <f t="shared" si="9"/>
        <v/>
      </c>
      <c r="T108" s="140" t="str">
        <f t="shared" si="10"/>
        <v/>
      </c>
      <c r="U108" s="141" t="str">
        <f t="shared" si="11"/>
        <v/>
      </c>
      <c r="V108" s="141" t="str">
        <f t="shared" si="12"/>
        <v/>
      </c>
      <c r="W108" s="142"/>
      <c r="X108" s="186" t="str">
        <f t="shared" si="13"/>
        <v/>
      </c>
    </row>
    <row r="109" spans="1:24" s="147" customFormat="1">
      <c r="A109" s="172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38"/>
      <c r="Q109" s="255" t="str">
        <f t="shared" si="14"/>
        <v/>
      </c>
      <c r="R109" s="139" t="str">
        <f t="shared" si="15"/>
        <v/>
      </c>
      <c r="S109" s="128" t="str">
        <f t="shared" si="9"/>
        <v/>
      </c>
      <c r="T109" s="140" t="str">
        <f t="shared" si="10"/>
        <v/>
      </c>
      <c r="U109" s="141" t="str">
        <f t="shared" si="11"/>
        <v/>
      </c>
      <c r="V109" s="141" t="str">
        <f t="shared" si="12"/>
        <v/>
      </c>
      <c r="W109" s="142"/>
      <c r="X109" s="186" t="str">
        <f t="shared" si="13"/>
        <v/>
      </c>
    </row>
    <row r="110" spans="1:24" s="147" customFormat="1">
      <c r="A110" s="170"/>
      <c r="B110" s="145"/>
      <c r="C110" s="145"/>
      <c r="D110" s="145"/>
      <c r="E110" s="150"/>
      <c r="F110" s="145"/>
      <c r="G110" s="145"/>
      <c r="H110" s="145"/>
      <c r="I110" s="145"/>
      <c r="J110" s="145"/>
      <c r="K110" s="145"/>
      <c r="L110" s="145"/>
      <c r="M110" s="145"/>
      <c r="N110" s="146"/>
      <c r="O110" s="145"/>
      <c r="P110" s="138"/>
      <c r="Q110" s="255" t="str">
        <f t="shared" si="14"/>
        <v/>
      </c>
      <c r="R110" s="139" t="str">
        <f t="shared" si="15"/>
        <v/>
      </c>
      <c r="S110" s="128" t="str">
        <f t="shared" si="9"/>
        <v/>
      </c>
      <c r="T110" s="140" t="str">
        <f t="shared" si="10"/>
        <v/>
      </c>
      <c r="U110" s="141" t="str">
        <f t="shared" si="11"/>
        <v/>
      </c>
      <c r="V110" s="141" t="str">
        <f t="shared" si="12"/>
        <v/>
      </c>
      <c r="W110" s="142"/>
      <c r="X110" s="186" t="str">
        <f t="shared" si="13"/>
        <v/>
      </c>
    </row>
    <row r="111" spans="1:24" s="147" customFormat="1">
      <c r="A111" s="170"/>
      <c r="B111" s="145"/>
      <c r="C111" s="145"/>
      <c r="D111" s="149"/>
      <c r="E111" s="150"/>
      <c r="F111" s="145"/>
      <c r="G111" s="145"/>
      <c r="H111" s="145"/>
      <c r="I111" s="145"/>
      <c r="J111" s="145"/>
      <c r="K111" s="145"/>
      <c r="L111" s="145"/>
      <c r="M111" s="145"/>
      <c r="N111" s="149"/>
      <c r="O111" s="145"/>
      <c r="P111" s="138"/>
      <c r="Q111" s="255" t="str">
        <f t="shared" si="14"/>
        <v/>
      </c>
      <c r="R111" s="139" t="str">
        <f t="shared" si="15"/>
        <v/>
      </c>
      <c r="S111" s="128" t="str">
        <f t="shared" si="9"/>
        <v/>
      </c>
      <c r="T111" s="140" t="str">
        <f t="shared" si="10"/>
        <v/>
      </c>
      <c r="U111" s="141" t="str">
        <f t="shared" si="11"/>
        <v/>
      </c>
      <c r="V111" s="141" t="str">
        <f t="shared" si="12"/>
        <v/>
      </c>
      <c r="W111" s="142"/>
      <c r="X111" s="186" t="str">
        <f t="shared" si="13"/>
        <v/>
      </c>
    </row>
    <row r="112" spans="1:24" s="147" customFormat="1">
      <c r="A112" s="170"/>
      <c r="B112" s="145"/>
      <c r="C112" s="145"/>
      <c r="D112" s="146"/>
      <c r="E112" s="150"/>
      <c r="F112" s="145"/>
      <c r="G112" s="145"/>
      <c r="H112" s="145"/>
      <c r="I112" s="145"/>
      <c r="J112" s="145"/>
      <c r="K112" s="145"/>
      <c r="L112" s="145"/>
      <c r="M112" s="145"/>
      <c r="N112" s="146"/>
      <c r="O112" s="145"/>
      <c r="P112" s="138"/>
      <c r="Q112" s="255" t="str">
        <f t="shared" si="14"/>
        <v/>
      </c>
      <c r="R112" s="139" t="str">
        <f t="shared" si="15"/>
        <v/>
      </c>
      <c r="S112" s="128" t="str">
        <f t="shared" si="9"/>
        <v/>
      </c>
      <c r="T112" s="140" t="str">
        <f t="shared" si="10"/>
        <v/>
      </c>
      <c r="U112" s="141" t="str">
        <f t="shared" si="11"/>
        <v/>
      </c>
      <c r="V112" s="141" t="str">
        <f t="shared" si="12"/>
        <v/>
      </c>
      <c r="W112" s="142"/>
      <c r="X112" s="186" t="str">
        <f t="shared" si="13"/>
        <v/>
      </c>
    </row>
    <row r="113" spans="1:24" s="147" customFormat="1">
      <c r="A113" s="171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38"/>
      <c r="Q113" s="255" t="str">
        <f t="shared" si="14"/>
        <v/>
      </c>
      <c r="R113" s="139" t="str">
        <f t="shared" si="15"/>
        <v/>
      </c>
      <c r="S113" s="128" t="str">
        <f t="shared" si="9"/>
        <v/>
      </c>
      <c r="T113" s="140" t="str">
        <f t="shared" si="10"/>
        <v/>
      </c>
      <c r="U113" s="141" t="str">
        <f t="shared" si="11"/>
        <v/>
      </c>
      <c r="V113" s="141" t="str">
        <f t="shared" si="12"/>
        <v/>
      </c>
      <c r="W113" s="142"/>
      <c r="X113" s="186" t="str">
        <f t="shared" si="13"/>
        <v/>
      </c>
    </row>
    <row r="114" spans="1:24" s="147" customFormat="1">
      <c r="A114" s="170"/>
      <c r="B114" s="145"/>
      <c r="C114" s="145"/>
      <c r="D114" s="145"/>
      <c r="E114" s="150"/>
      <c r="F114" s="145"/>
      <c r="G114" s="145"/>
      <c r="H114" s="145"/>
      <c r="I114" s="145"/>
      <c r="J114" s="145"/>
      <c r="K114" s="145"/>
      <c r="L114" s="145"/>
      <c r="M114" s="145"/>
      <c r="N114" s="149"/>
      <c r="O114" s="145"/>
      <c r="P114" s="138"/>
      <c r="Q114" s="255" t="str">
        <f t="shared" si="14"/>
        <v/>
      </c>
      <c r="R114" s="139" t="str">
        <f t="shared" si="15"/>
        <v/>
      </c>
      <c r="S114" s="128" t="str">
        <f t="shared" si="9"/>
        <v/>
      </c>
      <c r="T114" s="140" t="str">
        <f t="shared" si="10"/>
        <v/>
      </c>
      <c r="U114" s="141" t="str">
        <f t="shared" si="11"/>
        <v/>
      </c>
      <c r="V114" s="141" t="str">
        <f t="shared" si="12"/>
        <v/>
      </c>
      <c r="W114" s="142"/>
      <c r="X114" s="186" t="str">
        <f t="shared" si="13"/>
        <v/>
      </c>
    </row>
    <row r="115" spans="1:24" s="147" customFormat="1">
      <c r="A115" s="172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38"/>
      <c r="Q115" s="255" t="str">
        <f t="shared" si="14"/>
        <v/>
      </c>
      <c r="R115" s="139" t="str">
        <f t="shared" si="15"/>
        <v/>
      </c>
      <c r="S115" s="128" t="str">
        <f t="shared" si="9"/>
        <v/>
      </c>
      <c r="T115" s="140" t="str">
        <f t="shared" si="10"/>
        <v/>
      </c>
      <c r="U115" s="141" t="str">
        <f t="shared" si="11"/>
        <v/>
      </c>
      <c r="V115" s="141" t="str">
        <f t="shared" si="12"/>
        <v/>
      </c>
      <c r="W115" s="142"/>
      <c r="X115" s="186" t="str">
        <f t="shared" si="13"/>
        <v/>
      </c>
    </row>
    <row r="116" spans="1:24" s="147" customFormat="1">
      <c r="A116" s="170"/>
      <c r="B116" s="145"/>
      <c r="C116" s="145"/>
      <c r="D116" s="145"/>
      <c r="E116" s="150"/>
      <c r="F116" s="145"/>
      <c r="G116" s="145"/>
      <c r="H116" s="145"/>
      <c r="I116" s="145"/>
      <c r="J116" s="145"/>
      <c r="K116" s="145"/>
      <c r="L116" s="145"/>
      <c r="M116" s="145"/>
      <c r="N116" s="146"/>
      <c r="O116" s="145"/>
      <c r="P116" s="138"/>
      <c r="Q116" s="255" t="str">
        <f t="shared" si="14"/>
        <v/>
      </c>
      <c r="R116" s="139" t="str">
        <f t="shared" si="15"/>
        <v/>
      </c>
      <c r="S116" s="128" t="str">
        <f t="shared" si="9"/>
        <v/>
      </c>
      <c r="T116" s="140" t="str">
        <f t="shared" si="10"/>
        <v/>
      </c>
      <c r="U116" s="141" t="str">
        <f t="shared" si="11"/>
        <v/>
      </c>
      <c r="V116" s="141" t="str">
        <f t="shared" si="12"/>
        <v/>
      </c>
      <c r="W116" s="142"/>
      <c r="X116" s="186" t="str">
        <f t="shared" si="13"/>
        <v/>
      </c>
    </row>
    <row r="117" spans="1:24" s="147" customFormat="1">
      <c r="A117" s="170"/>
      <c r="B117" s="145"/>
      <c r="C117" s="145"/>
      <c r="D117" s="145"/>
      <c r="E117" s="150"/>
      <c r="F117" s="145"/>
      <c r="G117" s="145"/>
      <c r="H117" s="145"/>
      <c r="I117" s="145"/>
      <c r="J117" s="145"/>
      <c r="K117" s="145"/>
      <c r="L117" s="145"/>
      <c r="M117" s="145"/>
      <c r="N117" s="149"/>
      <c r="O117" s="145"/>
      <c r="P117" s="138"/>
      <c r="Q117" s="255" t="str">
        <f t="shared" si="14"/>
        <v/>
      </c>
      <c r="R117" s="139" t="str">
        <f t="shared" si="15"/>
        <v/>
      </c>
      <c r="S117" s="128" t="str">
        <f t="shared" si="9"/>
        <v/>
      </c>
      <c r="T117" s="140" t="str">
        <f t="shared" si="10"/>
        <v/>
      </c>
      <c r="U117" s="141" t="str">
        <f t="shared" si="11"/>
        <v/>
      </c>
      <c r="V117" s="141" t="str">
        <f t="shared" si="12"/>
        <v/>
      </c>
      <c r="W117" s="142"/>
      <c r="X117" s="186" t="str">
        <f t="shared" si="13"/>
        <v/>
      </c>
    </row>
    <row r="118" spans="1:24" s="147" customFormat="1">
      <c r="A118" s="172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38"/>
      <c r="Q118" s="255" t="str">
        <f t="shared" si="14"/>
        <v/>
      </c>
      <c r="R118" s="139" t="str">
        <f t="shared" si="15"/>
        <v/>
      </c>
      <c r="S118" s="128" t="str">
        <f t="shared" si="9"/>
        <v/>
      </c>
      <c r="T118" s="140" t="str">
        <f t="shared" si="10"/>
        <v/>
      </c>
      <c r="U118" s="141" t="str">
        <f t="shared" si="11"/>
        <v/>
      </c>
      <c r="V118" s="141" t="str">
        <f t="shared" si="12"/>
        <v/>
      </c>
      <c r="W118" s="142"/>
      <c r="X118" s="186" t="str">
        <f t="shared" si="13"/>
        <v/>
      </c>
    </row>
    <row r="119" spans="1:24" s="147" customFormat="1">
      <c r="A119" s="170"/>
      <c r="B119" s="145"/>
      <c r="C119" s="145"/>
      <c r="D119" s="145"/>
      <c r="E119" s="150"/>
      <c r="F119" s="145"/>
      <c r="G119" s="145"/>
      <c r="H119" s="145"/>
      <c r="I119" s="145"/>
      <c r="J119" s="145"/>
      <c r="K119" s="145"/>
      <c r="L119" s="145"/>
      <c r="M119" s="145"/>
      <c r="N119" s="146"/>
      <c r="O119" s="145"/>
      <c r="P119" s="138"/>
      <c r="Q119" s="255" t="str">
        <f t="shared" si="14"/>
        <v/>
      </c>
      <c r="R119" s="139" t="str">
        <f t="shared" si="15"/>
        <v/>
      </c>
      <c r="S119" s="128" t="str">
        <f t="shared" si="9"/>
        <v/>
      </c>
      <c r="T119" s="140" t="str">
        <f t="shared" si="10"/>
        <v/>
      </c>
      <c r="U119" s="141" t="str">
        <f t="shared" si="11"/>
        <v/>
      </c>
      <c r="V119" s="141" t="str">
        <f t="shared" si="12"/>
        <v/>
      </c>
      <c r="W119" s="142"/>
      <c r="X119" s="186" t="str">
        <f t="shared" si="13"/>
        <v/>
      </c>
    </row>
    <row r="120" spans="1:24" s="147" customFormat="1">
      <c r="A120" s="170"/>
      <c r="B120" s="145"/>
      <c r="C120" s="145"/>
      <c r="D120" s="145"/>
      <c r="E120" s="150"/>
      <c r="F120" s="145"/>
      <c r="G120" s="145"/>
      <c r="H120" s="145"/>
      <c r="I120" s="145"/>
      <c r="J120" s="145"/>
      <c r="K120" s="145"/>
      <c r="L120" s="145"/>
      <c r="M120" s="145"/>
      <c r="N120" s="146"/>
      <c r="O120" s="145"/>
      <c r="P120" s="138"/>
      <c r="Q120" s="255" t="str">
        <f t="shared" si="14"/>
        <v/>
      </c>
      <c r="R120" s="139" t="str">
        <f t="shared" si="15"/>
        <v/>
      </c>
      <c r="S120" s="128" t="str">
        <f t="shared" si="9"/>
        <v/>
      </c>
      <c r="T120" s="140" t="str">
        <f t="shared" si="10"/>
        <v/>
      </c>
      <c r="U120" s="141" t="str">
        <f t="shared" si="11"/>
        <v/>
      </c>
      <c r="V120" s="141" t="str">
        <f t="shared" si="12"/>
        <v/>
      </c>
      <c r="W120" s="142"/>
      <c r="X120" s="186" t="str">
        <f t="shared" si="13"/>
        <v/>
      </c>
    </row>
    <row r="121" spans="1:24" s="147" customFormat="1">
      <c r="A121" s="170"/>
      <c r="B121" s="145"/>
      <c r="C121" s="145"/>
      <c r="D121" s="145"/>
      <c r="E121" s="150"/>
      <c r="F121" s="145"/>
      <c r="G121" s="145"/>
      <c r="H121" s="145"/>
      <c r="I121" s="145"/>
      <c r="J121" s="145"/>
      <c r="K121" s="145"/>
      <c r="L121" s="145"/>
      <c r="M121" s="145"/>
      <c r="N121" s="149"/>
      <c r="O121" s="145"/>
      <c r="P121" s="138"/>
      <c r="Q121" s="255" t="str">
        <f t="shared" si="14"/>
        <v/>
      </c>
      <c r="R121" s="139" t="str">
        <f t="shared" si="15"/>
        <v/>
      </c>
      <c r="S121" s="128" t="str">
        <f t="shared" si="9"/>
        <v/>
      </c>
      <c r="T121" s="140" t="str">
        <f t="shared" si="10"/>
        <v/>
      </c>
      <c r="U121" s="141" t="str">
        <f t="shared" si="11"/>
        <v/>
      </c>
      <c r="V121" s="141" t="str">
        <f t="shared" si="12"/>
        <v/>
      </c>
      <c r="W121" s="142"/>
      <c r="X121" s="186" t="str">
        <f t="shared" si="13"/>
        <v/>
      </c>
    </row>
    <row r="122" spans="1:24" s="147" customFormat="1">
      <c r="A122" s="172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38"/>
      <c r="Q122" s="255" t="str">
        <f t="shared" si="14"/>
        <v/>
      </c>
      <c r="R122" s="139" t="str">
        <f t="shared" si="15"/>
        <v/>
      </c>
      <c r="S122" s="128" t="str">
        <f t="shared" si="9"/>
        <v/>
      </c>
      <c r="T122" s="140" t="str">
        <f t="shared" si="10"/>
        <v/>
      </c>
      <c r="U122" s="141" t="str">
        <f t="shared" si="11"/>
        <v/>
      </c>
      <c r="V122" s="141" t="str">
        <f t="shared" si="12"/>
        <v/>
      </c>
      <c r="W122" s="142"/>
      <c r="X122" s="186" t="str">
        <f t="shared" si="13"/>
        <v/>
      </c>
    </row>
    <row r="123" spans="1:24" s="147" customFormat="1">
      <c r="A123" s="170"/>
      <c r="B123" s="145"/>
      <c r="C123" s="145"/>
      <c r="D123" s="145"/>
      <c r="E123" s="150"/>
      <c r="F123" s="145"/>
      <c r="G123" s="145"/>
      <c r="H123" s="145"/>
      <c r="I123" s="145"/>
      <c r="J123" s="145"/>
      <c r="K123" s="145"/>
      <c r="L123" s="145"/>
      <c r="M123" s="145"/>
      <c r="N123" s="146"/>
      <c r="O123" s="145"/>
      <c r="P123" s="138"/>
      <c r="Q123" s="255" t="str">
        <f t="shared" si="14"/>
        <v/>
      </c>
      <c r="R123" s="139" t="str">
        <f t="shared" si="15"/>
        <v/>
      </c>
      <c r="S123" s="128" t="str">
        <f t="shared" si="9"/>
        <v/>
      </c>
      <c r="T123" s="140" t="str">
        <f t="shared" si="10"/>
        <v/>
      </c>
      <c r="U123" s="141" t="str">
        <f t="shared" si="11"/>
        <v/>
      </c>
      <c r="V123" s="141" t="str">
        <f t="shared" si="12"/>
        <v/>
      </c>
      <c r="W123" s="142"/>
      <c r="X123" s="186" t="str">
        <f t="shared" si="13"/>
        <v/>
      </c>
    </row>
    <row r="124" spans="1:24" s="147" customFormat="1">
      <c r="A124" s="170"/>
      <c r="B124" s="145"/>
      <c r="C124" s="145"/>
      <c r="D124" s="146"/>
      <c r="E124" s="150"/>
      <c r="F124" s="145"/>
      <c r="G124" s="145"/>
      <c r="H124" s="145"/>
      <c r="I124" s="145"/>
      <c r="J124" s="145"/>
      <c r="K124" s="145"/>
      <c r="L124" s="145"/>
      <c r="M124" s="145"/>
      <c r="N124" s="146"/>
      <c r="O124" s="145"/>
      <c r="P124" s="138"/>
      <c r="Q124" s="255" t="str">
        <f t="shared" si="14"/>
        <v/>
      </c>
      <c r="R124" s="139" t="str">
        <f t="shared" si="15"/>
        <v/>
      </c>
      <c r="S124" s="128" t="str">
        <f t="shared" si="9"/>
        <v/>
      </c>
      <c r="T124" s="140" t="str">
        <f t="shared" si="10"/>
        <v/>
      </c>
      <c r="U124" s="141" t="str">
        <f t="shared" si="11"/>
        <v/>
      </c>
      <c r="V124" s="141" t="str">
        <f t="shared" si="12"/>
        <v/>
      </c>
      <c r="W124" s="142"/>
      <c r="X124" s="186" t="str">
        <f t="shared" si="13"/>
        <v/>
      </c>
    </row>
    <row r="125" spans="1:24" s="147" customFormat="1">
      <c r="A125" s="171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38"/>
      <c r="Q125" s="255" t="str">
        <f t="shared" si="14"/>
        <v/>
      </c>
      <c r="R125" s="139" t="str">
        <f t="shared" si="15"/>
        <v/>
      </c>
      <c r="S125" s="128" t="str">
        <f t="shared" si="9"/>
        <v/>
      </c>
      <c r="T125" s="140" t="str">
        <f t="shared" si="10"/>
        <v/>
      </c>
      <c r="U125" s="141" t="str">
        <f t="shared" si="11"/>
        <v/>
      </c>
      <c r="V125" s="141" t="str">
        <f t="shared" si="12"/>
        <v/>
      </c>
      <c r="W125" s="142"/>
      <c r="X125" s="186" t="str">
        <f t="shared" si="13"/>
        <v/>
      </c>
    </row>
    <row r="126" spans="1:24" s="147" customFormat="1">
      <c r="A126" s="170"/>
      <c r="B126" s="145"/>
      <c r="C126" s="145"/>
      <c r="D126" s="145"/>
      <c r="E126" s="150"/>
      <c r="F126" s="145"/>
      <c r="G126" s="145"/>
      <c r="H126" s="145"/>
      <c r="I126" s="145"/>
      <c r="J126" s="145"/>
      <c r="K126" s="145"/>
      <c r="L126" s="145"/>
      <c r="M126" s="145"/>
      <c r="N126" s="149"/>
      <c r="O126" s="145"/>
      <c r="P126" s="138"/>
      <c r="Q126" s="255" t="str">
        <f t="shared" si="14"/>
        <v/>
      </c>
      <c r="R126" s="139" t="str">
        <f t="shared" si="15"/>
        <v/>
      </c>
      <c r="S126" s="128" t="str">
        <f t="shared" si="9"/>
        <v/>
      </c>
      <c r="T126" s="140" t="str">
        <f t="shared" si="10"/>
        <v/>
      </c>
      <c r="U126" s="141" t="str">
        <f t="shared" si="11"/>
        <v/>
      </c>
      <c r="V126" s="141" t="str">
        <f t="shared" si="12"/>
        <v/>
      </c>
      <c r="W126" s="142"/>
      <c r="X126" s="186" t="str">
        <f t="shared" si="13"/>
        <v/>
      </c>
    </row>
    <row r="127" spans="1:24" s="147" customFormat="1">
      <c r="A127" s="172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38"/>
      <c r="Q127" s="255" t="str">
        <f t="shared" si="14"/>
        <v/>
      </c>
      <c r="R127" s="139" t="str">
        <f t="shared" si="15"/>
        <v/>
      </c>
      <c r="S127" s="128" t="str">
        <f t="shared" si="9"/>
        <v/>
      </c>
      <c r="T127" s="140" t="str">
        <f t="shared" si="10"/>
        <v/>
      </c>
      <c r="U127" s="141" t="str">
        <f t="shared" si="11"/>
        <v/>
      </c>
      <c r="V127" s="141" t="str">
        <f t="shared" si="12"/>
        <v/>
      </c>
      <c r="W127" s="142"/>
      <c r="X127" s="186" t="str">
        <f t="shared" si="13"/>
        <v/>
      </c>
    </row>
    <row r="128" spans="1:24" s="147" customFormat="1">
      <c r="A128" s="170"/>
      <c r="B128" s="145"/>
      <c r="C128" s="145"/>
      <c r="D128" s="145"/>
      <c r="E128" s="150"/>
      <c r="F128" s="145"/>
      <c r="G128" s="145"/>
      <c r="H128" s="145"/>
      <c r="I128" s="145"/>
      <c r="J128" s="145"/>
      <c r="K128" s="145"/>
      <c r="L128" s="145"/>
      <c r="M128" s="145"/>
      <c r="N128" s="146"/>
      <c r="O128" s="145"/>
      <c r="P128" s="138"/>
      <c r="Q128" s="255" t="str">
        <f t="shared" si="14"/>
        <v/>
      </c>
      <c r="R128" s="139" t="str">
        <f t="shared" si="15"/>
        <v/>
      </c>
      <c r="S128" s="128" t="str">
        <f t="shared" si="9"/>
        <v/>
      </c>
      <c r="T128" s="140" t="str">
        <f t="shared" si="10"/>
        <v/>
      </c>
      <c r="U128" s="141" t="str">
        <f t="shared" si="11"/>
        <v/>
      </c>
      <c r="V128" s="141" t="str">
        <f t="shared" si="12"/>
        <v/>
      </c>
      <c r="W128" s="142"/>
      <c r="X128" s="186" t="str">
        <f t="shared" si="13"/>
        <v/>
      </c>
    </row>
    <row r="129" spans="1:24" s="147" customFormat="1">
      <c r="A129" s="170"/>
      <c r="B129" s="145"/>
      <c r="C129" s="145"/>
      <c r="D129" s="145"/>
      <c r="E129" s="150"/>
      <c r="F129" s="145"/>
      <c r="G129" s="145"/>
      <c r="H129" s="145"/>
      <c r="I129" s="145"/>
      <c r="J129" s="145"/>
      <c r="K129" s="145"/>
      <c r="L129" s="145"/>
      <c r="M129" s="145"/>
      <c r="N129" s="149"/>
      <c r="O129" s="145"/>
      <c r="P129" s="138"/>
      <c r="Q129" s="255" t="str">
        <f t="shared" si="14"/>
        <v/>
      </c>
      <c r="R129" s="139" t="str">
        <f t="shared" si="15"/>
        <v/>
      </c>
      <c r="S129" s="128" t="str">
        <f t="shared" si="9"/>
        <v/>
      </c>
      <c r="T129" s="140" t="str">
        <f t="shared" si="10"/>
        <v/>
      </c>
      <c r="U129" s="141" t="str">
        <f t="shared" si="11"/>
        <v/>
      </c>
      <c r="V129" s="141" t="str">
        <f t="shared" si="12"/>
        <v/>
      </c>
      <c r="W129" s="142"/>
      <c r="X129" s="186" t="str">
        <f t="shared" si="13"/>
        <v/>
      </c>
    </row>
    <row r="130" spans="1:24" s="147" customFormat="1">
      <c r="A130" s="172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38"/>
      <c r="Q130" s="255" t="str">
        <f t="shared" si="14"/>
        <v/>
      </c>
      <c r="R130" s="139" t="str">
        <f t="shared" si="15"/>
        <v/>
      </c>
      <c r="S130" s="128" t="str">
        <f t="shared" si="9"/>
        <v/>
      </c>
      <c r="T130" s="140" t="str">
        <f t="shared" si="10"/>
        <v/>
      </c>
      <c r="U130" s="141" t="str">
        <f t="shared" si="11"/>
        <v/>
      </c>
      <c r="V130" s="141" t="str">
        <f t="shared" si="12"/>
        <v/>
      </c>
      <c r="W130" s="142"/>
      <c r="X130" s="186" t="str">
        <f t="shared" si="13"/>
        <v/>
      </c>
    </row>
    <row r="131" spans="1:24" s="147" customFormat="1">
      <c r="A131" s="170"/>
      <c r="B131" s="145"/>
      <c r="C131" s="145"/>
      <c r="D131" s="145"/>
      <c r="E131" s="150"/>
      <c r="F131" s="145"/>
      <c r="G131" s="145"/>
      <c r="H131" s="145"/>
      <c r="I131" s="145"/>
      <c r="J131" s="145"/>
      <c r="K131" s="145"/>
      <c r="L131" s="145"/>
      <c r="M131" s="145"/>
      <c r="N131" s="146"/>
      <c r="O131" s="145"/>
      <c r="P131" s="138"/>
      <c r="Q131" s="255" t="str">
        <f t="shared" si="14"/>
        <v/>
      </c>
      <c r="R131" s="139" t="str">
        <f t="shared" si="15"/>
        <v/>
      </c>
      <c r="S131" s="128" t="str">
        <f t="shared" si="9"/>
        <v/>
      </c>
      <c r="T131" s="140" t="str">
        <f t="shared" si="10"/>
        <v/>
      </c>
      <c r="U131" s="141" t="str">
        <f t="shared" si="11"/>
        <v/>
      </c>
      <c r="V131" s="141" t="str">
        <f t="shared" si="12"/>
        <v/>
      </c>
      <c r="W131" s="142"/>
      <c r="X131" s="186" t="str">
        <f t="shared" si="13"/>
        <v/>
      </c>
    </row>
    <row r="132" spans="1:24" s="147" customFormat="1">
      <c r="A132" s="170"/>
      <c r="B132" s="145"/>
      <c r="C132" s="145"/>
      <c r="D132" s="146"/>
      <c r="E132" s="150"/>
      <c r="F132" s="145"/>
      <c r="G132" s="145"/>
      <c r="H132" s="145"/>
      <c r="I132" s="145"/>
      <c r="J132" s="145"/>
      <c r="K132" s="145"/>
      <c r="L132" s="145"/>
      <c r="M132" s="145"/>
      <c r="N132" s="146"/>
      <c r="O132" s="145"/>
      <c r="P132" s="138"/>
      <c r="Q132" s="255" t="str">
        <f t="shared" si="14"/>
        <v/>
      </c>
      <c r="R132" s="139" t="str">
        <f t="shared" si="15"/>
        <v/>
      </c>
      <c r="S132" s="128" t="str">
        <f t="shared" si="9"/>
        <v/>
      </c>
      <c r="T132" s="140" t="str">
        <f t="shared" si="10"/>
        <v/>
      </c>
      <c r="U132" s="141" t="str">
        <f t="shared" si="11"/>
        <v/>
      </c>
      <c r="V132" s="141" t="str">
        <f t="shared" si="12"/>
        <v/>
      </c>
      <c r="W132" s="142"/>
      <c r="X132" s="186" t="str">
        <f t="shared" si="13"/>
        <v/>
      </c>
    </row>
    <row r="133" spans="1:24" s="147" customFormat="1">
      <c r="A133" s="172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38"/>
      <c r="Q133" s="255" t="str">
        <f t="shared" si="14"/>
        <v/>
      </c>
      <c r="R133" s="139" t="str">
        <f t="shared" si="15"/>
        <v/>
      </c>
      <c r="S133" s="128" t="str">
        <f t="shared" si="9"/>
        <v/>
      </c>
      <c r="T133" s="140" t="str">
        <f t="shared" si="10"/>
        <v/>
      </c>
      <c r="U133" s="141" t="str">
        <f t="shared" si="11"/>
        <v/>
      </c>
      <c r="V133" s="141" t="str">
        <f t="shared" si="12"/>
        <v/>
      </c>
      <c r="W133" s="142"/>
      <c r="X133" s="186" t="str">
        <f t="shared" si="13"/>
        <v/>
      </c>
    </row>
    <row r="134" spans="1:24" s="147" customFormat="1">
      <c r="A134" s="170"/>
      <c r="B134" s="145"/>
      <c r="C134" s="145"/>
      <c r="D134" s="149"/>
      <c r="E134" s="150"/>
      <c r="F134" s="145"/>
      <c r="G134" s="145"/>
      <c r="H134" s="145"/>
      <c r="I134" s="145"/>
      <c r="J134" s="145"/>
      <c r="K134" s="145"/>
      <c r="L134" s="145"/>
      <c r="M134" s="145"/>
      <c r="N134" s="149"/>
      <c r="O134" s="145"/>
      <c r="P134" s="138"/>
      <c r="Q134" s="255" t="str">
        <f t="shared" si="14"/>
        <v/>
      </c>
      <c r="R134" s="139" t="str">
        <f t="shared" si="15"/>
        <v/>
      </c>
      <c r="S134" s="128" t="str">
        <f t="shared" si="9"/>
        <v/>
      </c>
      <c r="T134" s="140" t="str">
        <f t="shared" si="10"/>
        <v/>
      </c>
      <c r="U134" s="141" t="str">
        <f t="shared" si="11"/>
        <v/>
      </c>
      <c r="V134" s="141" t="str">
        <f t="shared" si="12"/>
        <v/>
      </c>
      <c r="W134" s="142"/>
      <c r="X134" s="186" t="str">
        <f t="shared" si="13"/>
        <v/>
      </c>
    </row>
    <row r="135" spans="1:24" s="147" customFormat="1">
      <c r="A135" s="170"/>
      <c r="B135" s="145"/>
      <c r="C135" s="145"/>
      <c r="D135" s="149"/>
      <c r="E135" s="150"/>
      <c r="F135" s="145"/>
      <c r="G135" s="145"/>
      <c r="H135" s="145"/>
      <c r="I135" s="145"/>
      <c r="J135" s="145"/>
      <c r="K135" s="145"/>
      <c r="L135" s="145"/>
      <c r="M135" s="145"/>
      <c r="N135" s="149"/>
      <c r="O135" s="145"/>
      <c r="P135" s="138"/>
      <c r="Q135" s="255" t="str">
        <f t="shared" si="14"/>
        <v/>
      </c>
      <c r="R135" s="139" t="str">
        <f t="shared" si="15"/>
        <v/>
      </c>
      <c r="S135" s="128" t="str">
        <f t="shared" ref="S135:S198" si="16">IF(D135="","",IF(IFERROR(FIND("資",D135)&gt;0,FALSE),"資券",IF(IFERROR(FIND("券",D135)&gt;0,FALSE),"資券","波段")))</f>
        <v/>
      </c>
      <c r="T135" s="140" t="str">
        <f t="shared" ref="T135:T198" si="17">IF(F135="","",F135)</f>
        <v/>
      </c>
      <c r="U135" s="141" t="str">
        <f t="shared" ref="U135:U198" si="18">IF(D135="","",IF(IFERROR(FIND("買",D135)&gt;0,FALSE),E135,IF(IFERROR(FIND("賣",D135)&gt;0,FALSE),-E135,IF(IFERROR(FIND("資",D135)&gt;0,FALSE),E135,-E135))))</f>
        <v/>
      </c>
      <c r="V135" s="141" t="str">
        <f t="shared" ref="V135:V198" si="19">IF(Q135="","",T135*U135*-1)</f>
        <v/>
      </c>
      <c r="W135" s="142"/>
      <c r="X135" s="186" t="str">
        <f t="shared" ref="X135:X198" si="20">IFERROR((-1)*LEFT(N135,FIND("扣",N135)-1),IFERROR(1*LEFT(N135,FIND("入",N135)-1),""))</f>
        <v/>
      </c>
    </row>
    <row r="136" spans="1:24" s="147" customFormat="1">
      <c r="A136" s="170"/>
      <c r="B136" s="145"/>
      <c r="C136" s="145"/>
      <c r="D136" s="149"/>
      <c r="E136" s="150"/>
      <c r="F136" s="145"/>
      <c r="G136" s="145"/>
      <c r="H136" s="145"/>
      <c r="I136" s="145"/>
      <c r="J136" s="145"/>
      <c r="K136" s="145"/>
      <c r="L136" s="145"/>
      <c r="M136" s="145"/>
      <c r="N136" s="149"/>
      <c r="O136" s="145"/>
      <c r="P136" s="138"/>
      <c r="Q136" s="255" t="str">
        <f t="shared" ref="Q136:Q199" si="21">IF(B136="","",DATE(LEFT(B136,3)+1911,MID(B136,4,2),RIGHT(B136,2)))</f>
        <v/>
      </c>
      <c r="R136" s="139" t="str">
        <f t="shared" ref="R136:R199" si="22">IF(C136="","",IFERROR(INDEX(代號1,MATCH($C136,股名1,0)),IFERROR(INDEX(代號2,MATCH($C136,股名2,0)),INDEX(代號3,MATCH($C136,股名3,0)))))</f>
        <v/>
      </c>
      <c r="S136" s="128" t="str">
        <f t="shared" si="16"/>
        <v/>
      </c>
      <c r="T136" s="140" t="str">
        <f t="shared" si="17"/>
        <v/>
      </c>
      <c r="U136" s="141" t="str">
        <f t="shared" si="18"/>
        <v/>
      </c>
      <c r="V136" s="141" t="str">
        <f t="shared" si="19"/>
        <v/>
      </c>
      <c r="W136" s="142"/>
      <c r="X136" s="186" t="str">
        <f t="shared" si="20"/>
        <v/>
      </c>
    </row>
    <row r="137" spans="1:24" s="147" customFormat="1">
      <c r="A137" s="170"/>
      <c r="B137" s="145"/>
      <c r="C137" s="145"/>
      <c r="D137" s="149"/>
      <c r="E137" s="150"/>
      <c r="F137" s="145"/>
      <c r="G137" s="145"/>
      <c r="H137" s="145"/>
      <c r="I137" s="145"/>
      <c r="J137" s="145"/>
      <c r="K137" s="145"/>
      <c r="L137" s="145"/>
      <c r="M137" s="145"/>
      <c r="N137" s="149"/>
      <c r="O137" s="145"/>
      <c r="P137" s="138"/>
      <c r="Q137" s="255" t="str">
        <f t="shared" si="21"/>
        <v/>
      </c>
      <c r="R137" s="139" t="str">
        <f t="shared" si="22"/>
        <v/>
      </c>
      <c r="S137" s="128" t="str">
        <f t="shared" si="16"/>
        <v/>
      </c>
      <c r="T137" s="140" t="str">
        <f t="shared" si="17"/>
        <v/>
      </c>
      <c r="U137" s="141" t="str">
        <f t="shared" si="18"/>
        <v/>
      </c>
      <c r="V137" s="141" t="str">
        <f t="shared" si="19"/>
        <v/>
      </c>
      <c r="W137" s="142"/>
      <c r="X137" s="186" t="str">
        <f t="shared" si="20"/>
        <v/>
      </c>
    </row>
    <row r="138" spans="1:24" s="147" customFormat="1">
      <c r="A138" s="170"/>
      <c r="B138" s="145"/>
      <c r="C138" s="145"/>
      <c r="D138" s="149"/>
      <c r="E138" s="150"/>
      <c r="F138" s="145"/>
      <c r="G138" s="145"/>
      <c r="H138" s="145"/>
      <c r="I138" s="145"/>
      <c r="J138" s="145"/>
      <c r="K138" s="145"/>
      <c r="L138" s="145"/>
      <c r="M138" s="145"/>
      <c r="N138" s="149"/>
      <c r="O138" s="145"/>
      <c r="P138" s="138"/>
      <c r="Q138" s="255" t="str">
        <f t="shared" si="21"/>
        <v/>
      </c>
      <c r="R138" s="139" t="str">
        <f t="shared" si="22"/>
        <v/>
      </c>
      <c r="S138" s="128" t="str">
        <f t="shared" si="16"/>
        <v/>
      </c>
      <c r="T138" s="140" t="str">
        <f t="shared" si="17"/>
        <v/>
      </c>
      <c r="U138" s="141" t="str">
        <f t="shared" si="18"/>
        <v/>
      </c>
      <c r="V138" s="141" t="str">
        <f t="shared" si="19"/>
        <v/>
      </c>
      <c r="W138" s="142"/>
      <c r="X138" s="186" t="str">
        <f t="shared" si="20"/>
        <v/>
      </c>
    </row>
    <row r="139" spans="1:24" s="147" customFormat="1">
      <c r="A139" s="170"/>
      <c r="B139" s="145"/>
      <c r="C139" s="145"/>
      <c r="D139" s="146"/>
      <c r="E139" s="150"/>
      <c r="F139" s="145"/>
      <c r="G139" s="145"/>
      <c r="H139" s="145"/>
      <c r="I139" s="145"/>
      <c r="J139" s="145"/>
      <c r="K139" s="145"/>
      <c r="L139" s="145"/>
      <c r="M139" s="145"/>
      <c r="N139" s="146"/>
      <c r="O139" s="145"/>
      <c r="P139" s="138"/>
      <c r="Q139" s="255" t="str">
        <f t="shared" si="21"/>
        <v/>
      </c>
      <c r="R139" s="139" t="str">
        <f t="shared" si="22"/>
        <v/>
      </c>
      <c r="S139" s="128" t="str">
        <f t="shared" si="16"/>
        <v/>
      </c>
      <c r="T139" s="140" t="str">
        <f t="shared" si="17"/>
        <v/>
      </c>
      <c r="U139" s="141" t="str">
        <f t="shared" si="18"/>
        <v/>
      </c>
      <c r="V139" s="141" t="str">
        <f t="shared" si="19"/>
        <v/>
      </c>
      <c r="W139" s="142"/>
      <c r="X139" s="186" t="str">
        <f t="shared" si="20"/>
        <v/>
      </c>
    </row>
    <row r="140" spans="1:24" s="147" customFormat="1">
      <c r="A140" s="171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38"/>
      <c r="Q140" s="255" t="str">
        <f t="shared" si="21"/>
        <v/>
      </c>
      <c r="R140" s="139" t="str">
        <f t="shared" si="22"/>
        <v/>
      </c>
      <c r="S140" s="128" t="str">
        <f t="shared" si="16"/>
        <v/>
      </c>
      <c r="T140" s="140" t="str">
        <f t="shared" si="17"/>
        <v/>
      </c>
      <c r="U140" s="141" t="str">
        <f t="shared" si="18"/>
        <v/>
      </c>
      <c r="V140" s="141" t="str">
        <f t="shared" si="19"/>
        <v/>
      </c>
      <c r="W140" s="142"/>
      <c r="X140" s="186" t="str">
        <f t="shared" si="20"/>
        <v/>
      </c>
    </row>
    <row r="141" spans="1:24" s="147" customFormat="1">
      <c r="A141" s="170"/>
      <c r="B141" s="145"/>
      <c r="C141" s="145"/>
      <c r="D141" s="145"/>
      <c r="E141" s="150"/>
      <c r="F141" s="145"/>
      <c r="G141" s="145"/>
      <c r="H141" s="145"/>
      <c r="I141" s="145"/>
      <c r="J141" s="145"/>
      <c r="K141" s="145"/>
      <c r="L141" s="145"/>
      <c r="M141" s="145"/>
      <c r="N141" s="149"/>
      <c r="O141" s="145"/>
      <c r="P141" s="138"/>
      <c r="Q141" s="255" t="str">
        <f t="shared" si="21"/>
        <v/>
      </c>
      <c r="R141" s="139" t="str">
        <f t="shared" si="22"/>
        <v/>
      </c>
      <c r="S141" s="128" t="str">
        <f t="shared" si="16"/>
        <v/>
      </c>
      <c r="T141" s="140" t="str">
        <f t="shared" si="17"/>
        <v/>
      </c>
      <c r="U141" s="141" t="str">
        <f t="shared" si="18"/>
        <v/>
      </c>
      <c r="V141" s="141" t="str">
        <f t="shared" si="19"/>
        <v/>
      </c>
      <c r="W141" s="142"/>
      <c r="X141" s="186" t="str">
        <f t="shared" si="20"/>
        <v/>
      </c>
    </row>
    <row r="142" spans="1:24" s="147" customFormat="1">
      <c r="A142" s="172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38"/>
      <c r="Q142" s="255" t="str">
        <f t="shared" si="21"/>
        <v/>
      </c>
      <c r="R142" s="139" t="str">
        <f t="shared" si="22"/>
        <v/>
      </c>
      <c r="S142" s="128" t="str">
        <f t="shared" si="16"/>
        <v/>
      </c>
      <c r="T142" s="140" t="str">
        <f t="shared" si="17"/>
        <v/>
      </c>
      <c r="U142" s="141" t="str">
        <f t="shared" si="18"/>
        <v/>
      </c>
      <c r="V142" s="141" t="str">
        <f t="shared" si="19"/>
        <v/>
      </c>
      <c r="W142" s="142"/>
      <c r="X142" s="186" t="str">
        <f t="shared" si="20"/>
        <v/>
      </c>
    </row>
    <row r="143" spans="1:24" s="147" customFormat="1">
      <c r="A143" s="170"/>
      <c r="B143" s="145"/>
      <c r="C143" s="145"/>
      <c r="D143" s="145"/>
      <c r="E143" s="150"/>
      <c r="F143" s="145"/>
      <c r="G143" s="145"/>
      <c r="H143" s="145"/>
      <c r="I143" s="145"/>
      <c r="J143" s="145"/>
      <c r="K143" s="145"/>
      <c r="L143" s="145"/>
      <c r="M143" s="145"/>
      <c r="N143" s="146"/>
      <c r="O143" s="145"/>
      <c r="P143" s="138"/>
      <c r="Q143" s="255" t="str">
        <f t="shared" si="21"/>
        <v/>
      </c>
      <c r="R143" s="139" t="str">
        <f t="shared" si="22"/>
        <v/>
      </c>
      <c r="S143" s="128" t="str">
        <f t="shared" si="16"/>
        <v/>
      </c>
      <c r="T143" s="140" t="str">
        <f t="shared" si="17"/>
        <v/>
      </c>
      <c r="U143" s="141" t="str">
        <f t="shared" si="18"/>
        <v/>
      </c>
      <c r="V143" s="141" t="str">
        <f t="shared" si="19"/>
        <v/>
      </c>
      <c r="W143" s="142"/>
      <c r="X143" s="186" t="str">
        <f t="shared" si="20"/>
        <v/>
      </c>
    </row>
    <row r="144" spans="1:24" s="147" customFormat="1">
      <c r="A144" s="170"/>
      <c r="B144" s="145"/>
      <c r="C144" s="145"/>
      <c r="D144" s="149"/>
      <c r="E144" s="150"/>
      <c r="F144" s="145"/>
      <c r="G144" s="145"/>
      <c r="H144" s="145"/>
      <c r="I144" s="145"/>
      <c r="J144" s="145"/>
      <c r="K144" s="145"/>
      <c r="L144" s="145"/>
      <c r="M144" s="145"/>
      <c r="N144" s="149"/>
      <c r="O144" s="145"/>
      <c r="P144" s="138"/>
      <c r="Q144" s="255" t="str">
        <f t="shared" si="21"/>
        <v/>
      </c>
      <c r="R144" s="139" t="str">
        <f t="shared" si="22"/>
        <v/>
      </c>
      <c r="S144" s="128" t="str">
        <f t="shared" si="16"/>
        <v/>
      </c>
      <c r="T144" s="140" t="str">
        <f t="shared" si="17"/>
        <v/>
      </c>
      <c r="U144" s="141" t="str">
        <f t="shared" si="18"/>
        <v/>
      </c>
      <c r="V144" s="141" t="str">
        <f t="shared" si="19"/>
        <v/>
      </c>
      <c r="W144" s="142"/>
      <c r="X144" s="186" t="str">
        <f t="shared" si="20"/>
        <v/>
      </c>
    </row>
    <row r="145" spans="1:24" s="147" customFormat="1">
      <c r="A145" s="170"/>
      <c r="B145" s="145"/>
      <c r="C145" s="145"/>
      <c r="D145" s="149"/>
      <c r="E145" s="150"/>
      <c r="F145" s="145"/>
      <c r="G145" s="145"/>
      <c r="H145" s="145"/>
      <c r="I145" s="145"/>
      <c r="J145" s="145"/>
      <c r="K145" s="145"/>
      <c r="L145" s="145"/>
      <c r="M145" s="145"/>
      <c r="N145" s="149"/>
      <c r="O145" s="145"/>
      <c r="P145" s="138"/>
      <c r="Q145" s="255" t="str">
        <f t="shared" si="21"/>
        <v/>
      </c>
      <c r="R145" s="139" t="str">
        <f t="shared" si="22"/>
        <v/>
      </c>
      <c r="S145" s="128" t="str">
        <f t="shared" si="16"/>
        <v/>
      </c>
      <c r="T145" s="140" t="str">
        <f t="shared" si="17"/>
        <v/>
      </c>
      <c r="U145" s="141" t="str">
        <f t="shared" si="18"/>
        <v/>
      </c>
      <c r="V145" s="141" t="str">
        <f t="shared" si="19"/>
        <v/>
      </c>
      <c r="W145" s="142"/>
      <c r="X145" s="186" t="str">
        <f t="shared" si="20"/>
        <v/>
      </c>
    </row>
    <row r="146" spans="1:24" s="147" customFormat="1">
      <c r="A146" s="170"/>
      <c r="B146" s="145"/>
      <c r="C146" s="145"/>
      <c r="D146" s="146"/>
      <c r="E146" s="150"/>
      <c r="F146" s="145"/>
      <c r="G146" s="145"/>
      <c r="H146" s="145"/>
      <c r="I146" s="145"/>
      <c r="J146" s="145"/>
      <c r="K146" s="145"/>
      <c r="L146" s="145"/>
      <c r="M146" s="145"/>
      <c r="N146" s="146"/>
      <c r="O146" s="145"/>
      <c r="P146" s="138"/>
      <c r="Q146" s="255" t="str">
        <f t="shared" si="21"/>
        <v/>
      </c>
      <c r="R146" s="139" t="str">
        <f t="shared" si="22"/>
        <v/>
      </c>
      <c r="S146" s="128" t="str">
        <f t="shared" si="16"/>
        <v/>
      </c>
      <c r="T146" s="140" t="str">
        <f t="shared" si="17"/>
        <v/>
      </c>
      <c r="U146" s="141" t="str">
        <f t="shared" si="18"/>
        <v/>
      </c>
      <c r="V146" s="141" t="str">
        <f t="shared" si="19"/>
        <v/>
      </c>
      <c r="W146" s="142"/>
      <c r="X146" s="186" t="str">
        <f t="shared" si="20"/>
        <v/>
      </c>
    </row>
    <row r="147" spans="1:24" s="147" customFormat="1">
      <c r="A147" s="171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38"/>
      <c r="Q147" s="255" t="str">
        <f t="shared" si="21"/>
        <v/>
      </c>
      <c r="R147" s="139" t="str">
        <f t="shared" si="22"/>
        <v/>
      </c>
      <c r="S147" s="128" t="str">
        <f t="shared" si="16"/>
        <v/>
      </c>
      <c r="T147" s="140" t="str">
        <f t="shared" si="17"/>
        <v/>
      </c>
      <c r="U147" s="141" t="str">
        <f t="shared" si="18"/>
        <v/>
      </c>
      <c r="V147" s="141" t="str">
        <f t="shared" si="19"/>
        <v/>
      </c>
      <c r="W147" s="142"/>
      <c r="X147" s="186" t="str">
        <f t="shared" si="20"/>
        <v/>
      </c>
    </row>
    <row r="148" spans="1:24" s="147" customFormat="1">
      <c r="A148" s="170"/>
      <c r="B148" s="145"/>
      <c r="C148" s="145"/>
      <c r="D148" s="149"/>
      <c r="E148" s="150"/>
      <c r="F148" s="145"/>
      <c r="G148" s="145"/>
      <c r="H148" s="145"/>
      <c r="I148" s="145"/>
      <c r="J148" s="145"/>
      <c r="K148" s="145"/>
      <c r="L148" s="145"/>
      <c r="M148" s="145"/>
      <c r="N148" s="149"/>
      <c r="O148" s="145"/>
      <c r="P148" s="138"/>
      <c r="Q148" s="255" t="str">
        <f t="shared" si="21"/>
        <v/>
      </c>
      <c r="R148" s="139" t="str">
        <f t="shared" si="22"/>
        <v/>
      </c>
      <c r="S148" s="128" t="str">
        <f t="shared" si="16"/>
        <v/>
      </c>
      <c r="T148" s="140" t="str">
        <f t="shared" si="17"/>
        <v/>
      </c>
      <c r="U148" s="141" t="str">
        <f t="shared" si="18"/>
        <v/>
      </c>
      <c r="V148" s="141" t="str">
        <f t="shared" si="19"/>
        <v/>
      </c>
      <c r="W148" s="142"/>
      <c r="X148" s="186" t="str">
        <f t="shared" si="20"/>
        <v/>
      </c>
    </row>
    <row r="149" spans="1:24" s="147" customFormat="1">
      <c r="A149" s="170"/>
      <c r="B149" s="145"/>
      <c r="C149" s="145"/>
      <c r="D149" s="149"/>
      <c r="E149" s="150"/>
      <c r="F149" s="145"/>
      <c r="G149" s="145"/>
      <c r="H149" s="145"/>
      <c r="I149" s="145"/>
      <c r="J149" s="145"/>
      <c r="K149" s="145"/>
      <c r="L149" s="145"/>
      <c r="M149" s="145"/>
      <c r="N149" s="149"/>
      <c r="O149" s="145"/>
      <c r="P149" s="138"/>
      <c r="Q149" s="255" t="str">
        <f t="shared" si="21"/>
        <v/>
      </c>
      <c r="R149" s="139" t="str">
        <f t="shared" si="22"/>
        <v/>
      </c>
      <c r="S149" s="128" t="str">
        <f t="shared" si="16"/>
        <v/>
      </c>
      <c r="T149" s="140" t="str">
        <f t="shared" si="17"/>
        <v/>
      </c>
      <c r="U149" s="141" t="str">
        <f t="shared" si="18"/>
        <v/>
      </c>
      <c r="V149" s="141" t="str">
        <f t="shared" si="19"/>
        <v/>
      </c>
      <c r="W149" s="142"/>
      <c r="X149" s="186" t="str">
        <f t="shared" si="20"/>
        <v/>
      </c>
    </row>
    <row r="150" spans="1:24" s="147" customFormat="1">
      <c r="A150" s="170"/>
      <c r="B150" s="145"/>
      <c r="C150" s="145"/>
      <c r="D150" s="149"/>
      <c r="E150" s="150"/>
      <c r="F150" s="145"/>
      <c r="G150" s="145"/>
      <c r="H150" s="145"/>
      <c r="I150" s="145"/>
      <c r="J150" s="145"/>
      <c r="K150" s="145"/>
      <c r="L150" s="145"/>
      <c r="M150" s="145"/>
      <c r="N150" s="149"/>
      <c r="O150" s="145"/>
      <c r="P150" s="138"/>
      <c r="Q150" s="255" t="str">
        <f t="shared" si="21"/>
        <v/>
      </c>
      <c r="R150" s="139" t="str">
        <f t="shared" si="22"/>
        <v/>
      </c>
      <c r="S150" s="128" t="str">
        <f t="shared" si="16"/>
        <v/>
      </c>
      <c r="T150" s="140" t="str">
        <f t="shared" si="17"/>
        <v/>
      </c>
      <c r="U150" s="141" t="str">
        <f t="shared" si="18"/>
        <v/>
      </c>
      <c r="V150" s="141" t="str">
        <f t="shared" si="19"/>
        <v/>
      </c>
      <c r="W150" s="142"/>
      <c r="X150" s="186" t="str">
        <f t="shared" si="20"/>
        <v/>
      </c>
    </row>
    <row r="151" spans="1:24" s="147" customFormat="1">
      <c r="A151" s="170"/>
      <c r="B151" s="145"/>
      <c r="C151" s="145"/>
      <c r="D151" s="149"/>
      <c r="E151" s="150"/>
      <c r="F151" s="145"/>
      <c r="G151" s="145"/>
      <c r="H151" s="145"/>
      <c r="I151" s="145"/>
      <c r="J151" s="145"/>
      <c r="K151" s="145"/>
      <c r="L151" s="145"/>
      <c r="M151" s="145"/>
      <c r="N151" s="149"/>
      <c r="O151" s="145"/>
      <c r="P151" s="138"/>
      <c r="Q151" s="255" t="str">
        <f t="shared" si="21"/>
        <v/>
      </c>
      <c r="R151" s="139" t="str">
        <f t="shared" si="22"/>
        <v/>
      </c>
      <c r="S151" s="128" t="str">
        <f t="shared" si="16"/>
        <v/>
      </c>
      <c r="T151" s="140" t="str">
        <f t="shared" si="17"/>
        <v/>
      </c>
      <c r="U151" s="141" t="str">
        <f t="shared" si="18"/>
        <v/>
      </c>
      <c r="V151" s="141" t="str">
        <f t="shared" si="19"/>
        <v/>
      </c>
      <c r="W151" s="142"/>
      <c r="X151" s="186" t="str">
        <f t="shared" si="20"/>
        <v/>
      </c>
    </row>
    <row r="152" spans="1:24" s="147" customFormat="1">
      <c r="A152" s="170"/>
      <c r="B152" s="145"/>
      <c r="C152" s="145"/>
      <c r="D152" s="149"/>
      <c r="E152" s="150"/>
      <c r="F152" s="145"/>
      <c r="G152" s="145"/>
      <c r="H152" s="145"/>
      <c r="I152" s="145"/>
      <c r="J152" s="145"/>
      <c r="K152" s="145"/>
      <c r="L152" s="145"/>
      <c r="M152" s="145"/>
      <c r="N152" s="149"/>
      <c r="O152" s="145"/>
      <c r="P152" s="138"/>
      <c r="Q152" s="255" t="str">
        <f t="shared" si="21"/>
        <v/>
      </c>
      <c r="R152" s="139" t="str">
        <f t="shared" si="22"/>
        <v/>
      </c>
      <c r="S152" s="128" t="str">
        <f t="shared" si="16"/>
        <v/>
      </c>
      <c r="T152" s="140" t="str">
        <f t="shared" si="17"/>
        <v/>
      </c>
      <c r="U152" s="141" t="str">
        <f t="shared" si="18"/>
        <v/>
      </c>
      <c r="V152" s="141" t="str">
        <f t="shared" si="19"/>
        <v/>
      </c>
      <c r="W152" s="142"/>
      <c r="X152" s="186" t="str">
        <f t="shared" si="20"/>
        <v/>
      </c>
    </row>
    <row r="153" spans="1:24" s="147" customFormat="1">
      <c r="A153" s="170"/>
      <c r="B153" s="145"/>
      <c r="C153" s="145"/>
      <c r="D153" s="149"/>
      <c r="E153" s="150"/>
      <c r="F153" s="145"/>
      <c r="G153" s="145"/>
      <c r="H153" s="145"/>
      <c r="I153" s="145"/>
      <c r="J153" s="145"/>
      <c r="K153" s="145"/>
      <c r="L153" s="145"/>
      <c r="M153" s="145"/>
      <c r="N153" s="149"/>
      <c r="O153" s="145"/>
      <c r="P153" s="138"/>
      <c r="Q153" s="255" t="str">
        <f t="shared" si="21"/>
        <v/>
      </c>
      <c r="R153" s="139" t="str">
        <f t="shared" si="22"/>
        <v/>
      </c>
      <c r="S153" s="128" t="str">
        <f t="shared" si="16"/>
        <v/>
      </c>
      <c r="T153" s="140" t="str">
        <f t="shared" si="17"/>
        <v/>
      </c>
      <c r="U153" s="141" t="str">
        <f t="shared" si="18"/>
        <v/>
      </c>
      <c r="V153" s="141" t="str">
        <f t="shared" si="19"/>
        <v/>
      </c>
      <c r="W153" s="142"/>
      <c r="X153" s="186" t="str">
        <f t="shared" si="20"/>
        <v/>
      </c>
    </row>
    <row r="154" spans="1:24" s="147" customFormat="1">
      <c r="A154" s="170"/>
      <c r="B154" s="145"/>
      <c r="C154" s="145"/>
      <c r="D154" s="149"/>
      <c r="E154" s="150"/>
      <c r="F154" s="145"/>
      <c r="G154" s="145"/>
      <c r="H154" s="145"/>
      <c r="I154" s="145"/>
      <c r="J154" s="145"/>
      <c r="K154" s="145"/>
      <c r="L154" s="145"/>
      <c r="M154" s="145"/>
      <c r="N154" s="149"/>
      <c r="O154" s="145"/>
      <c r="P154" s="138"/>
      <c r="Q154" s="255" t="str">
        <f t="shared" si="21"/>
        <v/>
      </c>
      <c r="R154" s="139" t="str">
        <f t="shared" si="22"/>
        <v/>
      </c>
      <c r="S154" s="128" t="str">
        <f t="shared" si="16"/>
        <v/>
      </c>
      <c r="T154" s="140" t="str">
        <f t="shared" si="17"/>
        <v/>
      </c>
      <c r="U154" s="141" t="str">
        <f t="shared" si="18"/>
        <v/>
      </c>
      <c r="V154" s="141" t="str">
        <f t="shared" si="19"/>
        <v/>
      </c>
      <c r="W154" s="142"/>
      <c r="X154" s="186" t="str">
        <f t="shared" si="20"/>
        <v/>
      </c>
    </row>
    <row r="155" spans="1:24" s="147" customFormat="1">
      <c r="A155" s="170"/>
      <c r="B155" s="145"/>
      <c r="C155" s="145"/>
      <c r="D155" s="149"/>
      <c r="E155" s="150"/>
      <c r="F155" s="145"/>
      <c r="G155" s="145"/>
      <c r="H155" s="145"/>
      <c r="I155" s="145"/>
      <c r="J155" s="145"/>
      <c r="K155" s="145"/>
      <c r="L155" s="145"/>
      <c r="M155" s="145"/>
      <c r="N155" s="149"/>
      <c r="O155" s="145"/>
      <c r="P155" s="138"/>
      <c r="Q155" s="255" t="str">
        <f t="shared" si="21"/>
        <v/>
      </c>
      <c r="R155" s="139" t="str">
        <f t="shared" si="22"/>
        <v/>
      </c>
      <c r="S155" s="128" t="str">
        <f t="shared" si="16"/>
        <v/>
      </c>
      <c r="T155" s="140" t="str">
        <f t="shared" si="17"/>
        <v/>
      </c>
      <c r="U155" s="141" t="str">
        <f t="shared" si="18"/>
        <v/>
      </c>
      <c r="V155" s="141" t="str">
        <f t="shared" si="19"/>
        <v/>
      </c>
      <c r="W155" s="142"/>
      <c r="X155" s="186" t="str">
        <f t="shared" si="20"/>
        <v/>
      </c>
    </row>
    <row r="156" spans="1:24" s="147" customFormat="1">
      <c r="A156" s="170"/>
      <c r="B156" s="145"/>
      <c r="C156" s="145"/>
      <c r="D156" s="146"/>
      <c r="E156" s="150"/>
      <c r="F156" s="145"/>
      <c r="G156" s="145"/>
      <c r="H156" s="150"/>
      <c r="I156" s="145"/>
      <c r="J156" s="145"/>
      <c r="K156" s="145"/>
      <c r="L156" s="145"/>
      <c r="M156" s="145"/>
      <c r="N156" s="146"/>
      <c r="O156" s="145"/>
      <c r="P156" s="138"/>
      <c r="Q156" s="255" t="str">
        <f t="shared" si="21"/>
        <v/>
      </c>
      <c r="R156" s="139" t="str">
        <f t="shared" si="22"/>
        <v/>
      </c>
      <c r="S156" s="128" t="str">
        <f t="shared" si="16"/>
        <v/>
      </c>
      <c r="T156" s="140" t="str">
        <f t="shared" si="17"/>
        <v/>
      </c>
      <c r="U156" s="141" t="str">
        <f t="shared" si="18"/>
        <v/>
      </c>
      <c r="V156" s="141" t="str">
        <f t="shared" si="19"/>
        <v/>
      </c>
      <c r="W156" s="142"/>
      <c r="X156" s="186" t="str">
        <f t="shared" si="20"/>
        <v/>
      </c>
    </row>
    <row r="157" spans="1:24" s="147" customFormat="1">
      <c r="A157" s="172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38"/>
      <c r="Q157" s="255" t="str">
        <f t="shared" si="21"/>
        <v/>
      </c>
      <c r="R157" s="139" t="str">
        <f t="shared" si="22"/>
        <v/>
      </c>
      <c r="S157" s="128" t="str">
        <f t="shared" si="16"/>
        <v/>
      </c>
      <c r="T157" s="140" t="str">
        <f t="shared" si="17"/>
        <v/>
      </c>
      <c r="U157" s="141" t="str">
        <f t="shared" si="18"/>
        <v/>
      </c>
      <c r="V157" s="141" t="str">
        <f t="shared" si="19"/>
        <v/>
      </c>
      <c r="W157" s="142"/>
      <c r="X157" s="186" t="str">
        <f t="shared" si="20"/>
        <v/>
      </c>
    </row>
    <row r="158" spans="1:24" s="147" customFormat="1">
      <c r="A158" s="170"/>
      <c r="B158" s="145"/>
      <c r="C158" s="145"/>
      <c r="D158" s="146"/>
      <c r="E158" s="150"/>
      <c r="F158" s="145"/>
      <c r="G158" s="145"/>
      <c r="H158" s="145"/>
      <c r="I158" s="145"/>
      <c r="J158" s="145"/>
      <c r="K158" s="145"/>
      <c r="L158" s="145"/>
      <c r="M158" s="145"/>
      <c r="N158" s="146"/>
      <c r="O158" s="145"/>
      <c r="P158" s="138"/>
      <c r="Q158" s="255" t="str">
        <f t="shared" si="21"/>
        <v/>
      </c>
      <c r="R158" s="139" t="str">
        <f t="shared" si="22"/>
        <v/>
      </c>
      <c r="S158" s="128" t="str">
        <f t="shared" si="16"/>
        <v/>
      </c>
      <c r="T158" s="140" t="str">
        <f t="shared" si="17"/>
        <v/>
      </c>
      <c r="U158" s="141" t="str">
        <f t="shared" si="18"/>
        <v/>
      </c>
      <c r="V158" s="141" t="str">
        <f t="shared" si="19"/>
        <v/>
      </c>
      <c r="W158" s="142"/>
      <c r="X158" s="186" t="str">
        <f t="shared" si="20"/>
        <v/>
      </c>
    </row>
    <row r="159" spans="1:24" s="147" customFormat="1">
      <c r="A159" s="172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38"/>
      <c r="Q159" s="255" t="str">
        <f t="shared" si="21"/>
        <v/>
      </c>
      <c r="R159" s="139" t="str">
        <f t="shared" si="22"/>
        <v/>
      </c>
      <c r="S159" s="128" t="str">
        <f t="shared" si="16"/>
        <v/>
      </c>
      <c r="T159" s="140" t="str">
        <f t="shared" si="17"/>
        <v/>
      </c>
      <c r="U159" s="141" t="str">
        <f t="shared" si="18"/>
        <v/>
      </c>
      <c r="V159" s="141" t="str">
        <f t="shared" si="19"/>
        <v/>
      </c>
      <c r="W159" s="142"/>
      <c r="X159" s="186" t="str">
        <f t="shared" si="20"/>
        <v/>
      </c>
    </row>
    <row r="160" spans="1:24" s="147" customFormat="1">
      <c r="A160" s="170"/>
      <c r="B160" s="145"/>
      <c r="C160" s="145"/>
      <c r="D160" s="146"/>
      <c r="E160" s="150"/>
      <c r="F160" s="145"/>
      <c r="G160" s="145"/>
      <c r="H160" s="145"/>
      <c r="I160" s="145"/>
      <c r="J160" s="145"/>
      <c r="K160" s="145"/>
      <c r="L160" s="145"/>
      <c r="M160" s="145"/>
      <c r="N160" s="146"/>
      <c r="O160" s="145"/>
      <c r="P160" s="138"/>
      <c r="Q160" s="255" t="str">
        <f t="shared" si="21"/>
        <v/>
      </c>
      <c r="R160" s="139" t="str">
        <f t="shared" si="22"/>
        <v/>
      </c>
      <c r="S160" s="128" t="str">
        <f t="shared" si="16"/>
        <v/>
      </c>
      <c r="T160" s="140" t="str">
        <f t="shared" si="17"/>
        <v/>
      </c>
      <c r="U160" s="141" t="str">
        <f t="shared" si="18"/>
        <v/>
      </c>
      <c r="V160" s="141" t="str">
        <f t="shared" si="19"/>
        <v/>
      </c>
      <c r="W160" s="142"/>
      <c r="X160" s="186" t="str">
        <f t="shared" si="20"/>
        <v/>
      </c>
    </row>
    <row r="161" spans="1:24" s="147" customFormat="1">
      <c r="A161" s="171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38"/>
      <c r="Q161" s="255" t="str">
        <f t="shared" si="21"/>
        <v/>
      </c>
      <c r="R161" s="139" t="str">
        <f t="shared" si="22"/>
        <v/>
      </c>
      <c r="S161" s="128" t="str">
        <f t="shared" si="16"/>
        <v/>
      </c>
      <c r="T161" s="140" t="str">
        <f t="shared" si="17"/>
        <v/>
      </c>
      <c r="U161" s="141" t="str">
        <f t="shared" si="18"/>
        <v/>
      </c>
      <c r="V161" s="141" t="str">
        <f t="shared" si="19"/>
        <v/>
      </c>
      <c r="W161" s="142"/>
      <c r="X161" s="186" t="str">
        <f t="shared" si="20"/>
        <v/>
      </c>
    </row>
    <row r="162" spans="1:24" s="147" customFormat="1">
      <c r="A162" s="170"/>
      <c r="B162" s="145"/>
      <c r="C162" s="145"/>
      <c r="D162" s="146"/>
      <c r="E162" s="150"/>
      <c r="F162" s="145"/>
      <c r="G162" s="145"/>
      <c r="H162" s="145"/>
      <c r="I162" s="145"/>
      <c r="J162" s="145"/>
      <c r="K162" s="145"/>
      <c r="L162" s="145"/>
      <c r="M162" s="145"/>
      <c r="N162" s="146"/>
      <c r="O162" s="145"/>
      <c r="P162" s="138"/>
      <c r="Q162" s="255" t="str">
        <f t="shared" si="21"/>
        <v/>
      </c>
      <c r="R162" s="139" t="str">
        <f t="shared" si="22"/>
        <v/>
      </c>
      <c r="S162" s="128" t="str">
        <f t="shared" si="16"/>
        <v/>
      </c>
      <c r="T162" s="140" t="str">
        <f t="shared" si="17"/>
        <v/>
      </c>
      <c r="U162" s="141" t="str">
        <f t="shared" si="18"/>
        <v/>
      </c>
      <c r="V162" s="141" t="str">
        <f t="shared" si="19"/>
        <v/>
      </c>
      <c r="W162" s="142"/>
      <c r="X162" s="186" t="str">
        <f t="shared" si="20"/>
        <v/>
      </c>
    </row>
    <row r="163" spans="1:24" s="147" customFormat="1">
      <c r="A163" s="171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38"/>
      <c r="Q163" s="255" t="str">
        <f t="shared" si="21"/>
        <v/>
      </c>
      <c r="R163" s="139" t="str">
        <f t="shared" si="22"/>
        <v/>
      </c>
      <c r="S163" s="128" t="str">
        <f t="shared" si="16"/>
        <v/>
      </c>
      <c r="T163" s="140" t="str">
        <f t="shared" si="17"/>
        <v/>
      </c>
      <c r="U163" s="141" t="str">
        <f t="shared" si="18"/>
        <v/>
      </c>
      <c r="V163" s="141" t="str">
        <f t="shared" si="19"/>
        <v/>
      </c>
      <c r="W163" s="142"/>
      <c r="X163" s="186" t="str">
        <f t="shared" si="20"/>
        <v/>
      </c>
    </row>
    <row r="164" spans="1:24" s="147" customFormat="1">
      <c r="A164" s="170"/>
      <c r="B164" s="145"/>
      <c r="C164" s="145"/>
      <c r="D164" s="146"/>
      <c r="E164" s="150"/>
      <c r="F164" s="145"/>
      <c r="G164" s="145"/>
      <c r="H164" s="145"/>
      <c r="I164" s="145"/>
      <c r="J164" s="145"/>
      <c r="K164" s="145"/>
      <c r="L164" s="145"/>
      <c r="M164" s="145"/>
      <c r="N164" s="146"/>
      <c r="O164" s="145"/>
      <c r="P164" s="138"/>
      <c r="Q164" s="255" t="str">
        <f t="shared" si="21"/>
        <v/>
      </c>
      <c r="R164" s="139" t="str">
        <f t="shared" si="22"/>
        <v/>
      </c>
      <c r="S164" s="128" t="str">
        <f t="shared" si="16"/>
        <v/>
      </c>
      <c r="T164" s="140" t="str">
        <f t="shared" si="17"/>
        <v/>
      </c>
      <c r="U164" s="141" t="str">
        <f t="shared" si="18"/>
        <v/>
      </c>
      <c r="V164" s="141" t="str">
        <f t="shared" si="19"/>
        <v/>
      </c>
      <c r="W164" s="142"/>
      <c r="X164" s="186" t="str">
        <f t="shared" si="20"/>
        <v/>
      </c>
    </row>
    <row r="165" spans="1:24" s="147" customFormat="1">
      <c r="A165" s="172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38"/>
      <c r="Q165" s="255" t="str">
        <f t="shared" si="21"/>
        <v/>
      </c>
      <c r="R165" s="139" t="str">
        <f t="shared" si="22"/>
        <v/>
      </c>
      <c r="S165" s="128" t="str">
        <f t="shared" si="16"/>
        <v/>
      </c>
      <c r="T165" s="140" t="str">
        <f t="shared" si="17"/>
        <v/>
      </c>
      <c r="U165" s="141" t="str">
        <f t="shared" si="18"/>
        <v/>
      </c>
      <c r="V165" s="141" t="str">
        <f t="shared" si="19"/>
        <v/>
      </c>
      <c r="W165" s="142"/>
      <c r="X165" s="186" t="str">
        <f t="shared" si="20"/>
        <v/>
      </c>
    </row>
    <row r="166" spans="1:24" s="147" customFormat="1">
      <c r="A166" s="170"/>
      <c r="B166" s="145"/>
      <c r="C166" s="145"/>
      <c r="D166" s="146"/>
      <c r="E166" s="150"/>
      <c r="F166" s="145"/>
      <c r="G166" s="145"/>
      <c r="H166" s="145"/>
      <c r="I166" s="145"/>
      <c r="J166" s="145"/>
      <c r="K166" s="145"/>
      <c r="L166" s="145"/>
      <c r="M166" s="145"/>
      <c r="N166" s="146"/>
      <c r="O166" s="145"/>
      <c r="P166" s="138"/>
      <c r="Q166" s="255" t="str">
        <f t="shared" si="21"/>
        <v/>
      </c>
      <c r="R166" s="139" t="str">
        <f t="shared" si="22"/>
        <v/>
      </c>
      <c r="S166" s="128" t="str">
        <f t="shared" si="16"/>
        <v/>
      </c>
      <c r="T166" s="140" t="str">
        <f t="shared" si="17"/>
        <v/>
      </c>
      <c r="U166" s="141" t="str">
        <f t="shared" si="18"/>
        <v/>
      </c>
      <c r="V166" s="141" t="str">
        <f t="shared" si="19"/>
        <v/>
      </c>
      <c r="W166" s="142"/>
      <c r="X166" s="186" t="str">
        <f t="shared" si="20"/>
        <v/>
      </c>
    </row>
    <row r="167" spans="1:24" s="147" customFormat="1">
      <c r="A167" s="172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38"/>
      <c r="Q167" s="255" t="str">
        <f t="shared" si="21"/>
        <v/>
      </c>
      <c r="R167" s="139" t="str">
        <f t="shared" si="22"/>
        <v/>
      </c>
      <c r="S167" s="128" t="str">
        <f t="shared" si="16"/>
        <v/>
      </c>
      <c r="T167" s="140" t="str">
        <f t="shared" si="17"/>
        <v/>
      </c>
      <c r="U167" s="141" t="str">
        <f t="shared" si="18"/>
        <v/>
      </c>
      <c r="V167" s="141" t="str">
        <f t="shared" si="19"/>
        <v/>
      </c>
      <c r="W167" s="142"/>
      <c r="X167" s="186" t="str">
        <f t="shared" si="20"/>
        <v/>
      </c>
    </row>
    <row r="168" spans="1:24" s="147" customFormat="1">
      <c r="A168" s="170"/>
      <c r="B168" s="145"/>
      <c r="C168" s="145"/>
      <c r="D168" s="146"/>
      <c r="E168" s="150"/>
      <c r="F168" s="145"/>
      <c r="G168" s="145"/>
      <c r="H168" s="145"/>
      <c r="I168" s="145"/>
      <c r="J168" s="145"/>
      <c r="K168" s="145"/>
      <c r="L168" s="145"/>
      <c r="M168" s="145"/>
      <c r="N168" s="146"/>
      <c r="O168" s="145"/>
      <c r="P168" s="138"/>
      <c r="Q168" s="255" t="str">
        <f t="shared" si="21"/>
        <v/>
      </c>
      <c r="R168" s="139" t="str">
        <f t="shared" si="22"/>
        <v/>
      </c>
      <c r="S168" s="128" t="str">
        <f t="shared" si="16"/>
        <v/>
      </c>
      <c r="T168" s="140" t="str">
        <f t="shared" si="17"/>
        <v/>
      </c>
      <c r="U168" s="141" t="str">
        <f t="shared" si="18"/>
        <v/>
      </c>
      <c r="V168" s="141" t="str">
        <f t="shared" si="19"/>
        <v/>
      </c>
      <c r="W168" s="142"/>
      <c r="X168" s="186" t="str">
        <f t="shared" si="20"/>
        <v/>
      </c>
    </row>
    <row r="169" spans="1:24" s="147" customFormat="1">
      <c r="A169" s="171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38"/>
      <c r="Q169" s="255" t="str">
        <f t="shared" si="21"/>
        <v/>
      </c>
      <c r="R169" s="139" t="str">
        <f t="shared" si="22"/>
        <v/>
      </c>
      <c r="S169" s="128" t="str">
        <f t="shared" si="16"/>
        <v/>
      </c>
      <c r="T169" s="140" t="str">
        <f t="shared" si="17"/>
        <v/>
      </c>
      <c r="U169" s="141" t="str">
        <f t="shared" si="18"/>
        <v/>
      </c>
      <c r="V169" s="141" t="str">
        <f t="shared" si="19"/>
        <v/>
      </c>
      <c r="W169" s="142"/>
      <c r="X169" s="186" t="str">
        <f t="shared" si="20"/>
        <v/>
      </c>
    </row>
    <row r="170" spans="1:24" s="147" customFormat="1">
      <c r="A170" s="170"/>
      <c r="B170" s="145"/>
      <c r="C170" s="145"/>
      <c r="D170" s="146"/>
      <c r="E170" s="150"/>
      <c r="F170" s="145"/>
      <c r="G170" s="145"/>
      <c r="H170" s="145"/>
      <c r="I170" s="145"/>
      <c r="J170" s="145"/>
      <c r="K170" s="145"/>
      <c r="L170" s="145"/>
      <c r="M170" s="145"/>
      <c r="N170" s="146"/>
      <c r="O170" s="145"/>
      <c r="P170" s="138"/>
      <c r="Q170" s="255" t="str">
        <f t="shared" si="21"/>
        <v/>
      </c>
      <c r="R170" s="139" t="str">
        <f t="shared" si="22"/>
        <v/>
      </c>
      <c r="S170" s="128" t="str">
        <f t="shared" si="16"/>
        <v/>
      </c>
      <c r="T170" s="140" t="str">
        <f t="shared" si="17"/>
        <v/>
      </c>
      <c r="U170" s="141" t="str">
        <f t="shared" si="18"/>
        <v/>
      </c>
      <c r="V170" s="141" t="str">
        <f t="shared" si="19"/>
        <v/>
      </c>
      <c r="W170" s="142"/>
      <c r="X170" s="186" t="str">
        <f t="shared" si="20"/>
        <v/>
      </c>
    </row>
    <row r="171" spans="1:24" s="147" customFormat="1">
      <c r="A171" s="171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38"/>
      <c r="Q171" s="255" t="str">
        <f t="shared" si="21"/>
        <v/>
      </c>
      <c r="R171" s="139" t="str">
        <f t="shared" si="22"/>
        <v/>
      </c>
      <c r="S171" s="128" t="str">
        <f t="shared" si="16"/>
        <v/>
      </c>
      <c r="T171" s="140" t="str">
        <f t="shared" si="17"/>
        <v/>
      </c>
      <c r="U171" s="141" t="str">
        <f t="shared" si="18"/>
        <v/>
      </c>
      <c r="V171" s="141" t="str">
        <f t="shared" si="19"/>
        <v/>
      </c>
      <c r="W171" s="142"/>
      <c r="X171" s="186" t="str">
        <f t="shared" si="20"/>
        <v/>
      </c>
    </row>
    <row r="172" spans="1:24" s="147" customFormat="1">
      <c r="A172" s="170"/>
      <c r="B172" s="145"/>
      <c r="C172" s="145"/>
      <c r="D172" s="149"/>
      <c r="E172" s="150"/>
      <c r="F172" s="145"/>
      <c r="G172" s="145"/>
      <c r="H172" s="145"/>
      <c r="I172" s="145"/>
      <c r="J172" s="145"/>
      <c r="K172" s="145"/>
      <c r="L172" s="145"/>
      <c r="M172" s="145"/>
      <c r="N172" s="149"/>
      <c r="O172" s="145"/>
      <c r="P172" s="138"/>
      <c r="Q172" s="255" t="str">
        <f t="shared" si="21"/>
        <v/>
      </c>
      <c r="R172" s="139" t="str">
        <f t="shared" si="22"/>
        <v/>
      </c>
      <c r="S172" s="128" t="str">
        <f t="shared" si="16"/>
        <v/>
      </c>
      <c r="T172" s="140" t="str">
        <f t="shared" si="17"/>
        <v/>
      </c>
      <c r="U172" s="141" t="str">
        <f t="shared" si="18"/>
        <v/>
      </c>
      <c r="V172" s="141" t="str">
        <f t="shared" si="19"/>
        <v/>
      </c>
      <c r="W172" s="142"/>
      <c r="X172" s="186" t="str">
        <f t="shared" si="20"/>
        <v/>
      </c>
    </row>
    <row r="173" spans="1:24" s="147" customFormat="1">
      <c r="A173" s="170"/>
      <c r="B173" s="145"/>
      <c r="C173" s="145"/>
      <c r="D173" s="149"/>
      <c r="E173" s="150"/>
      <c r="F173" s="145"/>
      <c r="G173" s="145"/>
      <c r="H173" s="145"/>
      <c r="I173" s="145"/>
      <c r="J173" s="145"/>
      <c r="K173" s="145"/>
      <c r="L173" s="145"/>
      <c r="M173" s="145"/>
      <c r="N173" s="149"/>
      <c r="O173" s="145"/>
      <c r="P173" s="138"/>
      <c r="Q173" s="255" t="str">
        <f t="shared" si="21"/>
        <v/>
      </c>
      <c r="R173" s="139" t="str">
        <f t="shared" si="22"/>
        <v/>
      </c>
      <c r="S173" s="128" t="str">
        <f t="shared" si="16"/>
        <v/>
      </c>
      <c r="T173" s="140" t="str">
        <f t="shared" si="17"/>
        <v/>
      </c>
      <c r="U173" s="141" t="str">
        <f t="shared" si="18"/>
        <v/>
      </c>
      <c r="V173" s="141" t="str">
        <f t="shared" si="19"/>
        <v/>
      </c>
      <c r="W173" s="142"/>
      <c r="X173" s="186" t="str">
        <f t="shared" si="20"/>
        <v/>
      </c>
    </row>
    <row r="174" spans="1:24" s="147" customFormat="1">
      <c r="A174" s="170"/>
      <c r="B174" s="145"/>
      <c r="C174" s="145"/>
      <c r="D174" s="146"/>
      <c r="E174" s="150"/>
      <c r="F174" s="145"/>
      <c r="G174" s="145"/>
      <c r="H174" s="145"/>
      <c r="I174" s="145"/>
      <c r="J174" s="145"/>
      <c r="K174" s="145"/>
      <c r="L174" s="145"/>
      <c r="M174" s="145"/>
      <c r="N174" s="146"/>
      <c r="O174" s="145"/>
      <c r="P174" s="138"/>
      <c r="Q174" s="255" t="str">
        <f t="shared" si="21"/>
        <v/>
      </c>
      <c r="R174" s="139" t="str">
        <f t="shared" si="22"/>
        <v/>
      </c>
      <c r="S174" s="128" t="str">
        <f t="shared" si="16"/>
        <v/>
      </c>
      <c r="T174" s="140" t="str">
        <f t="shared" si="17"/>
        <v/>
      </c>
      <c r="U174" s="141" t="str">
        <f t="shared" si="18"/>
        <v/>
      </c>
      <c r="V174" s="141" t="str">
        <f t="shared" si="19"/>
        <v/>
      </c>
      <c r="W174" s="142"/>
      <c r="X174" s="186" t="str">
        <f t="shared" si="20"/>
        <v/>
      </c>
    </row>
    <row r="175" spans="1:24" s="147" customFormat="1">
      <c r="A175" s="172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38"/>
      <c r="Q175" s="255" t="str">
        <f t="shared" si="21"/>
        <v/>
      </c>
      <c r="R175" s="139" t="str">
        <f t="shared" si="22"/>
        <v/>
      </c>
      <c r="S175" s="128" t="str">
        <f t="shared" si="16"/>
        <v/>
      </c>
      <c r="T175" s="140" t="str">
        <f t="shared" si="17"/>
        <v/>
      </c>
      <c r="U175" s="141" t="str">
        <f t="shared" si="18"/>
        <v/>
      </c>
      <c r="V175" s="141" t="str">
        <f t="shared" si="19"/>
        <v/>
      </c>
      <c r="W175" s="142"/>
      <c r="X175" s="186" t="str">
        <f t="shared" si="20"/>
        <v/>
      </c>
    </row>
    <row r="176" spans="1:24" s="147" customFormat="1">
      <c r="A176" s="170"/>
      <c r="B176" s="145"/>
      <c r="C176" s="145"/>
      <c r="D176" s="146"/>
      <c r="E176" s="150"/>
      <c r="F176" s="145"/>
      <c r="G176" s="145"/>
      <c r="H176" s="145"/>
      <c r="I176" s="145"/>
      <c r="J176" s="145"/>
      <c r="K176" s="145"/>
      <c r="L176" s="145"/>
      <c r="M176" s="145"/>
      <c r="N176" s="146"/>
      <c r="O176" s="145"/>
      <c r="P176" s="138"/>
      <c r="Q176" s="255" t="str">
        <f t="shared" si="21"/>
        <v/>
      </c>
      <c r="R176" s="139" t="str">
        <f t="shared" si="22"/>
        <v/>
      </c>
      <c r="S176" s="128" t="str">
        <f t="shared" si="16"/>
        <v/>
      </c>
      <c r="T176" s="140" t="str">
        <f t="shared" si="17"/>
        <v/>
      </c>
      <c r="U176" s="141" t="str">
        <f t="shared" si="18"/>
        <v/>
      </c>
      <c r="V176" s="141" t="str">
        <f t="shared" si="19"/>
        <v/>
      </c>
      <c r="W176" s="142"/>
      <c r="X176" s="186" t="str">
        <f t="shared" si="20"/>
        <v/>
      </c>
    </row>
    <row r="177" spans="1:24" s="147" customFormat="1">
      <c r="A177" s="172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38"/>
      <c r="Q177" s="255" t="str">
        <f t="shared" si="21"/>
        <v/>
      </c>
      <c r="R177" s="139" t="str">
        <f t="shared" si="22"/>
        <v/>
      </c>
      <c r="S177" s="128" t="str">
        <f t="shared" si="16"/>
        <v/>
      </c>
      <c r="T177" s="140" t="str">
        <f t="shared" si="17"/>
        <v/>
      </c>
      <c r="U177" s="141" t="str">
        <f t="shared" si="18"/>
        <v/>
      </c>
      <c r="V177" s="141" t="str">
        <f t="shared" si="19"/>
        <v/>
      </c>
      <c r="W177" s="142"/>
      <c r="X177" s="186" t="str">
        <f t="shared" si="20"/>
        <v/>
      </c>
    </row>
    <row r="178" spans="1:24" s="147" customFormat="1">
      <c r="A178" s="170"/>
      <c r="B178" s="145"/>
      <c r="C178" s="145"/>
      <c r="D178" s="146"/>
      <c r="E178" s="150"/>
      <c r="F178" s="145"/>
      <c r="G178" s="145"/>
      <c r="H178" s="145"/>
      <c r="I178" s="145"/>
      <c r="J178" s="145"/>
      <c r="K178" s="145"/>
      <c r="L178" s="145"/>
      <c r="M178" s="145"/>
      <c r="N178" s="146"/>
      <c r="O178" s="145"/>
      <c r="P178" s="138"/>
      <c r="Q178" s="255" t="str">
        <f t="shared" si="21"/>
        <v/>
      </c>
      <c r="R178" s="139" t="str">
        <f t="shared" si="22"/>
        <v/>
      </c>
      <c r="S178" s="128" t="str">
        <f t="shared" si="16"/>
        <v/>
      </c>
      <c r="T178" s="140" t="str">
        <f t="shared" si="17"/>
        <v/>
      </c>
      <c r="U178" s="141" t="str">
        <f t="shared" si="18"/>
        <v/>
      </c>
      <c r="V178" s="141" t="str">
        <f t="shared" si="19"/>
        <v/>
      </c>
      <c r="W178" s="142"/>
      <c r="X178" s="186" t="str">
        <f t="shared" si="20"/>
        <v/>
      </c>
    </row>
    <row r="179" spans="1:24" s="147" customFormat="1">
      <c r="A179" s="172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38"/>
      <c r="Q179" s="255" t="str">
        <f t="shared" si="21"/>
        <v/>
      </c>
      <c r="R179" s="139" t="str">
        <f t="shared" si="22"/>
        <v/>
      </c>
      <c r="S179" s="128" t="str">
        <f t="shared" si="16"/>
        <v/>
      </c>
      <c r="T179" s="140" t="str">
        <f t="shared" si="17"/>
        <v/>
      </c>
      <c r="U179" s="141" t="str">
        <f t="shared" si="18"/>
        <v/>
      </c>
      <c r="V179" s="141" t="str">
        <f t="shared" si="19"/>
        <v/>
      </c>
      <c r="W179" s="142"/>
      <c r="X179" s="186" t="str">
        <f t="shared" si="20"/>
        <v/>
      </c>
    </row>
    <row r="180" spans="1:24" s="147" customFormat="1">
      <c r="A180" s="170"/>
      <c r="B180" s="145"/>
      <c r="C180" s="145"/>
      <c r="D180" s="149"/>
      <c r="E180" s="150"/>
      <c r="F180" s="145"/>
      <c r="G180" s="145"/>
      <c r="H180" s="145"/>
      <c r="I180" s="145"/>
      <c r="J180" s="145"/>
      <c r="K180" s="145"/>
      <c r="L180" s="145"/>
      <c r="M180" s="145"/>
      <c r="N180" s="149"/>
      <c r="O180" s="145"/>
      <c r="P180" s="138"/>
      <c r="Q180" s="255" t="str">
        <f t="shared" si="21"/>
        <v/>
      </c>
      <c r="R180" s="139" t="str">
        <f t="shared" si="22"/>
        <v/>
      </c>
      <c r="S180" s="128" t="str">
        <f t="shared" si="16"/>
        <v/>
      </c>
      <c r="T180" s="140" t="str">
        <f t="shared" si="17"/>
        <v/>
      </c>
      <c r="U180" s="141" t="str">
        <f t="shared" si="18"/>
        <v/>
      </c>
      <c r="V180" s="141" t="str">
        <f t="shared" si="19"/>
        <v/>
      </c>
      <c r="W180" s="142"/>
      <c r="X180" s="186" t="str">
        <f t="shared" si="20"/>
        <v/>
      </c>
    </row>
    <row r="181" spans="1:24" s="147" customFormat="1">
      <c r="A181" s="170"/>
      <c r="B181" s="145"/>
      <c r="C181" s="145"/>
      <c r="D181" s="146"/>
      <c r="E181" s="150"/>
      <c r="F181" s="145"/>
      <c r="G181" s="145"/>
      <c r="H181" s="145"/>
      <c r="I181" s="145"/>
      <c r="J181" s="145"/>
      <c r="K181" s="145"/>
      <c r="L181" s="145"/>
      <c r="M181" s="145"/>
      <c r="N181" s="146"/>
      <c r="O181" s="145"/>
      <c r="P181" s="138"/>
      <c r="Q181" s="255" t="str">
        <f t="shared" si="21"/>
        <v/>
      </c>
      <c r="R181" s="139" t="str">
        <f t="shared" si="22"/>
        <v/>
      </c>
      <c r="S181" s="128" t="str">
        <f t="shared" si="16"/>
        <v/>
      </c>
      <c r="T181" s="140" t="str">
        <f t="shared" si="17"/>
        <v/>
      </c>
      <c r="U181" s="141" t="str">
        <f t="shared" si="18"/>
        <v/>
      </c>
      <c r="V181" s="141" t="str">
        <f t="shared" si="19"/>
        <v/>
      </c>
      <c r="W181" s="142"/>
      <c r="X181" s="186" t="str">
        <f t="shared" si="20"/>
        <v/>
      </c>
    </row>
    <row r="182" spans="1:24" s="147" customFormat="1">
      <c r="A182" s="171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38"/>
      <c r="Q182" s="255" t="str">
        <f t="shared" si="21"/>
        <v/>
      </c>
      <c r="R182" s="139" t="str">
        <f t="shared" si="22"/>
        <v/>
      </c>
      <c r="S182" s="128" t="str">
        <f t="shared" si="16"/>
        <v/>
      </c>
      <c r="T182" s="140" t="str">
        <f t="shared" si="17"/>
        <v/>
      </c>
      <c r="U182" s="141" t="str">
        <f t="shared" si="18"/>
        <v/>
      </c>
      <c r="V182" s="141" t="str">
        <f t="shared" si="19"/>
        <v/>
      </c>
      <c r="W182" s="142"/>
      <c r="X182" s="186" t="str">
        <f t="shared" si="20"/>
        <v/>
      </c>
    </row>
    <row r="183" spans="1:24" s="147" customFormat="1">
      <c r="A183" s="170"/>
      <c r="B183" s="145"/>
      <c r="C183" s="145"/>
      <c r="D183" s="149"/>
      <c r="E183" s="150"/>
      <c r="F183" s="145"/>
      <c r="G183" s="145"/>
      <c r="H183" s="145"/>
      <c r="I183" s="145"/>
      <c r="J183" s="145"/>
      <c r="K183" s="145"/>
      <c r="L183" s="145"/>
      <c r="M183" s="145"/>
      <c r="N183" s="149"/>
      <c r="O183" s="145"/>
      <c r="P183" s="138"/>
      <c r="Q183" s="255" t="str">
        <f t="shared" si="21"/>
        <v/>
      </c>
      <c r="R183" s="139" t="str">
        <f t="shared" si="22"/>
        <v/>
      </c>
      <c r="S183" s="128" t="str">
        <f t="shared" si="16"/>
        <v/>
      </c>
      <c r="T183" s="140" t="str">
        <f t="shared" si="17"/>
        <v/>
      </c>
      <c r="U183" s="141" t="str">
        <f t="shared" si="18"/>
        <v/>
      </c>
      <c r="V183" s="141" t="str">
        <f t="shared" si="19"/>
        <v/>
      </c>
      <c r="W183" s="142"/>
      <c r="X183" s="186" t="str">
        <f t="shared" si="20"/>
        <v/>
      </c>
    </row>
    <row r="184" spans="1:24" s="147" customFormat="1">
      <c r="A184" s="170"/>
      <c r="B184" s="145"/>
      <c r="C184" s="145"/>
      <c r="D184" s="149"/>
      <c r="E184" s="150"/>
      <c r="F184" s="145"/>
      <c r="G184" s="145"/>
      <c r="H184" s="145"/>
      <c r="I184" s="145"/>
      <c r="J184" s="145"/>
      <c r="K184" s="145"/>
      <c r="L184" s="145"/>
      <c r="M184" s="145"/>
      <c r="N184" s="149"/>
      <c r="O184" s="145"/>
      <c r="P184" s="138"/>
      <c r="Q184" s="255" t="str">
        <f t="shared" si="21"/>
        <v/>
      </c>
      <c r="R184" s="139" t="str">
        <f t="shared" si="22"/>
        <v/>
      </c>
      <c r="S184" s="128" t="str">
        <f t="shared" si="16"/>
        <v/>
      </c>
      <c r="T184" s="140" t="str">
        <f t="shared" si="17"/>
        <v/>
      </c>
      <c r="U184" s="141" t="str">
        <f t="shared" si="18"/>
        <v/>
      </c>
      <c r="V184" s="141" t="str">
        <f t="shared" si="19"/>
        <v/>
      </c>
      <c r="W184" s="142"/>
      <c r="X184" s="186" t="str">
        <f t="shared" si="20"/>
        <v/>
      </c>
    </row>
    <row r="185" spans="1:24" s="147" customFormat="1">
      <c r="A185" s="170"/>
      <c r="B185" s="145"/>
      <c r="C185" s="145"/>
      <c r="D185" s="145"/>
      <c r="E185" s="150"/>
      <c r="F185" s="145"/>
      <c r="G185" s="145"/>
      <c r="H185" s="145"/>
      <c r="I185" s="145"/>
      <c r="J185" s="145"/>
      <c r="K185" s="145"/>
      <c r="L185" s="145"/>
      <c r="M185" s="145"/>
      <c r="N185" s="149"/>
      <c r="O185" s="145"/>
      <c r="P185" s="138"/>
      <c r="Q185" s="255" t="str">
        <f t="shared" si="21"/>
        <v/>
      </c>
      <c r="R185" s="139" t="str">
        <f t="shared" si="22"/>
        <v/>
      </c>
      <c r="S185" s="128" t="str">
        <f t="shared" si="16"/>
        <v/>
      </c>
      <c r="T185" s="140" t="str">
        <f t="shared" si="17"/>
        <v/>
      </c>
      <c r="U185" s="141" t="str">
        <f t="shared" si="18"/>
        <v/>
      </c>
      <c r="V185" s="141" t="str">
        <f t="shared" si="19"/>
        <v/>
      </c>
      <c r="W185" s="142"/>
      <c r="X185" s="186" t="str">
        <f t="shared" si="20"/>
        <v/>
      </c>
    </row>
    <row r="186" spans="1:24" s="147" customFormat="1">
      <c r="A186" s="172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38"/>
      <c r="Q186" s="255" t="str">
        <f t="shared" si="21"/>
        <v/>
      </c>
      <c r="R186" s="139" t="str">
        <f t="shared" si="22"/>
        <v/>
      </c>
      <c r="S186" s="128" t="str">
        <f t="shared" si="16"/>
        <v/>
      </c>
      <c r="T186" s="140" t="str">
        <f t="shared" si="17"/>
        <v/>
      </c>
      <c r="U186" s="141" t="str">
        <f t="shared" si="18"/>
        <v/>
      </c>
      <c r="V186" s="141" t="str">
        <f t="shared" si="19"/>
        <v/>
      </c>
      <c r="W186" s="142"/>
      <c r="X186" s="186" t="str">
        <f t="shared" si="20"/>
        <v/>
      </c>
    </row>
    <row r="187" spans="1:24" s="147" customFormat="1">
      <c r="A187" s="170"/>
      <c r="B187" s="145"/>
      <c r="C187" s="145"/>
      <c r="D187" s="145"/>
      <c r="E187" s="150"/>
      <c r="F187" s="145"/>
      <c r="G187" s="145"/>
      <c r="H187" s="145"/>
      <c r="I187" s="145"/>
      <c r="J187" s="145"/>
      <c r="K187" s="145"/>
      <c r="L187" s="145"/>
      <c r="M187" s="145"/>
      <c r="N187" s="146"/>
      <c r="O187" s="145"/>
      <c r="P187" s="138"/>
      <c r="Q187" s="255" t="str">
        <f t="shared" si="21"/>
        <v/>
      </c>
      <c r="R187" s="139" t="str">
        <f t="shared" si="22"/>
        <v/>
      </c>
      <c r="S187" s="128" t="str">
        <f t="shared" si="16"/>
        <v/>
      </c>
      <c r="T187" s="140" t="str">
        <f t="shared" si="17"/>
        <v/>
      </c>
      <c r="U187" s="141" t="str">
        <f t="shared" si="18"/>
        <v/>
      </c>
      <c r="V187" s="141" t="str">
        <f t="shared" si="19"/>
        <v/>
      </c>
      <c r="W187" s="142"/>
      <c r="X187" s="186" t="str">
        <f t="shared" si="20"/>
        <v/>
      </c>
    </row>
    <row r="188" spans="1:24" s="147" customFormat="1">
      <c r="A188" s="170"/>
      <c r="B188" s="145"/>
      <c r="C188" s="145"/>
      <c r="D188" s="145"/>
      <c r="E188" s="150"/>
      <c r="F188" s="145"/>
      <c r="G188" s="145"/>
      <c r="H188" s="145"/>
      <c r="I188" s="145"/>
      <c r="J188" s="145"/>
      <c r="K188" s="145"/>
      <c r="L188" s="145"/>
      <c r="M188" s="145"/>
      <c r="N188" s="146"/>
      <c r="O188" s="145"/>
      <c r="P188" s="138"/>
      <c r="Q188" s="255" t="str">
        <f t="shared" si="21"/>
        <v/>
      </c>
      <c r="R188" s="139" t="str">
        <f t="shared" si="22"/>
        <v/>
      </c>
      <c r="S188" s="128" t="str">
        <f t="shared" si="16"/>
        <v/>
      </c>
      <c r="T188" s="140" t="str">
        <f t="shared" si="17"/>
        <v/>
      </c>
      <c r="U188" s="141" t="str">
        <f t="shared" si="18"/>
        <v/>
      </c>
      <c r="V188" s="141" t="str">
        <f t="shared" si="19"/>
        <v/>
      </c>
      <c r="W188" s="142"/>
      <c r="X188" s="186" t="str">
        <f t="shared" si="20"/>
        <v/>
      </c>
    </row>
    <row r="189" spans="1:24" s="147" customFormat="1">
      <c r="A189" s="170"/>
      <c r="B189" s="145"/>
      <c r="C189" s="145"/>
      <c r="D189" s="146"/>
      <c r="E189" s="150"/>
      <c r="F189" s="145"/>
      <c r="G189" s="145"/>
      <c r="H189" s="145"/>
      <c r="I189" s="145"/>
      <c r="J189" s="145"/>
      <c r="K189" s="145"/>
      <c r="L189" s="145"/>
      <c r="M189" s="145"/>
      <c r="N189" s="146"/>
      <c r="O189" s="145"/>
      <c r="P189" s="138"/>
      <c r="Q189" s="255" t="str">
        <f t="shared" si="21"/>
        <v/>
      </c>
      <c r="R189" s="139" t="str">
        <f t="shared" si="22"/>
        <v/>
      </c>
      <c r="S189" s="128" t="str">
        <f t="shared" si="16"/>
        <v/>
      </c>
      <c r="T189" s="140" t="str">
        <f t="shared" si="17"/>
        <v/>
      </c>
      <c r="U189" s="141" t="str">
        <f t="shared" si="18"/>
        <v/>
      </c>
      <c r="V189" s="141" t="str">
        <f t="shared" si="19"/>
        <v/>
      </c>
      <c r="W189" s="142"/>
      <c r="X189" s="186" t="str">
        <f t="shared" si="20"/>
        <v/>
      </c>
    </row>
    <row r="190" spans="1:24" s="147" customFormat="1">
      <c r="A190" s="172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38"/>
      <c r="Q190" s="255" t="str">
        <f t="shared" si="21"/>
        <v/>
      </c>
      <c r="R190" s="139" t="str">
        <f t="shared" si="22"/>
        <v/>
      </c>
      <c r="S190" s="128" t="str">
        <f t="shared" si="16"/>
        <v/>
      </c>
      <c r="T190" s="140" t="str">
        <f t="shared" si="17"/>
        <v/>
      </c>
      <c r="U190" s="141" t="str">
        <f t="shared" si="18"/>
        <v/>
      </c>
      <c r="V190" s="141" t="str">
        <f t="shared" si="19"/>
        <v/>
      </c>
      <c r="W190" s="142"/>
      <c r="X190" s="186" t="str">
        <f t="shared" si="20"/>
        <v/>
      </c>
    </row>
    <row r="191" spans="1:24" s="147" customFormat="1">
      <c r="A191" s="170"/>
      <c r="B191" s="145"/>
      <c r="C191" s="145"/>
      <c r="D191" s="146"/>
      <c r="E191" s="150"/>
      <c r="F191" s="145"/>
      <c r="G191" s="145"/>
      <c r="H191" s="145"/>
      <c r="I191" s="145"/>
      <c r="J191" s="145"/>
      <c r="K191" s="145"/>
      <c r="L191" s="145"/>
      <c r="M191" s="145"/>
      <c r="N191" s="146"/>
      <c r="O191" s="145"/>
      <c r="P191" s="138"/>
      <c r="Q191" s="255" t="str">
        <f t="shared" si="21"/>
        <v/>
      </c>
      <c r="R191" s="139" t="str">
        <f t="shared" si="22"/>
        <v/>
      </c>
      <c r="S191" s="128" t="str">
        <f t="shared" si="16"/>
        <v/>
      </c>
      <c r="T191" s="140" t="str">
        <f t="shared" si="17"/>
        <v/>
      </c>
      <c r="U191" s="141" t="str">
        <f t="shared" si="18"/>
        <v/>
      </c>
      <c r="V191" s="141" t="str">
        <f t="shared" si="19"/>
        <v/>
      </c>
      <c r="W191" s="142"/>
      <c r="X191" s="186" t="str">
        <f t="shared" si="20"/>
        <v/>
      </c>
    </row>
    <row r="192" spans="1:24" s="147" customFormat="1">
      <c r="A192" s="172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38"/>
      <c r="Q192" s="255" t="str">
        <f t="shared" si="21"/>
        <v/>
      </c>
      <c r="R192" s="139" t="str">
        <f t="shared" si="22"/>
        <v/>
      </c>
      <c r="S192" s="128" t="str">
        <f t="shared" si="16"/>
        <v/>
      </c>
      <c r="T192" s="140" t="str">
        <f t="shared" si="17"/>
        <v/>
      </c>
      <c r="U192" s="141" t="str">
        <f t="shared" si="18"/>
        <v/>
      </c>
      <c r="V192" s="141" t="str">
        <f t="shared" si="19"/>
        <v/>
      </c>
      <c r="W192" s="142"/>
      <c r="X192" s="186" t="str">
        <f t="shared" si="20"/>
        <v/>
      </c>
    </row>
    <row r="193" spans="1:24" s="147" customFormat="1">
      <c r="A193" s="170"/>
      <c r="B193" s="145"/>
      <c r="C193" s="145"/>
      <c r="D193" s="146"/>
      <c r="E193" s="150"/>
      <c r="F193" s="145"/>
      <c r="G193" s="145"/>
      <c r="H193" s="145"/>
      <c r="I193" s="145"/>
      <c r="J193" s="145"/>
      <c r="K193" s="145"/>
      <c r="L193" s="145"/>
      <c r="M193" s="145"/>
      <c r="N193" s="146"/>
      <c r="O193" s="145"/>
      <c r="P193" s="138"/>
      <c r="Q193" s="255" t="str">
        <f t="shared" si="21"/>
        <v/>
      </c>
      <c r="R193" s="139" t="str">
        <f t="shared" si="22"/>
        <v/>
      </c>
      <c r="S193" s="128" t="str">
        <f t="shared" si="16"/>
        <v/>
      </c>
      <c r="T193" s="140" t="str">
        <f t="shared" si="17"/>
        <v/>
      </c>
      <c r="U193" s="141" t="str">
        <f t="shared" si="18"/>
        <v/>
      </c>
      <c r="V193" s="141" t="str">
        <f t="shared" si="19"/>
        <v/>
      </c>
      <c r="W193" s="142"/>
      <c r="X193" s="186" t="str">
        <f t="shared" si="20"/>
        <v/>
      </c>
    </row>
    <row r="194" spans="1:24" s="147" customFormat="1">
      <c r="A194" s="171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38"/>
      <c r="Q194" s="255" t="str">
        <f t="shared" si="21"/>
        <v/>
      </c>
      <c r="R194" s="139" t="str">
        <f t="shared" si="22"/>
        <v/>
      </c>
      <c r="S194" s="128" t="str">
        <f t="shared" si="16"/>
        <v/>
      </c>
      <c r="T194" s="140" t="str">
        <f t="shared" si="17"/>
        <v/>
      </c>
      <c r="U194" s="141" t="str">
        <f t="shared" si="18"/>
        <v/>
      </c>
      <c r="V194" s="141" t="str">
        <f t="shared" si="19"/>
        <v/>
      </c>
      <c r="W194" s="142"/>
      <c r="X194" s="186" t="str">
        <f t="shared" si="20"/>
        <v/>
      </c>
    </row>
    <row r="195" spans="1:24" s="147" customFormat="1">
      <c r="A195" s="170"/>
      <c r="B195" s="145"/>
      <c r="C195" s="145"/>
      <c r="D195" s="146"/>
      <c r="E195" s="150"/>
      <c r="F195" s="145"/>
      <c r="G195" s="145"/>
      <c r="H195" s="145"/>
      <c r="I195" s="145"/>
      <c r="J195" s="145"/>
      <c r="K195" s="145"/>
      <c r="L195" s="145"/>
      <c r="M195" s="145"/>
      <c r="N195" s="146"/>
      <c r="O195" s="145"/>
      <c r="P195" s="138"/>
      <c r="Q195" s="255" t="str">
        <f t="shared" si="21"/>
        <v/>
      </c>
      <c r="R195" s="139" t="str">
        <f t="shared" si="22"/>
        <v/>
      </c>
      <c r="S195" s="128" t="str">
        <f t="shared" si="16"/>
        <v/>
      </c>
      <c r="T195" s="140" t="str">
        <f t="shared" si="17"/>
        <v/>
      </c>
      <c r="U195" s="141" t="str">
        <f t="shared" si="18"/>
        <v/>
      </c>
      <c r="V195" s="141" t="str">
        <f t="shared" si="19"/>
        <v/>
      </c>
      <c r="W195" s="142"/>
      <c r="X195" s="186" t="str">
        <f t="shared" si="20"/>
        <v/>
      </c>
    </row>
    <row r="196" spans="1:24" s="147" customFormat="1">
      <c r="A196" s="172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38"/>
      <c r="Q196" s="255" t="str">
        <f t="shared" si="21"/>
        <v/>
      </c>
      <c r="R196" s="139" t="str">
        <f t="shared" si="22"/>
        <v/>
      </c>
      <c r="S196" s="128" t="str">
        <f t="shared" si="16"/>
        <v/>
      </c>
      <c r="T196" s="140" t="str">
        <f t="shared" si="17"/>
        <v/>
      </c>
      <c r="U196" s="141" t="str">
        <f t="shared" si="18"/>
        <v/>
      </c>
      <c r="V196" s="141" t="str">
        <f t="shared" si="19"/>
        <v/>
      </c>
      <c r="W196" s="142"/>
      <c r="X196" s="186" t="str">
        <f t="shared" si="20"/>
        <v/>
      </c>
    </row>
    <row r="197" spans="1:24" s="147" customFormat="1">
      <c r="A197" s="170"/>
      <c r="B197" s="145"/>
      <c r="C197" s="145"/>
      <c r="D197" s="146"/>
      <c r="E197" s="150"/>
      <c r="F197" s="145"/>
      <c r="G197" s="145"/>
      <c r="H197" s="145"/>
      <c r="I197" s="145"/>
      <c r="J197" s="145"/>
      <c r="K197" s="145"/>
      <c r="L197" s="145"/>
      <c r="M197" s="145"/>
      <c r="N197" s="146"/>
      <c r="O197" s="145"/>
      <c r="P197" s="138"/>
      <c r="Q197" s="255" t="str">
        <f t="shared" si="21"/>
        <v/>
      </c>
      <c r="R197" s="139" t="str">
        <f t="shared" si="22"/>
        <v/>
      </c>
      <c r="S197" s="128" t="str">
        <f t="shared" si="16"/>
        <v/>
      </c>
      <c r="T197" s="140" t="str">
        <f t="shared" si="17"/>
        <v/>
      </c>
      <c r="U197" s="141" t="str">
        <f t="shared" si="18"/>
        <v/>
      </c>
      <c r="V197" s="141" t="str">
        <f t="shared" si="19"/>
        <v/>
      </c>
      <c r="W197" s="142"/>
      <c r="X197" s="186" t="str">
        <f t="shared" si="20"/>
        <v/>
      </c>
    </row>
    <row r="198" spans="1:24" s="147" customFormat="1">
      <c r="A198" s="172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38"/>
      <c r="Q198" s="255" t="str">
        <f t="shared" si="21"/>
        <v/>
      </c>
      <c r="R198" s="139" t="str">
        <f t="shared" si="22"/>
        <v/>
      </c>
      <c r="S198" s="128" t="str">
        <f t="shared" si="16"/>
        <v/>
      </c>
      <c r="T198" s="140" t="str">
        <f t="shared" si="17"/>
        <v/>
      </c>
      <c r="U198" s="141" t="str">
        <f t="shared" si="18"/>
        <v/>
      </c>
      <c r="V198" s="141" t="str">
        <f t="shared" si="19"/>
        <v/>
      </c>
      <c r="W198" s="142"/>
      <c r="X198" s="186" t="str">
        <f t="shared" si="20"/>
        <v/>
      </c>
    </row>
    <row r="199" spans="1:24" s="147" customFormat="1">
      <c r="A199" s="170"/>
      <c r="B199" s="145"/>
      <c r="C199" s="145"/>
      <c r="D199" s="146"/>
      <c r="E199" s="150"/>
      <c r="F199" s="145"/>
      <c r="G199" s="145"/>
      <c r="H199" s="145"/>
      <c r="I199" s="145"/>
      <c r="J199" s="145"/>
      <c r="K199" s="145"/>
      <c r="L199" s="145"/>
      <c r="M199" s="145"/>
      <c r="N199" s="146"/>
      <c r="O199" s="145"/>
      <c r="P199" s="138"/>
      <c r="Q199" s="255" t="str">
        <f t="shared" si="21"/>
        <v/>
      </c>
      <c r="R199" s="139" t="str">
        <f t="shared" si="22"/>
        <v/>
      </c>
      <c r="S199" s="128" t="str">
        <f t="shared" ref="S199:S262" si="23">IF(D199="","",IF(IFERROR(FIND("資",D199)&gt;0,FALSE),"資券",IF(IFERROR(FIND("券",D199)&gt;0,FALSE),"資券","波段")))</f>
        <v/>
      </c>
      <c r="T199" s="140" t="str">
        <f t="shared" ref="T199:T262" si="24">IF(F199="","",F199)</f>
        <v/>
      </c>
      <c r="U199" s="141" t="str">
        <f t="shared" ref="U199:U262" si="25">IF(D199="","",IF(IFERROR(FIND("買",D199)&gt;0,FALSE),E199,IF(IFERROR(FIND("賣",D199)&gt;0,FALSE),-E199,IF(IFERROR(FIND("資",D199)&gt;0,FALSE),E199,-E199))))</f>
        <v/>
      </c>
      <c r="V199" s="141" t="str">
        <f t="shared" ref="V199:V262" si="26">IF(Q199="","",T199*U199*-1)</f>
        <v/>
      </c>
      <c r="W199" s="142"/>
      <c r="X199" s="186" t="str">
        <f t="shared" ref="X199:X262" si="27">IFERROR((-1)*LEFT(N199,FIND("扣",N199)-1),IFERROR(1*LEFT(N199,FIND("入",N199)-1),""))</f>
        <v/>
      </c>
    </row>
    <row r="200" spans="1:24" s="147" customFormat="1">
      <c r="A200" s="172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38"/>
      <c r="Q200" s="255" t="str">
        <f t="shared" ref="Q200:Q263" si="28">IF(B200="","",DATE(LEFT(B200,3)+1911,MID(B200,4,2),RIGHT(B200,2)))</f>
        <v/>
      </c>
      <c r="R200" s="139" t="str">
        <f t="shared" ref="R200:R263" si="29">IF(C200="","",IFERROR(INDEX(代號1,MATCH($C200,股名1,0)),IFERROR(INDEX(代號2,MATCH($C200,股名2,0)),INDEX(代號3,MATCH($C200,股名3,0)))))</f>
        <v/>
      </c>
      <c r="S200" s="128" t="str">
        <f t="shared" si="23"/>
        <v/>
      </c>
      <c r="T200" s="140" t="str">
        <f t="shared" si="24"/>
        <v/>
      </c>
      <c r="U200" s="141" t="str">
        <f t="shared" si="25"/>
        <v/>
      </c>
      <c r="V200" s="141" t="str">
        <f t="shared" si="26"/>
        <v/>
      </c>
      <c r="W200" s="142"/>
      <c r="X200" s="186" t="str">
        <f t="shared" si="27"/>
        <v/>
      </c>
    </row>
    <row r="201" spans="1:24" s="147" customFormat="1">
      <c r="A201" s="170"/>
      <c r="B201" s="145"/>
      <c r="C201" s="145"/>
      <c r="D201" s="146"/>
      <c r="E201" s="150"/>
      <c r="F201" s="145"/>
      <c r="G201" s="145"/>
      <c r="H201" s="145"/>
      <c r="I201" s="145"/>
      <c r="J201" s="145"/>
      <c r="K201" s="145"/>
      <c r="L201" s="145"/>
      <c r="M201" s="145"/>
      <c r="N201" s="146"/>
      <c r="O201" s="145"/>
      <c r="P201" s="138"/>
      <c r="Q201" s="255" t="str">
        <f t="shared" si="28"/>
        <v/>
      </c>
      <c r="R201" s="139" t="str">
        <f t="shared" si="29"/>
        <v/>
      </c>
      <c r="S201" s="128" t="str">
        <f t="shared" si="23"/>
        <v/>
      </c>
      <c r="T201" s="140" t="str">
        <f t="shared" si="24"/>
        <v/>
      </c>
      <c r="U201" s="141" t="str">
        <f t="shared" si="25"/>
        <v/>
      </c>
      <c r="V201" s="141" t="str">
        <f t="shared" si="26"/>
        <v/>
      </c>
      <c r="W201" s="142"/>
      <c r="X201" s="186" t="str">
        <f t="shared" si="27"/>
        <v/>
      </c>
    </row>
    <row r="202" spans="1:24" s="147" customFormat="1">
      <c r="A202" s="172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38"/>
      <c r="Q202" s="255" t="str">
        <f t="shared" si="28"/>
        <v/>
      </c>
      <c r="R202" s="139" t="str">
        <f t="shared" si="29"/>
        <v/>
      </c>
      <c r="S202" s="128" t="str">
        <f t="shared" si="23"/>
        <v/>
      </c>
      <c r="T202" s="140" t="str">
        <f t="shared" si="24"/>
        <v/>
      </c>
      <c r="U202" s="141" t="str">
        <f t="shared" si="25"/>
        <v/>
      </c>
      <c r="V202" s="141" t="str">
        <f t="shared" si="26"/>
        <v/>
      </c>
      <c r="W202" s="142"/>
      <c r="X202" s="186" t="str">
        <f t="shared" si="27"/>
        <v/>
      </c>
    </row>
    <row r="203" spans="1:24" s="147" customFormat="1">
      <c r="A203" s="170"/>
      <c r="B203" s="145"/>
      <c r="C203" s="145"/>
      <c r="D203" s="149"/>
      <c r="E203" s="150"/>
      <c r="F203" s="145"/>
      <c r="G203" s="145"/>
      <c r="H203" s="145"/>
      <c r="I203" s="145"/>
      <c r="J203" s="145"/>
      <c r="K203" s="145"/>
      <c r="L203" s="145"/>
      <c r="M203" s="145"/>
      <c r="N203" s="149"/>
      <c r="O203" s="145"/>
      <c r="P203" s="138"/>
      <c r="Q203" s="255" t="str">
        <f t="shared" si="28"/>
        <v/>
      </c>
      <c r="R203" s="139" t="str">
        <f t="shared" si="29"/>
        <v/>
      </c>
      <c r="S203" s="128" t="str">
        <f t="shared" si="23"/>
        <v/>
      </c>
      <c r="T203" s="140" t="str">
        <f t="shared" si="24"/>
        <v/>
      </c>
      <c r="U203" s="141" t="str">
        <f t="shared" si="25"/>
        <v/>
      </c>
      <c r="V203" s="141" t="str">
        <f t="shared" si="26"/>
        <v/>
      </c>
      <c r="W203" s="142"/>
      <c r="X203" s="186" t="str">
        <f t="shared" si="27"/>
        <v/>
      </c>
    </row>
    <row r="204" spans="1:24" s="147" customFormat="1">
      <c r="A204" s="170"/>
      <c r="B204" s="145"/>
      <c r="C204" s="145"/>
      <c r="D204" s="149"/>
      <c r="E204" s="150"/>
      <c r="F204" s="145"/>
      <c r="G204" s="145"/>
      <c r="H204" s="145"/>
      <c r="I204" s="145"/>
      <c r="J204" s="145"/>
      <c r="K204" s="145"/>
      <c r="L204" s="145"/>
      <c r="M204" s="145"/>
      <c r="N204" s="149"/>
      <c r="O204" s="145"/>
      <c r="P204" s="138"/>
      <c r="Q204" s="255" t="str">
        <f t="shared" si="28"/>
        <v/>
      </c>
      <c r="R204" s="139" t="str">
        <f t="shared" si="29"/>
        <v/>
      </c>
      <c r="S204" s="128" t="str">
        <f t="shared" si="23"/>
        <v/>
      </c>
      <c r="T204" s="140" t="str">
        <f t="shared" si="24"/>
        <v/>
      </c>
      <c r="U204" s="141" t="str">
        <f t="shared" si="25"/>
        <v/>
      </c>
      <c r="V204" s="141" t="str">
        <f t="shared" si="26"/>
        <v/>
      </c>
      <c r="W204" s="142"/>
      <c r="X204" s="186" t="str">
        <f t="shared" si="27"/>
        <v/>
      </c>
    </row>
    <row r="205" spans="1:24" s="147" customFormat="1">
      <c r="A205" s="170"/>
      <c r="B205" s="145"/>
      <c r="C205" s="145"/>
      <c r="D205" s="149"/>
      <c r="E205" s="150"/>
      <c r="F205" s="145"/>
      <c r="G205" s="145"/>
      <c r="H205" s="145"/>
      <c r="I205" s="145"/>
      <c r="J205" s="145"/>
      <c r="K205" s="145"/>
      <c r="L205" s="145"/>
      <c r="M205" s="145"/>
      <c r="N205" s="149"/>
      <c r="O205" s="145"/>
      <c r="P205" s="138"/>
      <c r="Q205" s="255" t="str">
        <f t="shared" si="28"/>
        <v/>
      </c>
      <c r="R205" s="139" t="str">
        <f t="shared" si="29"/>
        <v/>
      </c>
      <c r="S205" s="128" t="str">
        <f t="shared" si="23"/>
        <v/>
      </c>
      <c r="T205" s="140" t="str">
        <f t="shared" si="24"/>
        <v/>
      </c>
      <c r="U205" s="141" t="str">
        <f t="shared" si="25"/>
        <v/>
      </c>
      <c r="V205" s="141" t="str">
        <f t="shared" si="26"/>
        <v/>
      </c>
      <c r="W205" s="142"/>
      <c r="X205" s="186" t="str">
        <f t="shared" si="27"/>
        <v/>
      </c>
    </row>
    <row r="206" spans="1:24" s="147" customFormat="1">
      <c r="A206" s="170"/>
      <c r="B206" s="145"/>
      <c r="C206" s="145"/>
      <c r="D206" s="149"/>
      <c r="E206" s="150"/>
      <c r="F206" s="145"/>
      <c r="G206" s="145"/>
      <c r="H206" s="145"/>
      <c r="I206" s="145"/>
      <c r="J206" s="145"/>
      <c r="K206" s="145"/>
      <c r="L206" s="145"/>
      <c r="M206" s="145"/>
      <c r="N206" s="149"/>
      <c r="O206" s="145"/>
      <c r="P206" s="138"/>
      <c r="Q206" s="255" t="str">
        <f t="shared" si="28"/>
        <v/>
      </c>
      <c r="R206" s="139" t="str">
        <f t="shared" si="29"/>
        <v/>
      </c>
      <c r="S206" s="128" t="str">
        <f t="shared" si="23"/>
        <v/>
      </c>
      <c r="T206" s="140" t="str">
        <f t="shared" si="24"/>
        <v/>
      </c>
      <c r="U206" s="141" t="str">
        <f t="shared" si="25"/>
        <v/>
      </c>
      <c r="V206" s="141" t="str">
        <f t="shared" si="26"/>
        <v/>
      </c>
      <c r="W206" s="142"/>
      <c r="X206" s="186" t="str">
        <f t="shared" si="27"/>
        <v/>
      </c>
    </row>
    <row r="207" spans="1:24" s="147" customFormat="1">
      <c r="A207" s="170"/>
      <c r="B207" s="145"/>
      <c r="C207" s="145"/>
      <c r="D207" s="145"/>
      <c r="E207" s="150"/>
      <c r="F207" s="145"/>
      <c r="G207" s="145"/>
      <c r="H207" s="145"/>
      <c r="I207" s="145"/>
      <c r="J207" s="145"/>
      <c r="K207" s="145"/>
      <c r="L207" s="145"/>
      <c r="M207" s="145"/>
      <c r="N207" s="149"/>
      <c r="O207" s="145"/>
      <c r="P207" s="138"/>
      <c r="Q207" s="255" t="str">
        <f t="shared" si="28"/>
        <v/>
      </c>
      <c r="R207" s="139" t="str">
        <f t="shared" si="29"/>
        <v/>
      </c>
      <c r="S207" s="128" t="str">
        <f t="shared" si="23"/>
        <v/>
      </c>
      <c r="T207" s="140" t="str">
        <f t="shared" si="24"/>
        <v/>
      </c>
      <c r="U207" s="141" t="str">
        <f t="shared" si="25"/>
        <v/>
      </c>
      <c r="V207" s="141" t="str">
        <f t="shared" si="26"/>
        <v/>
      </c>
      <c r="W207" s="142"/>
      <c r="X207" s="186" t="str">
        <f t="shared" si="27"/>
        <v/>
      </c>
    </row>
    <row r="208" spans="1:24" s="147" customFormat="1">
      <c r="A208" s="172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38"/>
      <c r="Q208" s="255" t="str">
        <f t="shared" si="28"/>
        <v/>
      </c>
      <c r="R208" s="139" t="str">
        <f t="shared" si="29"/>
        <v/>
      </c>
      <c r="S208" s="128" t="str">
        <f t="shared" si="23"/>
        <v/>
      </c>
      <c r="T208" s="140" t="str">
        <f t="shared" si="24"/>
        <v/>
      </c>
      <c r="U208" s="141" t="str">
        <f t="shared" si="25"/>
        <v/>
      </c>
      <c r="V208" s="141" t="str">
        <f t="shared" si="26"/>
        <v/>
      </c>
      <c r="W208" s="142"/>
      <c r="X208" s="186" t="str">
        <f t="shared" si="27"/>
        <v/>
      </c>
    </row>
    <row r="209" spans="1:24" s="147" customFormat="1">
      <c r="A209" s="170"/>
      <c r="B209" s="145"/>
      <c r="C209" s="145"/>
      <c r="D209" s="145"/>
      <c r="E209" s="150"/>
      <c r="F209" s="145"/>
      <c r="G209" s="145"/>
      <c r="H209" s="145"/>
      <c r="I209" s="145"/>
      <c r="J209" s="145"/>
      <c r="K209" s="145"/>
      <c r="L209" s="145"/>
      <c r="M209" s="145"/>
      <c r="N209" s="146"/>
      <c r="O209" s="145"/>
      <c r="P209" s="138"/>
      <c r="Q209" s="255" t="str">
        <f t="shared" si="28"/>
        <v/>
      </c>
      <c r="R209" s="139" t="str">
        <f t="shared" si="29"/>
        <v/>
      </c>
      <c r="S209" s="128" t="str">
        <f t="shared" si="23"/>
        <v/>
      </c>
      <c r="T209" s="140" t="str">
        <f t="shared" si="24"/>
        <v/>
      </c>
      <c r="U209" s="141" t="str">
        <f t="shared" si="25"/>
        <v/>
      </c>
      <c r="V209" s="141" t="str">
        <f t="shared" si="26"/>
        <v/>
      </c>
      <c r="W209" s="142"/>
      <c r="X209" s="186" t="str">
        <f t="shared" si="27"/>
        <v/>
      </c>
    </row>
    <row r="210" spans="1:24" s="147" customFormat="1">
      <c r="A210" s="170"/>
      <c r="B210" s="145"/>
      <c r="C210" s="145"/>
      <c r="D210" s="145"/>
      <c r="E210" s="150"/>
      <c r="F210" s="145"/>
      <c r="G210" s="145"/>
      <c r="H210" s="145"/>
      <c r="I210" s="145"/>
      <c r="J210" s="145"/>
      <c r="K210" s="145"/>
      <c r="L210" s="145"/>
      <c r="M210" s="145"/>
      <c r="N210" s="149"/>
      <c r="O210" s="145"/>
      <c r="P210" s="138"/>
      <c r="Q210" s="255" t="str">
        <f t="shared" si="28"/>
        <v/>
      </c>
      <c r="R210" s="139" t="str">
        <f t="shared" si="29"/>
        <v/>
      </c>
      <c r="S210" s="128" t="str">
        <f t="shared" si="23"/>
        <v/>
      </c>
      <c r="T210" s="140" t="str">
        <f t="shared" si="24"/>
        <v/>
      </c>
      <c r="U210" s="141" t="str">
        <f t="shared" si="25"/>
        <v/>
      </c>
      <c r="V210" s="141" t="str">
        <f t="shared" si="26"/>
        <v/>
      </c>
      <c r="W210" s="142"/>
      <c r="X210" s="186" t="str">
        <f t="shared" si="27"/>
        <v/>
      </c>
    </row>
    <row r="211" spans="1:24" s="147" customFormat="1">
      <c r="A211" s="172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38"/>
      <c r="Q211" s="255" t="str">
        <f t="shared" si="28"/>
        <v/>
      </c>
      <c r="R211" s="139" t="str">
        <f t="shared" si="29"/>
        <v/>
      </c>
      <c r="S211" s="128" t="str">
        <f t="shared" si="23"/>
        <v/>
      </c>
      <c r="T211" s="140" t="str">
        <f t="shared" si="24"/>
        <v/>
      </c>
      <c r="U211" s="141" t="str">
        <f t="shared" si="25"/>
        <v/>
      </c>
      <c r="V211" s="141" t="str">
        <f t="shared" si="26"/>
        <v/>
      </c>
      <c r="W211" s="142"/>
      <c r="X211" s="186" t="str">
        <f t="shared" si="27"/>
        <v/>
      </c>
    </row>
    <row r="212" spans="1:24" s="147" customFormat="1">
      <c r="A212" s="170"/>
      <c r="B212" s="145"/>
      <c r="C212" s="145"/>
      <c r="D212" s="145"/>
      <c r="E212" s="150"/>
      <c r="F212" s="145"/>
      <c r="G212" s="145"/>
      <c r="H212" s="145"/>
      <c r="I212" s="145"/>
      <c r="J212" s="145"/>
      <c r="K212" s="145"/>
      <c r="L212" s="145"/>
      <c r="M212" s="145"/>
      <c r="N212" s="146"/>
      <c r="O212" s="145"/>
      <c r="P212" s="138"/>
      <c r="Q212" s="255" t="str">
        <f t="shared" si="28"/>
        <v/>
      </c>
      <c r="R212" s="139" t="str">
        <f t="shared" si="29"/>
        <v/>
      </c>
      <c r="S212" s="128" t="str">
        <f t="shared" si="23"/>
        <v/>
      </c>
      <c r="T212" s="140" t="str">
        <f t="shared" si="24"/>
        <v/>
      </c>
      <c r="U212" s="141" t="str">
        <f t="shared" si="25"/>
        <v/>
      </c>
      <c r="V212" s="141" t="str">
        <f t="shared" si="26"/>
        <v/>
      </c>
      <c r="W212" s="142"/>
      <c r="X212" s="186" t="str">
        <f t="shared" si="27"/>
        <v/>
      </c>
    </row>
    <row r="213" spans="1:24" s="147" customFormat="1">
      <c r="A213" s="170"/>
      <c r="B213" s="145"/>
      <c r="C213" s="145"/>
      <c r="D213" s="149"/>
      <c r="E213" s="150"/>
      <c r="F213" s="145"/>
      <c r="G213" s="145"/>
      <c r="H213" s="145"/>
      <c r="I213" s="145"/>
      <c r="J213" s="145"/>
      <c r="K213" s="145"/>
      <c r="L213" s="145"/>
      <c r="M213" s="145"/>
      <c r="N213" s="149"/>
      <c r="O213" s="145"/>
      <c r="P213" s="138"/>
      <c r="Q213" s="255" t="str">
        <f t="shared" si="28"/>
        <v/>
      </c>
      <c r="R213" s="139" t="str">
        <f t="shared" si="29"/>
        <v/>
      </c>
      <c r="S213" s="128" t="str">
        <f t="shared" si="23"/>
        <v/>
      </c>
      <c r="T213" s="140" t="str">
        <f t="shared" si="24"/>
        <v/>
      </c>
      <c r="U213" s="141" t="str">
        <f t="shared" si="25"/>
        <v/>
      </c>
      <c r="V213" s="141" t="str">
        <f t="shared" si="26"/>
        <v/>
      </c>
      <c r="W213" s="142"/>
      <c r="X213" s="186" t="str">
        <f t="shared" si="27"/>
        <v/>
      </c>
    </row>
    <row r="214" spans="1:24" s="147" customFormat="1">
      <c r="A214" s="170"/>
      <c r="B214" s="145"/>
      <c r="C214" s="145"/>
      <c r="D214" s="149"/>
      <c r="E214" s="150"/>
      <c r="F214" s="145"/>
      <c r="G214" s="145"/>
      <c r="H214" s="145"/>
      <c r="I214" s="145"/>
      <c r="J214" s="145"/>
      <c r="K214" s="145"/>
      <c r="L214" s="145"/>
      <c r="M214" s="145"/>
      <c r="N214" s="149"/>
      <c r="O214" s="145"/>
      <c r="P214" s="138"/>
      <c r="Q214" s="255" t="str">
        <f t="shared" si="28"/>
        <v/>
      </c>
      <c r="R214" s="139" t="str">
        <f t="shared" si="29"/>
        <v/>
      </c>
      <c r="S214" s="128" t="str">
        <f t="shared" si="23"/>
        <v/>
      </c>
      <c r="T214" s="140" t="str">
        <f t="shared" si="24"/>
        <v/>
      </c>
      <c r="U214" s="141" t="str">
        <f t="shared" si="25"/>
        <v/>
      </c>
      <c r="V214" s="141" t="str">
        <f t="shared" si="26"/>
        <v/>
      </c>
      <c r="W214" s="142"/>
      <c r="X214" s="186" t="str">
        <f t="shared" si="27"/>
        <v/>
      </c>
    </row>
    <row r="215" spans="1:24" s="147" customFormat="1">
      <c r="A215" s="170"/>
      <c r="B215" s="145"/>
      <c r="C215" s="145"/>
      <c r="D215" s="149"/>
      <c r="E215" s="150"/>
      <c r="F215" s="145"/>
      <c r="G215" s="145"/>
      <c r="H215" s="145"/>
      <c r="I215" s="145"/>
      <c r="J215" s="145"/>
      <c r="K215" s="145"/>
      <c r="L215" s="145"/>
      <c r="M215" s="145"/>
      <c r="N215" s="149"/>
      <c r="O215" s="145"/>
      <c r="P215" s="138"/>
      <c r="Q215" s="255" t="str">
        <f t="shared" si="28"/>
        <v/>
      </c>
      <c r="R215" s="139" t="str">
        <f t="shared" si="29"/>
        <v/>
      </c>
      <c r="S215" s="128" t="str">
        <f t="shared" si="23"/>
        <v/>
      </c>
      <c r="T215" s="140" t="str">
        <f t="shared" si="24"/>
        <v/>
      </c>
      <c r="U215" s="141" t="str">
        <f t="shared" si="25"/>
        <v/>
      </c>
      <c r="V215" s="141" t="str">
        <f t="shared" si="26"/>
        <v/>
      </c>
      <c r="W215" s="142"/>
      <c r="X215" s="186" t="str">
        <f t="shared" si="27"/>
        <v/>
      </c>
    </row>
    <row r="216" spans="1:24" s="147" customFormat="1">
      <c r="A216" s="170"/>
      <c r="B216" s="145"/>
      <c r="C216" s="145"/>
      <c r="D216" s="146"/>
      <c r="E216" s="150"/>
      <c r="F216" s="145"/>
      <c r="G216" s="145"/>
      <c r="H216" s="145"/>
      <c r="I216" s="145"/>
      <c r="J216" s="145"/>
      <c r="K216" s="145"/>
      <c r="L216" s="145"/>
      <c r="M216" s="145"/>
      <c r="N216" s="146"/>
      <c r="O216" s="145"/>
      <c r="P216" s="138"/>
      <c r="Q216" s="255" t="str">
        <f t="shared" si="28"/>
        <v/>
      </c>
      <c r="R216" s="139" t="str">
        <f t="shared" si="29"/>
        <v/>
      </c>
      <c r="S216" s="128" t="str">
        <f t="shared" si="23"/>
        <v/>
      </c>
      <c r="T216" s="140" t="str">
        <f t="shared" si="24"/>
        <v/>
      </c>
      <c r="U216" s="141" t="str">
        <f t="shared" si="25"/>
        <v/>
      </c>
      <c r="V216" s="141" t="str">
        <f t="shared" si="26"/>
        <v/>
      </c>
      <c r="W216" s="142"/>
      <c r="X216" s="186" t="str">
        <f t="shared" si="27"/>
        <v/>
      </c>
    </row>
    <row r="217" spans="1:24" s="147" customFormat="1">
      <c r="A217" s="171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38"/>
      <c r="Q217" s="255" t="str">
        <f t="shared" si="28"/>
        <v/>
      </c>
      <c r="R217" s="139" t="str">
        <f t="shared" si="29"/>
        <v/>
      </c>
      <c r="S217" s="128" t="str">
        <f t="shared" si="23"/>
        <v/>
      </c>
      <c r="T217" s="140" t="str">
        <f t="shared" si="24"/>
        <v/>
      </c>
      <c r="U217" s="141" t="str">
        <f t="shared" si="25"/>
        <v/>
      </c>
      <c r="V217" s="141" t="str">
        <f t="shared" si="26"/>
        <v/>
      </c>
      <c r="W217" s="142"/>
      <c r="X217" s="186" t="str">
        <f t="shared" si="27"/>
        <v/>
      </c>
    </row>
    <row r="218" spans="1:24" s="147" customFormat="1">
      <c r="A218" s="170"/>
      <c r="B218" s="145"/>
      <c r="C218" s="145"/>
      <c r="D218" s="146"/>
      <c r="E218" s="150"/>
      <c r="F218" s="145"/>
      <c r="G218" s="145"/>
      <c r="H218" s="145"/>
      <c r="I218" s="145"/>
      <c r="J218" s="145"/>
      <c r="K218" s="145"/>
      <c r="L218" s="145"/>
      <c r="M218" s="145"/>
      <c r="N218" s="146"/>
      <c r="O218" s="145"/>
      <c r="P218" s="138"/>
      <c r="Q218" s="255" t="str">
        <f t="shared" si="28"/>
        <v/>
      </c>
      <c r="R218" s="139" t="str">
        <f t="shared" si="29"/>
        <v/>
      </c>
      <c r="S218" s="128" t="str">
        <f t="shared" si="23"/>
        <v/>
      </c>
      <c r="T218" s="140" t="str">
        <f t="shared" si="24"/>
        <v/>
      </c>
      <c r="U218" s="141" t="str">
        <f t="shared" si="25"/>
        <v/>
      </c>
      <c r="V218" s="141" t="str">
        <f t="shared" si="26"/>
        <v/>
      </c>
      <c r="W218" s="142"/>
      <c r="X218" s="186" t="str">
        <f t="shared" si="27"/>
        <v/>
      </c>
    </row>
    <row r="219" spans="1:24" s="147" customFormat="1">
      <c r="A219" s="171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38"/>
      <c r="Q219" s="255" t="str">
        <f t="shared" si="28"/>
        <v/>
      </c>
      <c r="R219" s="139" t="str">
        <f t="shared" si="29"/>
        <v/>
      </c>
      <c r="S219" s="128" t="str">
        <f t="shared" si="23"/>
        <v/>
      </c>
      <c r="T219" s="140" t="str">
        <f t="shared" si="24"/>
        <v/>
      </c>
      <c r="U219" s="141" t="str">
        <f t="shared" si="25"/>
        <v/>
      </c>
      <c r="V219" s="141" t="str">
        <f t="shared" si="26"/>
        <v/>
      </c>
      <c r="W219" s="142"/>
      <c r="X219" s="186" t="str">
        <f t="shared" si="27"/>
        <v/>
      </c>
    </row>
    <row r="220" spans="1:24" s="147" customFormat="1">
      <c r="A220" s="170"/>
      <c r="B220" s="145"/>
      <c r="C220" s="145"/>
      <c r="D220" s="149"/>
      <c r="E220" s="150"/>
      <c r="F220" s="145"/>
      <c r="G220" s="145"/>
      <c r="H220" s="145"/>
      <c r="I220" s="145"/>
      <c r="J220" s="145"/>
      <c r="K220" s="145"/>
      <c r="L220" s="145"/>
      <c r="M220" s="145"/>
      <c r="N220" s="149"/>
      <c r="O220" s="145"/>
      <c r="P220" s="138"/>
      <c r="Q220" s="255" t="str">
        <f t="shared" si="28"/>
        <v/>
      </c>
      <c r="R220" s="139" t="str">
        <f t="shared" si="29"/>
        <v/>
      </c>
      <c r="S220" s="128" t="str">
        <f t="shared" si="23"/>
        <v/>
      </c>
      <c r="T220" s="140" t="str">
        <f t="shared" si="24"/>
        <v/>
      </c>
      <c r="U220" s="141" t="str">
        <f t="shared" si="25"/>
        <v/>
      </c>
      <c r="V220" s="141" t="str">
        <f t="shared" si="26"/>
        <v/>
      </c>
      <c r="W220" s="142"/>
      <c r="X220" s="186" t="str">
        <f t="shared" si="27"/>
        <v/>
      </c>
    </row>
    <row r="221" spans="1:24" s="147" customFormat="1">
      <c r="A221" s="170"/>
      <c r="B221" s="145"/>
      <c r="C221" s="145"/>
      <c r="D221" s="145"/>
      <c r="E221" s="150"/>
      <c r="F221" s="145"/>
      <c r="G221" s="145"/>
      <c r="H221" s="145"/>
      <c r="I221" s="145"/>
      <c r="J221" s="145"/>
      <c r="K221" s="145"/>
      <c r="L221" s="145"/>
      <c r="M221" s="145"/>
      <c r="N221" s="149"/>
      <c r="O221" s="145"/>
      <c r="P221" s="138"/>
      <c r="Q221" s="255" t="str">
        <f t="shared" si="28"/>
        <v/>
      </c>
      <c r="R221" s="139" t="str">
        <f t="shared" si="29"/>
        <v/>
      </c>
      <c r="S221" s="128" t="str">
        <f t="shared" si="23"/>
        <v/>
      </c>
      <c r="T221" s="140" t="str">
        <f t="shared" si="24"/>
        <v/>
      </c>
      <c r="U221" s="141" t="str">
        <f t="shared" si="25"/>
        <v/>
      </c>
      <c r="V221" s="141" t="str">
        <f t="shared" si="26"/>
        <v/>
      </c>
      <c r="W221" s="142"/>
      <c r="X221" s="186" t="str">
        <f t="shared" si="27"/>
        <v/>
      </c>
    </row>
    <row r="222" spans="1:24" s="147" customFormat="1">
      <c r="A222" s="172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38"/>
      <c r="Q222" s="255" t="str">
        <f t="shared" si="28"/>
        <v/>
      </c>
      <c r="R222" s="139" t="str">
        <f t="shared" si="29"/>
        <v/>
      </c>
      <c r="S222" s="128" t="str">
        <f t="shared" si="23"/>
        <v/>
      </c>
      <c r="T222" s="140" t="str">
        <f t="shared" si="24"/>
        <v/>
      </c>
      <c r="U222" s="141" t="str">
        <f t="shared" si="25"/>
        <v/>
      </c>
      <c r="V222" s="141" t="str">
        <f t="shared" si="26"/>
        <v/>
      </c>
      <c r="W222" s="142"/>
      <c r="X222" s="186" t="str">
        <f t="shared" si="27"/>
        <v/>
      </c>
    </row>
    <row r="223" spans="1:24" s="147" customFormat="1">
      <c r="A223" s="170"/>
      <c r="B223" s="145"/>
      <c r="C223" s="145"/>
      <c r="D223" s="145"/>
      <c r="E223" s="150"/>
      <c r="F223" s="145"/>
      <c r="G223" s="145"/>
      <c r="H223" s="145"/>
      <c r="I223" s="145"/>
      <c r="J223" s="145"/>
      <c r="K223" s="145"/>
      <c r="L223" s="145"/>
      <c r="M223" s="145"/>
      <c r="N223" s="146"/>
      <c r="O223" s="145"/>
      <c r="P223" s="138"/>
      <c r="Q223" s="255" t="str">
        <f t="shared" si="28"/>
        <v/>
      </c>
      <c r="R223" s="139" t="str">
        <f t="shared" si="29"/>
        <v/>
      </c>
      <c r="S223" s="128" t="str">
        <f t="shared" si="23"/>
        <v/>
      </c>
      <c r="T223" s="140" t="str">
        <f t="shared" si="24"/>
        <v/>
      </c>
      <c r="U223" s="141" t="str">
        <f t="shared" si="25"/>
        <v/>
      </c>
      <c r="V223" s="141" t="str">
        <f t="shared" si="26"/>
        <v/>
      </c>
      <c r="W223" s="142"/>
      <c r="X223" s="186" t="str">
        <f t="shared" si="27"/>
        <v/>
      </c>
    </row>
    <row r="224" spans="1:24" s="147" customFormat="1">
      <c r="A224" s="170"/>
      <c r="B224" s="145"/>
      <c r="C224" s="145"/>
      <c r="D224" s="149"/>
      <c r="E224" s="150"/>
      <c r="F224" s="145"/>
      <c r="G224" s="145"/>
      <c r="H224" s="145"/>
      <c r="I224" s="145"/>
      <c r="J224" s="145"/>
      <c r="K224" s="145"/>
      <c r="L224" s="145"/>
      <c r="M224" s="145"/>
      <c r="N224" s="149"/>
      <c r="O224" s="145"/>
      <c r="P224" s="138"/>
      <c r="Q224" s="255" t="str">
        <f t="shared" si="28"/>
        <v/>
      </c>
      <c r="R224" s="139" t="str">
        <f t="shared" si="29"/>
        <v/>
      </c>
      <c r="S224" s="128" t="str">
        <f t="shared" si="23"/>
        <v/>
      </c>
      <c r="T224" s="140" t="str">
        <f t="shared" si="24"/>
        <v/>
      </c>
      <c r="U224" s="141" t="str">
        <f t="shared" si="25"/>
        <v/>
      </c>
      <c r="V224" s="141" t="str">
        <f t="shared" si="26"/>
        <v/>
      </c>
      <c r="W224" s="142"/>
      <c r="X224" s="186" t="str">
        <f t="shared" si="27"/>
        <v/>
      </c>
    </row>
    <row r="225" spans="1:24" s="147" customFormat="1">
      <c r="A225" s="170"/>
      <c r="B225" s="145"/>
      <c r="C225" s="145"/>
      <c r="D225" s="149"/>
      <c r="E225" s="150"/>
      <c r="F225" s="145"/>
      <c r="G225" s="145"/>
      <c r="H225" s="145"/>
      <c r="I225" s="145"/>
      <c r="J225" s="145"/>
      <c r="K225" s="145"/>
      <c r="L225" s="145"/>
      <c r="M225" s="145"/>
      <c r="N225" s="149"/>
      <c r="O225" s="145"/>
      <c r="P225" s="138"/>
      <c r="Q225" s="255" t="str">
        <f t="shared" si="28"/>
        <v/>
      </c>
      <c r="R225" s="139" t="str">
        <f t="shared" si="29"/>
        <v/>
      </c>
      <c r="S225" s="128" t="str">
        <f t="shared" si="23"/>
        <v/>
      </c>
      <c r="T225" s="140" t="str">
        <f t="shared" si="24"/>
        <v/>
      </c>
      <c r="U225" s="141" t="str">
        <f t="shared" si="25"/>
        <v/>
      </c>
      <c r="V225" s="141" t="str">
        <f t="shared" si="26"/>
        <v/>
      </c>
      <c r="W225" s="142"/>
      <c r="X225" s="186" t="str">
        <f t="shared" si="27"/>
        <v/>
      </c>
    </row>
    <row r="226" spans="1:24" s="147" customFormat="1">
      <c r="A226" s="170"/>
      <c r="B226" s="145"/>
      <c r="C226" s="145"/>
      <c r="D226" s="149"/>
      <c r="E226" s="150"/>
      <c r="F226" s="145"/>
      <c r="G226" s="145"/>
      <c r="H226" s="145"/>
      <c r="I226" s="145"/>
      <c r="J226" s="145"/>
      <c r="K226" s="145"/>
      <c r="L226" s="145"/>
      <c r="M226" s="145"/>
      <c r="N226" s="149"/>
      <c r="O226" s="145"/>
      <c r="P226" s="138"/>
      <c r="Q226" s="255" t="str">
        <f t="shared" si="28"/>
        <v/>
      </c>
      <c r="R226" s="139" t="str">
        <f t="shared" si="29"/>
        <v/>
      </c>
      <c r="S226" s="128" t="str">
        <f t="shared" si="23"/>
        <v/>
      </c>
      <c r="T226" s="140" t="str">
        <f t="shared" si="24"/>
        <v/>
      </c>
      <c r="U226" s="141" t="str">
        <f t="shared" si="25"/>
        <v/>
      </c>
      <c r="V226" s="141" t="str">
        <f t="shared" si="26"/>
        <v/>
      </c>
      <c r="W226" s="142"/>
      <c r="X226" s="186" t="str">
        <f t="shared" si="27"/>
        <v/>
      </c>
    </row>
    <row r="227" spans="1:24" s="147" customFormat="1">
      <c r="A227" s="170"/>
      <c r="B227" s="145"/>
      <c r="C227" s="145"/>
      <c r="D227" s="146"/>
      <c r="E227" s="150"/>
      <c r="F227" s="145"/>
      <c r="G227" s="145"/>
      <c r="H227" s="145"/>
      <c r="I227" s="145"/>
      <c r="J227" s="145"/>
      <c r="K227" s="145"/>
      <c r="L227" s="145"/>
      <c r="M227" s="145"/>
      <c r="N227" s="146"/>
      <c r="O227" s="145"/>
      <c r="P227" s="138"/>
      <c r="Q227" s="255" t="str">
        <f t="shared" si="28"/>
        <v/>
      </c>
      <c r="R227" s="139" t="str">
        <f t="shared" si="29"/>
        <v/>
      </c>
      <c r="S227" s="128" t="str">
        <f t="shared" si="23"/>
        <v/>
      </c>
      <c r="T227" s="140" t="str">
        <f t="shared" si="24"/>
        <v/>
      </c>
      <c r="U227" s="141" t="str">
        <f t="shared" si="25"/>
        <v/>
      </c>
      <c r="V227" s="141" t="str">
        <f t="shared" si="26"/>
        <v/>
      </c>
      <c r="W227" s="142"/>
      <c r="X227" s="186" t="str">
        <f t="shared" si="27"/>
        <v/>
      </c>
    </row>
    <row r="228" spans="1:24" s="147" customFormat="1">
      <c r="A228" s="171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38"/>
      <c r="Q228" s="255" t="str">
        <f t="shared" si="28"/>
        <v/>
      </c>
      <c r="R228" s="139" t="str">
        <f t="shared" si="29"/>
        <v/>
      </c>
      <c r="S228" s="128" t="str">
        <f t="shared" si="23"/>
        <v/>
      </c>
      <c r="T228" s="140" t="str">
        <f t="shared" si="24"/>
        <v/>
      </c>
      <c r="U228" s="141" t="str">
        <f t="shared" si="25"/>
        <v/>
      </c>
      <c r="V228" s="141" t="str">
        <f t="shared" si="26"/>
        <v/>
      </c>
      <c r="W228" s="142"/>
      <c r="X228" s="186" t="str">
        <f t="shared" si="27"/>
        <v/>
      </c>
    </row>
    <row r="229" spans="1:24" s="147" customFormat="1">
      <c r="A229" s="170"/>
      <c r="B229" s="145"/>
      <c r="C229" s="145"/>
      <c r="D229" s="146"/>
      <c r="E229" s="150"/>
      <c r="F229" s="145"/>
      <c r="G229" s="145"/>
      <c r="H229" s="145"/>
      <c r="I229" s="145"/>
      <c r="J229" s="145"/>
      <c r="K229" s="145"/>
      <c r="L229" s="145"/>
      <c r="M229" s="145"/>
      <c r="N229" s="146"/>
      <c r="O229" s="145"/>
      <c r="P229" s="138"/>
      <c r="Q229" s="255" t="str">
        <f t="shared" si="28"/>
        <v/>
      </c>
      <c r="R229" s="139" t="str">
        <f t="shared" si="29"/>
        <v/>
      </c>
      <c r="S229" s="128" t="str">
        <f t="shared" si="23"/>
        <v/>
      </c>
      <c r="T229" s="140" t="str">
        <f t="shared" si="24"/>
        <v/>
      </c>
      <c r="U229" s="141" t="str">
        <f t="shared" si="25"/>
        <v/>
      </c>
      <c r="V229" s="141" t="str">
        <f t="shared" si="26"/>
        <v/>
      </c>
      <c r="W229" s="142"/>
      <c r="X229" s="186" t="str">
        <f t="shared" si="27"/>
        <v/>
      </c>
    </row>
    <row r="230" spans="1:24" s="147" customFormat="1">
      <c r="A230" s="171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38"/>
      <c r="Q230" s="255" t="str">
        <f t="shared" si="28"/>
        <v/>
      </c>
      <c r="R230" s="139" t="str">
        <f t="shared" si="29"/>
        <v/>
      </c>
      <c r="S230" s="128" t="str">
        <f t="shared" si="23"/>
        <v/>
      </c>
      <c r="T230" s="140" t="str">
        <f t="shared" si="24"/>
        <v/>
      </c>
      <c r="U230" s="141" t="str">
        <f t="shared" si="25"/>
        <v/>
      </c>
      <c r="V230" s="141" t="str">
        <f t="shared" si="26"/>
        <v/>
      </c>
      <c r="W230" s="142"/>
      <c r="X230" s="186" t="str">
        <f t="shared" si="27"/>
        <v/>
      </c>
    </row>
    <row r="231" spans="1:24" s="147" customFormat="1">
      <c r="A231" s="170"/>
      <c r="B231" s="145"/>
      <c r="C231" s="145"/>
      <c r="D231" s="149"/>
      <c r="E231" s="150"/>
      <c r="F231" s="145"/>
      <c r="G231" s="145"/>
      <c r="H231" s="145"/>
      <c r="I231" s="145"/>
      <c r="J231" s="145"/>
      <c r="K231" s="145"/>
      <c r="L231" s="145"/>
      <c r="M231" s="145"/>
      <c r="N231" s="149"/>
      <c r="O231" s="145"/>
      <c r="P231" s="138"/>
      <c r="Q231" s="255" t="str">
        <f t="shared" si="28"/>
        <v/>
      </c>
      <c r="R231" s="139" t="str">
        <f t="shared" si="29"/>
        <v/>
      </c>
      <c r="S231" s="128" t="str">
        <f t="shared" si="23"/>
        <v/>
      </c>
      <c r="T231" s="140" t="str">
        <f t="shared" si="24"/>
        <v/>
      </c>
      <c r="U231" s="141" t="str">
        <f t="shared" si="25"/>
        <v/>
      </c>
      <c r="V231" s="141" t="str">
        <f t="shared" si="26"/>
        <v/>
      </c>
      <c r="W231" s="142"/>
      <c r="X231" s="186" t="str">
        <f t="shared" si="27"/>
        <v/>
      </c>
    </row>
    <row r="232" spans="1:24" s="147" customFormat="1">
      <c r="A232" s="170"/>
      <c r="B232" s="145"/>
      <c r="C232" s="145"/>
      <c r="D232" s="149"/>
      <c r="E232" s="150"/>
      <c r="F232" s="145"/>
      <c r="G232" s="145"/>
      <c r="H232" s="145"/>
      <c r="I232" s="145"/>
      <c r="J232" s="145"/>
      <c r="K232" s="145"/>
      <c r="L232" s="145"/>
      <c r="M232" s="145"/>
      <c r="N232" s="149"/>
      <c r="O232" s="145"/>
      <c r="P232" s="138"/>
      <c r="Q232" s="255" t="str">
        <f t="shared" si="28"/>
        <v/>
      </c>
      <c r="R232" s="139" t="str">
        <f t="shared" si="29"/>
        <v/>
      </c>
      <c r="S232" s="128" t="str">
        <f t="shared" si="23"/>
        <v/>
      </c>
      <c r="T232" s="140" t="str">
        <f t="shared" si="24"/>
        <v/>
      </c>
      <c r="U232" s="141" t="str">
        <f t="shared" si="25"/>
        <v/>
      </c>
      <c r="V232" s="141" t="str">
        <f t="shared" si="26"/>
        <v/>
      </c>
      <c r="W232" s="142"/>
      <c r="X232" s="186" t="str">
        <f t="shared" si="27"/>
        <v/>
      </c>
    </row>
    <row r="233" spans="1:24" s="147" customFormat="1">
      <c r="A233" s="170"/>
      <c r="B233" s="145"/>
      <c r="C233" s="145"/>
      <c r="D233" s="149"/>
      <c r="E233" s="150"/>
      <c r="F233" s="145"/>
      <c r="G233" s="145"/>
      <c r="H233" s="145"/>
      <c r="I233" s="145"/>
      <c r="J233" s="145"/>
      <c r="K233" s="145"/>
      <c r="L233" s="145"/>
      <c r="M233" s="145"/>
      <c r="N233" s="149"/>
      <c r="O233" s="145"/>
      <c r="P233" s="138"/>
      <c r="Q233" s="255" t="str">
        <f t="shared" si="28"/>
        <v/>
      </c>
      <c r="R233" s="139" t="str">
        <f t="shared" si="29"/>
        <v/>
      </c>
      <c r="S233" s="128" t="str">
        <f t="shared" si="23"/>
        <v/>
      </c>
      <c r="T233" s="140" t="str">
        <f t="shared" si="24"/>
        <v/>
      </c>
      <c r="U233" s="141" t="str">
        <f t="shared" si="25"/>
        <v/>
      </c>
      <c r="V233" s="141" t="str">
        <f t="shared" si="26"/>
        <v/>
      </c>
      <c r="W233" s="142"/>
      <c r="X233" s="186" t="str">
        <f t="shared" si="27"/>
        <v/>
      </c>
    </row>
    <row r="234" spans="1:24" s="147" customFormat="1">
      <c r="A234" s="170"/>
      <c r="B234" s="145"/>
      <c r="C234" s="145"/>
      <c r="D234" s="146"/>
      <c r="E234" s="150"/>
      <c r="F234" s="145"/>
      <c r="G234" s="145"/>
      <c r="H234" s="145"/>
      <c r="I234" s="145"/>
      <c r="J234" s="145"/>
      <c r="K234" s="145"/>
      <c r="L234" s="145"/>
      <c r="M234" s="145"/>
      <c r="N234" s="146"/>
      <c r="O234" s="145"/>
      <c r="P234" s="138"/>
      <c r="Q234" s="255" t="str">
        <f t="shared" si="28"/>
        <v/>
      </c>
      <c r="R234" s="139" t="str">
        <f t="shared" si="29"/>
        <v/>
      </c>
      <c r="S234" s="128" t="str">
        <f t="shared" si="23"/>
        <v/>
      </c>
      <c r="T234" s="140" t="str">
        <f t="shared" si="24"/>
        <v/>
      </c>
      <c r="U234" s="141" t="str">
        <f t="shared" si="25"/>
        <v/>
      </c>
      <c r="V234" s="141" t="str">
        <f t="shared" si="26"/>
        <v/>
      </c>
      <c r="W234" s="142"/>
      <c r="X234" s="186" t="str">
        <f t="shared" si="27"/>
        <v/>
      </c>
    </row>
    <row r="235" spans="1:24" s="147" customFormat="1">
      <c r="A235" s="171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38"/>
      <c r="Q235" s="255" t="str">
        <f t="shared" si="28"/>
        <v/>
      </c>
      <c r="R235" s="139" t="str">
        <f t="shared" si="29"/>
        <v/>
      </c>
      <c r="S235" s="128" t="str">
        <f t="shared" si="23"/>
        <v/>
      </c>
      <c r="T235" s="140" t="str">
        <f t="shared" si="24"/>
        <v/>
      </c>
      <c r="U235" s="141" t="str">
        <f t="shared" si="25"/>
        <v/>
      </c>
      <c r="V235" s="141" t="str">
        <f t="shared" si="26"/>
        <v/>
      </c>
      <c r="W235" s="142"/>
      <c r="X235" s="186" t="str">
        <f t="shared" si="27"/>
        <v/>
      </c>
    </row>
    <row r="236" spans="1:24" s="147" customFormat="1">
      <c r="A236" s="170"/>
      <c r="B236" s="145"/>
      <c r="C236" s="145"/>
      <c r="D236" s="149"/>
      <c r="E236" s="150"/>
      <c r="F236" s="145"/>
      <c r="G236" s="145"/>
      <c r="H236" s="145"/>
      <c r="I236" s="145"/>
      <c r="J236" s="145"/>
      <c r="K236" s="145"/>
      <c r="L236" s="145"/>
      <c r="M236" s="145"/>
      <c r="N236" s="149"/>
      <c r="O236" s="145"/>
      <c r="P236" s="138"/>
      <c r="Q236" s="255" t="str">
        <f t="shared" si="28"/>
        <v/>
      </c>
      <c r="R236" s="139" t="str">
        <f t="shared" si="29"/>
        <v/>
      </c>
      <c r="S236" s="128" t="str">
        <f t="shared" si="23"/>
        <v/>
      </c>
      <c r="T236" s="140" t="str">
        <f t="shared" si="24"/>
        <v/>
      </c>
      <c r="U236" s="141" t="str">
        <f t="shared" si="25"/>
        <v/>
      </c>
      <c r="V236" s="141" t="str">
        <f t="shared" si="26"/>
        <v/>
      </c>
      <c r="W236" s="142"/>
      <c r="X236" s="186" t="str">
        <f t="shared" si="27"/>
        <v/>
      </c>
    </row>
    <row r="237" spans="1:24" s="147" customFormat="1">
      <c r="A237" s="170"/>
      <c r="B237" s="145"/>
      <c r="C237" s="145"/>
      <c r="D237" s="146"/>
      <c r="E237" s="150"/>
      <c r="F237" s="145"/>
      <c r="G237" s="145"/>
      <c r="H237" s="145"/>
      <c r="I237" s="145"/>
      <c r="J237" s="145"/>
      <c r="K237" s="145"/>
      <c r="L237" s="145"/>
      <c r="M237" s="145"/>
      <c r="N237" s="146"/>
      <c r="O237" s="145"/>
      <c r="P237" s="138"/>
      <c r="Q237" s="255" t="str">
        <f t="shared" si="28"/>
        <v/>
      </c>
      <c r="R237" s="139" t="str">
        <f t="shared" si="29"/>
        <v/>
      </c>
      <c r="S237" s="128" t="str">
        <f t="shared" si="23"/>
        <v/>
      </c>
      <c r="T237" s="140" t="str">
        <f t="shared" si="24"/>
        <v/>
      </c>
      <c r="U237" s="141" t="str">
        <f t="shared" si="25"/>
        <v/>
      </c>
      <c r="V237" s="141" t="str">
        <f t="shared" si="26"/>
        <v/>
      </c>
      <c r="W237" s="142"/>
      <c r="X237" s="186" t="str">
        <f t="shared" si="27"/>
        <v/>
      </c>
    </row>
    <row r="238" spans="1:24" s="147" customFormat="1">
      <c r="A238" s="171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38"/>
      <c r="Q238" s="255" t="str">
        <f t="shared" si="28"/>
        <v/>
      </c>
      <c r="R238" s="139" t="str">
        <f t="shared" si="29"/>
        <v/>
      </c>
      <c r="S238" s="128" t="str">
        <f t="shared" si="23"/>
        <v/>
      </c>
      <c r="T238" s="140" t="str">
        <f t="shared" si="24"/>
        <v/>
      </c>
      <c r="U238" s="141" t="str">
        <f t="shared" si="25"/>
        <v/>
      </c>
      <c r="V238" s="141" t="str">
        <f t="shared" si="26"/>
        <v/>
      </c>
      <c r="W238" s="142"/>
      <c r="X238" s="186" t="str">
        <f t="shared" si="27"/>
        <v/>
      </c>
    </row>
    <row r="239" spans="1:24" s="147" customFormat="1">
      <c r="A239" s="170"/>
      <c r="B239" s="145"/>
      <c r="C239" s="145"/>
      <c r="D239" s="146"/>
      <c r="E239" s="150"/>
      <c r="F239" s="145"/>
      <c r="G239" s="145"/>
      <c r="H239" s="145"/>
      <c r="I239" s="145"/>
      <c r="J239" s="145"/>
      <c r="K239" s="145"/>
      <c r="L239" s="145"/>
      <c r="M239" s="145"/>
      <c r="N239" s="146"/>
      <c r="O239" s="145"/>
      <c r="P239" s="138"/>
      <c r="Q239" s="255" t="str">
        <f t="shared" si="28"/>
        <v/>
      </c>
      <c r="R239" s="139" t="str">
        <f t="shared" si="29"/>
        <v/>
      </c>
      <c r="S239" s="128" t="str">
        <f t="shared" si="23"/>
        <v/>
      </c>
      <c r="T239" s="140" t="str">
        <f t="shared" si="24"/>
        <v/>
      </c>
      <c r="U239" s="141" t="str">
        <f t="shared" si="25"/>
        <v/>
      </c>
      <c r="V239" s="141" t="str">
        <f t="shared" si="26"/>
        <v/>
      </c>
      <c r="W239" s="142"/>
      <c r="X239" s="186" t="str">
        <f t="shared" si="27"/>
        <v/>
      </c>
    </row>
    <row r="240" spans="1:24" s="147" customFormat="1">
      <c r="A240" s="172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38"/>
      <c r="Q240" s="255" t="str">
        <f t="shared" si="28"/>
        <v/>
      </c>
      <c r="R240" s="139" t="str">
        <f t="shared" si="29"/>
        <v/>
      </c>
      <c r="S240" s="128" t="str">
        <f t="shared" si="23"/>
        <v/>
      </c>
      <c r="T240" s="140" t="str">
        <f t="shared" si="24"/>
        <v/>
      </c>
      <c r="U240" s="141" t="str">
        <f t="shared" si="25"/>
        <v/>
      </c>
      <c r="V240" s="141" t="str">
        <f t="shared" si="26"/>
        <v/>
      </c>
      <c r="W240" s="142"/>
      <c r="X240" s="186" t="str">
        <f t="shared" si="27"/>
        <v/>
      </c>
    </row>
    <row r="241" spans="1:24" s="147" customFormat="1">
      <c r="A241" s="170"/>
      <c r="B241" s="145"/>
      <c r="C241" s="145"/>
      <c r="D241" s="146"/>
      <c r="E241" s="150"/>
      <c r="F241" s="145"/>
      <c r="G241" s="145"/>
      <c r="H241" s="145"/>
      <c r="I241" s="145"/>
      <c r="J241" s="145"/>
      <c r="K241" s="145"/>
      <c r="L241" s="145"/>
      <c r="M241" s="145"/>
      <c r="N241" s="146"/>
      <c r="O241" s="145"/>
      <c r="P241" s="138"/>
      <c r="Q241" s="255" t="str">
        <f t="shared" si="28"/>
        <v/>
      </c>
      <c r="R241" s="139" t="str">
        <f t="shared" si="29"/>
        <v/>
      </c>
      <c r="S241" s="128" t="str">
        <f t="shared" si="23"/>
        <v/>
      </c>
      <c r="T241" s="140" t="str">
        <f t="shared" si="24"/>
        <v/>
      </c>
      <c r="U241" s="141" t="str">
        <f t="shared" si="25"/>
        <v/>
      </c>
      <c r="V241" s="141" t="str">
        <f t="shared" si="26"/>
        <v/>
      </c>
      <c r="W241" s="142"/>
      <c r="X241" s="186" t="str">
        <f t="shared" si="27"/>
        <v/>
      </c>
    </row>
    <row r="242" spans="1:24" s="147" customFormat="1">
      <c r="A242" s="172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38"/>
      <c r="Q242" s="255" t="str">
        <f t="shared" si="28"/>
        <v/>
      </c>
      <c r="R242" s="139" t="str">
        <f t="shared" si="29"/>
        <v/>
      </c>
      <c r="S242" s="128" t="str">
        <f t="shared" si="23"/>
        <v/>
      </c>
      <c r="T242" s="140" t="str">
        <f t="shared" si="24"/>
        <v/>
      </c>
      <c r="U242" s="141" t="str">
        <f t="shared" si="25"/>
        <v/>
      </c>
      <c r="V242" s="141" t="str">
        <f t="shared" si="26"/>
        <v/>
      </c>
      <c r="W242" s="142"/>
      <c r="X242" s="186" t="str">
        <f t="shared" si="27"/>
        <v/>
      </c>
    </row>
    <row r="243" spans="1:24" s="147" customFormat="1">
      <c r="A243" s="170"/>
      <c r="B243" s="145"/>
      <c r="C243" s="145"/>
      <c r="D243" s="146"/>
      <c r="E243" s="150"/>
      <c r="F243" s="145"/>
      <c r="G243" s="145"/>
      <c r="H243" s="150"/>
      <c r="I243" s="145"/>
      <c r="J243" s="145"/>
      <c r="K243" s="145"/>
      <c r="L243" s="145"/>
      <c r="M243" s="145"/>
      <c r="N243" s="146"/>
      <c r="O243" s="145"/>
      <c r="P243" s="138"/>
      <c r="Q243" s="255" t="str">
        <f t="shared" si="28"/>
        <v/>
      </c>
      <c r="R243" s="139" t="str">
        <f t="shared" si="29"/>
        <v/>
      </c>
      <c r="S243" s="128" t="str">
        <f t="shared" si="23"/>
        <v/>
      </c>
      <c r="T243" s="140" t="str">
        <f t="shared" si="24"/>
        <v/>
      </c>
      <c r="U243" s="141" t="str">
        <f t="shared" si="25"/>
        <v/>
      </c>
      <c r="V243" s="141" t="str">
        <f t="shared" si="26"/>
        <v/>
      </c>
      <c r="W243" s="142"/>
      <c r="X243" s="186" t="str">
        <f t="shared" si="27"/>
        <v/>
      </c>
    </row>
    <row r="244" spans="1:24" s="147" customFormat="1">
      <c r="A244" s="172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38"/>
      <c r="Q244" s="255" t="str">
        <f t="shared" si="28"/>
        <v/>
      </c>
      <c r="R244" s="139" t="str">
        <f t="shared" si="29"/>
        <v/>
      </c>
      <c r="S244" s="128" t="str">
        <f t="shared" si="23"/>
        <v/>
      </c>
      <c r="T244" s="140" t="str">
        <f t="shared" si="24"/>
        <v/>
      </c>
      <c r="U244" s="141" t="str">
        <f t="shared" si="25"/>
        <v/>
      </c>
      <c r="V244" s="141" t="str">
        <f t="shared" si="26"/>
        <v/>
      </c>
      <c r="W244" s="142"/>
      <c r="X244" s="186" t="str">
        <f t="shared" si="27"/>
        <v/>
      </c>
    </row>
    <row r="245" spans="1:24" s="147" customFormat="1">
      <c r="A245" s="170"/>
      <c r="B245" s="145"/>
      <c r="C245" s="145"/>
      <c r="D245" s="145"/>
      <c r="E245" s="150"/>
      <c r="F245" s="145"/>
      <c r="G245" s="145"/>
      <c r="H245" s="145"/>
      <c r="I245" s="145"/>
      <c r="J245" s="145"/>
      <c r="K245" s="145"/>
      <c r="L245" s="145"/>
      <c r="M245" s="145"/>
      <c r="N245" s="149"/>
      <c r="O245" s="145"/>
      <c r="P245" s="138"/>
      <c r="Q245" s="255" t="str">
        <f t="shared" si="28"/>
        <v/>
      </c>
      <c r="R245" s="139" t="str">
        <f t="shared" si="29"/>
        <v/>
      </c>
      <c r="S245" s="128" t="str">
        <f t="shared" si="23"/>
        <v/>
      </c>
      <c r="T245" s="140" t="str">
        <f t="shared" si="24"/>
        <v/>
      </c>
      <c r="U245" s="141" t="str">
        <f t="shared" si="25"/>
        <v/>
      </c>
      <c r="V245" s="141" t="str">
        <f t="shared" si="26"/>
        <v/>
      </c>
      <c r="W245" s="142"/>
      <c r="X245" s="186" t="str">
        <f t="shared" si="27"/>
        <v/>
      </c>
    </row>
    <row r="246" spans="1:24" s="147" customFormat="1">
      <c r="A246" s="172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38"/>
      <c r="Q246" s="255" t="str">
        <f t="shared" si="28"/>
        <v/>
      </c>
      <c r="R246" s="139" t="str">
        <f t="shared" si="29"/>
        <v/>
      </c>
      <c r="S246" s="128" t="str">
        <f t="shared" si="23"/>
        <v/>
      </c>
      <c r="T246" s="140" t="str">
        <f t="shared" si="24"/>
        <v/>
      </c>
      <c r="U246" s="141" t="str">
        <f t="shared" si="25"/>
        <v/>
      </c>
      <c r="V246" s="141" t="str">
        <f t="shared" si="26"/>
        <v/>
      </c>
      <c r="W246" s="142"/>
      <c r="X246" s="186" t="str">
        <f t="shared" si="27"/>
        <v/>
      </c>
    </row>
    <row r="247" spans="1:24" s="147" customFormat="1">
      <c r="A247" s="170"/>
      <c r="B247" s="145"/>
      <c r="C247" s="145"/>
      <c r="D247" s="145"/>
      <c r="E247" s="150"/>
      <c r="F247" s="145"/>
      <c r="G247" s="145"/>
      <c r="H247" s="145"/>
      <c r="I247" s="145"/>
      <c r="J247" s="145"/>
      <c r="K247" s="145"/>
      <c r="L247" s="145"/>
      <c r="M247" s="145"/>
      <c r="N247" s="146"/>
      <c r="O247" s="145"/>
      <c r="P247" s="138"/>
      <c r="Q247" s="255" t="str">
        <f t="shared" si="28"/>
        <v/>
      </c>
      <c r="R247" s="139" t="str">
        <f t="shared" si="29"/>
        <v/>
      </c>
      <c r="S247" s="128" t="str">
        <f t="shared" si="23"/>
        <v/>
      </c>
      <c r="T247" s="140" t="str">
        <f t="shared" si="24"/>
        <v/>
      </c>
      <c r="U247" s="141" t="str">
        <f t="shared" si="25"/>
        <v/>
      </c>
      <c r="V247" s="141" t="str">
        <f t="shared" si="26"/>
        <v/>
      </c>
      <c r="W247" s="142"/>
      <c r="X247" s="186" t="str">
        <f t="shared" si="27"/>
        <v/>
      </c>
    </row>
    <row r="248" spans="1:24" s="147" customFormat="1">
      <c r="A248" s="170"/>
      <c r="B248" s="145"/>
      <c r="C248" s="145"/>
      <c r="D248" s="145"/>
      <c r="E248" s="150"/>
      <c r="F248" s="145"/>
      <c r="G248" s="145"/>
      <c r="H248" s="145"/>
      <c r="I248" s="145"/>
      <c r="J248" s="145"/>
      <c r="K248" s="145"/>
      <c r="L248" s="145"/>
      <c r="M248" s="145"/>
      <c r="N248" s="149"/>
      <c r="O248" s="145"/>
      <c r="P248" s="138"/>
      <c r="Q248" s="255" t="str">
        <f t="shared" si="28"/>
        <v/>
      </c>
      <c r="R248" s="139" t="str">
        <f t="shared" si="29"/>
        <v/>
      </c>
      <c r="S248" s="128" t="str">
        <f t="shared" si="23"/>
        <v/>
      </c>
      <c r="T248" s="140" t="str">
        <f t="shared" si="24"/>
        <v/>
      </c>
      <c r="U248" s="141" t="str">
        <f t="shared" si="25"/>
        <v/>
      </c>
      <c r="V248" s="141" t="str">
        <f t="shared" si="26"/>
        <v/>
      </c>
      <c r="W248" s="142"/>
      <c r="X248" s="186" t="str">
        <f t="shared" si="27"/>
        <v/>
      </c>
    </row>
    <row r="249" spans="1:24" s="147" customFormat="1">
      <c r="A249" s="172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38"/>
      <c r="Q249" s="255" t="str">
        <f t="shared" si="28"/>
        <v/>
      </c>
      <c r="R249" s="139" t="str">
        <f t="shared" si="29"/>
        <v/>
      </c>
      <c r="S249" s="128" t="str">
        <f t="shared" si="23"/>
        <v/>
      </c>
      <c r="T249" s="140" t="str">
        <f t="shared" si="24"/>
        <v/>
      </c>
      <c r="U249" s="141" t="str">
        <f t="shared" si="25"/>
        <v/>
      </c>
      <c r="V249" s="141" t="str">
        <f t="shared" si="26"/>
        <v/>
      </c>
      <c r="W249" s="142"/>
      <c r="X249" s="186" t="str">
        <f t="shared" si="27"/>
        <v/>
      </c>
    </row>
    <row r="250" spans="1:24" s="147" customFormat="1">
      <c r="A250" s="170"/>
      <c r="B250" s="145"/>
      <c r="C250" s="145"/>
      <c r="D250" s="145"/>
      <c r="E250" s="150"/>
      <c r="F250" s="145"/>
      <c r="G250" s="145"/>
      <c r="H250" s="145"/>
      <c r="I250" s="145"/>
      <c r="J250" s="145"/>
      <c r="K250" s="145"/>
      <c r="L250" s="145"/>
      <c r="M250" s="145"/>
      <c r="N250" s="146"/>
      <c r="O250" s="145"/>
      <c r="P250" s="138"/>
      <c r="Q250" s="255" t="str">
        <f t="shared" si="28"/>
        <v/>
      </c>
      <c r="R250" s="139" t="str">
        <f t="shared" si="29"/>
        <v/>
      </c>
      <c r="S250" s="128" t="str">
        <f t="shared" si="23"/>
        <v/>
      </c>
      <c r="T250" s="140" t="str">
        <f t="shared" si="24"/>
        <v/>
      </c>
      <c r="U250" s="141" t="str">
        <f t="shared" si="25"/>
        <v/>
      </c>
      <c r="V250" s="141" t="str">
        <f t="shared" si="26"/>
        <v/>
      </c>
      <c r="W250" s="142"/>
      <c r="X250" s="186" t="str">
        <f t="shared" si="27"/>
        <v/>
      </c>
    </row>
    <row r="251" spans="1:24" s="147" customFormat="1">
      <c r="A251" s="170"/>
      <c r="B251" s="145"/>
      <c r="C251" s="145"/>
      <c r="D251" s="145"/>
      <c r="E251" s="150"/>
      <c r="F251" s="145"/>
      <c r="G251" s="145"/>
      <c r="H251" s="145"/>
      <c r="I251" s="145"/>
      <c r="J251" s="145"/>
      <c r="K251" s="145"/>
      <c r="L251" s="145"/>
      <c r="M251" s="145"/>
      <c r="N251" s="146"/>
      <c r="O251" s="145"/>
      <c r="P251" s="138"/>
      <c r="Q251" s="255" t="str">
        <f t="shared" si="28"/>
        <v/>
      </c>
      <c r="R251" s="139" t="str">
        <f t="shared" si="29"/>
        <v/>
      </c>
      <c r="S251" s="128" t="str">
        <f t="shared" si="23"/>
        <v/>
      </c>
      <c r="T251" s="140" t="str">
        <f t="shared" si="24"/>
        <v/>
      </c>
      <c r="U251" s="141" t="str">
        <f t="shared" si="25"/>
        <v/>
      </c>
      <c r="V251" s="141" t="str">
        <f t="shared" si="26"/>
        <v/>
      </c>
      <c r="W251" s="142"/>
      <c r="X251" s="186" t="str">
        <f t="shared" si="27"/>
        <v/>
      </c>
    </row>
    <row r="252" spans="1:24" s="147" customFormat="1">
      <c r="A252" s="170"/>
      <c r="B252" s="145"/>
      <c r="C252" s="145"/>
      <c r="D252" s="146"/>
      <c r="E252" s="150"/>
      <c r="F252" s="145"/>
      <c r="G252" s="145"/>
      <c r="H252" s="150"/>
      <c r="I252" s="145"/>
      <c r="J252" s="145"/>
      <c r="K252" s="145"/>
      <c r="L252" s="145"/>
      <c r="M252" s="145"/>
      <c r="N252" s="146"/>
      <c r="O252" s="145"/>
      <c r="P252" s="138"/>
      <c r="Q252" s="255" t="str">
        <f t="shared" si="28"/>
        <v/>
      </c>
      <c r="R252" s="139" t="str">
        <f t="shared" si="29"/>
        <v/>
      </c>
      <c r="S252" s="128" t="str">
        <f t="shared" si="23"/>
        <v/>
      </c>
      <c r="T252" s="140" t="str">
        <f t="shared" si="24"/>
        <v/>
      </c>
      <c r="U252" s="141" t="str">
        <f t="shared" si="25"/>
        <v/>
      </c>
      <c r="V252" s="141" t="str">
        <f t="shared" si="26"/>
        <v/>
      </c>
      <c r="W252" s="142"/>
      <c r="X252" s="186" t="str">
        <f t="shared" si="27"/>
        <v/>
      </c>
    </row>
    <row r="253" spans="1:24" s="147" customFormat="1">
      <c r="A253" s="171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38"/>
      <c r="Q253" s="255" t="str">
        <f t="shared" si="28"/>
        <v/>
      </c>
      <c r="R253" s="139" t="str">
        <f t="shared" si="29"/>
        <v/>
      </c>
      <c r="S253" s="128" t="str">
        <f t="shared" si="23"/>
        <v/>
      </c>
      <c r="T253" s="140" t="str">
        <f t="shared" si="24"/>
        <v/>
      </c>
      <c r="U253" s="141" t="str">
        <f t="shared" si="25"/>
        <v/>
      </c>
      <c r="V253" s="141" t="str">
        <f t="shared" si="26"/>
        <v/>
      </c>
      <c r="W253" s="142"/>
      <c r="X253" s="186" t="str">
        <f t="shared" si="27"/>
        <v/>
      </c>
    </row>
    <row r="254" spans="1:24" s="147" customFormat="1">
      <c r="A254" s="170"/>
      <c r="B254" s="145"/>
      <c r="C254" s="145"/>
      <c r="D254" s="146"/>
      <c r="E254" s="150"/>
      <c r="F254" s="145"/>
      <c r="G254" s="145"/>
      <c r="H254" s="145"/>
      <c r="I254" s="145"/>
      <c r="J254" s="145"/>
      <c r="K254" s="145"/>
      <c r="L254" s="145"/>
      <c r="M254" s="145"/>
      <c r="N254" s="146"/>
      <c r="O254" s="145"/>
      <c r="P254" s="138"/>
      <c r="Q254" s="255" t="str">
        <f t="shared" si="28"/>
        <v/>
      </c>
      <c r="R254" s="139" t="str">
        <f t="shared" si="29"/>
        <v/>
      </c>
      <c r="S254" s="128" t="str">
        <f t="shared" si="23"/>
        <v/>
      </c>
      <c r="T254" s="140" t="str">
        <f t="shared" si="24"/>
        <v/>
      </c>
      <c r="U254" s="141" t="str">
        <f t="shared" si="25"/>
        <v/>
      </c>
      <c r="V254" s="141" t="str">
        <f t="shared" si="26"/>
        <v/>
      </c>
      <c r="W254" s="142"/>
      <c r="X254" s="186" t="str">
        <f t="shared" si="27"/>
        <v/>
      </c>
    </row>
    <row r="255" spans="1:24" s="147" customFormat="1">
      <c r="A255" s="171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38"/>
      <c r="Q255" s="255" t="str">
        <f t="shared" si="28"/>
        <v/>
      </c>
      <c r="R255" s="139" t="str">
        <f t="shared" si="29"/>
        <v/>
      </c>
      <c r="S255" s="128" t="str">
        <f t="shared" si="23"/>
        <v/>
      </c>
      <c r="T255" s="140" t="str">
        <f t="shared" si="24"/>
        <v/>
      </c>
      <c r="U255" s="141" t="str">
        <f t="shared" si="25"/>
        <v/>
      </c>
      <c r="V255" s="141" t="str">
        <f t="shared" si="26"/>
        <v/>
      </c>
      <c r="W255" s="142"/>
      <c r="X255" s="186" t="str">
        <f t="shared" si="27"/>
        <v/>
      </c>
    </row>
    <row r="256" spans="1:24" s="147" customFormat="1">
      <c r="A256" s="170"/>
      <c r="B256" s="145"/>
      <c r="C256" s="145"/>
      <c r="D256" s="146"/>
      <c r="E256" s="150"/>
      <c r="F256" s="145"/>
      <c r="G256" s="145"/>
      <c r="H256" s="150"/>
      <c r="I256" s="145"/>
      <c r="J256" s="145"/>
      <c r="K256" s="145"/>
      <c r="L256" s="145"/>
      <c r="M256" s="145"/>
      <c r="N256" s="146"/>
      <c r="O256" s="145"/>
      <c r="P256" s="138"/>
      <c r="Q256" s="255" t="str">
        <f t="shared" si="28"/>
        <v/>
      </c>
      <c r="R256" s="139" t="str">
        <f t="shared" si="29"/>
        <v/>
      </c>
      <c r="S256" s="128" t="str">
        <f t="shared" si="23"/>
        <v/>
      </c>
      <c r="T256" s="140" t="str">
        <f t="shared" si="24"/>
        <v/>
      </c>
      <c r="U256" s="141" t="str">
        <f t="shared" si="25"/>
        <v/>
      </c>
      <c r="V256" s="141" t="str">
        <f t="shared" si="26"/>
        <v/>
      </c>
      <c r="W256" s="142"/>
      <c r="X256" s="186" t="str">
        <f t="shared" si="27"/>
        <v/>
      </c>
    </row>
    <row r="257" spans="1:24" s="147" customFormat="1">
      <c r="A257" s="171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38"/>
      <c r="Q257" s="255" t="str">
        <f t="shared" si="28"/>
        <v/>
      </c>
      <c r="R257" s="139" t="str">
        <f t="shared" si="29"/>
        <v/>
      </c>
      <c r="S257" s="128" t="str">
        <f t="shared" si="23"/>
        <v/>
      </c>
      <c r="T257" s="140" t="str">
        <f t="shared" si="24"/>
        <v/>
      </c>
      <c r="U257" s="141" t="str">
        <f t="shared" si="25"/>
        <v/>
      </c>
      <c r="V257" s="141" t="str">
        <f t="shared" si="26"/>
        <v/>
      </c>
      <c r="W257" s="142"/>
      <c r="X257" s="186" t="str">
        <f t="shared" si="27"/>
        <v/>
      </c>
    </row>
    <row r="258" spans="1:24" s="147" customFormat="1">
      <c r="A258" s="170"/>
      <c r="B258" s="145"/>
      <c r="C258" s="145"/>
      <c r="D258" s="145"/>
      <c r="E258" s="150"/>
      <c r="F258" s="145"/>
      <c r="G258" s="145"/>
      <c r="H258" s="145"/>
      <c r="I258" s="145"/>
      <c r="J258" s="145"/>
      <c r="K258" s="145"/>
      <c r="L258" s="145"/>
      <c r="M258" s="145"/>
      <c r="N258" s="149"/>
      <c r="O258" s="145"/>
      <c r="P258" s="138"/>
      <c r="Q258" s="255" t="str">
        <f t="shared" si="28"/>
        <v/>
      </c>
      <c r="R258" s="139" t="str">
        <f t="shared" si="29"/>
        <v/>
      </c>
      <c r="S258" s="128" t="str">
        <f t="shared" si="23"/>
        <v/>
      </c>
      <c r="T258" s="140" t="str">
        <f t="shared" si="24"/>
        <v/>
      </c>
      <c r="U258" s="141" t="str">
        <f t="shared" si="25"/>
        <v/>
      </c>
      <c r="V258" s="141" t="str">
        <f t="shared" si="26"/>
        <v/>
      </c>
      <c r="W258" s="142"/>
      <c r="X258" s="186" t="str">
        <f t="shared" si="27"/>
        <v/>
      </c>
    </row>
    <row r="259" spans="1:24" s="147" customFormat="1">
      <c r="A259" s="172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38"/>
      <c r="Q259" s="255" t="str">
        <f t="shared" si="28"/>
        <v/>
      </c>
      <c r="R259" s="139" t="str">
        <f t="shared" si="29"/>
        <v/>
      </c>
      <c r="S259" s="128" t="str">
        <f t="shared" si="23"/>
        <v/>
      </c>
      <c r="T259" s="140" t="str">
        <f t="shared" si="24"/>
        <v/>
      </c>
      <c r="U259" s="141" t="str">
        <f t="shared" si="25"/>
        <v/>
      </c>
      <c r="V259" s="141" t="str">
        <f t="shared" si="26"/>
        <v/>
      </c>
      <c r="W259" s="142"/>
      <c r="X259" s="186" t="str">
        <f t="shared" si="27"/>
        <v/>
      </c>
    </row>
    <row r="260" spans="1:24" s="147" customFormat="1">
      <c r="A260" s="170"/>
      <c r="B260" s="145"/>
      <c r="C260" s="145"/>
      <c r="D260" s="145"/>
      <c r="E260" s="150"/>
      <c r="F260" s="145"/>
      <c r="G260" s="145"/>
      <c r="H260" s="145"/>
      <c r="I260" s="145"/>
      <c r="J260" s="145"/>
      <c r="K260" s="145"/>
      <c r="L260" s="145"/>
      <c r="M260" s="145"/>
      <c r="N260" s="146"/>
      <c r="O260" s="145"/>
      <c r="P260" s="138"/>
      <c r="Q260" s="255" t="str">
        <f t="shared" si="28"/>
        <v/>
      </c>
      <c r="R260" s="139" t="str">
        <f t="shared" si="29"/>
        <v/>
      </c>
      <c r="S260" s="128" t="str">
        <f t="shared" si="23"/>
        <v/>
      </c>
      <c r="T260" s="140" t="str">
        <f t="shared" si="24"/>
        <v/>
      </c>
      <c r="U260" s="141" t="str">
        <f t="shared" si="25"/>
        <v/>
      </c>
      <c r="V260" s="141" t="str">
        <f t="shared" si="26"/>
        <v/>
      </c>
      <c r="W260" s="142"/>
      <c r="X260" s="186" t="str">
        <f t="shared" si="27"/>
        <v/>
      </c>
    </row>
    <row r="261" spans="1:24" s="147" customFormat="1">
      <c r="A261" s="170"/>
      <c r="B261" s="145"/>
      <c r="C261" s="145"/>
      <c r="D261" s="146"/>
      <c r="E261" s="145"/>
      <c r="F261" s="145"/>
      <c r="G261" s="145"/>
      <c r="H261" s="145"/>
      <c r="I261" s="145"/>
      <c r="J261" s="145"/>
      <c r="K261" s="145"/>
      <c r="L261" s="145"/>
      <c r="M261" s="145"/>
      <c r="N261" s="146"/>
      <c r="O261" s="145"/>
      <c r="P261" s="138"/>
      <c r="Q261" s="255" t="str">
        <f t="shared" si="28"/>
        <v/>
      </c>
      <c r="R261" s="139" t="str">
        <f t="shared" si="29"/>
        <v/>
      </c>
      <c r="S261" s="128" t="str">
        <f t="shared" si="23"/>
        <v/>
      </c>
      <c r="T261" s="140" t="str">
        <f t="shared" si="24"/>
        <v/>
      </c>
      <c r="U261" s="141" t="str">
        <f t="shared" si="25"/>
        <v/>
      </c>
      <c r="V261" s="141" t="str">
        <f t="shared" si="26"/>
        <v/>
      </c>
      <c r="W261" s="142"/>
      <c r="X261" s="186" t="str">
        <f t="shared" si="27"/>
        <v/>
      </c>
    </row>
    <row r="262" spans="1:24" s="147" customFormat="1">
      <c r="A262" s="172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38"/>
      <c r="Q262" s="255" t="str">
        <f t="shared" si="28"/>
        <v/>
      </c>
      <c r="R262" s="139" t="str">
        <f t="shared" si="29"/>
        <v/>
      </c>
      <c r="S262" s="128" t="str">
        <f t="shared" si="23"/>
        <v/>
      </c>
      <c r="T262" s="140" t="str">
        <f t="shared" si="24"/>
        <v/>
      </c>
      <c r="U262" s="141" t="str">
        <f t="shared" si="25"/>
        <v/>
      </c>
      <c r="V262" s="141" t="str">
        <f t="shared" si="26"/>
        <v/>
      </c>
      <c r="W262" s="142"/>
      <c r="X262" s="186" t="str">
        <f t="shared" si="27"/>
        <v/>
      </c>
    </row>
    <row r="263" spans="1:24" s="147" customFormat="1">
      <c r="A263" s="170"/>
      <c r="B263" s="145"/>
      <c r="C263" s="145"/>
      <c r="D263" s="146"/>
      <c r="E263" s="145"/>
      <c r="F263" s="145"/>
      <c r="G263" s="145"/>
      <c r="H263" s="145"/>
      <c r="I263" s="145"/>
      <c r="J263" s="145"/>
      <c r="K263" s="145"/>
      <c r="L263" s="145"/>
      <c r="M263" s="145"/>
      <c r="N263" s="146"/>
      <c r="O263" s="145"/>
      <c r="P263" s="138"/>
      <c r="Q263" s="255" t="str">
        <f t="shared" si="28"/>
        <v/>
      </c>
      <c r="R263" s="139" t="str">
        <f t="shared" si="29"/>
        <v/>
      </c>
      <c r="S263" s="128" t="str">
        <f t="shared" ref="S263:S326" si="30">IF(D263="","",IF(IFERROR(FIND("資",D263)&gt;0,FALSE),"資券",IF(IFERROR(FIND("券",D263)&gt;0,FALSE),"資券","波段")))</f>
        <v/>
      </c>
      <c r="T263" s="140" t="str">
        <f t="shared" ref="T263:T326" si="31">IF(F263="","",F263)</f>
        <v/>
      </c>
      <c r="U263" s="141" t="str">
        <f t="shared" ref="U263:U326" si="32">IF(D263="","",IF(IFERROR(FIND("買",D263)&gt;0,FALSE),E263,IF(IFERROR(FIND("賣",D263)&gt;0,FALSE),-E263,IF(IFERROR(FIND("資",D263)&gt;0,FALSE),E263,-E263))))</f>
        <v/>
      </c>
      <c r="V263" s="141" t="str">
        <f t="shared" ref="V263:V326" si="33">IF(Q263="","",T263*U263*-1)</f>
        <v/>
      </c>
      <c r="W263" s="142"/>
      <c r="X263" s="186" t="str">
        <f t="shared" ref="X263:X326" si="34">IFERROR((-1)*LEFT(N263,FIND("扣",N263)-1),IFERROR(1*LEFT(N263,FIND("入",N263)-1),""))</f>
        <v/>
      </c>
    </row>
    <row r="264" spans="1:24" s="147" customFormat="1">
      <c r="A264" s="172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38"/>
      <c r="Q264" s="255" t="str">
        <f t="shared" ref="Q264:Q327" si="35">IF(B264="","",DATE(LEFT(B264,3)+1911,MID(B264,4,2),RIGHT(B264,2)))</f>
        <v/>
      </c>
      <c r="R264" s="139" t="str">
        <f t="shared" ref="R264:R327" si="36">IF(C264="","",IFERROR(INDEX(代號1,MATCH($C264,股名1,0)),IFERROR(INDEX(代號2,MATCH($C264,股名2,0)),INDEX(代號3,MATCH($C264,股名3,0)))))</f>
        <v/>
      </c>
      <c r="S264" s="128" t="str">
        <f t="shared" si="30"/>
        <v/>
      </c>
      <c r="T264" s="140" t="str">
        <f t="shared" si="31"/>
        <v/>
      </c>
      <c r="U264" s="141" t="str">
        <f t="shared" si="32"/>
        <v/>
      </c>
      <c r="V264" s="141" t="str">
        <f t="shared" si="33"/>
        <v/>
      </c>
      <c r="W264" s="142"/>
      <c r="X264" s="186" t="str">
        <f t="shared" si="34"/>
        <v/>
      </c>
    </row>
    <row r="265" spans="1:24" s="147" customFormat="1">
      <c r="A265" s="170"/>
      <c r="B265" s="145"/>
      <c r="C265" s="145"/>
      <c r="D265" s="146"/>
      <c r="E265" s="150"/>
      <c r="F265" s="145"/>
      <c r="G265" s="145"/>
      <c r="H265" s="145"/>
      <c r="I265" s="145"/>
      <c r="J265" s="145"/>
      <c r="K265" s="145"/>
      <c r="L265" s="145"/>
      <c r="M265" s="145"/>
      <c r="N265" s="146"/>
      <c r="O265" s="145"/>
      <c r="P265" s="138"/>
      <c r="Q265" s="255" t="str">
        <f t="shared" si="35"/>
        <v/>
      </c>
      <c r="R265" s="139" t="str">
        <f t="shared" si="36"/>
        <v/>
      </c>
      <c r="S265" s="128" t="str">
        <f t="shared" si="30"/>
        <v/>
      </c>
      <c r="T265" s="140" t="str">
        <f t="shared" si="31"/>
        <v/>
      </c>
      <c r="U265" s="141" t="str">
        <f t="shared" si="32"/>
        <v/>
      </c>
      <c r="V265" s="141" t="str">
        <f t="shared" si="33"/>
        <v/>
      </c>
      <c r="W265" s="142"/>
      <c r="X265" s="186" t="str">
        <f t="shared" si="34"/>
        <v/>
      </c>
    </row>
    <row r="266" spans="1:24" s="147" customFormat="1">
      <c r="A266" s="172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38"/>
      <c r="Q266" s="255" t="str">
        <f t="shared" si="35"/>
        <v/>
      </c>
      <c r="R266" s="139" t="str">
        <f t="shared" si="36"/>
        <v/>
      </c>
      <c r="S266" s="128" t="str">
        <f t="shared" si="30"/>
        <v/>
      </c>
      <c r="T266" s="140" t="str">
        <f t="shared" si="31"/>
        <v/>
      </c>
      <c r="U266" s="141" t="str">
        <f t="shared" si="32"/>
        <v/>
      </c>
      <c r="V266" s="141" t="str">
        <f t="shared" si="33"/>
        <v/>
      </c>
      <c r="W266" s="142"/>
      <c r="X266" s="186" t="str">
        <f t="shared" si="34"/>
        <v/>
      </c>
    </row>
    <row r="267" spans="1:24" s="147" customFormat="1">
      <c r="A267" s="170"/>
      <c r="B267" s="145"/>
      <c r="C267" s="145"/>
      <c r="D267" s="146"/>
      <c r="E267" s="145"/>
      <c r="F267" s="145"/>
      <c r="G267" s="145"/>
      <c r="H267" s="145"/>
      <c r="I267" s="145"/>
      <c r="J267" s="145"/>
      <c r="K267" s="145"/>
      <c r="L267" s="145"/>
      <c r="M267" s="145"/>
      <c r="N267" s="146"/>
      <c r="O267" s="145"/>
      <c r="P267" s="138"/>
      <c r="Q267" s="255" t="str">
        <f t="shared" si="35"/>
        <v/>
      </c>
      <c r="R267" s="139" t="str">
        <f t="shared" si="36"/>
        <v/>
      </c>
      <c r="S267" s="128" t="str">
        <f t="shared" si="30"/>
        <v/>
      </c>
      <c r="T267" s="140" t="str">
        <f t="shared" si="31"/>
        <v/>
      </c>
      <c r="U267" s="141" t="str">
        <f t="shared" si="32"/>
        <v/>
      </c>
      <c r="V267" s="141" t="str">
        <f t="shared" si="33"/>
        <v/>
      </c>
      <c r="W267" s="142"/>
      <c r="X267" s="186" t="str">
        <f t="shared" si="34"/>
        <v/>
      </c>
    </row>
    <row r="268" spans="1:24" s="147" customFormat="1">
      <c r="A268" s="172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38"/>
      <c r="Q268" s="255" t="str">
        <f t="shared" si="35"/>
        <v/>
      </c>
      <c r="R268" s="139" t="str">
        <f t="shared" si="36"/>
        <v/>
      </c>
      <c r="S268" s="128" t="str">
        <f t="shared" si="30"/>
        <v/>
      </c>
      <c r="T268" s="140" t="str">
        <f t="shared" si="31"/>
        <v/>
      </c>
      <c r="U268" s="141" t="str">
        <f t="shared" si="32"/>
        <v/>
      </c>
      <c r="V268" s="141" t="str">
        <f t="shared" si="33"/>
        <v/>
      </c>
      <c r="W268" s="142"/>
      <c r="X268" s="186" t="str">
        <f t="shared" si="34"/>
        <v/>
      </c>
    </row>
    <row r="269" spans="1:24" s="147" customFormat="1">
      <c r="A269" s="170"/>
      <c r="B269" s="145"/>
      <c r="C269" s="145"/>
      <c r="D269" s="146"/>
      <c r="E269" s="145"/>
      <c r="F269" s="145"/>
      <c r="G269" s="145"/>
      <c r="H269" s="145"/>
      <c r="I269" s="145"/>
      <c r="J269" s="145"/>
      <c r="K269" s="145"/>
      <c r="L269" s="145"/>
      <c r="M269" s="145"/>
      <c r="N269" s="146"/>
      <c r="O269" s="145"/>
      <c r="P269" s="138"/>
      <c r="Q269" s="255" t="str">
        <f t="shared" si="35"/>
        <v/>
      </c>
      <c r="R269" s="139" t="str">
        <f t="shared" si="36"/>
        <v/>
      </c>
      <c r="S269" s="128" t="str">
        <f t="shared" si="30"/>
        <v/>
      </c>
      <c r="T269" s="140" t="str">
        <f t="shared" si="31"/>
        <v/>
      </c>
      <c r="U269" s="141" t="str">
        <f t="shared" si="32"/>
        <v/>
      </c>
      <c r="V269" s="141" t="str">
        <f t="shared" si="33"/>
        <v/>
      </c>
      <c r="W269" s="142"/>
      <c r="X269" s="186" t="str">
        <f t="shared" si="34"/>
        <v/>
      </c>
    </row>
    <row r="270" spans="1:24" s="147" customFormat="1">
      <c r="A270" s="172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38"/>
      <c r="Q270" s="255" t="str">
        <f t="shared" si="35"/>
        <v/>
      </c>
      <c r="R270" s="139" t="str">
        <f t="shared" si="36"/>
        <v/>
      </c>
      <c r="S270" s="128" t="str">
        <f t="shared" si="30"/>
        <v/>
      </c>
      <c r="T270" s="140" t="str">
        <f t="shared" si="31"/>
        <v/>
      </c>
      <c r="U270" s="141" t="str">
        <f t="shared" si="32"/>
        <v/>
      </c>
      <c r="V270" s="141" t="str">
        <f t="shared" si="33"/>
        <v/>
      </c>
      <c r="W270" s="142"/>
      <c r="X270" s="186" t="str">
        <f t="shared" si="34"/>
        <v/>
      </c>
    </row>
    <row r="271" spans="1:24" s="147" customFormat="1">
      <c r="A271" s="170"/>
      <c r="B271" s="145"/>
      <c r="C271" s="145"/>
      <c r="D271" s="146"/>
      <c r="E271" s="150"/>
      <c r="F271" s="145"/>
      <c r="G271" s="145"/>
      <c r="H271" s="145"/>
      <c r="I271" s="145"/>
      <c r="J271" s="145"/>
      <c r="K271" s="145"/>
      <c r="L271" s="145"/>
      <c r="M271" s="145"/>
      <c r="N271" s="146"/>
      <c r="O271" s="145"/>
      <c r="P271" s="138"/>
      <c r="Q271" s="255" t="str">
        <f t="shared" si="35"/>
        <v/>
      </c>
      <c r="R271" s="139" t="str">
        <f t="shared" si="36"/>
        <v/>
      </c>
      <c r="S271" s="128" t="str">
        <f t="shared" si="30"/>
        <v/>
      </c>
      <c r="T271" s="140" t="str">
        <f t="shared" si="31"/>
        <v/>
      </c>
      <c r="U271" s="141" t="str">
        <f t="shared" si="32"/>
        <v/>
      </c>
      <c r="V271" s="141" t="str">
        <f t="shared" si="33"/>
        <v/>
      </c>
      <c r="W271" s="142"/>
      <c r="X271" s="186" t="str">
        <f t="shared" si="34"/>
        <v/>
      </c>
    </row>
    <row r="272" spans="1:24" s="147" customFormat="1">
      <c r="A272" s="172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38"/>
      <c r="Q272" s="255" t="str">
        <f t="shared" si="35"/>
        <v/>
      </c>
      <c r="R272" s="139" t="str">
        <f t="shared" si="36"/>
        <v/>
      </c>
      <c r="S272" s="128" t="str">
        <f t="shared" si="30"/>
        <v/>
      </c>
      <c r="T272" s="140" t="str">
        <f t="shared" si="31"/>
        <v/>
      </c>
      <c r="U272" s="141" t="str">
        <f t="shared" si="32"/>
        <v/>
      </c>
      <c r="V272" s="141" t="str">
        <f t="shared" si="33"/>
        <v/>
      </c>
      <c r="W272" s="142"/>
      <c r="X272" s="186" t="str">
        <f t="shared" si="34"/>
        <v/>
      </c>
    </row>
    <row r="273" spans="1:24" s="147" customFormat="1">
      <c r="A273" s="170"/>
      <c r="B273" s="145"/>
      <c r="C273" s="145"/>
      <c r="D273" s="146"/>
      <c r="E273" s="150"/>
      <c r="F273" s="145"/>
      <c r="G273" s="145"/>
      <c r="H273" s="145"/>
      <c r="I273" s="145"/>
      <c r="J273" s="145"/>
      <c r="K273" s="145"/>
      <c r="L273" s="145"/>
      <c r="M273" s="145"/>
      <c r="N273" s="146"/>
      <c r="O273" s="145"/>
      <c r="P273" s="138"/>
      <c r="Q273" s="255" t="str">
        <f t="shared" si="35"/>
        <v/>
      </c>
      <c r="R273" s="139" t="str">
        <f t="shared" si="36"/>
        <v/>
      </c>
      <c r="S273" s="128" t="str">
        <f t="shared" si="30"/>
        <v/>
      </c>
      <c r="T273" s="140" t="str">
        <f t="shared" si="31"/>
        <v/>
      </c>
      <c r="U273" s="141" t="str">
        <f t="shared" si="32"/>
        <v/>
      </c>
      <c r="V273" s="141" t="str">
        <f t="shared" si="33"/>
        <v/>
      </c>
      <c r="W273" s="142"/>
      <c r="X273" s="186" t="str">
        <f t="shared" si="34"/>
        <v/>
      </c>
    </row>
    <row r="274" spans="1:24" s="147" customFormat="1">
      <c r="A274" s="172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38"/>
      <c r="Q274" s="255" t="str">
        <f t="shared" si="35"/>
        <v/>
      </c>
      <c r="R274" s="139" t="str">
        <f t="shared" si="36"/>
        <v/>
      </c>
      <c r="S274" s="128" t="str">
        <f t="shared" si="30"/>
        <v/>
      </c>
      <c r="T274" s="140" t="str">
        <f t="shared" si="31"/>
        <v/>
      </c>
      <c r="U274" s="141" t="str">
        <f t="shared" si="32"/>
        <v/>
      </c>
      <c r="V274" s="141" t="str">
        <f t="shared" si="33"/>
        <v/>
      </c>
      <c r="W274" s="142"/>
      <c r="X274" s="186" t="str">
        <f t="shared" si="34"/>
        <v/>
      </c>
    </row>
    <row r="275" spans="1:24" s="147" customFormat="1">
      <c r="A275" s="170"/>
      <c r="B275" s="145"/>
      <c r="C275" s="145"/>
      <c r="D275" s="146"/>
      <c r="E275" s="150"/>
      <c r="F275" s="145"/>
      <c r="G275" s="145"/>
      <c r="H275" s="145"/>
      <c r="I275" s="145"/>
      <c r="J275" s="145"/>
      <c r="K275" s="145"/>
      <c r="L275" s="145"/>
      <c r="M275" s="145"/>
      <c r="N275" s="146"/>
      <c r="O275" s="145"/>
      <c r="P275" s="138"/>
      <c r="Q275" s="255" t="str">
        <f t="shared" si="35"/>
        <v/>
      </c>
      <c r="R275" s="139" t="str">
        <f t="shared" si="36"/>
        <v/>
      </c>
      <c r="S275" s="128" t="str">
        <f t="shared" si="30"/>
        <v/>
      </c>
      <c r="T275" s="140" t="str">
        <f t="shared" si="31"/>
        <v/>
      </c>
      <c r="U275" s="141" t="str">
        <f t="shared" si="32"/>
        <v/>
      </c>
      <c r="V275" s="141" t="str">
        <f t="shared" si="33"/>
        <v/>
      </c>
      <c r="W275" s="142"/>
      <c r="X275" s="186" t="str">
        <f t="shared" si="34"/>
        <v/>
      </c>
    </row>
    <row r="276" spans="1:24" s="147" customFormat="1">
      <c r="A276" s="172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38"/>
      <c r="Q276" s="255" t="str">
        <f t="shared" si="35"/>
        <v/>
      </c>
      <c r="R276" s="139" t="str">
        <f t="shared" si="36"/>
        <v/>
      </c>
      <c r="S276" s="128" t="str">
        <f t="shared" si="30"/>
        <v/>
      </c>
      <c r="T276" s="140" t="str">
        <f t="shared" si="31"/>
        <v/>
      </c>
      <c r="U276" s="141" t="str">
        <f t="shared" si="32"/>
        <v/>
      </c>
      <c r="V276" s="141" t="str">
        <f t="shared" si="33"/>
        <v/>
      </c>
      <c r="W276" s="142"/>
      <c r="X276" s="186" t="str">
        <f t="shared" si="34"/>
        <v/>
      </c>
    </row>
    <row r="277" spans="1:24" s="147" customFormat="1">
      <c r="A277" s="170"/>
      <c r="B277" s="145"/>
      <c r="C277" s="145"/>
      <c r="D277" s="146"/>
      <c r="E277" s="150"/>
      <c r="F277" s="145"/>
      <c r="G277" s="145"/>
      <c r="H277" s="145"/>
      <c r="I277" s="145"/>
      <c r="J277" s="145"/>
      <c r="K277" s="145"/>
      <c r="L277" s="145"/>
      <c r="M277" s="145"/>
      <c r="N277" s="146"/>
      <c r="O277" s="145"/>
      <c r="P277" s="138"/>
      <c r="Q277" s="255" t="str">
        <f t="shared" si="35"/>
        <v/>
      </c>
      <c r="R277" s="139" t="str">
        <f t="shared" si="36"/>
        <v/>
      </c>
      <c r="S277" s="128" t="str">
        <f t="shared" si="30"/>
        <v/>
      </c>
      <c r="T277" s="140" t="str">
        <f t="shared" si="31"/>
        <v/>
      </c>
      <c r="U277" s="141" t="str">
        <f t="shared" si="32"/>
        <v/>
      </c>
      <c r="V277" s="141" t="str">
        <f t="shared" si="33"/>
        <v/>
      </c>
      <c r="W277" s="142"/>
      <c r="X277" s="186" t="str">
        <f t="shared" si="34"/>
        <v/>
      </c>
    </row>
    <row r="278" spans="1:24" s="147" customFormat="1">
      <c r="A278" s="172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38"/>
      <c r="Q278" s="255" t="str">
        <f t="shared" si="35"/>
        <v/>
      </c>
      <c r="R278" s="139" t="str">
        <f t="shared" si="36"/>
        <v/>
      </c>
      <c r="S278" s="128" t="str">
        <f t="shared" si="30"/>
        <v/>
      </c>
      <c r="T278" s="140" t="str">
        <f t="shared" si="31"/>
        <v/>
      </c>
      <c r="U278" s="141" t="str">
        <f t="shared" si="32"/>
        <v/>
      </c>
      <c r="V278" s="141" t="str">
        <f t="shared" si="33"/>
        <v/>
      </c>
      <c r="W278" s="142"/>
      <c r="X278" s="186" t="str">
        <f t="shared" si="34"/>
        <v/>
      </c>
    </row>
    <row r="279" spans="1:24" s="147" customFormat="1">
      <c r="A279" s="170"/>
      <c r="B279" s="145"/>
      <c r="C279" s="145"/>
      <c r="D279" s="149"/>
      <c r="E279" s="150"/>
      <c r="F279" s="145"/>
      <c r="G279" s="145"/>
      <c r="H279" s="145"/>
      <c r="I279" s="145"/>
      <c r="J279" s="145"/>
      <c r="K279" s="145"/>
      <c r="L279" s="145"/>
      <c r="M279" s="145"/>
      <c r="N279" s="149"/>
      <c r="O279" s="145"/>
      <c r="P279" s="138"/>
      <c r="Q279" s="255" t="str">
        <f t="shared" si="35"/>
        <v/>
      </c>
      <c r="R279" s="139" t="str">
        <f t="shared" si="36"/>
        <v/>
      </c>
      <c r="S279" s="128" t="str">
        <f t="shared" si="30"/>
        <v/>
      </c>
      <c r="T279" s="140" t="str">
        <f t="shared" si="31"/>
        <v/>
      </c>
      <c r="U279" s="141" t="str">
        <f t="shared" si="32"/>
        <v/>
      </c>
      <c r="V279" s="141" t="str">
        <f t="shared" si="33"/>
        <v/>
      </c>
      <c r="W279" s="142"/>
      <c r="X279" s="186" t="str">
        <f t="shared" si="34"/>
        <v/>
      </c>
    </row>
    <row r="280" spans="1:24" s="147" customFormat="1">
      <c r="A280" s="170"/>
      <c r="B280" s="145"/>
      <c r="C280" s="145"/>
      <c r="D280" s="149"/>
      <c r="E280" s="150"/>
      <c r="F280" s="145"/>
      <c r="G280" s="145"/>
      <c r="H280" s="145"/>
      <c r="I280" s="145"/>
      <c r="J280" s="145"/>
      <c r="K280" s="145"/>
      <c r="L280" s="145"/>
      <c r="M280" s="145"/>
      <c r="N280" s="149"/>
      <c r="O280" s="145"/>
      <c r="P280" s="138"/>
      <c r="Q280" s="255" t="str">
        <f t="shared" si="35"/>
        <v/>
      </c>
      <c r="R280" s="139" t="str">
        <f t="shared" si="36"/>
        <v/>
      </c>
      <c r="S280" s="128" t="str">
        <f t="shared" si="30"/>
        <v/>
      </c>
      <c r="T280" s="140" t="str">
        <f t="shared" si="31"/>
        <v/>
      </c>
      <c r="U280" s="141" t="str">
        <f t="shared" si="32"/>
        <v/>
      </c>
      <c r="V280" s="141" t="str">
        <f t="shared" si="33"/>
        <v/>
      </c>
      <c r="W280" s="142"/>
      <c r="X280" s="186" t="str">
        <f t="shared" si="34"/>
        <v/>
      </c>
    </row>
    <row r="281" spans="1:24" s="147" customFormat="1">
      <c r="A281" s="170"/>
      <c r="B281" s="145"/>
      <c r="C281" s="145"/>
      <c r="D281" s="149"/>
      <c r="E281" s="150"/>
      <c r="F281" s="145"/>
      <c r="G281" s="145"/>
      <c r="H281" s="145"/>
      <c r="I281" s="145"/>
      <c r="J281" s="145"/>
      <c r="K281" s="145"/>
      <c r="L281" s="145"/>
      <c r="M281" s="145"/>
      <c r="N281" s="149"/>
      <c r="O281" s="145"/>
      <c r="P281" s="138"/>
      <c r="Q281" s="255" t="str">
        <f t="shared" si="35"/>
        <v/>
      </c>
      <c r="R281" s="139" t="str">
        <f t="shared" si="36"/>
        <v/>
      </c>
      <c r="S281" s="128" t="str">
        <f t="shared" si="30"/>
        <v/>
      </c>
      <c r="T281" s="140" t="str">
        <f t="shared" si="31"/>
        <v/>
      </c>
      <c r="U281" s="141" t="str">
        <f t="shared" si="32"/>
        <v/>
      </c>
      <c r="V281" s="141" t="str">
        <f t="shared" si="33"/>
        <v/>
      </c>
      <c r="W281" s="142"/>
      <c r="X281" s="186" t="str">
        <f t="shared" si="34"/>
        <v/>
      </c>
    </row>
    <row r="282" spans="1:24" s="147" customFormat="1">
      <c r="A282" s="170"/>
      <c r="B282" s="145"/>
      <c r="C282" s="145"/>
      <c r="D282" s="149"/>
      <c r="E282" s="150"/>
      <c r="F282" s="145"/>
      <c r="G282" s="145"/>
      <c r="H282" s="145"/>
      <c r="I282" s="145"/>
      <c r="J282" s="145"/>
      <c r="K282" s="145"/>
      <c r="L282" s="145"/>
      <c r="M282" s="145"/>
      <c r="N282" s="149"/>
      <c r="O282" s="145"/>
      <c r="P282" s="138"/>
      <c r="Q282" s="255" t="str">
        <f t="shared" si="35"/>
        <v/>
      </c>
      <c r="R282" s="139" t="str">
        <f t="shared" si="36"/>
        <v/>
      </c>
      <c r="S282" s="128" t="str">
        <f t="shared" si="30"/>
        <v/>
      </c>
      <c r="T282" s="140" t="str">
        <f t="shared" si="31"/>
        <v/>
      </c>
      <c r="U282" s="141" t="str">
        <f t="shared" si="32"/>
        <v/>
      </c>
      <c r="V282" s="141" t="str">
        <f t="shared" si="33"/>
        <v/>
      </c>
      <c r="W282" s="142"/>
      <c r="X282" s="186" t="str">
        <f t="shared" si="34"/>
        <v/>
      </c>
    </row>
    <row r="283" spans="1:24" s="147" customFormat="1">
      <c r="A283" s="170"/>
      <c r="B283" s="145"/>
      <c r="C283" s="145"/>
      <c r="D283" s="149"/>
      <c r="E283" s="150"/>
      <c r="F283" s="145"/>
      <c r="G283" s="145"/>
      <c r="H283" s="145"/>
      <c r="I283" s="145"/>
      <c r="J283" s="145"/>
      <c r="K283" s="145"/>
      <c r="L283" s="145"/>
      <c r="M283" s="145"/>
      <c r="N283" s="149"/>
      <c r="O283" s="145"/>
      <c r="P283" s="138"/>
      <c r="Q283" s="255" t="str">
        <f t="shared" si="35"/>
        <v/>
      </c>
      <c r="R283" s="139" t="str">
        <f t="shared" si="36"/>
        <v/>
      </c>
      <c r="S283" s="128" t="str">
        <f t="shared" si="30"/>
        <v/>
      </c>
      <c r="T283" s="140" t="str">
        <f t="shared" si="31"/>
        <v/>
      </c>
      <c r="U283" s="141" t="str">
        <f t="shared" si="32"/>
        <v/>
      </c>
      <c r="V283" s="141" t="str">
        <f t="shared" si="33"/>
        <v/>
      </c>
      <c r="W283" s="142"/>
      <c r="X283" s="186" t="str">
        <f t="shared" si="34"/>
        <v/>
      </c>
    </row>
    <row r="284" spans="1:24" s="147" customFormat="1">
      <c r="A284" s="170"/>
      <c r="B284" s="145"/>
      <c r="C284" s="145"/>
      <c r="D284" s="149"/>
      <c r="E284" s="150"/>
      <c r="F284" s="145"/>
      <c r="G284" s="145"/>
      <c r="H284" s="145"/>
      <c r="I284" s="145"/>
      <c r="J284" s="145"/>
      <c r="K284" s="145"/>
      <c r="L284" s="145"/>
      <c r="M284" s="145"/>
      <c r="N284" s="149"/>
      <c r="O284" s="145"/>
      <c r="P284" s="138"/>
      <c r="Q284" s="255" t="str">
        <f t="shared" si="35"/>
        <v/>
      </c>
      <c r="R284" s="139" t="str">
        <f t="shared" si="36"/>
        <v/>
      </c>
      <c r="S284" s="128" t="str">
        <f t="shared" si="30"/>
        <v/>
      </c>
      <c r="T284" s="140" t="str">
        <f t="shared" si="31"/>
        <v/>
      </c>
      <c r="U284" s="141" t="str">
        <f t="shared" si="32"/>
        <v/>
      </c>
      <c r="V284" s="141" t="str">
        <f t="shared" si="33"/>
        <v/>
      </c>
      <c r="W284" s="142"/>
      <c r="X284" s="186" t="str">
        <f t="shared" si="34"/>
        <v/>
      </c>
    </row>
    <row r="285" spans="1:24" s="147" customFormat="1">
      <c r="A285" s="170"/>
      <c r="B285" s="145"/>
      <c r="C285" s="145"/>
      <c r="D285" s="149"/>
      <c r="E285" s="150"/>
      <c r="F285" s="145"/>
      <c r="G285" s="145"/>
      <c r="H285" s="145"/>
      <c r="I285" s="145"/>
      <c r="J285" s="145"/>
      <c r="K285" s="145"/>
      <c r="L285" s="145"/>
      <c r="M285" s="145"/>
      <c r="N285" s="149"/>
      <c r="O285" s="145"/>
      <c r="P285" s="138"/>
      <c r="Q285" s="255" t="str">
        <f t="shared" si="35"/>
        <v/>
      </c>
      <c r="R285" s="139" t="str">
        <f t="shared" si="36"/>
        <v/>
      </c>
      <c r="S285" s="128" t="str">
        <f t="shared" si="30"/>
        <v/>
      </c>
      <c r="T285" s="140" t="str">
        <f t="shared" si="31"/>
        <v/>
      </c>
      <c r="U285" s="141" t="str">
        <f t="shared" si="32"/>
        <v/>
      </c>
      <c r="V285" s="141" t="str">
        <f t="shared" si="33"/>
        <v/>
      </c>
      <c r="W285" s="142"/>
      <c r="X285" s="186" t="str">
        <f t="shared" si="34"/>
        <v/>
      </c>
    </row>
    <row r="286" spans="1:24" s="147" customFormat="1">
      <c r="A286" s="170"/>
      <c r="B286" s="145"/>
      <c r="C286" s="145"/>
      <c r="D286" s="149"/>
      <c r="E286" s="150"/>
      <c r="F286" s="145"/>
      <c r="G286" s="145"/>
      <c r="H286" s="145"/>
      <c r="I286" s="145"/>
      <c r="J286" s="145"/>
      <c r="K286" s="145"/>
      <c r="L286" s="145"/>
      <c r="M286" s="145"/>
      <c r="N286" s="149"/>
      <c r="O286" s="145"/>
      <c r="P286" s="138"/>
      <c r="Q286" s="255" t="str">
        <f t="shared" si="35"/>
        <v/>
      </c>
      <c r="R286" s="139" t="str">
        <f t="shared" si="36"/>
        <v/>
      </c>
      <c r="S286" s="128" t="str">
        <f t="shared" si="30"/>
        <v/>
      </c>
      <c r="T286" s="140" t="str">
        <f t="shared" si="31"/>
        <v/>
      </c>
      <c r="U286" s="141" t="str">
        <f t="shared" si="32"/>
        <v/>
      </c>
      <c r="V286" s="141" t="str">
        <f t="shared" si="33"/>
        <v/>
      </c>
      <c r="W286" s="142"/>
      <c r="X286" s="186" t="str">
        <f t="shared" si="34"/>
        <v/>
      </c>
    </row>
    <row r="287" spans="1:24" s="147" customFormat="1">
      <c r="A287" s="170"/>
      <c r="B287" s="145"/>
      <c r="C287" s="145"/>
      <c r="D287" s="146"/>
      <c r="E287" s="150"/>
      <c r="F287" s="145"/>
      <c r="G287" s="145"/>
      <c r="H287" s="145"/>
      <c r="I287" s="145"/>
      <c r="J287" s="145"/>
      <c r="K287" s="145"/>
      <c r="L287" s="145"/>
      <c r="M287" s="145"/>
      <c r="N287" s="146"/>
      <c r="O287" s="145"/>
      <c r="P287" s="138"/>
      <c r="Q287" s="255" t="str">
        <f t="shared" si="35"/>
        <v/>
      </c>
      <c r="R287" s="139" t="str">
        <f t="shared" si="36"/>
        <v/>
      </c>
      <c r="S287" s="128" t="str">
        <f t="shared" si="30"/>
        <v/>
      </c>
      <c r="T287" s="140" t="str">
        <f t="shared" si="31"/>
        <v/>
      </c>
      <c r="U287" s="141" t="str">
        <f t="shared" si="32"/>
        <v/>
      </c>
      <c r="V287" s="141" t="str">
        <f t="shared" si="33"/>
        <v/>
      </c>
      <c r="W287" s="142"/>
      <c r="X287" s="186" t="str">
        <f t="shared" si="34"/>
        <v/>
      </c>
    </row>
    <row r="288" spans="1:24" s="147" customFormat="1">
      <c r="A288" s="171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38"/>
      <c r="Q288" s="255" t="str">
        <f t="shared" si="35"/>
        <v/>
      </c>
      <c r="R288" s="139" t="str">
        <f t="shared" si="36"/>
        <v/>
      </c>
      <c r="S288" s="128" t="str">
        <f t="shared" si="30"/>
        <v/>
      </c>
      <c r="T288" s="140" t="str">
        <f t="shared" si="31"/>
        <v/>
      </c>
      <c r="U288" s="141" t="str">
        <f t="shared" si="32"/>
        <v/>
      </c>
      <c r="V288" s="141" t="str">
        <f t="shared" si="33"/>
        <v/>
      </c>
      <c r="W288" s="142"/>
      <c r="X288" s="186" t="str">
        <f t="shared" si="34"/>
        <v/>
      </c>
    </row>
    <row r="289" spans="1:24" s="147" customFormat="1">
      <c r="A289" s="170"/>
      <c r="B289" s="145"/>
      <c r="C289" s="145"/>
      <c r="D289" s="146"/>
      <c r="E289" s="150"/>
      <c r="F289" s="145"/>
      <c r="G289" s="145"/>
      <c r="H289" s="145"/>
      <c r="I289" s="145"/>
      <c r="J289" s="145"/>
      <c r="K289" s="145"/>
      <c r="L289" s="145"/>
      <c r="M289" s="145"/>
      <c r="N289" s="146"/>
      <c r="O289" s="145"/>
      <c r="P289" s="138"/>
      <c r="Q289" s="255" t="str">
        <f t="shared" si="35"/>
        <v/>
      </c>
      <c r="R289" s="139" t="str">
        <f t="shared" si="36"/>
        <v/>
      </c>
      <c r="S289" s="128" t="str">
        <f t="shared" si="30"/>
        <v/>
      </c>
      <c r="T289" s="140" t="str">
        <f t="shared" si="31"/>
        <v/>
      </c>
      <c r="U289" s="141" t="str">
        <f t="shared" si="32"/>
        <v/>
      </c>
      <c r="V289" s="141" t="str">
        <f t="shared" si="33"/>
        <v/>
      </c>
      <c r="W289" s="142"/>
      <c r="X289" s="186" t="str">
        <f t="shared" si="34"/>
        <v/>
      </c>
    </row>
    <row r="290" spans="1:24" s="147" customFormat="1">
      <c r="A290" s="171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38"/>
      <c r="Q290" s="255" t="str">
        <f t="shared" si="35"/>
        <v/>
      </c>
      <c r="R290" s="139" t="str">
        <f t="shared" si="36"/>
        <v/>
      </c>
      <c r="S290" s="128" t="str">
        <f t="shared" si="30"/>
        <v/>
      </c>
      <c r="T290" s="140" t="str">
        <f t="shared" si="31"/>
        <v/>
      </c>
      <c r="U290" s="141" t="str">
        <f t="shared" si="32"/>
        <v/>
      </c>
      <c r="V290" s="141" t="str">
        <f t="shared" si="33"/>
        <v/>
      </c>
      <c r="W290" s="142"/>
      <c r="X290" s="186" t="str">
        <f t="shared" si="34"/>
        <v/>
      </c>
    </row>
    <row r="291" spans="1:24" s="147" customFormat="1">
      <c r="A291" s="170"/>
      <c r="B291" s="145"/>
      <c r="C291" s="145"/>
      <c r="D291" s="145"/>
      <c r="E291" s="150"/>
      <c r="F291" s="145"/>
      <c r="G291" s="145"/>
      <c r="H291" s="145"/>
      <c r="I291" s="145"/>
      <c r="J291" s="145"/>
      <c r="K291" s="145"/>
      <c r="L291" s="145"/>
      <c r="M291" s="145"/>
      <c r="N291" s="149"/>
      <c r="O291" s="145"/>
      <c r="P291" s="138"/>
      <c r="Q291" s="255" t="str">
        <f t="shared" si="35"/>
        <v/>
      </c>
      <c r="R291" s="139" t="str">
        <f t="shared" si="36"/>
        <v/>
      </c>
      <c r="S291" s="128" t="str">
        <f t="shared" si="30"/>
        <v/>
      </c>
      <c r="T291" s="140" t="str">
        <f t="shared" si="31"/>
        <v/>
      </c>
      <c r="U291" s="141" t="str">
        <f t="shared" si="32"/>
        <v/>
      </c>
      <c r="V291" s="141" t="str">
        <f t="shared" si="33"/>
        <v/>
      </c>
      <c r="W291" s="142"/>
      <c r="X291" s="186" t="str">
        <f t="shared" si="34"/>
        <v/>
      </c>
    </row>
    <row r="292" spans="1:24" s="147" customFormat="1">
      <c r="A292" s="172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38"/>
      <c r="Q292" s="255" t="str">
        <f t="shared" si="35"/>
        <v/>
      </c>
      <c r="R292" s="139" t="str">
        <f t="shared" si="36"/>
        <v/>
      </c>
      <c r="S292" s="128" t="str">
        <f t="shared" si="30"/>
        <v/>
      </c>
      <c r="T292" s="140" t="str">
        <f t="shared" si="31"/>
        <v/>
      </c>
      <c r="U292" s="141" t="str">
        <f t="shared" si="32"/>
        <v/>
      </c>
      <c r="V292" s="141" t="str">
        <f t="shared" si="33"/>
        <v/>
      </c>
      <c r="W292" s="142"/>
      <c r="X292" s="186" t="str">
        <f t="shared" si="34"/>
        <v/>
      </c>
    </row>
    <row r="293" spans="1:24" s="147" customFormat="1">
      <c r="A293" s="170"/>
      <c r="B293" s="145"/>
      <c r="C293" s="145"/>
      <c r="D293" s="145"/>
      <c r="E293" s="150"/>
      <c r="F293" s="145"/>
      <c r="G293" s="145"/>
      <c r="H293" s="145"/>
      <c r="I293" s="145"/>
      <c r="J293" s="145"/>
      <c r="K293" s="145"/>
      <c r="L293" s="145"/>
      <c r="M293" s="145"/>
      <c r="N293" s="146"/>
      <c r="O293" s="145"/>
      <c r="P293" s="138"/>
      <c r="Q293" s="255" t="str">
        <f t="shared" si="35"/>
        <v/>
      </c>
      <c r="R293" s="139" t="str">
        <f t="shared" si="36"/>
        <v/>
      </c>
      <c r="S293" s="128" t="str">
        <f t="shared" si="30"/>
        <v/>
      </c>
      <c r="T293" s="140" t="str">
        <f t="shared" si="31"/>
        <v/>
      </c>
      <c r="U293" s="141" t="str">
        <f t="shared" si="32"/>
        <v/>
      </c>
      <c r="V293" s="141" t="str">
        <f t="shared" si="33"/>
        <v/>
      </c>
      <c r="W293" s="142"/>
      <c r="X293" s="186" t="str">
        <f t="shared" si="34"/>
        <v/>
      </c>
    </row>
    <row r="294" spans="1:24" s="147" customFormat="1">
      <c r="A294" s="170"/>
      <c r="B294" s="145"/>
      <c r="C294" s="145"/>
      <c r="D294" s="149"/>
      <c r="E294" s="150"/>
      <c r="F294" s="145"/>
      <c r="G294" s="145"/>
      <c r="H294" s="145"/>
      <c r="I294" s="145"/>
      <c r="J294" s="145"/>
      <c r="K294" s="145"/>
      <c r="L294" s="145"/>
      <c r="M294" s="145"/>
      <c r="N294" s="149"/>
      <c r="O294" s="145"/>
      <c r="P294" s="138"/>
      <c r="Q294" s="255" t="str">
        <f t="shared" si="35"/>
        <v/>
      </c>
      <c r="R294" s="139" t="str">
        <f t="shared" si="36"/>
        <v/>
      </c>
      <c r="S294" s="128" t="str">
        <f t="shared" si="30"/>
        <v/>
      </c>
      <c r="T294" s="140" t="str">
        <f t="shared" si="31"/>
        <v/>
      </c>
      <c r="U294" s="141" t="str">
        <f t="shared" si="32"/>
        <v/>
      </c>
      <c r="V294" s="141" t="str">
        <f t="shared" si="33"/>
        <v/>
      </c>
      <c r="W294" s="142"/>
      <c r="X294" s="186" t="str">
        <f t="shared" si="34"/>
        <v/>
      </c>
    </row>
    <row r="295" spans="1:24" s="147" customFormat="1">
      <c r="A295" s="170"/>
      <c r="B295" s="145"/>
      <c r="C295" s="145"/>
      <c r="D295" s="145"/>
      <c r="E295" s="150"/>
      <c r="F295" s="145"/>
      <c r="G295" s="145"/>
      <c r="H295" s="145"/>
      <c r="I295" s="145"/>
      <c r="J295" s="145"/>
      <c r="K295" s="145"/>
      <c r="L295" s="145"/>
      <c r="M295" s="145"/>
      <c r="N295" s="149"/>
      <c r="O295" s="145"/>
      <c r="P295" s="138"/>
      <c r="Q295" s="255" t="str">
        <f t="shared" si="35"/>
        <v/>
      </c>
      <c r="R295" s="139" t="str">
        <f t="shared" si="36"/>
        <v/>
      </c>
      <c r="S295" s="128" t="str">
        <f t="shared" si="30"/>
        <v/>
      </c>
      <c r="T295" s="140" t="str">
        <f t="shared" si="31"/>
        <v/>
      </c>
      <c r="U295" s="141" t="str">
        <f t="shared" si="32"/>
        <v/>
      </c>
      <c r="V295" s="141" t="str">
        <f t="shared" si="33"/>
        <v/>
      </c>
      <c r="W295" s="142"/>
      <c r="X295" s="186" t="str">
        <f t="shared" si="34"/>
        <v/>
      </c>
    </row>
    <row r="296" spans="1:24" s="147" customFormat="1">
      <c r="A296" s="172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38"/>
      <c r="Q296" s="255" t="str">
        <f t="shared" si="35"/>
        <v/>
      </c>
      <c r="R296" s="139" t="str">
        <f t="shared" si="36"/>
        <v/>
      </c>
      <c r="S296" s="128" t="str">
        <f t="shared" si="30"/>
        <v/>
      </c>
      <c r="T296" s="140" t="str">
        <f t="shared" si="31"/>
        <v/>
      </c>
      <c r="U296" s="141" t="str">
        <f t="shared" si="32"/>
        <v/>
      </c>
      <c r="V296" s="141" t="str">
        <f t="shared" si="33"/>
        <v/>
      </c>
      <c r="W296" s="142"/>
      <c r="X296" s="186" t="str">
        <f t="shared" si="34"/>
        <v/>
      </c>
    </row>
    <row r="297" spans="1:24" s="147" customFormat="1">
      <c r="A297" s="170"/>
      <c r="B297" s="145"/>
      <c r="C297" s="145"/>
      <c r="D297" s="145"/>
      <c r="E297" s="150"/>
      <c r="F297" s="145"/>
      <c r="G297" s="145"/>
      <c r="H297" s="145"/>
      <c r="I297" s="145"/>
      <c r="J297" s="145"/>
      <c r="K297" s="145"/>
      <c r="L297" s="145"/>
      <c r="M297" s="145"/>
      <c r="N297" s="146"/>
      <c r="O297" s="145"/>
      <c r="P297" s="138"/>
      <c r="Q297" s="255" t="str">
        <f t="shared" si="35"/>
        <v/>
      </c>
      <c r="R297" s="139" t="str">
        <f t="shared" si="36"/>
        <v/>
      </c>
      <c r="S297" s="128" t="str">
        <f t="shared" si="30"/>
        <v/>
      </c>
      <c r="T297" s="140" t="str">
        <f t="shared" si="31"/>
        <v/>
      </c>
      <c r="U297" s="141" t="str">
        <f t="shared" si="32"/>
        <v/>
      </c>
      <c r="V297" s="141" t="str">
        <f t="shared" si="33"/>
        <v/>
      </c>
      <c r="W297" s="142"/>
      <c r="X297" s="186" t="str">
        <f t="shared" si="34"/>
        <v/>
      </c>
    </row>
    <row r="298" spans="1:24" s="147" customFormat="1">
      <c r="A298" s="170"/>
      <c r="B298" s="145"/>
      <c r="C298" s="145"/>
      <c r="D298" s="149"/>
      <c r="E298" s="150"/>
      <c r="F298" s="145"/>
      <c r="G298" s="145"/>
      <c r="H298" s="145"/>
      <c r="I298" s="145"/>
      <c r="J298" s="145"/>
      <c r="K298" s="145"/>
      <c r="L298" s="145"/>
      <c r="M298" s="145"/>
      <c r="N298" s="149"/>
      <c r="O298" s="145"/>
      <c r="P298" s="138"/>
      <c r="Q298" s="255" t="str">
        <f t="shared" si="35"/>
        <v/>
      </c>
      <c r="R298" s="139" t="str">
        <f t="shared" si="36"/>
        <v/>
      </c>
      <c r="S298" s="128" t="str">
        <f t="shared" si="30"/>
        <v/>
      </c>
      <c r="T298" s="140" t="str">
        <f t="shared" si="31"/>
        <v/>
      </c>
      <c r="U298" s="141" t="str">
        <f t="shared" si="32"/>
        <v/>
      </c>
      <c r="V298" s="141" t="str">
        <f t="shared" si="33"/>
        <v/>
      </c>
      <c r="W298" s="142"/>
      <c r="X298" s="186" t="str">
        <f t="shared" si="34"/>
        <v/>
      </c>
    </row>
    <row r="299" spans="1:24" s="147" customFormat="1">
      <c r="A299" s="170"/>
      <c r="B299" s="145"/>
      <c r="C299" s="145"/>
      <c r="D299" s="149"/>
      <c r="E299" s="150"/>
      <c r="F299" s="145"/>
      <c r="G299" s="145"/>
      <c r="H299" s="145"/>
      <c r="I299" s="145"/>
      <c r="J299" s="145"/>
      <c r="K299" s="145"/>
      <c r="L299" s="145"/>
      <c r="M299" s="145"/>
      <c r="N299" s="149"/>
      <c r="O299" s="145"/>
      <c r="P299" s="138"/>
      <c r="Q299" s="255" t="str">
        <f t="shared" si="35"/>
        <v/>
      </c>
      <c r="R299" s="139" t="str">
        <f t="shared" si="36"/>
        <v/>
      </c>
      <c r="S299" s="128" t="str">
        <f t="shared" si="30"/>
        <v/>
      </c>
      <c r="T299" s="140" t="str">
        <f t="shared" si="31"/>
        <v/>
      </c>
      <c r="U299" s="141" t="str">
        <f t="shared" si="32"/>
        <v/>
      </c>
      <c r="V299" s="141" t="str">
        <f t="shared" si="33"/>
        <v/>
      </c>
      <c r="W299" s="142"/>
      <c r="X299" s="186" t="str">
        <f t="shared" si="34"/>
        <v/>
      </c>
    </row>
    <row r="300" spans="1:24" s="147" customFormat="1">
      <c r="A300" s="170"/>
      <c r="B300" s="145"/>
      <c r="C300" s="145"/>
      <c r="D300" s="146"/>
      <c r="E300" s="150"/>
      <c r="F300" s="145"/>
      <c r="G300" s="145"/>
      <c r="H300" s="145"/>
      <c r="I300" s="145"/>
      <c r="J300" s="145"/>
      <c r="K300" s="145"/>
      <c r="L300" s="145"/>
      <c r="M300" s="145"/>
      <c r="N300" s="146"/>
      <c r="O300" s="145"/>
      <c r="P300" s="138"/>
      <c r="Q300" s="255" t="str">
        <f t="shared" si="35"/>
        <v/>
      </c>
      <c r="R300" s="139" t="str">
        <f t="shared" si="36"/>
        <v/>
      </c>
      <c r="S300" s="128" t="str">
        <f t="shared" si="30"/>
        <v/>
      </c>
      <c r="T300" s="140" t="str">
        <f t="shared" si="31"/>
        <v/>
      </c>
      <c r="U300" s="141" t="str">
        <f t="shared" si="32"/>
        <v/>
      </c>
      <c r="V300" s="141" t="str">
        <f t="shared" si="33"/>
        <v/>
      </c>
      <c r="W300" s="142"/>
      <c r="X300" s="186" t="str">
        <f t="shared" si="34"/>
        <v/>
      </c>
    </row>
    <row r="301" spans="1:24" s="147" customFormat="1">
      <c r="A301" s="171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38"/>
      <c r="Q301" s="255" t="str">
        <f t="shared" si="35"/>
        <v/>
      </c>
      <c r="R301" s="139" t="str">
        <f t="shared" si="36"/>
        <v/>
      </c>
      <c r="S301" s="128" t="str">
        <f t="shared" si="30"/>
        <v/>
      </c>
      <c r="T301" s="140" t="str">
        <f t="shared" si="31"/>
        <v/>
      </c>
      <c r="U301" s="141" t="str">
        <f t="shared" si="32"/>
        <v/>
      </c>
      <c r="V301" s="141" t="str">
        <f t="shared" si="33"/>
        <v/>
      </c>
      <c r="W301" s="142"/>
      <c r="X301" s="186" t="str">
        <f t="shared" si="34"/>
        <v/>
      </c>
    </row>
    <row r="302" spans="1:24" s="147" customFormat="1">
      <c r="A302" s="170"/>
      <c r="B302" s="145"/>
      <c r="C302" s="145"/>
      <c r="D302" s="146"/>
      <c r="E302" s="150"/>
      <c r="F302" s="145"/>
      <c r="G302" s="145"/>
      <c r="H302" s="145"/>
      <c r="I302" s="145"/>
      <c r="J302" s="145"/>
      <c r="K302" s="145"/>
      <c r="L302" s="145"/>
      <c r="M302" s="145"/>
      <c r="N302" s="146"/>
      <c r="O302" s="145"/>
      <c r="P302" s="138"/>
      <c r="Q302" s="255" t="str">
        <f t="shared" si="35"/>
        <v/>
      </c>
      <c r="R302" s="139" t="str">
        <f t="shared" si="36"/>
        <v/>
      </c>
      <c r="S302" s="128" t="str">
        <f t="shared" si="30"/>
        <v/>
      </c>
      <c r="T302" s="140" t="str">
        <f t="shared" si="31"/>
        <v/>
      </c>
      <c r="U302" s="141" t="str">
        <f t="shared" si="32"/>
        <v/>
      </c>
      <c r="V302" s="141" t="str">
        <f t="shared" si="33"/>
        <v/>
      </c>
      <c r="W302" s="142"/>
      <c r="X302" s="186" t="str">
        <f t="shared" si="34"/>
        <v/>
      </c>
    </row>
    <row r="303" spans="1:24" s="147" customFormat="1">
      <c r="A303" s="172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38"/>
      <c r="Q303" s="255" t="str">
        <f t="shared" si="35"/>
        <v/>
      </c>
      <c r="R303" s="139" t="str">
        <f t="shared" si="36"/>
        <v/>
      </c>
      <c r="S303" s="128" t="str">
        <f t="shared" si="30"/>
        <v/>
      </c>
      <c r="T303" s="140" t="str">
        <f t="shared" si="31"/>
        <v/>
      </c>
      <c r="U303" s="141" t="str">
        <f t="shared" si="32"/>
        <v/>
      </c>
      <c r="V303" s="141" t="str">
        <f t="shared" si="33"/>
        <v/>
      </c>
      <c r="W303" s="142"/>
      <c r="X303" s="186" t="str">
        <f t="shared" si="34"/>
        <v/>
      </c>
    </row>
    <row r="304" spans="1:24" s="147" customFormat="1">
      <c r="A304" s="170"/>
      <c r="B304" s="145"/>
      <c r="C304" s="145"/>
      <c r="D304" s="149"/>
      <c r="E304" s="150"/>
      <c r="F304" s="145"/>
      <c r="G304" s="145"/>
      <c r="H304" s="145"/>
      <c r="I304" s="145"/>
      <c r="J304" s="145"/>
      <c r="K304" s="145"/>
      <c r="L304" s="145"/>
      <c r="M304" s="145"/>
      <c r="N304" s="149"/>
      <c r="O304" s="145"/>
      <c r="P304" s="138"/>
      <c r="Q304" s="255" t="str">
        <f t="shared" si="35"/>
        <v/>
      </c>
      <c r="R304" s="139" t="str">
        <f t="shared" si="36"/>
        <v/>
      </c>
      <c r="S304" s="128" t="str">
        <f t="shared" si="30"/>
        <v/>
      </c>
      <c r="T304" s="140" t="str">
        <f t="shared" si="31"/>
        <v/>
      </c>
      <c r="U304" s="141" t="str">
        <f t="shared" si="32"/>
        <v/>
      </c>
      <c r="V304" s="141" t="str">
        <f t="shared" si="33"/>
        <v/>
      </c>
      <c r="W304" s="142"/>
      <c r="X304" s="186" t="str">
        <f t="shared" si="34"/>
        <v/>
      </c>
    </row>
    <row r="305" spans="1:24" s="147" customFormat="1">
      <c r="A305" s="170"/>
      <c r="B305" s="145"/>
      <c r="C305" s="145"/>
      <c r="D305" s="149"/>
      <c r="E305" s="150"/>
      <c r="F305" s="145"/>
      <c r="G305" s="145"/>
      <c r="H305" s="145"/>
      <c r="I305" s="145"/>
      <c r="J305" s="145"/>
      <c r="K305" s="145"/>
      <c r="L305" s="145"/>
      <c r="M305" s="145"/>
      <c r="N305" s="149"/>
      <c r="O305" s="145"/>
      <c r="P305" s="138"/>
      <c r="Q305" s="255" t="str">
        <f t="shared" si="35"/>
        <v/>
      </c>
      <c r="R305" s="139" t="str">
        <f t="shared" si="36"/>
        <v/>
      </c>
      <c r="S305" s="128" t="str">
        <f t="shared" si="30"/>
        <v/>
      </c>
      <c r="T305" s="140" t="str">
        <f t="shared" si="31"/>
        <v/>
      </c>
      <c r="U305" s="141" t="str">
        <f t="shared" si="32"/>
        <v/>
      </c>
      <c r="V305" s="141" t="str">
        <f t="shared" si="33"/>
        <v/>
      </c>
      <c r="W305" s="142"/>
      <c r="X305" s="186" t="str">
        <f t="shared" si="34"/>
        <v/>
      </c>
    </row>
    <row r="306" spans="1:24" s="147" customFormat="1">
      <c r="A306" s="170"/>
      <c r="B306" s="145"/>
      <c r="C306" s="145"/>
      <c r="D306" s="149"/>
      <c r="E306" s="150"/>
      <c r="F306" s="145"/>
      <c r="G306" s="145"/>
      <c r="H306" s="145"/>
      <c r="I306" s="145"/>
      <c r="J306" s="145"/>
      <c r="K306" s="145"/>
      <c r="L306" s="145"/>
      <c r="M306" s="145"/>
      <c r="N306" s="149"/>
      <c r="O306" s="145"/>
      <c r="P306" s="138"/>
      <c r="Q306" s="255" t="str">
        <f t="shared" si="35"/>
        <v/>
      </c>
      <c r="R306" s="139" t="str">
        <f t="shared" si="36"/>
        <v/>
      </c>
      <c r="S306" s="128" t="str">
        <f t="shared" si="30"/>
        <v/>
      </c>
      <c r="T306" s="140" t="str">
        <f t="shared" si="31"/>
        <v/>
      </c>
      <c r="U306" s="141" t="str">
        <f t="shared" si="32"/>
        <v/>
      </c>
      <c r="V306" s="141" t="str">
        <f t="shared" si="33"/>
        <v/>
      </c>
      <c r="W306" s="142"/>
      <c r="X306" s="186" t="str">
        <f t="shared" si="34"/>
        <v/>
      </c>
    </row>
    <row r="307" spans="1:24" s="147" customFormat="1">
      <c r="A307" s="170"/>
      <c r="B307" s="145"/>
      <c r="C307" s="145"/>
      <c r="D307" s="149"/>
      <c r="E307" s="145"/>
      <c r="F307" s="145"/>
      <c r="G307" s="145"/>
      <c r="H307" s="145"/>
      <c r="I307" s="145"/>
      <c r="J307" s="145"/>
      <c r="K307" s="145"/>
      <c r="L307" s="145"/>
      <c r="M307" s="145"/>
      <c r="N307" s="149"/>
      <c r="O307" s="145"/>
      <c r="P307" s="138"/>
      <c r="Q307" s="255" t="str">
        <f t="shared" si="35"/>
        <v/>
      </c>
      <c r="R307" s="139" t="str">
        <f t="shared" si="36"/>
        <v/>
      </c>
      <c r="S307" s="128" t="str">
        <f t="shared" si="30"/>
        <v/>
      </c>
      <c r="T307" s="140" t="str">
        <f t="shared" si="31"/>
        <v/>
      </c>
      <c r="U307" s="141" t="str">
        <f t="shared" si="32"/>
        <v/>
      </c>
      <c r="V307" s="141" t="str">
        <f t="shared" si="33"/>
        <v/>
      </c>
      <c r="W307" s="142"/>
      <c r="X307" s="186" t="str">
        <f t="shared" si="34"/>
        <v/>
      </c>
    </row>
    <row r="308" spans="1:24" s="147" customFormat="1">
      <c r="A308" s="170"/>
      <c r="B308" s="145"/>
      <c r="C308" s="145"/>
      <c r="D308" s="149"/>
      <c r="E308" s="145"/>
      <c r="F308" s="145"/>
      <c r="G308" s="145"/>
      <c r="H308" s="145"/>
      <c r="I308" s="145"/>
      <c r="J308" s="145"/>
      <c r="K308" s="145"/>
      <c r="L308" s="145"/>
      <c r="M308" s="145"/>
      <c r="N308" s="149"/>
      <c r="O308" s="145"/>
      <c r="P308" s="138"/>
      <c r="Q308" s="255" t="str">
        <f t="shared" si="35"/>
        <v/>
      </c>
      <c r="R308" s="139" t="str">
        <f t="shared" si="36"/>
        <v/>
      </c>
      <c r="S308" s="128" t="str">
        <f t="shared" si="30"/>
        <v/>
      </c>
      <c r="T308" s="140" t="str">
        <f t="shared" si="31"/>
        <v/>
      </c>
      <c r="U308" s="141" t="str">
        <f t="shared" si="32"/>
        <v/>
      </c>
      <c r="V308" s="141" t="str">
        <f t="shared" si="33"/>
        <v/>
      </c>
      <c r="W308" s="142"/>
      <c r="X308" s="186" t="str">
        <f t="shared" si="34"/>
        <v/>
      </c>
    </row>
    <row r="309" spans="1:24" s="147" customFormat="1">
      <c r="A309" s="170"/>
      <c r="B309" s="145"/>
      <c r="C309" s="145"/>
      <c r="D309" s="149"/>
      <c r="E309" s="145"/>
      <c r="F309" s="145"/>
      <c r="G309" s="145"/>
      <c r="H309" s="145"/>
      <c r="I309" s="145"/>
      <c r="J309" s="145"/>
      <c r="K309" s="145"/>
      <c r="L309" s="145"/>
      <c r="M309" s="145"/>
      <c r="N309" s="149"/>
      <c r="O309" s="145"/>
      <c r="P309" s="138"/>
      <c r="Q309" s="255" t="str">
        <f t="shared" si="35"/>
        <v/>
      </c>
      <c r="R309" s="139" t="str">
        <f t="shared" si="36"/>
        <v/>
      </c>
      <c r="S309" s="128" t="str">
        <f t="shared" si="30"/>
        <v/>
      </c>
      <c r="T309" s="140" t="str">
        <f t="shared" si="31"/>
        <v/>
      </c>
      <c r="U309" s="141" t="str">
        <f t="shared" si="32"/>
        <v/>
      </c>
      <c r="V309" s="141" t="str">
        <f t="shared" si="33"/>
        <v/>
      </c>
      <c r="W309" s="142"/>
      <c r="X309" s="186" t="str">
        <f t="shared" si="34"/>
        <v/>
      </c>
    </row>
    <row r="310" spans="1:24" s="147" customFormat="1">
      <c r="A310" s="170"/>
      <c r="B310" s="145"/>
      <c r="C310" s="145"/>
      <c r="D310" s="149"/>
      <c r="E310" s="145"/>
      <c r="F310" s="145"/>
      <c r="G310" s="145"/>
      <c r="H310" s="145"/>
      <c r="I310" s="145"/>
      <c r="J310" s="145"/>
      <c r="K310" s="145"/>
      <c r="L310" s="145"/>
      <c r="M310" s="145"/>
      <c r="N310" s="149"/>
      <c r="O310" s="145"/>
      <c r="P310" s="138"/>
      <c r="Q310" s="255" t="str">
        <f t="shared" si="35"/>
        <v/>
      </c>
      <c r="R310" s="139" t="str">
        <f t="shared" si="36"/>
        <v/>
      </c>
      <c r="S310" s="128" t="str">
        <f t="shared" si="30"/>
        <v/>
      </c>
      <c r="T310" s="140" t="str">
        <f t="shared" si="31"/>
        <v/>
      </c>
      <c r="U310" s="141" t="str">
        <f t="shared" si="32"/>
        <v/>
      </c>
      <c r="V310" s="141" t="str">
        <f t="shared" si="33"/>
        <v/>
      </c>
      <c r="W310" s="142"/>
      <c r="X310" s="186" t="str">
        <f t="shared" si="34"/>
        <v/>
      </c>
    </row>
    <row r="311" spans="1:24" s="147" customFormat="1">
      <c r="A311" s="170"/>
      <c r="B311" s="145"/>
      <c r="C311" s="145"/>
      <c r="D311" s="149"/>
      <c r="E311" s="145"/>
      <c r="F311" s="145"/>
      <c r="G311" s="145"/>
      <c r="H311" s="145"/>
      <c r="I311" s="145"/>
      <c r="J311" s="145"/>
      <c r="K311" s="145"/>
      <c r="L311" s="145"/>
      <c r="M311" s="145"/>
      <c r="N311" s="149"/>
      <c r="O311" s="145"/>
      <c r="P311" s="138"/>
      <c r="Q311" s="255" t="str">
        <f t="shared" si="35"/>
        <v/>
      </c>
      <c r="R311" s="139" t="str">
        <f t="shared" si="36"/>
        <v/>
      </c>
      <c r="S311" s="128" t="str">
        <f t="shared" si="30"/>
        <v/>
      </c>
      <c r="T311" s="140" t="str">
        <f t="shared" si="31"/>
        <v/>
      </c>
      <c r="U311" s="141" t="str">
        <f t="shared" si="32"/>
        <v/>
      </c>
      <c r="V311" s="141" t="str">
        <f t="shared" si="33"/>
        <v/>
      </c>
      <c r="W311" s="142"/>
      <c r="X311" s="186" t="str">
        <f t="shared" si="34"/>
        <v/>
      </c>
    </row>
    <row r="312" spans="1:24" s="147" customFormat="1">
      <c r="A312" s="170"/>
      <c r="B312" s="145"/>
      <c r="C312" s="145"/>
      <c r="D312" s="149"/>
      <c r="E312" s="145"/>
      <c r="F312" s="145"/>
      <c r="G312" s="145"/>
      <c r="H312" s="145"/>
      <c r="I312" s="145"/>
      <c r="J312" s="145"/>
      <c r="K312" s="145"/>
      <c r="L312" s="145"/>
      <c r="M312" s="145"/>
      <c r="N312" s="149"/>
      <c r="O312" s="145"/>
      <c r="P312" s="138"/>
      <c r="Q312" s="255" t="str">
        <f t="shared" si="35"/>
        <v/>
      </c>
      <c r="R312" s="139" t="str">
        <f t="shared" si="36"/>
        <v/>
      </c>
      <c r="S312" s="128" t="str">
        <f t="shared" si="30"/>
        <v/>
      </c>
      <c r="T312" s="140" t="str">
        <f t="shared" si="31"/>
        <v/>
      </c>
      <c r="U312" s="141" t="str">
        <f t="shared" si="32"/>
        <v/>
      </c>
      <c r="V312" s="141" t="str">
        <f t="shared" si="33"/>
        <v/>
      </c>
      <c r="W312" s="142"/>
      <c r="X312" s="186" t="str">
        <f t="shared" si="34"/>
        <v/>
      </c>
    </row>
    <row r="313" spans="1:24" s="147" customFormat="1">
      <c r="A313" s="170"/>
      <c r="B313" s="145"/>
      <c r="C313" s="145"/>
      <c r="D313" s="149"/>
      <c r="E313" s="150"/>
      <c r="F313" s="145"/>
      <c r="G313" s="145"/>
      <c r="H313" s="145"/>
      <c r="I313" s="145"/>
      <c r="J313" s="145"/>
      <c r="K313" s="145"/>
      <c r="L313" s="145"/>
      <c r="M313" s="145"/>
      <c r="N313" s="149"/>
      <c r="O313" s="145"/>
      <c r="P313" s="138"/>
      <c r="Q313" s="255" t="str">
        <f t="shared" si="35"/>
        <v/>
      </c>
      <c r="R313" s="139" t="str">
        <f t="shared" si="36"/>
        <v/>
      </c>
      <c r="S313" s="128" t="str">
        <f t="shared" si="30"/>
        <v/>
      </c>
      <c r="T313" s="140" t="str">
        <f t="shared" si="31"/>
        <v/>
      </c>
      <c r="U313" s="141" t="str">
        <f t="shared" si="32"/>
        <v/>
      </c>
      <c r="V313" s="141" t="str">
        <f t="shared" si="33"/>
        <v/>
      </c>
      <c r="W313" s="142"/>
      <c r="X313" s="186" t="str">
        <f t="shared" si="34"/>
        <v/>
      </c>
    </row>
    <row r="314" spans="1:24" s="147" customFormat="1">
      <c r="A314" s="170"/>
      <c r="B314" s="145"/>
      <c r="C314" s="145"/>
      <c r="D314" s="149"/>
      <c r="E314" s="150"/>
      <c r="F314" s="145"/>
      <c r="G314" s="145"/>
      <c r="H314" s="145"/>
      <c r="I314" s="145"/>
      <c r="J314" s="145"/>
      <c r="K314" s="145"/>
      <c r="L314" s="145"/>
      <c r="M314" s="145"/>
      <c r="N314" s="149"/>
      <c r="O314" s="145"/>
      <c r="P314" s="138"/>
      <c r="Q314" s="255" t="str">
        <f t="shared" si="35"/>
        <v/>
      </c>
      <c r="R314" s="139" t="str">
        <f t="shared" si="36"/>
        <v/>
      </c>
      <c r="S314" s="128" t="str">
        <f t="shared" si="30"/>
        <v/>
      </c>
      <c r="T314" s="140" t="str">
        <f t="shared" si="31"/>
        <v/>
      </c>
      <c r="U314" s="141" t="str">
        <f t="shared" si="32"/>
        <v/>
      </c>
      <c r="V314" s="141" t="str">
        <f t="shared" si="33"/>
        <v/>
      </c>
      <c r="W314" s="142"/>
      <c r="X314" s="186" t="str">
        <f t="shared" si="34"/>
        <v/>
      </c>
    </row>
    <row r="315" spans="1:24" s="147" customFormat="1">
      <c r="A315" s="170"/>
      <c r="B315" s="145"/>
      <c r="C315" s="145"/>
      <c r="D315" s="149"/>
      <c r="E315" s="145"/>
      <c r="F315" s="145"/>
      <c r="G315" s="145"/>
      <c r="H315" s="145"/>
      <c r="I315" s="145"/>
      <c r="J315" s="145"/>
      <c r="K315" s="145"/>
      <c r="L315" s="145"/>
      <c r="M315" s="145"/>
      <c r="N315" s="149"/>
      <c r="O315" s="145"/>
      <c r="P315" s="138"/>
      <c r="Q315" s="255" t="str">
        <f t="shared" si="35"/>
        <v/>
      </c>
      <c r="R315" s="139" t="str">
        <f t="shared" si="36"/>
        <v/>
      </c>
      <c r="S315" s="128" t="str">
        <f t="shared" si="30"/>
        <v/>
      </c>
      <c r="T315" s="140" t="str">
        <f t="shared" si="31"/>
        <v/>
      </c>
      <c r="U315" s="141" t="str">
        <f t="shared" si="32"/>
        <v/>
      </c>
      <c r="V315" s="141" t="str">
        <f t="shared" si="33"/>
        <v/>
      </c>
      <c r="W315" s="142"/>
      <c r="X315" s="186" t="str">
        <f t="shared" si="34"/>
        <v/>
      </c>
    </row>
    <row r="316" spans="1:24" s="147" customFormat="1">
      <c r="A316" s="170"/>
      <c r="B316" s="145"/>
      <c r="C316" s="145"/>
      <c r="D316" s="149"/>
      <c r="E316" s="145"/>
      <c r="F316" s="145"/>
      <c r="G316" s="145"/>
      <c r="H316" s="145"/>
      <c r="I316" s="145"/>
      <c r="J316" s="145"/>
      <c r="K316" s="145"/>
      <c r="L316" s="145"/>
      <c r="M316" s="145"/>
      <c r="N316" s="149"/>
      <c r="O316" s="145"/>
      <c r="P316" s="138"/>
      <c r="Q316" s="255" t="str">
        <f t="shared" si="35"/>
        <v/>
      </c>
      <c r="R316" s="139" t="str">
        <f t="shared" si="36"/>
        <v/>
      </c>
      <c r="S316" s="128" t="str">
        <f t="shared" si="30"/>
        <v/>
      </c>
      <c r="T316" s="140" t="str">
        <f t="shared" si="31"/>
        <v/>
      </c>
      <c r="U316" s="141" t="str">
        <f t="shared" si="32"/>
        <v/>
      </c>
      <c r="V316" s="141" t="str">
        <f t="shared" si="33"/>
        <v/>
      </c>
      <c r="W316" s="142"/>
      <c r="X316" s="186" t="str">
        <f t="shared" si="34"/>
        <v/>
      </c>
    </row>
    <row r="317" spans="1:24" s="147" customFormat="1">
      <c r="A317" s="170"/>
      <c r="B317" s="145"/>
      <c r="C317" s="145"/>
      <c r="D317" s="149"/>
      <c r="E317" s="145"/>
      <c r="F317" s="145"/>
      <c r="G317" s="145"/>
      <c r="H317" s="145"/>
      <c r="I317" s="145"/>
      <c r="J317" s="145"/>
      <c r="K317" s="145"/>
      <c r="L317" s="145"/>
      <c r="M317" s="145"/>
      <c r="N317" s="149"/>
      <c r="O317" s="145"/>
      <c r="P317" s="138"/>
      <c r="Q317" s="255" t="str">
        <f t="shared" si="35"/>
        <v/>
      </c>
      <c r="R317" s="139" t="str">
        <f t="shared" si="36"/>
        <v/>
      </c>
      <c r="S317" s="128" t="str">
        <f t="shared" si="30"/>
        <v/>
      </c>
      <c r="T317" s="140" t="str">
        <f t="shared" si="31"/>
        <v/>
      </c>
      <c r="U317" s="141" t="str">
        <f t="shared" si="32"/>
        <v/>
      </c>
      <c r="V317" s="141" t="str">
        <f t="shared" si="33"/>
        <v/>
      </c>
      <c r="W317" s="142"/>
      <c r="X317" s="186" t="str">
        <f t="shared" si="34"/>
        <v/>
      </c>
    </row>
    <row r="318" spans="1:24" s="147" customFormat="1">
      <c r="A318" s="170"/>
      <c r="B318" s="145"/>
      <c r="C318" s="145"/>
      <c r="D318" s="149"/>
      <c r="E318" s="145"/>
      <c r="F318" s="145"/>
      <c r="G318" s="145"/>
      <c r="H318" s="145"/>
      <c r="I318" s="145"/>
      <c r="J318" s="145"/>
      <c r="K318" s="145"/>
      <c r="L318" s="145"/>
      <c r="M318" s="145"/>
      <c r="N318" s="149"/>
      <c r="O318" s="145"/>
      <c r="P318" s="138"/>
      <c r="Q318" s="255" t="str">
        <f t="shared" si="35"/>
        <v/>
      </c>
      <c r="R318" s="139" t="str">
        <f t="shared" si="36"/>
        <v/>
      </c>
      <c r="S318" s="128" t="str">
        <f t="shared" si="30"/>
        <v/>
      </c>
      <c r="T318" s="140" t="str">
        <f t="shared" si="31"/>
        <v/>
      </c>
      <c r="U318" s="141" t="str">
        <f t="shared" si="32"/>
        <v/>
      </c>
      <c r="V318" s="141" t="str">
        <f t="shared" si="33"/>
        <v/>
      </c>
      <c r="W318" s="142"/>
      <c r="X318" s="186" t="str">
        <f t="shared" si="34"/>
        <v/>
      </c>
    </row>
    <row r="319" spans="1:24" s="147" customFormat="1">
      <c r="A319" s="170"/>
      <c r="B319" s="145"/>
      <c r="C319" s="145"/>
      <c r="D319" s="149"/>
      <c r="E319" s="145"/>
      <c r="F319" s="145"/>
      <c r="G319" s="145"/>
      <c r="H319" s="145"/>
      <c r="I319" s="145"/>
      <c r="J319" s="145"/>
      <c r="K319" s="145"/>
      <c r="L319" s="145"/>
      <c r="M319" s="145"/>
      <c r="N319" s="149"/>
      <c r="O319" s="145"/>
      <c r="P319" s="138"/>
      <c r="Q319" s="255" t="str">
        <f t="shared" si="35"/>
        <v/>
      </c>
      <c r="R319" s="139" t="str">
        <f t="shared" si="36"/>
        <v/>
      </c>
      <c r="S319" s="128" t="str">
        <f t="shared" si="30"/>
        <v/>
      </c>
      <c r="T319" s="140" t="str">
        <f t="shared" si="31"/>
        <v/>
      </c>
      <c r="U319" s="141" t="str">
        <f t="shared" si="32"/>
        <v/>
      </c>
      <c r="V319" s="141" t="str">
        <f t="shared" si="33"/>
        <v/>
      </c>
      <c r="W319" s="142"/>
      <c r="X319" s="186" t="str">
        <f t="shared" si="34"/>
        <v/>
      </c>
    </row>
    <row r="320" spans="1:24" s="147" customFormat="1">
      <c r="A320" s="170"/>
      <c r="B320" s="145"/>
      <c r="C320" s="145"/>
      <c r="D320" s="149"/>
      <c r="E320" s="145"/>
      <c r="F320" s="145"/>
      <c r="G320" s="145"/>
      <c r="H320" s="145"/>
      <c r="I320" s="145"/>
      <c r="J320" s="145"/>
      <c r="K320" s="145"/>
      <c r="L320" s="145"/>
      <c r="M320" s="145"/>
      <c r="N320" s="149"/>
      <c r="O320" s="145"/>
      <c r="P320" s="138"/>
      <c r="Q320" s="255" t="str">
        <f t="shared" si="35"/>
        <v/>
      </c>
      <c r="R320" s="139" t="str">
        <f t="shared" si="36"/>
        <v/>
      </c>
      <c r="S320" s="128" t="str">
        <f t="shared" si="30"/>
        <v/>
      </c>
      <c r="T320" s="140" t="str">
        <f t="shared" si="31"/>
        <v/>
      </c>
      <c r="U320" s="141" t="str">
        <f t="shared" si="32"/>
        <v/>
      </c>
      <c r="V320" s="141" t="str">
        <f t="shared" si="33"/>
        <v/>
      </c>
      <c r="W320" s="142"/>
      <c r="X320" s="186" t="str">
        <f t="shared" si="34"/>
        <v/>
      </c>
    </row>
    <row r="321" spans="1:24" s="147" customFormat="1">
      <c r="A321" s="170"/>
      <c r="B321" s="145"/>
      <c r="C321" s="145"/>
      <c r="D321" s="149"/>
      <c r="E321" s="150"/>
      <c r="F321" s="145"/>
      <c r="G321" s="145"/>
      <c r="H321" s="145"/>
      <c r="I321" s="145"/>
      <c r="J321" s="145"/>
      <c r="K321" s="145"/>
      <c r="L321" s="145"/>
      <c r="M321" s="145"/>
      <c r="N321" s="149"/>
      <c r="O321" s="145"/>
      <c r="P321" s="138"/>
      <c r="Q321" s="255" t="str">
        <f t="shared" si="35"/>
        <v/>
      </c>
      <c r="R321" s="139" t="str">
        <f t="shared" si="36"/>
        <v/>
      </c>
      <c r="S321" s="128" t="str">
        <f t="shared" si="30"/>
        <v/>
      </c>
      <c r="T321" s="140" t="str">
        <f t="shared" si="31"/>
        <v/>
      </c>
      <c r="U321" s="141" t="str">
        <f t="shared" si="32"/>
        <v/>
      </c>
      <c r="V321" s="141" t="str">
        <f t="shared" si="33"/>
        <v/>
      </c>
      <c r="W321" s="142"/>
      <c r="X321" s="186" t="str">
        <f t="shared" si="34"/>
        <v/>
      </c>
    </row>
    <row r="322" spans="1:24" s="147" customFormat="1">
      <c r="A322" s="170"/>
      <c r="B322" s="145"/>
      <c r="C322" s="145"/>
      <c r="D322" s="149"/>
      <c r="E322" s="150"/>
      <c r="F322" s="145"/>
      <c r="G322" s="145"/>
      <c r="H322" s="145"/>
      <c r="I322" s="145"/>
      <c r="J322" s="145"/>
      <c r="K322" s="145"/>
      <c r="L322" s="145"/>
      <c r="M322" s="145"/>
      <c r="N322" s="149"/>
      <c r="O322" s="145"/>
      <c r="P322" s="138"/>
      <c r="Q322" s="255" t="str">
        <f t="shared" si="35"/>
        <v/>
      </c>
      <c r="R322" s="139" t="str">
        <f t="shared" si="36"/>
        <v/>
      </c>
      <c r="S322" s="128" t="str">
        <f t="shared" si="30"/>
        <v/>
      </c>
      <c r="T322" s="140" t="str">
        <f t="shared" si="31"/>
        <v/>
      </c>
      <c r="U322" s="141" t="str">
        <f t="shared" si="32"/>
        <v/>
      </c>
      <c r="V322" s="141" t="str">
        <f t="shared" si="33"/>
        <v/>
      </c>
      <c r="W322" s="142"/>
      <c r="X322" s="186" t="str">
        <f t="shared" si="34"/>
        <v/>
      </c>
    </row>
    <row r="323" spans="1:24" s="147" customFormat="1">
      <c r="A323" s="170"/>
      <c r="B323" s="145"/>
      <c r="C323" s="145"/>
      <c r="D323" s="149"/>
      <c r="E323" s="150"/>
      <c r="F323" s="145"/>
      <c r="G323" s="145"/>
      <c r="H323" s="145"/>
      <c r="I323" s="145"/>
      <c r="J323" s="145"/>
      <c r="K323" s="145"/>
      <c r="L323" s="145"/>
      <c r="M323" s="145"/>
      <c r="N323" s="149"/>
      <c r="O323" s="145"/>
      <c r="P323" s="138"/>
      <c r="Q323" s="255" t="str">
        <f t="shared" si="35"/>
        <v/>
      </c>
      <c r="R323" s="139" t="str">
        <f t="shared" si="36"/>
        <v/>
      </c>
      <c r="S323" s="128" t="str">
        <f t="shared" si="30"/>
        <v/>
      </c>
      <c r="T323" s="140" t="str">
        <f t="shared" si="31"/>
        <v/>
      </c>
      <c r="U323" s="141" t="str">
        <f t="shared" si="32"/>
        <v/>
      </c>
      <c r="V323" s="141" t="str">
        <f t="shared" si="33"/>
        <v/>
      </c>
      <c r="W323" s="142"/>
      <c r="X323" s="186" t="str">
        <f t="shared" si="34"/>
        <v/>
      </c>
    </row>
    <row r="324" spans="1:24" s="147" customFormat="1">
      <c r="A324" s="170"/>
      <c r="B324" s="145"/>
      <c r="C324" s="145"/>
      <c r="D324" s="149"/>
      <c r="E324" s="150"/>
      <c r="F324" s="145"/>
      <c r="G324" s="145"/>
      <c r="H324" s="145"/>
      <c r="I324" s="145"/>
      <c r="J324" s="145"/>
      <c r="K324" s="145"/>
      <c r="L324" s="145"/>
      <c r="M324" s="145"/>
      <c r="N324" s="149"/>
      <c r="O324" s="145"/>
      <c r="P324" s="138"/>
      <c r="Q324" s="255" t="str">
        <f t="shared" si="35"/>
        <v/>
      </c>
      <c r="R324" s="139" t="str">
        <f t="shared" si="36"/>
        <v/>
      </c>
      <c r="S324" s="128" t="str">
        <f t="shared" si="30"/>
        <v/>
      </c>
      <c r="T324" s="140" t="str">
        <f t="shared" si="31"/>
        <v/>
      </c>
      <c r="U324" s="141" t="str">
        <f t="shared" si="32"/>
        <v/>
      </c>
      <c r="V324" s="141" t="str">
        <f t="shared" si="33"/>
        <v/>
      </c>
      <c r="W324" s="142"/>
      <c r="X324" s="186" t="str">
        <f t="shared" si="34"/>
        <v/>
      </c>
    </row>
    <row r="325" spans="1:24" s="147" customFormat="1">
      <c r="A325" s="170"/>
      <c r="B325" s="145"/>
      <c r="C325" s="145"/>
      <c r="D325" s="145"/>
      <c r="E325" s="150"/>
      <c r="F325" s="145"/>
      <c r="G325" s="145"/>
      <c r="H325" s="145"/>
      <c r="I325" s="145"/>
      <c r="J325" s="145"/>
      <c r="K325" s="145"/>
      <c r="L325" s="145"/>
      <c r="M325" s="145"/>
      <c r="N325" s="149"/>
      <c r="O325" s="145"/>
      <c r="P325" s="138"/>
      <c r="Q325" s="255" t="str">
        <f t="shared" si="35"/>
        <v/>
      </c>
      <c r="R325" s="139" t="str">
        <f t="shared" si="36"/>
        <v/>
      </c>
      <c r="S325" s="128" t="str">
        <f t="shared" si="30"/>
        <v/>
      </c>
      <c r="T325" s="140" t="str">
        <f t="shared" si="31"/>
        <v/>
      </c>
      <c r="U325" s="141" t="str">
        <f t="shared" si="32"/>
        <v/>
      </c>
      <c r="V325" s="141" t="str">
        <f t="shared" si="33"/>
        <v/>
      </c>
      <c r="W325" s="142"/>
      <c r="X325" s="186" t="str">
        <f t="shared" si="34"/>
        <v/>
      </c>
    </row>
    <row r="326" spans="1:24" s="147" customFormat="1">
      <c r="A326" s="172"/>
      <c r="B326" s="151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38"/>
      <c r="Q326" s="255" t="str">
        <f t="shared" si="35"/>
        <v/>
      </c>
      <c r="R326" s="139" t="str">
        <f t="shared" si="36"/>
        <v/>
      </c>
      <c r="S326" s="128" t="str">
        <f t="shared" si="30"/>
        <v/>
      </c>
      <c r="T326" s="140" t="str">
        <f t="shared" si="31"/>
        <v/>
      </c>
      <c r="U326" s="141" t="str">
        <f t="shared" si="32"/>
        <v/>
      </c>
      <c r="V326" s="141" t="str">
        <f t="shared" si="33"/>
        <v/>
      </c>
      <c r="W326" s="142"/>
      <c r="X326" s="186" t="str">
        <f t="shared" si="34"/>
        <v/>
      </c>
    </row>
    <row r="327" spans="1:24" s="147" customFormat="1">
      <c r="A327" s="170"/>
      <c r="B327" s="145"/>
      <c r="C327" s="145"/>
      <c r="D327" s="145"/>
      <c r="E327" s="150"/>
      <c r="F327" s="145"/>
      <c r="G327" s="145"/>
      <c r="H327" s="145"/>
      <c r="I327" s="145"/>
      <c r="J327" s="145"/>
      <c r="K327" s="145"/>
      <c r="L327" s="145"/>
      <c r="M327" s="145"/>
      <c r="N327" s="146"/>
      <c r="O327" s="145"/>
      <c r="P327" s="138"/>
      <c r="Q327" s="255" t="str">
        <f t="shared" si="35"/>
        <v/>
      </c>
      <c r="R327" s="139" t="str">
        <f t="shared" si="36"/>
        <v/>
      </c>
      <c r="S327" s="128" t="str">
        <f t="shared" ref="S327:S390" si="37">IF(D327="","",IF(IFERROR(FIND("資",D327)&gt;0,FALSE),"資券",IF(IFERROR(FIND("券",D327)&gt;0,FALSE),"資券","波段")))</f>
        <v/>
      </c>
      <c r="T327" s="140" t="str">
        <f t="shared" ref="T327:T390" si="38">IF(F327="","",F327)</f>
        <v/>
      </c>
      <c r="U327" s="141" t="str">
        <f t="shared" ref="U327:U390" si="39">IF(D327="","",IF(IFERROR(FIND("買",D327)&gt;0,FALSE),E327,IF(IFERROR(FIND("賣",D327)&gt;0,FALSE),-E327,IF(IFERROR(FIND("資",D327)&gt;0,FALSE),E327,-E327))))</f>
        <v/>
      </c>
      <c r="V327" s="141" t="str">
        <f t="shared" ref="V327:V390" si="40">IF(Q327="","",T327*U327*-1)</f>
        <v/>
      </c>
      <c r="W327" s="142"/>
      <c r="X327" s="186" t="str">
        <f t="shared" ref="X327:X390" si="41">IFERROR((-1)*LEFT(N327,FIND("扣",N327)-1),IFERROR(1*LEFT(N327,FIND("入",N327)-1),""))</f>
        <v/>
      </c>
    </row>
    <row r="328" spans="1:24" s="147" customFormat="1">
      <c r="A328" s="170"/>
      <c r="B328" s="145"/>
      <c r="C328" s="145"/>
      <c r="D328" s="149"/>
      <c r="E328" s="150"/>
      <c r="F328" s="145"/>
      <c r="G328" s="145"/>
      <c r="H328" s="145"/>
      <c r="I328" s="145"/>
      <c r="J328" s="145"/>
      <c r="K328" s="145"/>
      <c r="L328" s="145"/>
      <c r="M328" s="145"/>
      <c r="N328" s="149"/>
      <c r="O328" s="145"/>
      <c r="P328" s="138"/>
      <c r="Q328" s="255" t="str">
        <f t="shared" ref="Q328:Q391" si="42">IF(B328="","",DATE(LEFT(B328,3)+1911,MID(B328,4,2),RIGHT(B328,2)))</f>
        <v/>
      </c>
      <c r="R328" s="139" t="str">
        <f t="shared" ref="R328:R391" si="43">IF(C328="","",IFERROR(INDEX(代號1,MATCH($C328,股名1,0)),IFERROR(INDEX(代號2,MATCH($C328,股名2,0)),INDEX(代號3,MATCH($C328,股名3,0)))))</f>
        <v/>
      </c>
      <c r="S328" s="128" t="str">
        <f t="shared" si="37"/>
        <v/>
      </c>
      <c r="T328" s="140" t="str">
        <f t="shared" si="38"/>
        <v/>
      </c>
      <c r="U328" s="141" t="str">
        <f t="shared" si="39"/>
        <v/>
      </c>
      <c r="V328" s="141" t="str">
        <f t="shared" si="40"/>
        <v/>
      </c>
      <c r="W328" s="142"/>
      <c r="X328" s="186" t="str">
        <f t="shared" si="41"/>
        <v/>
      </c>
    </row>
    <row r="329" spans="1:24" s="147" customFormat="1">
      <c r="A329" s="170"/>
      <c r="B329" s="145"/>
      <c r="C329" s="145"/>
      <c r="D329" s="146"/>
      <c r="E329" s="150"/>
      <c r="F329" s="145"/>
      <c r="G329" s="145"/>
      <c r="H329" s="145"/>
      <c r="I329" s="145"/>
      <c r="J329" s="145"/>
      <c r="K329" s="145"/>
      <c r="L329" s="145"/>
      <c r="M329" s="145"/>
      <c r="N329" s="146"/>
      <c r="O329" s="145"/>
      <c r="P329" s="138"/>
      <c r="Q329" s="255" t="str">
        <f t="shared" si="42"/>
        <v/>
      </c>
      <c r="R329" s="139" t="str">
        <f t="shared" si="43"/>
        <v/>
      </c>
      <c r="S329" s="128" t="str">
        <f t="shared" si="37"/>
        <v/>
      </c>
      <c r="T329" s="140" t="str">
        <f t="shared" si="38"/>
        <v/>
      </c>
      <c r="U329" s="141" t="str">
        <f t="shared" si="39"/>
        <v/>
      </c>
      <c r="V329" s="141" t="str">
        <f t="shared" si="40"/>
        <v/>
      </c>
      <c r="W329" s="142"/>
      <c r="X329" s="186" t="str">
        <f t="shared" si="41"/>
        <v/>
      </c>
    </row>
    <row r="330" spans="1:24" s="147" customFormat="1">
      <c r="A330" s="172"/>
      <c r="B330" s="151"/>
      <c r="C330" s="151"/>
      <c r="D330" s="151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38"/>
      <c r="Q330" s="255" t="str">
        <f t="shared" si="42"/>
        <v/>
      </c>
      <c r="R330" s="139" t="str">
        <f t="shared" si="43"/>
        <v/>
      </c>
      <c r="S330" s="128" t="str">
        <f t="shared" si="37"/>
        <v/>
      </c>
      <c r="T330" s="140" t="str">
        <f t="shared" si="38"/>
        <v/>
      </c>
      <c r="U330" s="141" t="str">
        <f t="shared" si="39"/>
        <v/>
      </c>
      <c r="V330" s="141" t="str">
        <f t="shared" si="40"/>
        <v/>
      </c>
      <c r="W330" s="142"/>
      <c r="X330" s="186" t="str">
        <f t="shared" si="41"/>
        <v/>
      </c>
    </row>
    <row r="331" spans="1:24" s="147" customFormat="1">
      <c r="A331" s="170"/>
      <c r="B331" s="145"/>
      <c r="C331" s="145"/>
      <c r="D331" s="146"/>
      <c r="E331" s="150"/>
      <c r="F331" s="145"/>
      <c r="G331" s="145"/>
      <c r="H331" s="145"/>
      <c r="I331" s="145"/>
      <c r="J331" s="145"/>
      <c r="K331" s="145"/>
      <c r="L331" s="145"/>
      <c r="M331" s="145"/>
      <c r="N331" s="146"/>
      <c r="O331" s="145"/>
      <c r="P331" s="138"/>
      <c r="Q331" s="255" t="str">
        <f t="shared" si="42"/>
        <v/>
      </c>
      <c r="R331" s="139" t="str">
        <f t="shared" si="43"/>
        <v/>
      </c>
      <c r="S331" s="128" t="str">
        <f t="shared" si="37"/>
        <v/>
      </c>
      <c r="T331" s="140" t="str">
        <f t="shared" si="38"/>
        <v/>
      </c>
      <c r="U331" s="141" t="str">
        <f t="shared" si="39"/>
        <v/>
      </c>
      <c r="V331" s="141" t="str">
        <f t="shared" si="40"/>
        <v/>
      </c>
      <c r="W331" s="142"/>
      <c r="X331" s="186" t="str">
        <f t="shared" si="41"/>
        <v/>
      </c>
    </row>
    <row r="332" spans="1:24" s="147" customFormat="1">
      <c r="A332" s="172"/>
      <c r="B332" s="151"/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38"/>
      <c r="Q332" s="255" t="str">
        <f t="shared" si="42"/>
        <v/>
      </c>
      <c r="R332" s="139" t="str">
        <f t="shared" si="43"/>
        <v/>
      </c>
      <c r="S332" s="128" t="str">
        <f t="shared" si="37"/>
        <v/>
      </c>
      <c r="T332" s="140" t="str">
        <f t="shared" si="38"/>
        <v/>
      </c>
      <c r="U332" s="141" t="str">
        <f t="shared" si="39"/>
        <v/>
      </c>
      <c r="V332" s="141" t="str">
        <f t="shared" si="40"/>
        <v/>
      </c>
      <c r="W332" s="142"/>
      <c r="X332" s="186" t="str">
        <f t="shared" si="41"/>
        <v/>
      </c>
    </row>
    <row r="333" spans="1:24" s="147" customFormat="1">
      <c r="A333" s="170"/>
      <c r="B333" s="145"/>
      <c r="C333" s="145"/>
      <c r="D333" s="145"/>
      <c r="E333" s="150"/>
      <c r="F333" s="145"/>
      <c r="G333" s="145"/>
      <c r="H333" s="145"/>
      <c r="I333" s="145"/>
      <c r="J333" s="145"/>
      <c r="K333" s="145"/>
      <c r="L333" s="145"/>
      <c r="M333" s="145"/>
      <c r="N333" s="149"/>
      <c r="O333" s="145"/>
      <c r="P333" s="138"/>
      <c r="Q333" s="255" t="str">
        <f t="shared" si="42"/>
        <v/>
      </c>
      <c r="R333" s="139" t="str">
        <f t="shared" si="43"/>
        <v/>
      </c>
      <c r="S333" s="128" t="str">
        <f t="shared" si="37"/>
        <v/>
      </c>
      <c r="T333" s="140" t="str">
        <f t="shared" si="38"/>
        <v/>
      </c>
      <c r="U333" s="141" t="str">
        <f t="shared" si="39"/>
        <v/>
      </c>
      <c r="V333" s="141" t="str">
        <f t="shared" si="40"/>
        <v/>
      </c>
      <c r="W333" s="142"/>
      <c r="X333" s="186" t="str">
        <f t="shared" si="41"/>
        <v/>
      </c>
    </row>
    <row r="334" spans="1:24" s="147" customFormat="1">
      <c r="A334" s="172"/>
      <c r="B334" s="151"/>
      <c r="C334" s="151"/>
      <c r="D334" s="151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38"/>
      <c r="Q334" s="255" t="str">
        <f t="shared" si="42"/>
        <v/>
      </c>
      <c r="R334" s="139" t="str">
        <f t="shared" si="43"/>
        <v/>
      </c>
      <c r="S334" s="128" t="str">
        <f t="shared" si="37"/>
        <v/>
      </c>
      <c r="T334" s="140" t="str">
        <f t="shared" si="38"/>
        <v/>
      </c>
      <c r="U334" s="141" t="str">
        <f t="shared" si="39"/>
        <v/>
      </c>
      <c r="V334" s="141" t="str">
        <f t="shared" si="40"/>
        <v/>
      </c>
      <c r="W334" s="142"/>
      <c r="X334" s="186" t="str">
        <f t="shared" si="41"/>
        <v/>
      </c>
    </row>
    <row r="335" spans="1:24" s="147" customFormat="1">
      <c r="A335" s="170"/>
      <c r="B335" s="145"/>
      <c r="C335" s="145"/>
      <c r="D335" s="145"/>
      <c r="E335" s="150"/>
      <c r="F335" s="145"/>
      <c r="G335" s="145"/>
      <c r="H335" s="145"/>
      <c r="I335" s="145"/>
      <c r="J335" s="145"/>
      <c r="K335" s="145"/>
      <c r="L335" s="145"/>
      <c r="M335" s="145"/>
      <c r="N335" s="146"/>
      <c r="O335" s="145"/>
      <c r="P335" s="138"/>
      <c r="Q335" s="255" t="str">
        <f t="shared" si="42"/>
        <v/>
      </c>
      <c r="R335" s="139" t="str">
        <f t="shared" si="43"/>
        <v/>
      </c>
      <c r="S335" s="128" t="str">
        <f t="shared" si="37"/>
        <v/>
      </c>
      <c r="T335" s="140" t="str">
        <f t="shared" si="38"/>
        <v/>
      </c>
      <c r="U335" s="141" t="str">
        <f t="shared" si="39"/>
        <v/>
      </c>
      <c r="V335" s="141" t="str">
        <f t="shared" si="40"/>
        <v/>
      </c>
      <c r="W335" s="142"/>
      <c r="X335" s="186" t="str">
        <f t="shared" si="41"/>
        <v/>
      </c>
    </row>
    <row r="336" spans="1:24" s="147" customFormat="1">
      <c r="A336" s="170"/>
      <c r="B336" s="145"/>
      <c r="C336" s="145"/>
      <c r="D336" s="145"/>
      <c r="E336" s="150"/>
      <c r="F336" s="145"/>
      <c r="G336" s="145"/>
      <c r="H336" s="145"/>
      <c r="I336" s="145"/>
      <c r="J336" s="145"/>
      <c r="K336" s="145"/>
      <c r="L336" s="145"/>
      <c r="M336" s="145"/>
      <c r="N336" s="146"/>
      <c r="O336" s="145"/>
      <c r="P336" s="138"/>
      <c r="Q336" s="255" t="str">
        <f t="shared" si="42"/>
        <v/>
      </c>
      <c r="R336" s="139" t="str">
        <f t="shared" si="43"/>
        <v/>
      </c>
      <c r="S336" s="128" t="str">
        <f t="shared" si="37"/>
        <v/>
      </c>
      <c r="T336" s="140" t="str">
        <f t="shared" si="38"/>
        <v/>
      </c>
      <c r="U336" s="141" t="str">
        <f t="shared" si="39"/>
        <v/>
      </c>
      <c r="V336" s="141" t="str">
        <f t="shared" si="40"/>
        <v/>
      </c>
      <c r="W336" s="142"/>
      <c r="X336" s="186" t="str">
        <f t="shared" si="41"/>
        <v/>
      </c>
    </row>
    <row r="337" spans="1:24" s="147" customFormat="1">
      <c r="A337" s="170"/>
      <c r="B337" s="145"/>
      <c r="C337" s="145"/>
      <c r="D337" s="146"/>
      <c r="E337" s="145"/>
      <c r="F337" s="145"/>
      <c r="G337" s="145"/>
      <c r="H337" s="145"/>
      <c r="I337" s="145"/>
      <c r="J337" s="145"/>
      <c r="K337" s="145"/>
      <c r="L337" s="145"/>
      <c r="M337" s="145"/>
      <c r="N337" s="146"/>
      <c r="O337" s="145"/>
      <c r="P337" s="138"/>
      <c r="Q337" s="255" t="str">
        <f t="shared" si="42"/>
        <v/>
      </c>
      <c r="R337" s="139" t="str">
        <f t="shared" si="43"/>
        <v/>
      </c>
      <c r="S337" s="128" t="str">
        <f t="shared" si="37"/>
        <v/>
      </c>
      <c r="T337" s="140" t="str">
        <f t="shared" si="38"/>
        <v/>
      </c>
      <c r="U337" s="141" t="str">
        <f t="shared" si="39"/>
        <v/>
      </c>
      <c r="V337" s="141" t="str">
        <f t="shared" si="40"/>
        <v/>
      </c>
      <c r="W337" s="142"/>
      <c r="X337" s="186" t="str">
        <f t="shared" si="41"/>
        <v/>
      </c>
    </row>
    <row r="338" spans="1:24" s="147" customFormat="1">
      <c r="A338" s="172"/>
      <c r="B338" s="151"/>
      <c r="C338" s="151"/>
      <c r="D338" s="151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38"/>
      <c r="Q338" s="255" t="str">
        <f t="shared" si="42"/>
        <v/>
      </c>
      <c r="R338" s="139" t="str">
        <f t="shared" si="43"/>
        <v/>
      </c>
      <c r="S338" s="128" t="str">
        <f t="shared" si="37"/>
        <v/>
      </c>
      <c r="T338" s="140" t="str">
        <f t="shared" si="38"/>
        <v/>
      </c>
      <c r="U338" s="141" t="str">
        <f t="shared" si="39"/>
        <v/>
      </c>
      <c r="V338" s="141" t="str">
        <f t="shared" si="40"/>
        <v/>
      </c>
      <c r="W338" s="142"/>
      <c r="X338" s="186" t="str">
        <f t="shared" si="41"/>
        <v/>
      </c>
    </row>
    <row r="339" spans="1:24" s="147" customFormat="1">
      <c r="A339" s="170"/>
      <c r="B339" s="145"/>
      <c r="C339" s="145"/>
      <c r="D339" s="146"/>
      <c r="E339" s="145"/>
      <c r="F339" s="145"/>
      <c r="G339" s="145"/>
      <c r="H339" s="145"/>
      <c r="I339" s="145"/>
      <c r="J339" s="145"/>
      <c r="K339" s="145"/>
      <c r="L339" s="145"/>
      <c r="M339" s="145"/>
      <c r="N339" s="146"/>
      <c r="O339" s="145"/>
      <c r="P339" s="138"/>
      <c r="Q339" s="255" t="str">
        <f t="shared" si="42"/>
        <v/>
      </c>
      <c r="R339" s="139" t="str">
        <f t="shared" si="43"/>
        <v/>
      </c>
      <c r="S339" s="128" t="str">
        <f t="shared" si="37"/>
        <v/>
      </c>
      <c r="T339" s="140" t="str">
        <f t="shared" si="38"/>
        <v/>
      </c>
      <c r="U339" s="141" t="str">
        <f t="shared" si="39"/>
        <v/>
      </c>
      <c r="V339" s="141" t="str">
        <f t="shared" si="40"/>
        <v/>
      </c>
      <c r="W339" s="142"/>
      <c r="X339" s="186" t="str">
        <f t="shared" si="41"/>
        <v/>
      </c>
    </row>
    <row r="340" spans="1:24" s="147" customFormat="1">
      <c r="A340" s="172"/>
      <c r="B340" s="151"/>
      <c r="C340" s="151"/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38"/>
      <c r="Q340" s="255" t="str">
        <f t="shared" si="42"/>
        <v/>
      </c>
      <c r="R340" s="139" t="str">
        <f t="shared" si="43"/>
        <v/>
      </c>
      <c r="S340" s="128" t="str">
        <f t="shared" si="37"/>
        <v/>
      </c>
      <c r="T340" s="140" t="str">
        <f t="shared" si="38"/>
        <v/>
      </c>
      <c r="U340" s="141" t="str">
        <f t="shared" si="39"/>
        <v/>
      </c>
      <c r="V340" s="141" t="str">
        <f t="shared" si="40"/>
        <v/>
      </c>
      <c r="W340" s="142"/>
      <c r="X340" s="186" t="str">
        <f t="shared" si="41"/>
        <v/>
      </c>
    </row>
    <row r="341" spans="1:24" s="147" customFormat="1">
      <c r="A341" s="170"/>
      <c r="B341" s="145"/>
      <c r="C341" s="145"/>
      <c r="D341" s="146"/>
      <c r="E341" s="145"/>
      <c r="F341" s="145"/>
      <c r="G341" s="145"/>
      <c r="H341" s="145"/>
      <c r="I341" s="145"/>
      <c r="J341" s="145"/>
      <c r="K341" s="145"/>
      <c r="L341" s="145"/>
      <c r="M341" s="145"/>
      <c r="N341" s="146"/>
      <c r="O341" s="145"/>
      <c r="P341" s="138"/>
      <c r="Q341" s="255" t="str">
        <f t="shared" si="42"/>
        <v/>
      </c>
      <c r="R341" s="139" t="str">
        <f t="shared" si="43"/>
        <v/>
      </c>
      <c r="S341" s="128" t="str">
        <f t="shared" si="37"/>
        <v/>
      </c>
      <c r="T341" s="140" t="str">
        <f t="shared" si="38"/>
        <v/>
      </c>
      <c r="U341" s="141" t="str">
        <f t="shared" si="39"/>
        <v/>
      </c>
      <c r="V341" s="141" t="str">
        <f t="shared" si="40"/>
        <v/>
      </c>
      <c r="W341" s="142"/>
      <c r="X341" s="186" t="str">
        <f t="shared" si="41"/>
        <v/>
      </c>
    </row>
    <row r="342" spans="1:24" s="147" customFormat="1">
      <c r="A342" s="172"/>
      <c r="B342" s="151"/>
      <c r="C342" s="151"/>
      <c r="D342" s="151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38"/>
      <c r="Q342" s="255" t="str">
        <f t="shared" si="42"/>
        <v/>
      </c>
      <c r="R342" s="139" t="str">
        <f t="shared" si="43"/>
        <v/>
      </c>
      <c r="S342" s="128" t="str">
        <f t="shared" si="37"/>
        <v/>
      </c>
      <c r="T342" s="140" t="str">
        <f t="shared" si="38"/>
        <v/>
      </c>
      <c r="U342" s="141" t="str">
        <f t="shared" si="39"/>
        <v/>
      </c>
      <c r="V342" s="141" t="str">
        <f t="shared" si="40"/>
        <v/>
      </c>
      <c r="W342" s="142"/>
      <c r="X342" s="186" t="str">
        <f t="shared" si="41"/>
        <v/>
      </c>
    </row>
    <row r="343" spans="1:24" s="147" customFormat="1">
      <c r="A343" s="170"/>
      <c r="B343" s="145"/>
      <c r="C343" s="145"/>
      <c r="D343" s="146"/>
      <c r="E343" s="145"/>
      <c r="F343" s="145"/>
      <c r="G343" s="145"/>
      <c r="H343" s="145"/>
      <c r="I343" s="145"/>
      <c r="J343" s="145"/>
      <c r="K343" s="145"/>
      <c r="L343" s="145"/>
      <c r="M343" s="145"/>
      <c r="N343" s="146"/>
      <c r="O343" s="145"/>
      <c r="P343" s="138"/>
      <c r="Q343" s="255" t="str">
        <f t="shared" si="42"/>
        <v/>
      </c>
      <c r="R343" s="139" t="str">
        <f t="shared" si="43"/>
        <v/>
      </c>
      <c r="S343" s="128" t="str">
        <f t="shared" si="37"/>
        <v/>
      </c>
      <c r="T343" s="140" t="str">
        <f t="shared" si="38"/>
        <v/>
      </c>
      <c r="U343" s="141" t="str">
        <f t="shared" si="39"/>
        <v/>
      </c>
      <c r="V343" s="141" t="str">
        <f t="shared" si="40"/>
        <v/>
      </c>
      <c r="W343" s="142"/>
      <c r="X343" s="186" t="str">
        <f t="shared" si="41"/>
        <v/>
      </c>
    </row>
    <row r="344" spans="1:24" s="147" customFormat="1">
      <c r="A344" s="172"/>
      <c r="B344" s="151"/>
      <c r="C344" s="151"/>
      <c r="D344" s="151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38"/>
      <c r="Q344" s="255" t="str">
        <f t="shared" si="42"/>
        <v/>
      </c>
      <c r="R344" s="139" t="str">
        <f t="shared" si="43"/>
        <v/>
      </c>
      <c r="S344" s="128" t="str">
        <f t="shared" si="37"/>
        <v/>
      </c>
      <c r="T344" s="140" t="str">
        <f t="shared" si="38"/>
        <v/>
      </c>
      <c r="U344" s="141" t="str">
        <f t="shared" si="39"/>
        <v/>
      </c>
      <c r="V344" s="141" t="str">
        <f t="shared" si="40"/>
        <v/>
      </c>
      <c r="W344" s="142"/>
      <c r="X344" s="186" t="str">
        <f t="shared" si="41"/>
        <v/>
      </c>
    </row>
    <row r="345" spans="1:24" s="147" customFormat="1">
      <c r="A345" s="170"/>
      <c r="B345" s="145"/>
      <c r="C345" s="145"/>
      <c r="D345" s="146"/>
      <c r="E345" s="145"/>
      <c r="F345" s="145"/>
      <c r="G345" s="145"/>
      <c r="H345" s="145"/>
      <c r="I345" s="145"/>
      <c r="J345" s="145"/>
      <c r="K345" s="145"/>
      <c r="L345" s="145"/>
      <c r="M345" s="145"/>
      <c r="N345" s="146"/>
      <c r="O345" s="145"/>
      <c r="P345" s="138"/>
      <c r="Q345" s="255" t="str">
        <f t="shared" si="42"/>
        <v/>
      </c>
      <c r="R345" s="139" t="str">
        <f t="shared" si="43"/>
        <v/>
      </c>
      <c r="S345" s="128" t="str">
        <f t="shared" si="37"/>
        <v/>
      </c>
      <c r="T345" s="140" t="str">
        <f t="shared" si="38"/>
        <v/>
      </c>
      <c r="U345" s="141" t="str">
        <f t="shared" si="39"/>
        <v/>
      </c>
      <c r="V345" s="141" t="str">
        <f t="shared" si="40"/>
        <v/>
      </c>
      <c r="W345" s="142"/>
      <c r="X345" s="186" t="str">
        <f t="shared" si="41"/>
        <v/>
      </c>
    </row>
    <row r="346" spans="1:24" s="147" customFormat="1">
      <c r="A346" s="172"/>
      <c r="B346" s="151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38"/>
      <c r="Q346" s="255" t="str">
        <f t="shared" si="42"/>
        <v/>
      </c>
      <c r="R346" s="139" t="str">
        <f t="shared" si="43"/>
        <v/>
      </c>
      <c r="S346" s="128" t="str">
        <f t="shared" si="37"/>
        <v/>
      </c>
      <c r="T346" s="140" t="str">
        <f t="shared" si="38"/>
        <v/>
      </c>
      <c r="U346" s="141" t="str">
        <f t="shared" si="39"/>
        <v/>
      </c>
      <c r="V346" s="141" t="str">
        <f t="shared" si="40"/>
        <v/>
      </c>
      <c r="W346" s="142"/>
      <c r="X346" s="186" t="str">
        <f t="shared" si="41"/>
        <v/>
      </c>
    </row>
    <row r="347" spans="1:24" s="147" customFormat="1">
      <c r="A347" s="170"/>
      <c r="B347" s="145"/>
      <c r="C347" s="145"/>
      <c r="D347" s="149"/>
      <c r="E347" s="145"/>
      <c r="F347" s="145"/>
      <c r="G347" s="145"/>
      <c r="H347" s="145"/>
      <c r="I347" s="145"/>
      <c r="J347" s="145"/>
      <c r="K347" s="145"/>
      <c r="L347" s="145"/>
      <c r="M347" s="145"/>
      <c r="N347" s="149"/>
      <c r="O347" s="145"/>
      <c r="P347" s="138"/>
      <c r="Q347" s="255" t="str">
        <f t="shared" si="42"/>
        <v/>
      </c>
      <c r="R347" s="139" t="str">
        <f t="shared" si="43"/>
        <v/>
      </c>
      <c r="S347" s="128" t="str">
        <f t="shared" si="37"/>
        <v/>
      </c>
      <c r="T347" s="140" t="str">
        <f t="shared" si="38"/>
        <v/>
      </c>
      <c r="U347" s="141" t="str">
        <f t="shared" si="39"/>
        <v/>
      </c>
      <c r="V347" s="141" t="str">
        <f t="shared" si="40"/>
        <v/>
      </c>
      <c r="W347" s="142"/>
      <c r="X347" s="186" t="str">
        <f t="shared" si="41"/>
        <v/>
      </c>
    </row>
    <row r="348" spans="1:24" s="147" customFormat="1">
      <c r="A348" s="170"/>
      <c r="B348" s="145"/>
      <c r="C348" s="145"/>
      <c r="D348" s="149"/>
      <c r="E348" s="145"/>
      <c r="F348" s="145"/>
      <c r="G348" s="145"/>
      <c r="H348" s="145"/>
      <c r="I348" s="145"/>
      <c r="J348" s="145"/>
      <c r="K348" s="145"/>
      <c r="L348" s="145"/>
      <c r="M348" s="145"/>
      <c r="N348" s="149"/>
      <c r="O348" s="145"/>
      <c r="P348" s="138"/>
      <c r="Q348" s="255" t="str">
        <f t="shared" si="42"/>
        <v/>
      </c>
      <c r="R348" s="139" t="str">
        <f t="shared" si="43"/>
        <v/>
      </c>
      <c r="S348" s="128" t="str">
        <f t="shared" si="37"/>
        <v/>
      </c>
      <c r="T348" s="140" t="str">
        <f t="shared" si="38"/>
        <v/>
      </c>
      <c r="U348" s="141" t="str">
        <f t="shared" si="39"/>
        <v/>
      </c>
      <c r="V348" s="141" t="str">
        <f t="shared" si="40"/>
        <v/>
      </c>
      <c r="W348" s="142"/>
      <c r="X348" s="186" t="str">
        <f t="shared" si="41"/>
        <v/>
      </c>
    </row>
    <row r="349" spans="1:24" s="147" customFormat="1">
      <c r="A349" s="170"/>
      <c r="B349" s="145"/>
      <c r="C349" s="145"/>
      <c r="D349" s="149"/>
      <c r="E349" s="145"/>
      <c r="F349" s="145"/>
      <c r="G349" s="145"/>
      <c r="H349" s="145"/>
      <c r="I349" s="145"/>
      <c r="J349" s="145"/>
      <c r="K349" s="145"/>
      <c r="L349" s="145"/>
      <c r="M349" s="145"/>
      <c r="N349" s="149"/>
      <c r="O349" s="145"/>
      <c r="P349" s="138"/>
      <c r="Q349" s="255" t="str">
        <f t="shared" si="42"/>
        <v/>
      </c>
      <c r="R349" s="139" t="str">
        <f t="shared" si="43"/>
        <v/>
      </c>
      <c r="S349" s="128" t="str">
        <f t="shared" si="37"/>
        <v/>
      </c>
      <c r="T349" s="140" t="str">
        <f t="shared" si="38"/>
        <v/>
      </c>
      <c r="U349" s="141" t="str">
        <f t="shared" si="39"/>
        <v/>
      </c>
      <c r="V349" s="141" t="str">
        <f t="shared" si="40"/>
        <v/>
      </c>
      <c r="W349" s="142"/>
      <c r="X349" s="186" t="str">
        <f t="shared" si="41"/>
        <v/>
      </c>
    </row>
    <row r="350" spans="1:24" s="147" customFormat="1">
      <c r="A350" s="170"/>
      <c r="B350" s="145"/>
      <c r="C350" s="145"/>
      <c r="D350" s="149"/>
      <c r="E350" s="145"/>
      <c r="F350" s="145"/>
      <c r="G350" s="145"/>
      <c r="H350" s="145"/>
      <c r="I350" s="145"/>
      <c r="J350" s="145"/>
      <c r="K350" s="145"/>
      <c r="L350" s="145"/>
      <c r="M350" s="145"/>
      <c r="N350" s="149"/>
      <c r="O350" s="145"/>
      <c r="P350" s="138"/>
      <c r="Q350" s="255" t="str">
        <f t="shared" si="42"/>
        <v/>
      </c>
      <c r="R350" s="139" t="str">
        <f t="shared" si="43"/>
        <v/>
      </c>
      <c r="S350" s="128" t="str">
        <f t="shared" si="37"/>
        <v/>
      </c>
      <c r="T350" s="140" t="str">
        <f t="shared" si="38"/>
        <v/>
      </c>
      <c r="U350" s="141" t="str">
        <f t="shared" si="39"/>
        <v/>
      </c>
      <c r="V350" s="141" t="str">
        <f t="shared" si="40"/>
        <v/>
      </c>
      <c r="W350" s="142"/>
      <c r="X350" s="186" t="str">
        <f t="shared" si="41"/>
        <v/>
      </c>
    </row>
    <row r="351" spans="1:24" s="147" customFormat="1">
      <c r="A351" s="170"/>
      <c r="B351" s="145"/>
      <c r="C351" s="145"/>
      <c r="D351" s="149"/>
      <c r="E351" s="150"/>
      <c r="F351" s="145"/>
      <c r="G351" s="145"/>
      <c r="H351" s="145"/>
      <c r="I351" s="145"/>
      <c r="J351" s="145"/>
      <c r="K351" s="145"/>
      <c r="L351" s="145"/>
      <c r="M351" s="145"/>
      <c r="N351" s="149"/>
      <c r="O351" s="145"/>
      <c r="P351" s="138"/>
      <c r="Q351" s="255" t="str">
        <f t="shared" si="42"/>
        <v/>
      </c>
      <c r="R351" s="139" t="str">
        <f t="shared" si="43"/>
        <v/>
      </c>
      <c r="S351" s="128" t="str">
        <f t="shared" si="37"/>
        <v/>
      </c>
      <c r="T351" s="140" t="str">
        <f t="shared" si="38"/>
        <v/>
      </c>
      <c r="U351" s="141" t="str">
        <f t="shared" si="39"/>
        <v/>
      </c>
      <c r="V351" s="141" t="str">
        <f t="shared" si="40"/>
        <v/>
      </c>
      <c r="W351" s="142"/>
      <c r="X351" s="186" t="str">
        <f t="shared" si="41"/>
        <v/>
      </c>
    </row>
    <row r="352" spans="1:24" s="147" customFormat="1">
      <c r="A352" s="170"/>
      <c r="B352" s="145"/>
      <c r="C352" s="145"/>
      <c r="D352" s="149"/>
      <c r="E352" s="150"/>
      <c r="F352" s="145"/>
      <c r="G352" s="145"/>
      <c r="H352" s="145"/>
      <c r="I352" s="145"/>
      <c r="J352" s="145"/>
      <c r="K352" s="145"/>
      <c r="L352" s="145"/>
      <c r="M352" s="145"/>
      <c r="N352" s="149"/>
      <c r="O352" s="145"/>
      <c r="P352" s="138"/>
      <c r="Q352" s="255" t="str">
        <f t="shared" si="42"/>
        <v/>
      </c>
      <c r="R352" s="139" t="str">
        <f t="shared" si="43"/>
        <v/>
      </c>
      <c r="S352" s="128" t="str">
        <f t="shared" si="37"/>
        <v/>
      </c>
      <c r="T352" s="140" t="str">
        <f t="shared" si="38"/>
        <v/>
      </c>
      <c r="U352" s="141" t="str">
        <f t="shared" si="39"/>
        <v/>
      </c>
      <c r="V352" s="141" t="str">
        <f t="shared" si="40"/>
        <v/>
      </c>
      <c r="W352" s="142"/>
      <c r="X352" s="186" t="str">
        <f t="shared" si="41"/>
        <v/>
      </c>
    </row>
    <row r="353" spans="1:24" s="147" customFormat="1">
      <c r="A353" s="170"/>
      <c r="B353" s="145"/>
      <c r="C353" s="145"/>
      <c r="D353" s="145"/>
      <c r="E353" s="150"/>
      <c r="F353" s="145"/>
      <c r="G353" s="145"/>
      <c r="H353" s="145"/>
      <c r="I353" s="145"/>
      <c r="J353" s="145"/>
      <c r="K353" s="145"/>
      <c r="L353" s="145"/>
      <c r="M353" s="145"/>
      <c r="N353" s="149"/>
      <c r="O353" s="145"/>
      <c r="P353" s="138"/>
      <c r="Q353" s="255" t="str">
        <f t="shared" si="42"/>
        <v/>
      </c>
      <c r="R353" s="139" t="str">
        <f t="shared" si="43"/>
        <v/>
      </c>
      <c r="S353" s="128" t="str">
        <f t="shared" si="37"/>
        <v/>
      </c>
      <c r="T353" s="140" t="str">
        <f t="shared" si="38"/>
        <v/>
      </c>
      <c r="U353" s="141" t="str">
        <f t="shared" si="39"/>
        <v/>
      </c>
      <c r="V353" s="141" t="str">
        <f t="shared" si="40"/>
        <v/>
      </c>
      <c r="W353" s="142"/>
      <c r="X353" s="186" t="str">
        <f t="shared" si="41"/>
        <v/>
      </c>
    </row>
    <row r="354" spans="1:24" s="147" customFormat="1">
      <c r="A354" s="172"/>
      <c r="B354" s="151"/>
      <c r="C354" s="151"/>
      <c r="D354" s="151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38"/>
      <c r="Q354" s="255" t="str">
        <f t="shared" si="42"/>
        <v/>
      </c>
      <c r="R354" s="139" t="str">
        <f t="shared" si="43"/>
        <v/>
      </c>
      <c r="S354" s="128" t="str">
        <f t="shared" si="37"/>
        <v/>
      </c>
      <c r="T354" s="140" t="str">
        <f t="shared" si="38"/>
        <v/>
      </c>
      <c r="U354" s="141" t="str">
        <f t="shared" si="39"/>
        <v/>
      </c>
      <c r="V354" s="141" t="str">
        <f t="shared" si="40"/>
        <v/>
      </c>
      <c r="W354" s="142"/>
      <c r="X354" s="186" t="str">
        <f t="shared" si="41"/>
        <v/>
      </c>
    </row>
    <row r="355" spans="1:24" s="147" customFormat="1">
      <c r="A355" s="170"/>
      <c r="B355" s="145"/>
      <c r="C355" s="145"/>
      <c r="D355" s="145"/>
      <c r="E355" s="150"/>
      <c r="F355" s="145"/>
      <c r="G355" s="145"/>
      <c r="H355" s="145"/>
      <c r="I355" s="145"/>
      <c r="J355" s="145"/>
      <c r="K355" s="145"/>
      <c r="L355" s="145"/>
      <c r="M355" s="145"/>
      <c r="N355" s="146"/>
      <c r="O355" s="145"/>
      <c r="P355" s="138"/>
      <c r="Q355" s="255" t="str">
        <f t="shared" si="42"/>
        <v/>
      </c>
      <c r="R355" s="139" t="str">
        <f t="shared" si="43"/>
        <v/>
      </c>
      <c r="S355" s="128" t="str">
        <f t="shared" si="37"/>
        <v/>
      </c>
      <c r="T355" s="140" t="str">
        <f t="shared" si="38"/>
        <v/>
      </c>
      <c r="U355" s="141" t="str">
        <f t="shared" si="39"/>
        <v/>
      </c>
      <c r="V355" s="141" t="str">
        <f t="shared" si="40"/>
        <v/>
      </c>
      <c r="W355" s="142"/>
      <c r="X355" s="186" t="str">
        <f t="shared" si="41"/>
        <v/>
      </c>
    </row>
    <row r="356" spans="1:24" s="147" customFormat="1">
      <c r="A356" s="170"/>
      <c r="B356" s="145"/>
      <c r="C356" s="145"/>
      <c r="D356" s="146"/>
      <c r="E356" s="150"/>
      <c r="F356" s="145"/>
      <c r="G356" s="145"/>
      <c r="H356" s="145"/>
      <c r="I356" s="145"/>
      <c r="J356" s="145"/>
      <c r="K356" s="145"/>
      <c r="L356" s="145"/>
      <c r="M356" s="145"/>
      <c r="N356" s="146"/>
      <c r="O356" s="145"/>
      <c r="P356" s="138"/>
      <c r="Q356" s="255" t="str">
        <f t="shared" si="42"/>
        <v/>
      </c>
      <c r="R356" s="139" t="str">
        <f t="shared" si="43"/>
        <v/>
      </c>
      <c r="S356" s="128" t="str">
        <f t="shared" si="37"/>
        <v/>
      </c>
      <c r="T356" s="140" t="str">
        <f t="shared" si="38"/>
        <v/>
      </c>
      <c r="U356" s="141" t="str">
        <f t="shared" si="39"/>
        <v/>
      </c>
      <c r="V356" s="141" t="str">
        <f t="shared" si="40"/>
        <v/>
      </c>
      <c r="W356" s="142"/>
      <c r="X356" s="186" t="str">
        <f t="shared" si="41"/>
        <v/>
      </c>
    </row>
    <row r="357" spans="1:24" s="147" customFormat="1">
      <c r="A357" s="172"/>
      <c r="B357" s="151"/>
      <c r="C357" s="151"/>
      <c r="D357" s="151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38"/>
      <c r="Q357" s="255" t="str">
        <f t="shared" si="42"/>
        <v/>
      </c>
      <c r="R357" s="139" t="str">
        <f t="shared" si="43"/>
        <v/>
      </c>
      <c r="S357" s="128" t="str">
        <f t="shared" si="37"/>
        <v/>
      </c>
      <c r="T357" s="140" t="str">
        <f t="shared" si="38"/>
        <v/>
      </c>
      <c r="U357" s="141" t="str">
        <f t="shared" si="39"/>
        <v/>
      </c>
      <c r="V357" s="141" t="str">
        <f t="shared" si="40"/>
        <v/>
      </c>
      <c r="W357" s="142"/>
      <c r="X357" s="186" t="str">
        <f t="shared" si="41"/>
        <v/>
      </c>
    </row>
    <row r="358" spans="1:24" s="147" customFormat="1">
      <c r="A358" s="170"/>
      <c r="B358" s="145"/>
      <c r="C358" s="145"/>
      <c r="D358" s="145"/>
      <c r="E358" s="150"/>
      <c r="F358" s="145"/>
      <c r="G358" s="145"/>
      <c r="H358" s="145"/>
      <c r="I358" s="145"/>
      <c r="J358" s="145"/>
      <c r="K358" s="145"/>
      <c r="L358" s="145"/>
      <c r="M358" s="145"/>
      <c r="N358" s="149"/>
      <c r="O358" s="145"/>
      <c r="P358" s="138"/>
      <c r="Q358" s="255" t="str">
        <f t="shared" si="42"/>
        <v/>
      </c>
      <c r="R358" s="139" t="str">
        <f t="shared" si="43"/>
        <v/>
      </c>
      <c r="S358" s="128" t="str">
        <f t="shared" si="37"/>
        <v/>
      </c>
      <c r="T358" s="140" t="str">
        <f t="shared" si="38"/>
        <v/>
      </c>
      <c r="U358" s="141" t="str">
        <f t="shared" si="39"/>
        <v/>
      </c>
      <c r="V358" s="141" t="str">
        <f t="shared" si="40"/>
        <v/>
      </c>
      <c r="W358" s="142"/>
      <c r="X358" s="186" t="str">
        <f t="shared" si="41"/>
        <v/>
      </c>
    </row>
    <row r="359" spans="1:24" s="147" customFormat="1">
      <c r="A359" s="172"/>
      <c r="B359" s="151"/>
      <c r="C359" s="151"/>
      <c r="D359" s="151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38"/>
      <c r="Q359" s="255" t="str">
        <f t="shared" si="42"/>
        <v/>
      </c>
      <c r="R359" s="139" t="str">
        <f t="shared" si="43"/>
        <v/>
      </c>
      <c r="S359" s="128" t="str">
        <f t="shared" si="37"/>
        <v/>
      </c>
      <c r="T359" s="140" t="str">
        <f t="shared" si="38"/>
        <v/>
      </c>
      <c r="U359" s="141" t="str">
        <f t="shared" si="39"/>
        <v/>
      </c>
      <c r="V359" s="141" t="str">
        <f t="shared" si="40"/>
        <v/>
      </c>
      <c r="W359" s="142"/>
      <c r="X359" s="186" t="str">
        <f t="shared" si="41"/>
        <v/>
      </c>
    </row>
    <row r="360" spans="1:24" s="147" customFormat="1">
      <c r="A360" s="170"/>
      <c r="B360" s="145"/>
      <c r="C360" s="145"/>
      <c r="D360" s="145"/>
      <c r="E360" s="150"/>
      <c r="F360" s="145"/>
      <c r="G360" s="145"/>
      <c r="H360" s="145"/>
      <c r="I360" s="145"/>
      <c r="J360" s="145"/>
      <c r="K360" s="145"/>
      <c r="L360" s="145"/>
      <c r="M360" s="145"/>
      <c r="N360" s="146"/>
      <c r="O360" s="145"/>
      <c r="P360" s="138"/>
      <c r="Q360" s="255" t="str">
        <f t="shared" si="42"/>
        <v/>
      </c>
      <c r="R360" s="139" t="str">
        <f t="shared" si="43"/>
        <v/>
      </c>
      <c r="S360" s="128" t="str">
        <f t="shared" si="37"/>
        <v/>
      </c>
      <c r="T360" s="140" t="str">
        <f t="shared" si="38"/>
        <v/>
      </c>
      <c r="U360" s="141" t="str">
        <f t="shared" si="39"/>
        <v/>
      </c>
      <c r="V360" s="141" t="str">
        <f t="shared" si="40"/>
        <v/>
      </c>
      <c r="W360" s="142"/>
      <c r="X360" s="186" t="str">
        <f t="shared" si="41"/>
        <v/>
      </c>
    </row>
    <row r="361" spans="1:24" s="147" customFormat="1">
      <c r="A361" s="170"/>
      <c r="B361" s="145"/>
      <c r="C361" s="145"/>
      <c r="D361" s="149"/>
      <c r="E361" s="150"/>
      <c r="F361" s="145"/>
      <c r="G361" s="145"/>
      <c r="H361" s="145"/>
      <c r="I361" s="145"/>
      <c r="J361" s="145"/>
      <c r="K361" s="145"/>
      <c r="L361" s="145"/>
      <c r="M361" s="145"/>
      <c r="N361" s="149"/>
      <c r="O361" s="145"/>
      <c r="P361" s="138"/>
      <c r="Q361" s="255" t="str">
        <f t="shared" si="42"/>
        <v/>
      </c>
      <c r="R361" s="139" t="str">
        <f t="shared" si="43"/>
        <v/>
      </c>
      <c r="S361" s="128" t="str">
        <f t="shared" si="37"/>
        <v/>
      </c>
      <c r="T361" s="140" t="str">
        <f t="shared" si="38"/>
        <v/>
      </c>
      <c r="U361" s="141" t="str">
        <f t="shared" si="39"/>
        <v/>
      </c>
      <c r="V361" s="141" t="str">
        <f t="shared" si="40"/>
        <v/>
      </c>
      <c r="W361" s="142"/>
      <c r="X361" s="186" t="str">
        <f t="shared" si="41"/>
        <v/>
      </c>
    </row>
    <row r="362" spans="1:24" s="147" customFormat="1">
      <c r="A362" s="170"/>
      <c r="B362" s="145"/>
      <c r="C362" s="145"/>
      <c r="D362" s="146"/>
      <c r="E362" s="145"/>
      <c r="F362" s="145"/>
      <c r="G362" s="145"/>
      <c r="H362" s="145"/>
      <c r="I362" s="145"/>
      <c r="J362" s="145"/>
      <c r="K362" s="145"/>
      <c r="L362" s="145"/>
      <c r="M362" s="145"/>
      <c r="N362" s="146"/>
      <c r="O362" s="145"/>
      <c r="P362" s="138"/>
      <c r="Q362" s="255" t="str">
        <f t="shared" si="42"/>
        <v/>
      </c>
      <c r="R362" s="139" t="str">
        <f t="shared" si="43"/>
        <v/>
      </c>
      <c r="S362" s="128" t="str">
        <f t="shared" si="37"/>
        <v/>
      </c>
      <c r="T362" s="140" t="str">
        <f t="shared" si="38"/>
        <v/>
      </c>
      <c r="U362" s="141" t="str">
        <f t="shared" si="39"/>
        <v/>
      </c>
      <c r="V362" s="141" t="str">
        <f t="shared" si="40"/>
        <v/>
      </c>
      <c r="W362" s="142"/>
      <c r="X362" s="186" t="str">
        <f t="shared" si="41"/>
        <v/>
      </c>
    </row>
    <row r="363" spans="1:24" s="147" customFormat="1">
      <c r="A363" s="171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38"/>
      <c r="Q363" s="255" t="str">
        <f t="shared" si="42"/>
        <v/>
      </c>
      <c r="R363" s="139" t="str">
        <f t="shared" si="43"/>
        <v/>
      </c>
      <c r="S363" s="128" t="str">
        <f t="shared" si="37"/>
        <v/>
      </c>
      <c r="T363" s="140" t="str">
        <f t="shared" si="38"/>
        <v/>
      </c>
      <c r="U363" s="141" t="str">
        <f t="shared" si="39"/>
        <v/>
      </c>
      <c r="V363" s="141" t="str">
        <f t="shared" si="40"/>
        <v/>
      </c>
      <c r="W363" s="142"/>
      <c r="X363" s="186" t="str">
        <f t="shared" si="41"/>
        <v/>
      </c>
    </row>
    <row r="364" spans="1:24" s="147" customFormat="1">
      <c r="A364" s="170"/>
      <c r="B364" s="145"/>
      <c r="C364" s="145"/>
      <c r="D364" s="149"/>
      <c r="E364" s="150"/>
      <c r="F364" s="145"/>
      <c r="G364" s="145"/>
      <c r="H364" s="145"/>
      <c r="I364" s="145"/>
      <c r="J364" s="145"/>
      <c r="K364" s="145"/>
      <c r="L364" s="145"/>
      <c r="M364" s="145"/>
      <c r="N364" s="149"/>
      <c r="O364" s="145"/>
      <c r="P364" s="138"/>
      <c r="Q364" s="255" t="str">
        <f t="shared" si="42"/>
        <v/>
      </c>
      <c r="R364" s="139" t="str">
        <f t="shared" si="43"/>
        <v/>
      </c>
      <c r="S364" s="128" t="str">
        <f t="shared" si="37"/>
        <v/>
      </c>
      <c r="T364" s="140" t="str">
        <f t="shared" si="38"/>
        <v/>
      </c>
      <c r="U364" s="141" t="str">
        <f t="shared" si="39"/>
        <v/>
      </c>
      <c r="V364" s="141" t="str">
        <f t="shared" si="40"/>
        <v/>
      </c>
      <c r="W364" s="142"/>
      <c r="X364" s="186" t="str">
        <f t="shared" si="41"/>
        <v/>
      </c>
    </row>
    <row r="365" spans="1:24" s="147" customFormat="1">
      <c r="A365" s="170"/>
      <c r="B365" s="145"/>
      <c r="C365" s="145"/>
      <c r="D365" s="149"/>
      <c r="E365" s="150"/>
      <c r="F365" s="145"/>
      <c r="G365" s="145"/>
      <c r="H365" s="145"/>
      <c r="I365" s="145"/>
      <c r="J365" s="145"/>
      <c r="K365" s="145"/>
      <c r="L365" s="145"/>
      <c r="M365" s="145"/>
      <c r="N365" s="149"/>
      <c r="O365" s="145"/>
      <c r="P365" s="138"/>
      <c r="Q365" s="255" t="str">
        <f t="shared" si="42"/>
        <v/>
      </c>
      <c r="R365" s="139" t="str">
        <f t="shared" si="43"/>
        <v/>
      </c>
      <c r="S365" s="128" t="str">
        <f t="shared" si="37"/>
        <v/>
      </c>
      <c r="T365" s="140" t="str">
        <f t="shared" si="38"/>
        <v/>
      </c>
      <c r="U365" s="141" t="str">
        <f t="shared" si="39"/>
        <v/>
      </c>
      <c r="V365" s="141" t="str">
        <f t="shared" si="40"/>
        <v/>
      </c>
      <c r="W365" s="142"/>
      <c r="X365" s="186" t="str">
        <f t="shared" si="41"/>
        <v/>
      </c>
    </row>
    <row r="366" spans="1:24" s="147" customFormat="1">
      <c r="A366" s="170"/>
      <c r="B366" s="145"/>
      <c r="C366" s="145"/>
      <c r="D366" s="145"/>
      <c r="E366" s="150"/>
      <c r="F366" s="145"/>
      <c r="G366" s="145"/>
      <c r="H366" s="145"/>
      <c r="I366" s="145"/>
      <c r="J366" s="145"/>
      <c r="K366" s="145"/>
      <c r="L366" s="145"/>
      <c r="M366" s="145"/>
      <c r="N366" s="149"/>
      <c r="O366" s="145"/>
      <c r="P366" s="138"/>
      <c r="Q366" s="255" t="str">
        <f t="shared" si="42"/>
        <v/>
      </c>
      <c r="R366" s="139" t="str">
        <f t="shared" si="43"/>
        <v/>
      </c>
      <c r="S366" s="128" t="str">
        <f t="shared" si="37"/>
        <v/>
      </c>
      <c r="T366" s="140" t="str">
        <f t="shared" si="38"/>
        <v/>
      </c>
      <c r="U366" s="141" t="str">
        <f t="shared" si="39"/>
        <v/>
      </c>
      <c r="V366" s="141" t="str">
        <f t="shared" si="40"/>
        <v/>
      </c>
      <c r="W366" s="142"/>
      <c r="X366" s="186" t="str">
        <f t="shared" si="41"/>
        <v/>
      </c>
    </row>
    <row r="367" spans="1:24" s="147" customFormat="1">
      <c r="A367" s="172"/>
      <c r="B367" s="151"/>
      <c r="C367" s="151"/>
      <c r="D367" s="151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38"/>
      <c r="Q367" s="255" t="str">
        <f t="shared" si="42"/>
        <v/>
      </c>
      <c r="R367" s="139" t="str">
        <f t="shared" si="43"/>
        <v/>
      </c>
      <c r="S367" s="128" t="str">
        <f t="shared" si="37"/>
        <v/>
      </c>
      <c r="T367" s="140" t="str">
        <f t="shared" si="38"/>
        <v/>
      </c>
      <c r="U367" s="141" t="str">
        <f t="shared" si="39"/>
        <v/>
      </c>
      <c r="V367" s="141" t="str">
        <f t="shared" si="40"/>
        <v/>
      </c>
      <c r="W367" s="142"/>
      <c r="X367" s="186" t="str">
        <f t="shared" si="41"/>
        <v/>
      </c>
    </row>
    <row r="368" spans="1:24" s="147" customFormat="1">
      <c r="A368" s="170"/>
      <c r="B368" s="145"/>
      <c r="C368" s="145"/>
      <c r="D368" s="145"/>
      <c r="E368" s="150"/>
      <c r="F368" s="145"/>
      <c r="G368" s="145"/>
      <c r="H368" s="145"/>
      <c r="I368" s="145"/>
      <c r="J368" s="145"/>
      <c r="K368" s="145"/>
      <c r="L368" s="145"/>
      <c r="M368" s="145"/>
      <c r="N368" s="146"/>
      <c r="O368" s="145"/>
      <c r="P368" s="138"/>
      <c r="Q368" s="255" t="str">
        <f t="shared" si="42"/>
        <v/>
      </c>
      <c r="R368" s="139" t="str">
        <f t="shared" si="43"/>
        <v/>
      </c>
      <c r="S368" s="128" t="str">
        <f t="shared" si="37"/>
        <v/>
      </c>
      <c r="T368" s="140" t="str">
        <f t="shared" si="38"/>
        <v/>
      </c>
      <c r="U368" s="141" t="str">
        <f t="shared" si="39"/>
        <v/>
      </c>
      <c r="V368" s="141" t="str">
        <f t="shared" si="40"/>
        <v/>
      </c>
      <c r="W368" s="142"/>
      <c r="X368" s="186" t="str">
        <f t="shared" si="41"/>
        <v/>
      </c>
    </row>
    <row r="369" spans="1:24" s="147" customFormat="1">
      <c r="A369" s="170"/>
      <c r="B369" s="145"/>
      <c r="C369" s="145"/>
      <c r="D369" s="149"/>
      <c r="E369" s="150"/>
      <c r="F369" s="145"/>
      <c r="G369" s="145"/>
      <c r="H369" s="145"/>
      <c r="I369" s="145"/>
      <c r="J369" s="145"/>
      <c r="K369" s="145"/>
      <c r="L369" s="145"/>
      <c r="M369" s="145"/>
      <c r="N369" s="149"/>
      <c r="O369" s="145"/>
      <c r="P369" s="138"/>
      <c r="Q369" s="255" t="str">
        <f t="shared" si="42"/>
        <v/>
      </c>
      <c r="R369" s="139" t="str">
        <f t="shared" si="43"/>
        <v/>
      </c>
      <c r="S369" s="128" t="str">
        <f t="shared" si="37"/>
        <v/>
      </c>
      <c r="T369" s="140" t="str">
        <f t="shared" si="38"/>
        <v/>
      </c>
      <c r="U369" s="141" t="str">
        <f t="shared" si="39"/>
        <v/>
      </c>
      <c r="V369" s="141" t="str">
        <f t="shared" si="40"/>
        <v/>
      </c>
      <c r="W369" s="142"/>
      <c r="X369" s="186" t="str">
        <f t="shared" si="41"/>
        <v/>
      </c>
    </row>
    <row r="370" spans="1:24" s="147" customFormat="1">
      <c r="A370" s="170"/>
      <c r="B370" s="145"/>
      <c r="C370" s="145"/>
      <c r="D370" s="146"/>
      <c r="E370" s="150"/>
      <c r="F370" s="145"/>
      <c r="G370" s="145"/>
      <c r="H370" s="145"/>
      <c r="I370" s="145"/>
      <c r="J370" s="145"/>
      <c r="K370" s="145"/>
      <c r="L370" s="145"/>
      <c r="M370" s="145"/>
      <c r="N370" s="146"/>
      <c r="O370" s="145"/>
      <c r="P370" s="138"/>
      <c r="Q370" s="255" t="str">
        <f t="shared" si="42"/>
        <v/>
      </c>
      <c r="R370" s="139" t="str">
        <f t="shared" si="43"/>
        <v/>
      </c>
      <c r="S370" s="128" t="str">
        <f t="shared" si="37"/>
        <v/>
      </c>
      <c r="T370" s="140" t="str">
        <f t="shared" si="38"/>
        <v/>
      </c>
      <c r="U370" s="141" t="str">
        <f t="shared" si="39"/>
        <v/>
      </c>
      <c r="V370" s="141" t="str">
        <f t="shared" si="40"/>
        <v/>
      </c>
      <c r="W370" s="142"/>
      <c r="X370" s="186" t="str">
        <f t="shared" si="41"/>
        <v/>
      </c>
    </row>
    <row r="371" spans="1:24" s="147" customFormat="1">
      <c r="A371" s="172"/>
      <c r="B371" s="151"/>
      <c r="C371" s="151"/>
      <c r="D371" s="151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38"/>
      <c r="Q371" s="255" t="str">
        <f t="shared" si="42"/>
        <v/>
      </c>
      <c r="R371" s="139" t="str">
        <f t="shared" si="43"/>
        <v/>
      </c>
      <c r="S371" s="128" t="str">
        <f t="shared" si="37"/>
        <v/>
      </c>
      <c r="T371" s="140" t="str">
        <f t="shared" si="38"/>
        <v/>
      </c>
      <c r="U371" s="141" t="str">
        <f t="shared" si="39"/>
        <v/>
      </c>
      <c r="V371" s="141" t="str">
        <f t="shared" si="40"/>
        <v/>
      </c>
      <c r="W371" s="142"/>
      <c r="X371" s="186" t="str">
        <f t="shared" si="41"/>
        <v/>
      </c>
    </row>
    <row r="372" spans="1:24" s="147" customFormat="1">
      <c r="A372" s="170"/>
      <c r="B372" s="145"/>
      <c r="C372" s="145"/>
      <c r="D372" s="146"/>
      <c r="E372" s="145"/>
      <c r="F372" s="145"/>
      <c r="G372" s="145"/>
      <c r="H372" s="145"/>
      <c r="I372" s="145"/>
      <c r="J372" s="145"/>
      <c r="K372" s="145"/>
      <c r="L372" s="145"/>
      <c r="M372" s="145"/>
      <c r="N372" s="146"/>
      <c r="O372" s="145"/>
      <c r="P372" s="138"/>
      <c r="Q372" s="255" t="str">
        <f t="shared" si="42"/>
        <v/>
      </c>
      <c r="R372" s="139" t="str">
        <f t="shared" si="43"/>
        <v/>
      </c>
      <c r="S372" s="128" t="str">
        <f t="shared" si="37"/>
        <v/>
      </c>
      <c r="T372" s="140" t="str">
        <f t="shared" si="38"/>
        <v/>
      </c>
      <c r="U372" s="141" t="str">
        <f t="shared" si="39"/>
        <v/>
      </c>
      <c r="V372" s="141" t="str">
        <f t="shared" si="40"/>
        <v/>
      </c>
      <c r="W372" s="142"/>
      <c r="X372" s="186" t="str">
        <f t="shared" si="41"/>
        <v/>
      </c>
    </row>
    <row r="373" spans="1:24" s="147" customFormat="1">
      <c r="A373" s="172"/>
      <c r="B373" s="151"/>
      <c r="C373" s="151"/>
      <c r="D373" s="151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38"/>
      <c r="Q373" s="255" t="str">
        <f t="shared" si="42"/>
        <v/>
      </c>
      <c r="R373" s="139" t="str">
        <f t="shared" si="43"/>
        <v/>
      </c>
      <c r="S373" s="128" t="str">
        <f t="shared" si="37"/>
        <v/>
      </c>
      <c r="T373" s="140" t="str">
        <f t="shared" si="38"/>
        <v/>
      </c>
      <c r="U373" s="141" t="str">
        <f t="shared" si="39"/>
        <v/>
      </c>
      <c r="V373" s="141" t="str">
        <f t="shared" si="40"/>
        <v/>
      </c>
      <c r="W373" s="142"/>
      <c r="X373" s="186" t="str">
        <f t="shared" si="41"/>
        <v/>
      </c>
    </row>
    <row r="374" spans="1:24" s="147" customFormat="1">
      <c r="A374" s="170"/>
      <c r="B374" s="145"/>
      <c r="C374" s="145"/>
      <c r="D374" s="146"/>
      <c r="E374" s="145"/>
      <c r="F374" s="145"/>
      <c r="G374" s="145"/>
      <c r="H374" s="145"/>
      <c r="I374" s="145"/>
      <c r="J374" s="145"/>
      <c r="K374" s="145"/>
      <c r="L374" s="145"/>
      <c r="M374" s="145"/>
      <c r="N374" s="146"/>
      <c r="O374" s="145"/>
      <c r="P374" s="138"/>
      <c r="Q374" s="255" t="str">
        <f t="shared" si="42"/>
        <v/>
      </c>
      <c r="R374" s="139" t="str">
        <f t="shared" si="43"/>
        <v/>
      </c>
      <c r="S374" s="128" t="str">
        <f t="shared" si="37"/>
        <v/>
      </c>
      <c r="T374" s="140" t="str">
        <f t="shared" si="38"/>
        <v/>
      </c>
      <c r="U374" s="141" t="str">
        <f t="shared" si="39"/>
        <v/>
      </c>
      <c r="V374" s="141" t="str">
        <f t="shared" si="40"/>
        <v/>
      </c>
      <c r="W374" s="142"/>
      <c r="X374" s="186" t="str">
        <f t="shared" si="41"/>
        <v/>
      </c>
    </row>
    <row r="375" spans="1:24" s="147" customFormat="1">
      <c r="A375" s="172"/>
      <c r="B375" s="151"/>
      <c r="C375" s="151"/>
      <c r="D375" s="151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38"/>
      <c r="Q375" s="255" t="str">
        <f t="shared" si="42"/>
        <v/>
      </c>
      <c r="R375" s="139" t="str">
        <f t="shared" si="43"/>
        <v/>
      </c>
      <c r="S375" s="128" t="str">
        <f t="shared" si="37"/>
        <v/>
      </c>
      <c r="T375" s="140" t="str">
        <f t="shared" si="38"/>
        <v/>
      </c>
      <c r="U375" s="141" t="str">
        <f t="shared" si="39"/>
        <v/>
      </c>
      <c r="V375" s="141" t="str">
        <f t="shared" si="40"/>
        <v/>
      </c>
      <c r="W375" s="142"/>
      <c r="X375" s="186" t="str">
        <f t="shared" si="41"/>
        <v/>
      </c>
    </row>
    <row r="376" spans="1:24" s="147" customFormat="1">
      <c r="A376" s="170"/>
      <c r="B376" s="145"/>
      <c r="C376" s="145"/>
      <c r="D376" s="146"/>
      <c r="E376" s="145"/>
      <c r="F376" s="145"/>
      <c r="G376" s="145"/>
      <c r="H376" s="145"/>
      <c r="I376" s="145"/>
      <c r="J376" s="145"/>
      <c r="K376" s="145"/>
      <c r="L376" s="145"/>
      <c r="M376" s="145"/>
      <c r="N376" s="146"/>
      <c r="O376" s="145"/>
      <c r="P376" s="138"/>
      <c r="Q376" s="255" t="str">
        <f t="shared" si="42"/>
        <v/>
      </c>
      <c r="R376" s="139" t="str">
        <f t="shared" si="43"/>
        <v/>
      </c>
      <c r="S376" s="128" t="str">
        <f t="shared" si="37"/>
        <v/>
      </c>
      <c r="T376" s="140" t="str">
        <f t="shared" si="38"/>
        <v/>
      </c>
      <c r="U376" s="141" t="str">
        <f t="shared" si="39"/>
        <v/>
      </c>
      <c r="V376" s="141" t="str">
        <f t="shared" si="40"/>
        <v/>
      </c>
      <c r="W376" s="142"/>
      <c r="X376" s="186" t="str">
        <f t="shared" si="41"/>
        <v/>
      </c>
    </row>
    <row r="377" spans="1:24" s="147" customFormat="1">
      <c r="A377" s="172"/>
      <c r="B377" s="151"/>
      <c r="C377" s="151"/>
      <c r="D377" s="151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38"/>
      <c r="Q377" s="255" t="str">
        <f t="shared" si="42"/>
        <v/>
      </c>
      <c r="R377" s="139" t="str">
        <f t="shared" si="43"/>
        <v/>
      </c>
      <c r="S377" s="128" t="str">
        <f t="shared" si="37"/>
        <v/>
      </c>
      <c r="T377" s="140" t="str">
        <f t="shared" si="38"/>
        <v/>
      </c>
      <c r="U377" s="141" t="str">
        <f t="shared" si="39"/>
        <v/>
      </c>
      <c r="V377" s="141" t="str">
        <f t="shared" si="40"/>
        <v/>
      </c>
      <c r="W377" s="142"/>
      <c r="X377" s="186" t="str">
        <f t="shared" si="41"/>
        <v/>
      </c>
    </row>
    <row r="378" spans="1:24" s="147" customFormat="1">
      <c r="A378" s="170"/>
      <c r="B378" s="145"/>
      <c r="C378" s="145"/>
      <c r="D378" s="146"/>
      <c r="E378" s="145"/>
      <c r="F378" s="145"/>
      <c r="G378" s="145"/>
      <c r="H378" s="145"/>
      <c r="I378" s="145"/>
      <c r="J378" s="145"/>
      <c r="K378" s="145"/>
      <c r="L378" s="145"/>
      <c r="M378" s="145"/>
      <c r="N378" s="146"/>
      <c r="O378" s="145"/>
      <c r="P378" s="138"/>
      <c r="Q378" s="255" t="str">
        <f t="shared" si="42"/>
        <v/>
      </c>
      <c r="R378" s="139" t="str">
        <f t="shared" si="43"/>
        <v/>
      </c>
      <c r="S378" s="128" t="str">
        <f t="shared" si="37"/>
        <v/>
      </c>
      <c r="T378" s="140" t="str">
        <f t="shared" si="38"/>
        <v/>
      </c>
      <c r="U378" s="141" t="str">
        <f t="shared" si="39"/>
        <v/>
      </c>
      <c r="V378" s="141" t="str">
        <f t="shared" si="40"/>
        <v/>
      </c>
      <c r="W378" s="142"/>
      <c r="X378" s="186" t="str">
        <f t="shared" si="41"/>
        <v/>
      </c>
    </row>
    <row r="379" spans="1:24" s="147" customFormat="1">
      <c r="A379" s="172"/>
      <c r="B379" s="151"/>
      <c r="C379" s="151"/>
      <c r="D379" s="151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38"/>
      <c r="Q379" s="255" t="str">
        <f t="shared" si="42"/>
        <v/>
      </c>
      <c r="R379" s="139" t="str">
        <f t="shared" si="43"/>
        <v/>
      </c>
      <c r="S379" s="128" t="str">
        <f t="shared" si="37"/>
        <v/>
      </c>
      <c r="T379" s="140" t="str">
        <f t="shared" si="38"/>
        <v/>
      </c>
      <c r="U379" s="141" t="str">
        <f t="shared" si="39"/>
        <v/>
      </c>
      <c r="V379" s="141" t="str">
        <f t="shared" si="40"/>
        <v/>
      </c>
      <c r="W379" s="142"/>
      <c r="X379" s="186" t="str">
        <f t="shared" si="41"/>
        <v/>
      </c>
    </row>
    <row r="380" spans="1:24" s="147" customFormat="1">
      <c r="A380" s="170"/>
      <c r="B380" s="145"/>
      <c r="C380" s="145"/>
      <c r="D380" s="145"/>
      <c r="E380" s="150"/>
      <c r="F380" s="145"/>
      <c r="G380" s="145"/>
      <c r="H380" s="145"/>
      <c r="I380" s="145"/>
      <c r="J380" s="145"/>
      <c r="K380" s="145"/>
      <c r="L380" s="145"/>
      <c r="M380" s="145"/>
      <c r="N380" s="146"/>
      <c r="O380" s="145"/>
      <c r="P380" s="138"/>
      <c r="Q380" s="255" t="str">
        <f t="shared" si="42"/>
        <v/>
      </c>
      <c r="R380" s="139" t="str">
        <f t="shared" si="43"/>
        <v/>
      </c>
      <c r="S380" s="128" t="str">
        <f t="shared" si="37"/>
        <v/>
      </c>
      <c r="T380" s="140" t="str">
        <f t="shared" si="38"/>
        <v/>
      </c>
      <c r="U380" s="141" t="str">
        <f t="shared" si="39"/>
        <v/>
      </c>
      <c r="V380" s="141" t="str">
        <f t="shared" si="40"/>
        <v/>
      </c>
      <c r="W380" s="142"/>
      <c r="X380" s="186" t="str">
        <f t="shared" si="41"/>
        <v/>
      </c>
    </row>
    <row r="381" spans="1:24" s="147" customFormat="1">
      <c r="A381" s="171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38"/>
      <c r="Q381" s="255" t="str">
        <f t="shared" si="42"/>
        <v/>
      </c>
      <c r="R381" s="139" t="str">
        <f t="shared" si="43"/>
        <v/>
      </c>
      <c r="S381" s="128" t="str">
        <f t="shared" si="37"/>
        <v/>
      </c>
      <c r="T381" s="140" t="str">
        <f t="shared" si="38"/>
        <v/>
      </c>
      <c r="U381" s="141" t="str">
        <f t="shared" si="39"/>
        <v/>
      </c>
      <c r="V381" s="141" t="str">
        <f t="shared" si="40"/>
        <v/>
      </c>
      <c r="W381" s="142"/>
      <c r="X381" s="186" t="str">
        <f t="shared" si="41"/>
        <v/>
      </c>
    </row>
    <row r="382" spans="1:24" s="147" customFormat="1">
      <c r="A382" s="170"/>
      <c r="B382" s="145"/>
      <c r="C382" s="145"/>
      <c r="D382" s="145"/>
      <c r="E382" s="150"/>
      <c r="F382" s="145"/>
      <c r="G382" s="145"/>
      <c r="H382" s="145"/>
      <c r="I382" s="145"/>
      <c r="J382" s="145"/>
      <c r="K382" s="145"/>
      <c r="L382" s="145"/>
      <c r="M382" s="145"/>
      <c r="N382" s="146"/>
      <c r="O382" s="145"/>
      <c r="P382" s="138"/>
      <c r="Q382" s="255" t="str">
        <f t="shared" si="42"/>
        <v/>
      </c>
      <c r="R382" s="139" t="str">
        <f t="shared" si="43"/>
        <v/>
      </c>
      <c r="S382" s="128" t="str">
        <f t="shared" si="37"/>
        <v/>
      </c>
      <c r="T382" s="140" t="str">
        <f t="shared" si="38"/>
        <v/>
      </c>
      <c r="U382" s="141" t="str">
        <f t="shared" si="39"/>
        <v/>
      </c>
      <c r="V382" s="141" t="str">
        <f t="shared" si="40"/>
        <v/>
      </c>
      <c r="W382" s="142"/>
      <c r="X382" s="186" t="str">
        <f t="shared" si="41"/>
        <v/>
      </c>
    </row>
    <row r="383" spans="1:24" s="147" customFormat="1">
      <c r="A383" s="170"/>
      <c r="B383" s="145"/>
      <c r="C383" s="145"/>
      <c r="D383" s="146"/>
      <c r="E383" s="145"/>
      <c r="F383" s="145"/>
      <c r="G383" s="145"/>
      <c r="H383" s="145"/>
      <c r="I383" s="145"/>
      <c r="J383" s="145"/>
      <c r="K383" s="145"/>
      <c r="L383" s="145"/>
      <c r="M383" s="145"/>
      <c r="N383" s="146"/>
      <c r="O383" s="145"/>
      <c r="P383" s="138"/>
      <c r="Q383" s="255" t="str">
        <f t="shared" si="42"/>
        <v/>
      </c>
      <c r="R383" s="139" t="str">
        <f t="shared" si="43"/>
        <v/>
      </c>
      <c r="S383" s="128" t="str">
        <f t="shared" si="37"/>
        <v/>
      </c>
      <c r="T383" s="140" t="str">
        <f t="shared" si="38"/>
        <v/>
      </c>
      <c r="U383" s="141" t="str">
        <f t="shared" si="39"/>
        <v/>
      </c>
      <c r="V383" s="141" t="str">
        <f t="shared" si="40"/>
        <v/>
      </c>
      <c r="W383" s="142"/>
      <c r="X383" s="186" t="str">
        <f t="shared" si="41"/>
        <v/>
      </c>
    </row>
    <row r="384" spans="1:24" s="147" customFormat="1">
      <c r="A384" s="172"/>
      <c r="B384" s="151"/>
      <c r="C384" s="151"/>
      <c r="D384" s="151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38"/>
      <c r="Q384" s="255" t="str">
        <f t="shared" si="42"/>
        <v/>
      </c>
      <c r="R384" s="139" t="str">
        <f t="shared" si="43"/>
        <v/>
      </c>
      <c r="S384" s="128" t="str">
        <f t="shared" si="37"/>
        <v/>
      </c>
      <c r="T384" s="140" t="str">
        <f t="shared" si="38"/>
        <v/>
      </c>
      <c r="U384" s="141" t="str">
        <f t="shared" si="39"/>
        <v/>
      </c>
      <c r="V384" s="141" t="str">
        <f t="shared" si="40"/>
        <v/>
      </c>
      <c r="W384" s="142"/>
      <c r="X384" s="186" t="str">
        <f t="shared" si="41"/>
        <v/>
      </c>
    </row>
    <row r="385" spans="1:24" s="147" customFormat="1">
      <c r="A385" s="170"/>
      <c r="B385" s="145"/>
      <c r="C385" s="145"/>
      <c r="D385" s="146"/>
      <c r="E385" s="145"/>
      <c r="F385" s="145"/>
      <c r="G385" s="145"/>
      <c r="H385" s="145"/>
      <c r="I385" s="145"/>
      <c r="J385" s="145"/>
      <c r="K385" s="145"/>
      <c r="L385" s="145"/>
      <c r="M385" s="145"/>
      <c r="N385" s="146"/>
      <c r="O385" s="145"/>
      <c r="P385" s="138"/>
      <c r="Q385" s="255" t="str">
        <f t="shared" si="42"/>
        <v/>
      </c>
      <c r="R385" s="139" t="str">
        <f t="shared" si="43"/>
        <v/>
      </c>
      <c r="S385" s="128" t="str">
        <f t="shared" si="37"/>
        <v/>
      </c>
      <c r="T385" s="140" t="str">
        <f t="shared" si="38"/>
        <v/>
      </c>
      <c r="U385" s="141" t="str">
        <f t="shared" si="39"/>
        <v/>
      </c>
      <c r="V385" s="141" t="str">
        <f t="shared" si="40"/>
        <v/>
      </c>
      <c r="W385" s="142"/>
      <c r="X385" s="186" t="str">
        <f t="shared" si="41"/>
        <v/>
      </c>
    </row>
    <row r="386" spans="1:24" s="147" customFormat="1">
      <c r="A386" s="172"/>
      <c r="B386" s="151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38"/>
      <c r="Q386" s="255" t="str">
        <f t="shared" si="42"/>
        <v/>
      </c>
      <c r="R386" s="139" t="str">
        <f t="shared" si="43"/>
        <v/>
      </c>
      <c r="S386" s="128" t="str">
        <f t="shared" si="37"/>
        <v/>
      </c>
      <c r="T386" s="140" t="str">
        <f t="shared" si="38"/>
        <v/>
      </c>
      <c r="U386" s="141" t="str">
        <f t="shared" si="39"/>
        <v/>
      </c>
      <c r="V386" s="141" t="str">
        <f t="shared" si="40"/>
        <v/>
      </c>
      <c r="W386" s="142"/>
      <c r="X386" s="186" t="str">
        <f t="shared" si="41"/>
        <v/>
      </c>
    </row>
    <row r="387" spans="1:24" s="147" customFormat="1">
      <c r="A387" s="170"/>
      <c r="B387" s="145"/>
      <c r="C387" s="145"/>
      <c r="D387" s="146"/>
      <c r="E387" s="145"/>
      <c r="F387" s="145"/>
      <c r="G387" s="145"/>
      <c r="H387" s="145"/>
      <c r="I387" s="145"/>
      <c r="J387" s="145"/>
      <c r="K387" s="145"/>
      <c r="L387" s="145"/>
      <c r="M387" s="145"/>
      <c r="N387" s="146"/>
      <c r="O387" s="145"/>
      <c r="P387" s="138"/>
      <c r="Q387" s="255" t="str">
        <f t="shared" si="42"/>
        <v/>
      </c>
      <c r="R387" s="139" t="str">
        <f t="shared" si="43"/>
        <v/>
      </c>
      <c r="S387" s="128" t="str">
        <f t="shared" si="37"/>
        <v/>
      </c>
      <c r="T387" s="140" t="str">
        <f t="shared" si="38"/>
        <v/>
      </c>
      <c r="U387" s="141" t="str">
        <f t="shared" si="39"/>
        <v/>
      </c>
      <c r="V387" s="141" t="str">
        <f t="shared" si="40"/>
        <v/>
      </c>
      <c r="W387" s="142"/>
      <c r="X387" s="186" t="str">
        <f t="shared" si="41"/>
        <v/>
      </c>
    </row>
    <row r="388" spans="1:24" s="147" customFormat="1">
      <c r="A388" s="172"/>
      <c r="B388" s="151"/>
      <c r="C388" s="151"/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38"/>
      <c r="Q388" s="255" t="str">
        <f t="shared" si="42"/>
        <v/>
      </c>
      <c r="R388" s="139" t="str">
        <f t="shared" si="43"/>
        <v/>
      </c>
      <c r="S388" s="128" t="str">
        <f t="shared" si="37"/>
        <v/>
      </c>
      <c r="T388" s="140" t="str">
        <f t="shared" si="38"/>
        <v/>
      </c>
      <c r="U388" s="141" t="str">
        <f t="shared" si="39"/>
        <v/>
      </c>
      <c r="V388" s="141" t="str">
        <f t="shared" si="40"/>
        <v/>
      </c>
      <c r="W388" s="142"/>
      <c r="X388" s="186" t="str">
        <f t="shared" si="41"/>
        <v/>
      </c>
    </row>
    <row r="389" spans="1:24" s="147" customFormat="1">
      <c r="A389" s="170"/>
      <c r="B389" s="145"/>
      <c r="C389" s="145"/>
      <c r="D389" s="146"/>
      <c r="E389" s="145"/>
      <c r="F389" s="145"/>
      <c r="G389" s="145"/>
      <c r="H389" s="145"/>
      <c r="I389" s="145"/>
      <c r="J389" s="145"/>
      <c r="K389" s="145"/>
      <c r="L389" s="145"/>
      <c r="M389" s="145"/>
      <c r="N389" s="146"/>
      <c r="O389" s="145"/>
      <c r="P389" s="138"/>
      <c r="Q389" s="255" t="str">
        <f t="shared" si="42"/>
        <v/>
      </c>
      <c r="R389" s="139" t="str">
        <f t="shared" si="43"/>
        <v/>
      </c>
      <c r="S389" s="128" t="str">
        <f t="shared" si="37"/>
        <v/>
      </c>
      <c r="T389" s="140" t="str">
        <f t="shared" si="38"/>
        <v/>
      </c>
      <c r="U389" s="141" t="str">
        <f t="shared" si="39"/>
        <v/>
      </c>
      <c r="V389" s="141" t="str">
        <f t="shared" si="40"/>
        <v/>
      </c>
      <c r="W389" s="142"/>
      <c r="X389" s="186" t="str">
        <f t="shared" si="41"/>
        <v/>
      </c>
    </row>
    <row r="390" spans="1:24" s="147" customFormat="1">
      <c r="A390" s="172"/>
      <c r="B390" s="151"/>
      <c r="C390" s="151"/>
      <c r="D390" s="151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38"/>
      <c r="Q390" s="255" t="str">
        <f t="shared" si="42"/>
        <v/>
      </c>
      <c r="R390" s="139" t="str">
        <f t="shared" si="43"/>
        <v/>
      </c>
      <c r="S390" s="128" t="str">
        <f t="shared" si="37"/>
        <v/>
      </c>
      <c r="T390" s="140" t="str">
        <f t="shared" si="38"/>
        <v/>
      </c>
      <c r="U390" s="141" t="str">
        <f t="shared" si="39"/>
        <v/>
      </c>
      <c r="V390" s="141" t="str">
        <f t="shared" si="40"/>
        <v/>
      </c>
      <c r="W390" s="142"/>
      <c r="X390" s="186" t="str">
        <f t="shared" si="41"/>
        <v/>
      </c>
    </row>
    <row r="391" spans="1:24" s="147" customFormat="1">
      <c r="A391" s="170"/>
      <c r="B391" s="145"/>
      <c r="C391" s="145"/>
      <c r="D391" s="146"/>
      <c r="E391" s="150"/>
      <c r="F391" s="145"/>
      <c r="G391" s="145"/>
      <c r="H391" s="145"/>
      <c r="I391" s="145"/>
      <c r="J391" s="145"/>
      <c r="K391" s="145"/>
      <c r="L391" s="145"/>
      <c r="M391" s="145"/>
      <c r="N391" s="149"/>
      <c r="O391" s="145"/>
      <c r="P391" s="138"/>
      <c r="Q391" s="255" t="str">
        <f t="shared" si="42"/>
        <v/>
      </c>
      <c r="R391" s="139" t="str">
        <f t="shared" si="43"/>
        <v/>
      </c>
      <c r="S391" s="128" t="str">
        <f t="shared" ref="S391:S454" si="44">IF(D391="","",IF(IFERROR(FIND("資",D391)&gt;0,FALSE),"資券",IF(IFERROR(FIND("券",D391)&gt;0,FALSE),"資券","波段")))</f>
        <v/>
      </c>
      <c r="T391" s="140" t="str">
        <f t="shared" ref="T391:T454" si="45">IF(F391="","",F391)</f>
        <v/>
      </c>
      <c r="U391" s="141" t="str">
        <f t="shared" ref="U391:U454" si="46">IF(D391="","",IF(IFERROR(FIND("買",D391)&gt;0,FALSE),E391,IF(IFERROR(FIND("賣",D391)&gt;0,FALSE),-E391,IF(IFERROR(FIND("資",D391)&gt;0,FALSE),E391,-E391))))</f>
        <v/>
      </c>
      <c r="V391" s="141" t="str">
        <f t="shared" ref="V391:V454" si="47">IF(Q391="","",T391*U391*-1)</f>
        <v/>
      </c>
      <c r="W391" s="142"/>
      <c r="X391" s="186" t="str">
        <f t="shared" ref="X391:X454" si="48">IFERROR((-1)*LEFT(N391,FIND("扣",N391)-1),IFERROR(1*LEFT(N391,FIND("入",N391)-1),""))</f>
        <v/>
      </c>
    </row>
    <row r="392" spans="1:24" s="147" customFormat="1">
      <c r="A392" s="170"/>
      <c r="B392" s="145"/>
      <c r="C392" s="145"/>
      <c r="D392" s="146"/>
      <c r="E392" s="150"/>
      <c r="F392" s="145"/>
      <c r="G392" s="145"/>
      <c r="H392" s="145"/>
      <c r="I392" s="145"/>
      <c r="J392" s="145"/>
      <c r="K392" s="145"/>
      <c r="L392" s="145"/>
      <c r="M392" s="145"/>
      <c r="N392" s="146"/>
      <c r="O392" s="145"/>
      <c r="P392" s="138"/>
      <c r="Q392" s="255" t="str">
        <f t="shared" ref="Q392:Q455" si="49">IF(B392="","",DATE(LEFT(B392,3)+1911,MID(B392,4,2),RIGHT(B392,2)))</f>
        <v/>
      </c>
      <c r="R392" s="139" t="str">
        <f t="shared" ref="R392:R455" si="50">IF(C392="","",IFERROR(INDEX(代號1,MATCH($C392,股名1,0)),IFERROR(INDEX(代號2,MATCH($C392,股名2,0)),INDEX(代號3,MATCH($C392,股名3,0)))))</f>
        <v/>
      </c>
      <c r="S392" s="128" t="str">
        <f t="shared" si="44"/>
        <v/>
      </c>
      <c r="T392" s="140" t="str">
        <f t="shared" si="45"/>
        <v/>
      </c>
      <c r="U392" s="141" t="str">
        <f t="shared" si="46"/>
        <v/>
      </c>
      <c r="V392" s="141" t="str">
        <f t="shared" si="47"/>
        <v/>
      </c>
      <c r="W392" s="142"/>
      <c r="X392" s="186" t="str">
        <f t="shared" si="48"/>
        <v/>
      </c>
    </row>
    <row r="393" spans="1:24" s="147" customFormat="1">
      <c r="A393" s="171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38"/>
      <c r="Q393" s="255" t="str">
        <f t="shared" si="49"/>
        <v/>
      </c>
      <c r="R393" s="139" t="str">
        <f t="shared" si="50"/>
        <v/>
      </c>
      <c r="S393" s="128" t="str">
        <f t="shared" si="44"/>
        <v/>
      </c>
      <c r="T393" s="140" t="str">
        <f t="shared" si="45"/>
        <v/>
      </c>
      <c r="U393" s="141" t="str">
        <f t="shared" si="46"/>
        <v/>
      </c>
      <c r="V393" s="141" t="str">
        <f t="shared" si="47"/>
        <v/>
      </c>
      <c r="W393" s="142"/>
      <c r="X393" s="186" t="str">
        <f t="shared" si="48"/>
        <v/>
      </c>
    </row>
    <row r="394" spans="1:24" s="147" customFormat="1">
      <c r="A394" s="170"/>
      <c r="B394" s="145"/>
      <c r="C394" s="145"/>
      <c r="D394" s="146"/>
      <c r="E394" s="150"/>
      <c r="F394" s="145"/>
      <c r="G394" s="145"/>
      <c r="H394" s="145"/>
      <c r="I394" s="145"/>
      <c r="J394" s="145"/>
      <c r="K394" s="145"/>
      <c r="L394" s="145"/>
      <c r="M394" s="145"/>
      <c r="N394" s="146"/>
      <c r="O394" s="145"/>
      <c r="P394" s="138"/>
      <c r="Q394" s="255" t="str">
        <f t="shared" si="49"/>
        <v/>
      </c>
      <c r="R394" s="139" t="str">
        <f t="shared" si="50"/>
        <v/>
      </c>
      <c r="S394" s="128" t="str">
        <f t="shared" si="44"/>
        <v/>
      </c>
      <c r="T394" s="140" t="str">
        <f t="shared" si="45"/>
        <v/>
      </c>
      <c r="U394" s="141" t="str">
        <f t="shared" si="46"/>
        <v/>
      </c>
      <c r="V394" s="141" t="str">
        <f t="shared" si="47"/>
        <v/>
      </c>
      <c r="W394" s="142"/>
      <c r="X394" s="186" t="str">
        <f t="shared" si="48"/>
        <v/>
      </c>
    </row>
    <row r="395" spans="1:24" s="147" customFormat="1">
      <c r="A395" s="172"/>
      <c r="B395" s="151"/>
      <c r="C395" s="151"/>
      <c r="D395" s="151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38"/>
      <c r="Q395" s="255" t="str">
        <f t="shared" si="49"/>
        <v/>
      </c>
      <c r="R395" s="139" t="str">
        <f t="shared" si="50"/>
        <v/>
      </c>
      <c r="S395" s="128" t="str">
        <f t="shared" si="44"/>
        <v/>
      </c>
      <c r="T395" s="140" t="str">
        <f t="shared" si="45"/>
        <v/>
      </c>
      <c r="U395" s="141" t="str">
        <f t="shared" si="46"/>
        <v/>
      </c>
      <c r="V395" s="141" t="str">
        <f t="shared" si="47"/>
        <v/>
      </c>
      <c r="W395" s="142"/>
      <c r="X395" s="186" t="str">
        <f t="shared" si="48"/>
        <v/>
      </c>
    </row>
    <row r="396" spans="1:24" s="147" customFormat="1">
      <c r="A396" s="170"/>
      <c r="B396" s="145"/>
      <c r="C396" s="145"/>
      <c r="D396" s="146"/>
      <c r="E396" s="150"/>
      <c r="F396" s="145"/>
      <c r="G396" s="145"/>
      <c r="H396" s="145"/>
      <c r="I396" s="145"/>
      <c r="J396" s="145"/>
      <c r="K396" s="145"/>
      <c r="L396" s="145"/>
      <c r="M396" s="145"/>
      <c r="N396" s="146"/>
      <c r="O396" s="145"/>
      <c r="P396" s="138"/>
      <c r="Q396" s="255" t="str">
        <f t="shared" si="49"/>
        <v/>
      </c>
      <c r="R396" s="139" t="str">
        <f t="shared" si="50"/>
        <v/>
      </c>
      <c r="S396" s="128" t="str">
        <f t="shared" si="44"/>
        <v/>
      </c>
      <c r="T396" s="140" t="str">
        <f t="shared" si="45"/>
        <v/>
      </c>
      <c r="U396" s="141" t="str">
        <f t="shared" si="46"/>
        <v/>
      </c>
      <c r="V396" s="141" t="str">
        <f t="shared" si="47"/>
        <v/>
      </c>
      <c r="W396" s="142"/>
      <c r="X396" s="186" t="str">
        <f t="shared" si="48"/>
        <v/>
      </c>
    </row>
    <row r="397" spans="1:24" s="147" customFormat="1">
      <c r="A397" s="172"/>
      <c r="B397" s="151"/>
      <c r="C397" s="151"/>
      <c r="D397" s="151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38"/>
      <c r="Q397" s="255" t="str">
        <f t="shared" si="49"/>
        <v/>
      </c>
      <c r="R397" s="139" t="str">
        <f t="shared" si="50"/>
        <v/>
      </c>
      <c r="S397" s="128" t="str">
        <f t="shared" si="44"/>
        <v/>
      </c>
      <c r="T397" s="140" t="str">
        <f t="shared" si="45"/>
        <v/>
      </c>
      <c r="U397" s="141" t="str">
        <f t="shared" si="46"/>
        <v/>
      </c>
      <c r="V397" s="141" t="str">
        <f t="shared" si="47"/>
        <v/>
      </c>
      <c r="W397" s="142"/>
      <c r="X397" s="186" t="str">
        <f t="shared" si="48"/>
        <v/>
      </c>
    </row>
    <row r="398" spans="1:24" s="147" customFormat="1">
      <c r="A398" s="170"/>
      <c r="B398" s="145"/>
      <c r="C398" s="145"/>
      <c r="D398" s="146"/>
      <c r="E398" s="150"/>
      <c r="F398" s="145"/>
      <c r="G398" s="145"/>
      <c r="H398" s="145"/>
      <c r="I398" s="145"/>
      <c r="J398" s="145"/>
      <c r="K398" s="145"/>
      <c r="L398" s="145"/>
      <c r="M398" s="145"/>
      <c r="N398" s="146"/>
      <c r="O398" s="145"/>
      <c r="P398" s="138"/>
      <c r="Q398" s="255" t="str">
        <f t="shared" si="49"/>
        <v/>
      </c>
      <c r="R398" s="139" t="str">
        <f t="shared" si="50"/>
        <v/>
      </c>
      <c r="S398" s="128" t="str">
        <f t="shared" si="44"/>
        <v/>
      </c>
      <c r="T398" s="140" t="str">
        <f t="shared" si="45"/>
        <v/>
      </c>
      <c r="U398" s="141" t="str">
        <f t="shared" si="46"/>
        <v/>
      </c>
      <c r="V398" s="141" t="str">
        <f t="shared" si="47"/>
        <v/>
      </c>
      <c r="W398" s="142"/>
      <c r="X398" s="186" t="str">
        <f t="shared" si="48"/>
        <v/>
      </c>
    </row>
    <row r="399" spans="1:24" s="147" customFormat="1">
      <c r="A399" s="171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38"/>
      <c r="Q399" s="255" t="str">
        <f t="shared" si="49"/>
        <v/>
      </c>
      <c r="R399" s="139" t="str">
        <f t="shared" si="50"/>
        <v/>
      </c>
      <c r="S399" s="128" t="str">
        <f t="shared" si="44"/>
        <v/>
      </c>
      <c r="T399" s="140" t="str">
        <f t="shared" si="45"/>
        <v/>
      </c>
      <c r="U399" s="141" t="str">
        <f t="shared" si="46"/>
        <v/>
      </c>
      <c r="V399" s="141" t="str">
        <f t="shared" si="47"/>
        <v/>
      </c>
      <c r="W399" s="142"/>
      <c r="X399" s="186" t="str">
        <f t="shared" si="48"/>
        <v/>
      </c>
    </row>
    <row r="400" spans="1:24" s="147" customFormat="1">
      <c r="A400" s="170"/>
      <c r="B400" s="145"/>
      <c r="C400" s="145"/>
      <c r="D400" s="146"/>
      <c r="E400" s="150"/>
      <c r="F400" s="145"/>
      <c r="G400" s="145"/>
      <c r="H400" s="145"/>
      <c r="I400" s="145"/>
      <c r="J400" s="145"/>
      <c r="K400" s="145"/>
      <c r="L400" s="145"/>
      <c r="M400" s="145"/>
      <c r="N400" s="146"/>
      <c r="O400" s="145"/>
      <c r="P400" s="138"/>
      <c r="Q400" s="255" t="str">
        <f t="shared" si="49"/>
        <v/>
      </c>
      <c r="R400" s="139" t="str">
        <f t="shared" si="50"/>
        <v/>
      </c>
      <c r="S400" s="128" t="str">
        <f t="shared" si="44"/>
        <v/>
      </c>
      <c r="T400" s="140" t="str">
        <f t="shared" si="45"/>
        <v/>
      </c>
      <c r="U400" s="141" t="str">
        <f t="shared" si="46"/>
        <v/>
      </c>
      <c r="V400" s="141" t="str">
        <f t="shared" si="47"/>
        <v/>
      </c>
      <c r="W400" s="142"/>
      <c r="X400" s="186" t="str">
        <f t="shared" si="48"/>
        <v/>
      </c>
    </row>
    <row r="401" spans="1:24" s="147" customFormat="1">
      <c r="A401" s="172"/>
      <c r="B401" s="151"/>
      <c r="C401" s="151"/>
      <c r="D401" s="151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38"/>
      <c r="Q401" s="255" t="str">
        <f t="shared" si="49"/>
        <v/>
      </c>
      <c r="R401" s="139" t="str">
        <f t="shared" si="50"/>
        <v/>
      </c>
      <c r="S401" s="128" t="str">
        <f t="shared" si="44"/>
        <v/>
      </c>
      <c r="T401" s="140" t="str">
        <f t="shared" si="45"/>
        <v/>
      </c>
      <c r="U401" s="141" t="str">
        <f t="shared" si="46"/>
        <v/>
      </c>
      <c r="V401" s="141" t="str">
        <f t="shared" si="47"/>
        <v/>
      </c>
      <c r="W401" s="142"/>
      <c r="X401" s="186" t="str">
        <f t="shared" si="48"/>
        <v/>
      </c>
    </row>
    <row r="402" spans="1:24" s="147" customFormat="1">
      <c r="A402" s="170"/>
      <c r="B402" s="145"/>
      <c r="C402" s="145"/>
      <c r="D402" s="146"/>
      <c r="E402" s="150"/>
      <c r="F402" s="145"/>
      <c r="G402" s="145"/>
      <c r="H402" s="145"/>
      <c r="I402" s="145"/>
      <c r="J402" s="145"/>
      <c r="K402" s="145"/>
      <c r="L402" s="145"/>
      <c r="M402" s="145"/>
      <c r="N402" s="146"/>
      <c r="O402" s="145"/>
      <c r="P402" s="138"/>
      <c r="Q402" s="255" t="str">
        <f t="shared" si="49"/>
        <v/>
      </c>
      <c r="R402" s="139" t="str">
        <f t="shared" si="50"/>
        <v/>
      </c>
      <c r="S402" s="128" t="str">
        <f t="shared" si="44"/>
        <v/>
      </c>
      <c r="T402" s="140" t="str">
        <f t="shared" si="45"/>
        <v/>
      </c>
      <c r="U402" s="141" t="str">
        <f t="shared" si="46"/>
        <v/>
      </c>
      <c r="V402" s="141" t="str">
        <f t="shared" si="47"/>
        <v/>
      </c>
      <c r="W402" s="142"/>
      <c r="X402" s="186" t="str">
        <f t="shared" si="48"/>
        <v/>
      </c>
    </row>
    <row r="403" spans="1:24" s="147" customFormat="1">
      <c r="A403" s="172"/>
      <c r="B403" s="151"/>
      <c r="C403" s="151"/>
      <c r="D403" s="151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38"/>
      <c r="Q403" s="255" t="str">
        <f t="shared" si="49"/>
        <v/>
      </c>
      <c r="R403" s="139" t="str">
        <f t="shared" si="50"/>
        <v/>
      </c>
      <c r="S403" s="128" t="str">
        <f t="shared" si="44"/>
        <v/>
      </c>
      <c r="T403" s="140" t="str">
        <f t="shared" si="45"/>
        <v/>
      </c>
      <c r="U403" s="141" t="str">
        <f t="shared" si="46"/>
        <v/>
      </c>
      <c r="V403" s="141" t="str">
        <f t="shared" si="47"/>
        <v/>
      </c>
      <c r="W403" s="142"/>
      <c r="X403" s="186" t="str">
        <f t="shared" si="48"/>
        <v/>
      </c>
    </row>
    <row r="404" spans="1:24" s="147" customFormat="1">
      <c r="A404" s="170"/>
      <c r="B404" s="145"/>
      <c r="C404" s="145"/>
      <c r="D404" s="146"/>
      <c r="E404" s="150"/>
      <c r="F404" s="145"/>
      <c r="G404" s="145"/>
      <c r="H404" s="145"/>
      <c r="I404" s="145"/>
      <c r="J404" s="145"/>
      <c r="K404" s="145"/>
      <c r="L404" s="145"/>
      <c r="M404" s="145"/>
      <c r="N404" s="146"/>
      <c r="O404" s="145"/>
      <c r="P404" s="138"/>
      <c r="Q404" s="255" t="str">
        <f t="shared" si="49"/>
        <v/>
      </c>
      <c r="R404" s="139" t="str">
        <f t="shared" si="50"/>
        <v/>
      </c>
      <c r="S404" s="128" t="str">
        <f t="shared" si="44"/>
        <v/>
      </c>
      <c r="T404" s="140" t="str">
        <f t="shared" si="45"/>
        <v/>
      </c>
      <c r="U404" s="141" t="str">
        <f t="shared" si="46"/>
        <v/>
      </c>
      <c r="V404" s="141" t="str">
        <f t="shared" si="47"/>
        <v/>
      </c>
      <c r="W404" s="142"/>
      <c r="X404" s="186" t="str">
        <f t="shared" si="48"/>
        <v/>
      </c>
    </row>
    <row r="405" spans="1:24" s="147" customFormat="1">
      <c r="A405" s="172"/>
      <c r="B405" s="151"/>
      <c r="C405" s="151"/>
      <c r="D405" s="151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38"/>
      <c r="Q405" s="255" t="str">
        <f t="shared" si="49"/>
        <v/>
      </c>
      <c r="R405" s="139" t="str">
        <f t="shared" si="50"/>
        <v/>
      </c>
      <c r="S405" s="128" t="str">
        <f t="shared" si="44"/>
        <v/>
      </c>
      <c r="T405" s="140" t="str">
        <f t="shared" si="45"/>
        <v/>
      </c>
      <c r="U405" s="141" t="str">
        <f t="shared" si="46"/>
        <v/>
      </c>
      <c r="V405" s="141" t="str">
        <f t="shared" si="47"/>
        <v/>
      </c>
      <c r="W405" s="142"/>
      <c r="X405" s="186" t="str">
        <f t="shared" si="48"/>
        <v/>
      </c>
    </row>
    <row r="406" spans="1:24" s="147" customFormat="1">
      <c r="A406" s="170"/>
      <c r="B406" s="145"/>
      <c r="C406" s="145"/>
      <c r="D406" s="149"/>
      <c r="E406" s="150"/>
      <c r="F406" s="145"/>
      <c r="G406" s="145"/>
      <c r="H406" s="145"/>
      <c r="I406" s="145"/>
      <c r="J406" s="145"/>
      <c r="K406" s="145"/>
      <c r="L406" s="145"/>
      <c r="M406" s="145"/>
      <c r="N406" s="149"/>
      <c r="O406" s="145"/>
      <c r="P406" s="138"/>
      <c r="Q406" s="255" t="str">
        <f t="shared" si="49"/>
        <v/>
      </c>
      <c r="R406" s="139" t="str">
        <f t="shared" si="50"/>
        <v/>
      </c>
      <c r="S406" s="128" t="str">
        <f t="shared" si="44"/>
        <v/>
      </c>
      <c r="T406" s="140" t="str">
        <f t="shared" si="45"/>
        <v/>
      </c>
      <c r="U406" s="141" t="str">
        <f t="shared" si="46"/>
        <v/>
      </c>
      <c r="V406" s="141" t="str">
        <f t="shared" si="47"/>
        <v/>
      </c>
      <c r="W406" s="142"/>
      <c r="X406" s="186" t="str">
        <f t="shared" si="48"/>
        <v/>
      </c>
    </row>
    <row r="407" spans="1:24" s="147" customFormat="1">
      <c r="A407" s="170"/>
      <c r="B407" s="145"/>
      <c r="C407" s="145"/>
      <c r="D407" s="149"/>
      <c r="E407" s="150"/>
      <c r="F407" s="145"/>
      <c r="G407" s="145"/>
      <c r="H407" s="145"/>
      <c r="I407" s="145"/>
      <c r="J407" s="145"/>
      <c r="K407" s="145"/>
      <c r="L407" s="145"/>
      <c r="M407" s="145"/>
      <c r="N407" s="149"/>
      <c r="O407" s="145"/>
      <c r="P407" s="138"/>
      <c r="Q407" s="255" t="str">
        <f t="shared" si="49"/>
        <v/>
      </c>
      <c r="R407" s="139" t="str">
        <f t="shared" si="50"/>
        <v/>
      </c>
      <c r="S407" s="128" t="str">
        <f t="shared" si="44"/>
        <v/>
      </c>
      <c r="T407" s="140" t="str">
        <f t="shared" si="45"/>
        <v/>
      </c>
      <c r="U407" s="141" t="str">
        <f t="shared" si="46"/>
        <v/>
      </c>
      <c r="V407" s="141" t="str">
        <f t="shared" si="47"/>
        <v/>
      </c>
      <c r="W407" s="142"/>
      <c r="X407" s="186" t="str">
        <f t="shared" si="48"/>
        <v/>
      </c>
    </row>
    <row r="408" spans="1:24" s="147" customFormat="1">
      <c r="A408" s="170"/>
      <c r="B408" s="145"/>
      <c r="C408" s="145"/>
      <c r="D408" s="149"/>
      <c r="E408" s="145"/>
      <c r="F408" s="145"/>
      <c r="G408" s="145"/>
      <c r="H408" s="145"/>
      <c r="I408" s="145"/>
      <c r="J408" s="145"/>
      <c r="K408" s="145"/>
      <c r="L408" s="145"/>
      <c r="M408" s="145"/>
      <c r="N408" s="149"/>
      <c r="O408" s="145"/>
      <c r="P408" s="138"/>
      <c r="Q408" s="255" t="str">
        <f t="shared" si="49"/>
        <v/>
      </c>
      <c r="R408" s="139" t="str">
        <f t="shared" si="50"/>
        <v/>
      </c>
      <c r="S408" s="128" t="str">
        <f t="shared" si="44"/>
        <v/>
      </c>
      <c r="T408" s="140" t="str">
        <f t="shared" si="45"/>
        <v/>
      </c>
      <c r="U408" s="141" t="str">
        <f t="shared" si="46"/>
        <v/>
      </c>
      <c r="V408" s="141" t="str">
        <f t="shared" si="47"/>
        <v/>
      </c>
      <c r="W408" s="142"/>
      <c r="X408" s="186" t="str">
        <f t="shared" si="48"/>
        <v/>
      </c>
    </row>
    <row r="409" spans="1:24" s="147" customFormat="1">
      <c r="A409" s="170"/>
      <c r="B409" s="145"/>
      <c r="C409" s="145"/>
      <c r="D409" s="149"/>
      <c r="E409" s="145"/>
      <c r="F409" s="145"/>
      <c r="G409" s="145"/>
      <c r="H409" s="145"/>
      <c r="I409" s="145"/>
      <c r="J409" s="145"/>
      <c r="K409" s="145"/>
      <c r="L409" s="145"/>
      <c r="M409" s="145"/>
      <c r="N409" s="149"/>
      <c r="O409" s="145"/>
      <c r="P409" s="138"/>
      <c r="Q409" s="255" t="str">
        <f t="shared" si="49"/>
        <v/>
      </c>
      <c r="R409" s="139" t="str">
        <f t="shared" si="50"/>
        <v/>
      </c>
      <c r="S409" s="128" t="str">
        <f t="shared" si="44"/>
        <v/>
      </c>
      <c r="T409" s="140" t="str">
        <f t="shared" si="45"/>
        <v/>
      </c>
      <c r="U409" s="141" t="str">
        <f t="shared" si="46"/>
        <v/>
      </c>
      <c r="V409" s="141" t="str">
        <f t="shared" si="47"/>
        <v/>
      </c>
      <c r="W409" s="142"/>
      <c r="X409" s="186" t="str">
        <f t="shared" si="48"/>
        <v/>
      </c>
    </row>
    <row r="410" spans="1:24" s="147" customFormat="1">
      <c r="A410" s="170"/>
      <c r="B410" s="145"/>
      <c r="C410" s="145"/>
      <c r="D410" s="145"/>
      <c r="E410" s="150"/>
      <c r="F410" s="145"/>
      <c r="G410" s="145"/>
      <c r="H410" s="145"/>
      <c r="I410" s="145"/>
      <c r="J410" s="145"/>
      <c r="K410" s="145"/>
      <c r="L410" s="145"/>
      <c r="M410" s="145"/>
      <c r="N410" s="149"/>
      <c r="O410" s="145"/>
      <c r="P410" s="138"/>
      <c r="Q410" s="255" t="str">
        <f t="shared" si="49"/>
        <v/>
      </c>
      <c r="R410" s="139" t="str">
        <f t="shared" si="50"/>
        <v/>
      </c>
      <c r="S410" s="128" t="str">
        <f t="shared" si="44"/>
        <v/>
      </c>
      <c r="T410" s="140" t="str">
        <f t="shared" si="45"/>
        <v/>
      </c>
      <c r="U410" s="141" t="str">
        <f t="shared" si="46"/>
        <v/>
      </c>
      <c r="V410" s="141" t="str">
        <f t="shared" si="47"/>
        <v/>
      </c>
      <c r="W410" s="142"/>
      <c r="X410" s="186" t="str">
        <f t="shared" si="48"/>
        <v/>
      </c>
    </row>
    <row r="411" spans="1:24" s="147" customFormat="1">
      <c r="A411" s="172"/>
      <c r="B411" s="151"/>
      <c r="C411" s="151"/>
      <c r="D411" s="151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38"/>
      <c r="Q411" s="255" t="str">
        <f t="shared" si="49"/>
        <v/>
      </c>
      <c r="R411" s="139" t="str">
        <f t="shared" si="50"/>
        <v/>
      </c>
      <c r="S411" s="128" t="str">
        <f t="shared" si="44"/>
        <v/>
      </c>
      <c r="T411" s="140" t="str">
        <f t="shared" si="45"/>
        <v/>
      </c>
      <c r="U411" s="141" t="str">
        <f t="shared" si="46"/>
        <v/>
      </c>
      <c r="V411" s="141" t="str">
        <f t="shared" si="47"/>
        <v/>
      </c>
      <c r="W411" s="142"/>
      <c r="X411" s="186" t="str">
        <f t="shared" si="48"/>
        <v/>
      </c>
    </row>
    <row r="412" spans="1:24" s="147" customFormat="1">
      <c r="A412" s="170"/>
      <c r="B412" s="145"/>
      <c r="C412" s="145"/>
      <c r="D412" s="145"/>
      <c r="E412" s="150"/>
      <c r="F412" s="145"/>
      <c r="G412" s="145"/>
      <c r="H412" s="145"/>
      <c r="I412" s="145"/>
      <c r="J412" s="145"/>
      <c r="K412" s="145"/>
      <c r="L412" s="145"/>
      <c r="M412" s="145"/>
      <c r="N412" s="146"/>
      <c r="O412" s="145"/>
      <c r="P412" s="138"/>
      <c r="Q412" s="255" t="str">
        <f t="shared" si="49"/>
        <v/>
      </c>
      <c r="R412" s="139" t="str">
        <f t="shared" si="50"/>
        <v/>
      </c>
      <c r="S412" s="128" t="str">
        <f t="shared" si="44"/>
        <v/>
      </c>
      <c r="T412" s="140" t="str">
        <f t="shared" si="45"/>
        <v/>
      </c>
      <c r="U412" s="141" t="str">
        <f t="shared" si="46"/>
        <v/>
      </c>
      <c r="V412" s="141" t="str">
        <f t="shared" si="47"/>
        <v/>
      </c>
      <c r="W412" s="142"/>
      <c r="X412" s="186" t="str">
        <f t="shared" si="48"/>
        <v/>
      </c>
    </row>
    <row r="413" spans="1:24" s="147" customFormat="1">
      <c r="A413" s="170"/>
      <c r="B413" s="145"/>
      <c r="C413" s="145"/>
      <c r="D413" s="149"/>
      <c r="E413" s="150"/>
      <c r="F413" s="145"/>
      <c r="G413" s="145"/>
      <c r="H413" s="145"/>
      <c r="I413" s="145"/>
      <c r="J413" s="145"/>
      <c r="K413" s="145"/>
      <c r="L413" s="145"/>
      <c r="M413" s="145"/>
      <c r="N413" s="149"/>
      <c r="O413" s="145"/>
      <c r="P413" s="138"/>
      <c r="Q413" s="255" t="str">
        <f t="shared" si="49"/>
        <v/>
      </c>
      <c r="R413" s="139" t="str">
        <f t="shared" si="50"/>
        <v/>
      </c>
      <c r="S413" s="128" t="str">
        <f t="shared" si="44"/>
        <v/>
      </c>
      <c r="T413" s="140" t="str">
        <f t="shared" si="45"/>
        <v/>
      </c>
      <c r="U413" s="141" t="str">
        <f t="shared" si="46"/>
        <v/>
      </c>
      <c r="V413" s="141" t="str">
        <f t="shared" si="47"/>
        <v/>
      </c>
      <c r="W413" s="142"/>
      <c r="X413" s="186" t="str">
        <f t="shared" si="48"/>
        <v/>
      </c>
    </row>
    <row r="414" spans="1:24" s="147" customFormat="1">
      <c r="A414" s="170"/>
      <c r="B414" s="145"/>
      <c r="C414" s="145"/>
      <c r="D414" s="149"/>
      <c r="E414" s="150"/>
      <c r="F414" s="145"/>
      <c r="G414" s="145"/>
      <c r="H414" s="145"/>
      <c r="I414" s="145"/>
      <c r="J414" s="145"/>
      <c r="K414" s="145"/>
      <c r="L414" s="145"/>
      <c r="M414" s="145"/>
      <c r="N414" s="149"/>
      <c r="O414" s="145"/>
      <c r="P414" s="138"/>
      <c r="Q414" s="255" t="str">
        <f t="shared" si="49"/>
        <v/>
      </c>
      <c r="R414" s="139" t="str">
        <f t="shared" si="50"/>
        <v/>
      </c>
      <c r="S414" s="128" t="str">
        <f t="shared" si="44"/>
        <v/>
      </c>
      <c r="T414" s="140" t="str">
        <f t="shared" si="45"/>
        <v/>
      </c>
      <c r="U414" s="141" t="str">
        <f t="shared" si="46"/>
        <v/>
      </c>
      <c r="V414" s="141" t="str">
        <f t="shared" si="47"/>
        <v/>
      </c>
      <c r="W414" s="142"/>
      <c r="X414" s="186" t="str">
        <f t="shared" si="48"/>
        <v/>
      </c>
    </row>
    <row r="415" spans="1:24" s="147" customFormat="1">
      <c r="A415" s="170"/>
      <c r="B415" s="145"/>
      <c r="C415" s="145"/>
      <c r="D415" s="149"/>
      <c r="E415" s="150"/>
      <c r="F415" s="145"/>
      <c r="G415" s="145"/>
      <c r="H415" s="145"/>
      <c r="I415" s="145"/>
      <c r="J415" s="145"/>
      <c r="K415" s="145"/>
      <c r="L415" s="145"/>
      <c r="M415" s="145"/>
      <c r="N415" s="149"/>
      <c r="O415" s="145"/>
      <c r="P415" s="138"/>
      <c r="Q415" s="255" t="str">
        <f t="shared" si="49"/>
        <v/>
      </c>
      <c r="R415" s="139" t="str">
        <f t="shared" si="50"/>
        <v/>
      </c>
      <c r="S415" s="128" t="str">
        <f t="shared" si="44"/>
        <v/>
      </c>
      <c r="T415" s="140" t="str">
        <f t="shared" si="45"/>
        <v/>
      </c>
      <c r="U415" s="141" t="str">
        <f t="shared" si="46"/>
        <v/>
      </c>
      <c r="V415" s="141" t="str">
        <f t="shared" si="47"/>
        <v/>
      </c>
      <c r="W415" s="142"/>
      <c r="X415" s="186" t="str">
        <f t="shared" si="48"/>
        <v/>
      </c>
    </row>
    <row r="416" spans="1:24" s="147" customFormat="1">
      <c r="A416" s="170"/>
      <c r="B416" s="145"/>
      <c r="C416" s="145"/>
      <c r="D416" s="146"/>
      <c r="E416" s="150"/>
      <c r="F416" s="145"/>
      <c r="G416" s="145"/>
      <c r="H416" s="145"/>
      <c r="I416" s="145"/>
      <c r="J416" s="145"/>
      <c r="K416" s="145"/>
      <c r="L416" s="145"/>
      <c r="M416" s="145"/>
      <c r="N416" s="146"/>
      <c r="O416" s="145"/>
      <c r="P416" s="138"/>
      <c r="Q416" s="255" t="str">
        <f t="shared" si="49"/>
        <v/>
      </c>
      <c r="R416" s="139" t="str">
        <f t="shared" si="50"/>
        <v/>
      </c>
      <c r="S416" s="128" t="str">
        <f t="shared" si="44"/>
        <v/>
      </c>
      <c r="T416" s="140" t="str">
        <f t="shared" si="45"/>
        <v/>
      </c>
      <c r="U416" s="141" t="str">
        <f t="shared" si="46"/>
        <v/>
      </c>
      <c r="V416" s="141" t="str">
        <f t="shared" si="47"/>
        <v/>
      </c>
      <c r="W416" s="142"/>
      <c r="X416" s="186" t="str">
        <f t="shared" si="48"/>
        <v/>
      </c>
    </row>
    <row r="417" spans="1:24" s="147" customFormat="1">
      <c r="A417" s="172"/>
      <c r="B417" s="151"/>
      <c r="C417" s="151"/>
      <c r="D417" s="151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38"/>
      <c r="Q417" s="255" t="str">
        <f t="shared" si="49"/>
        <v/>
      </c>
      <c r="R417" s="139" t="str">
        <f t="shared" si="50"/>
        <v/>
      </c>
      <c r="S417" s="128" t="str">
        <f t="shared" si="44"/>
        <v/>
      </c>
      <c r="T417" s="140" t="str">
        <f t="shared" si="45"/>
        <v/>
      </c>
      <c r="U417" s="141" t="str">
        <f t="shared" si="46"/>
        <v/>
      </c>
      <c r="V417" s="141" t="str">
        <f t="shared" si="47"/>
        <v/>
      </c>
      <c r="W417" s="142"/>
      <c r="X417" s="186" t="str">
        <f t="shared" si="48"/>
        <v/>
      </c>
    </row>
    <row r="418" spans="1:24" s="147" customFormat="1">
      <c r="A418" s="170"/>
      <c r="B418" s="145"/>
      <c r="C418" s="145"/>
      <c r="D418" s="146"/>
      <c r="E418" s="150"/>
      <c r="F418" s="145"/>
      <c r="G418" s="145"/>
      <c r="H418" s="145"/>
      <c r="I418" s="145"/>
      <c r="J418" s="145"/>
      <c r="K418" s="145"/>
      <c r="L418" s="145"/>
      <c r="M418" s="145"/>
      <c r="N418" s="146"/>
      <c r="O418" s="145"/>
      <c r="P418" s="138"/>
      <c r="Q418" s="255" t="str">
        <f t="shared" si="49"/>
        <v/>
      </c>
      <c r="R418" s="139" t="str">
        <f t="shared" si="50"/>
        <v/>
      </c>
      <c r="S418" s="128" t="str">
        <f t="shared" si="44"/>
        <v/>
      </c>
      <c r="T418" s="140" t="str">
        <f t="shared" si="45"/>
        <v/>
      </c>
      <c r="U418" s="141" t="str">
        <f t="shared" si="46"/>
        <v/>
      </c>
      <c r="V418" s="141" t="str">
        <f t="shared" si="47"/>
        <v/>
      </c>
      <c r="W418" s="142"/>
      <c r="X418" s="186" t="str">
        <f t="shared" si="48"/>
        <v/>
      </c>
    </row>
    <row r="419" spans="1:24" s="147" customFormat="1">
      <c r="A419" s="172"/>
      <c r="B419" s="151"/>
      <c r="C419" s="151"/>
      <c r="D419" s="151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38"/>
      <c r="Q419" s="255" t="str">
        <f t="shared" si="49"/>
        <v/>
      </c>
      <c r="R419" s="139" t="str">
        <f t="shared" si="50"/>
        <v/>
      </c>
      <c r="S419" s="128" t="str">
        <f t="shared" si="44"/>
        <v/>
      </c>
      <c r="T419" s="140" t="str">
        <f t="shared" si="45"/>
        <v/>
      </c>
      <c r="U419" s="141" t="str">
        <f t="shared" si="46"/>
        <v/>
      </c>
      <c r="V419" s="141" t="str">
        <f t="shared" si="47"/>
        <v/>
      </c>
      <c r="W419" s="142"/>
      <c r="X419" s="186" t="str">
        <f t="shared" si="48"/>
        <v/>
      </c>
    </row>
    <row r="420" spans="1:24" s="147" customFormat="1">
      <c r="A420" s="170"/>
      <c r="B420" s="145"/>
      <c r="C420" s="145"/>
      <c r="D420" s="146"/>
      <c r="E420" s="150"/>
      <c r="F420" s="145"/>
      <c r="G420" s="145"/>
      <c r="H420" s="145"/>
      <c r="I420" s="145"/>
      <c r="J420" s="145"/>
      <c r="K420" s="145"/>
      <c r="L420" s="145"/>
      <c r="M420" s="145"/>
      <c r="N420" s="146"/>
      <c r="O420" s="145"/>
      <c r="P420" s="138"/>
      <c r="Q420" s="255" t="str">
        <f t="shared" si="49"/>
        <v/>
      </c>
      <c r="R420" s="139" t="str">
        <f t="shared" si="50"/>
        <v/>
      </c>
      <c r="S420" s="128" t="str">
        <f t="shared" si="44"/>
        <v/>
      </c>
      <c r="T420" s="140" t="str">
        <f t="shared" si="45"/>
        <v/>
      </c>
      <c r="U420" s="141" t="str">
        <f t="shared" si="46"/>
        <v/>
      </c>
      <c r="V420" s="141" t="str">
        <f t="shared" si="47"/>
        <v/>
      </c>
      <c r="W420" s="142"/>
      <c r="X420" s="186" t="str">
        <f t="shared" si="48"/>
        <v/>
      </c>
    </row>
    <row r="421" spans="1:24" s="147" customFormat="1">
      <c r="A421" s="172"/>
      <c r="B421" s="151"/>
      <c r="C421" s="151"/>
      <c r="D421" s="151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38"/>
      <c r="Q421" s="255" t="str">
        <f t="shared" si="49"/>
        <v/>
      </c>
      <c r="R421" s="139" t="str">
        <f t="shared" si="50"/>
        <v/>
      </c>
      <c r="S421" s="128" t="str">
        <f t="shared" si="44"/>
        <v/>
      </c>
      <c r="T421" s="140" t="str">
        <f t="shared" si="45"/>
        <v/>
      </c>
      <c r="U421" s="141" t="str">
        <f t="shared" si="46"/>
        <v/>
      </c>
      <c r="V421" s="141" t="str">
        <f t="shared" si="47"/>
        <v/>
      </c>
      <c r="W421" s="142"/>
      <c r="X421" s="186" t="str">
        <f t="shared" si="48"/>
        <v/>
      </c>
    </row>
    <row r="422" spans="1:24" s="147" customFormat="1">
      <c r="A422" s="170"/>
      <c r="B422" s="145"/>
      <c r="C422" s="145"/>
      <c r="D422" s="146"/>
      <c r="E422" s="150"/>
      <c r="F422" s="145"/>
      <c r="G422" s="145"/>
      <c r="H422" s="145"/>
      <c r="I422" s="145"/>
      <c r="J422" s="145"/>
      <c r="K422" s="145"/>
      <c r="L422" s="145"/>
      <c r="M422" s="145"/>
      <c r="N422" s="146"/>
      <c r="O422" s="145"/>
      <c r="P422" s="138"/>
      <c r="Q422" s="255" t="str">
        <f t="shared" si="49"/>
        <v/>
      </c>
      <c r="R422" s="139" t="str">
        <f t="shared" si="50"/>
        <v/>
      </c>
      <c r="S422" s="128" t="str">
        <f t="shared" si="44"/>
        <v/>
      </c>
      <c r="T422" s="140" t="str">
        <f t="shared" si="45"/>
        <v/>
      </c>
      <c r="U422" s="141" t="str">
        <f t="shared" si="46"/>
        <v/>
      </c>
      <c r="V422" s="141" t="str">
        <f t="shared" si="47"/>
        <v/>
      </c>
      <c r="W422" s="142"/>
      <c r="X422" s="186" t="str">
        <f t="shared" si="48"/>
        <v/>
      </c>
    </row>
    <row r="423" spans="1:24" s="147" customFormat="1">
      <c r="A423" s="172"/>
      <c r="B423" s="151"/>
      <c r="C423" s="151"/>
      <c r="D423" s="151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38"/>
      <c r="Q423" s="255" t="str">
        <f t="shared" si="49"/>
        <v/>
      </c>
      <c r="R423" s="139" t="str">
        <f t="shared" si="50"/>
        <v/>
      </c>
      <c r="S423" s="128" t="str">
        <f t="shared" si="44"/>
        <v/>
      </c>
      <c r="T423" s="140" t="str">
        <f t="shared" si="45"/>
        <v/>
      </c>
      <c r="U423" s="141" t="str">
        <f t="shared" si="46"/>
        <v/>
      </c>
      <c r="V423" s="141" t="str">
        <f t="shared" si="47"/>
        <v/>
      </c>
      <c r="W423" s="142"/>
      <c r="X423" s="186" t="str">
        <f t="shared" si="48"/>
        <v/>
      </c>
    </row>
    <row r="424" spans="1:24" s="147" customFormat="1">
      <c r="A424" s="170"/>
      <c r="B424" s="145"/>
      <c r="C424" s="145"/>
      <c r="D424" s="146"/>
      <c r="E424" s="150"/>
      <c r="F424" s="145"/>
      <c r="G424" s="145"/>
      <c r="H424" s="145"/>
      <c r="I424" s="145"/>
      <c r="J424" s="145"/>
      <c r="K424" s="145"/>
      <c r="L424" s="145"/>
      <c r="M424" s="145"/>
      <c r="N424" s="146"/>
      <c r="O424" s="145"/>
      <c r="P424" s="138"/>
      <c r="Q424" s="255" t="str">
        <f t="shared" si="49"/>
        <v/>
      </c>
      <c r="R424" s="139" t="str">
        <f t="shared" si="50"/>
        <v/>
      </c>
      <c r="S424" s="128" t="str">
        <f t="shared" si="44"/>
        <v/>
      </c>
      <c r="T424" s="140" t="str">
        <f t="shared" si="45"/>
        <v/>
      </c>
      <c r="U424" s="141" t="str">
        <f t="shared" si="46"/>
        <v/>
      </c>
      <c r="V424" s="141" t="str">
        <f t="shared" si="47"/>
        <v/>
      </c>
      <c r="W424" s="142"/>
      <c r="X424" s="186" t="str">
        <f t="shared" si="48"/>
        <v/>
      </c>
    </row>
    <row r="425" spans="1:24" s="147" customFormat="1">
      <c r="A425" s="172"/>
      <c r="B425" s="151"/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38"/>
      <c r="Q425" s="255" t="str">
        <f t="shared" si="49"/>
        <v/>
      </c>
      <c r="R425" s="139" t="str">
        <f t="shared" si="50"/>
        <v/>
      </c>
      <c r="S425" s="128" t="str">
        <f t="shared" si="44"/>
        <v/>
      </c>
      <c r="T425" s="140" t="str">
        <f t="shared" si="45"/>
        <v/>
      </c>
      <c r="U425" s="141" t="str">
        <f t="shared" si="46"/>
        <v/>
      </c>
      <c r="V425" s="141" t="str">
        <f t="shared" si="47"/>
        <v/>
      </c>
      <c r="W425" s="142"/>
      <c r="X425" s="186" t="str">
        <f t="shared" si="48"/>
        <v/>
      </c>
    </row>
    <row r="426" spans="1:24" s="147" customFormat="1">
      <c r="A426" s="170"/>
      <c r="B426" s="145"/>
      <c r="C426" s="145"/>
      <c r="D426" s="146"/>
      <c r="E426" s="150"/>
      <c r="F426" s="145"/>
      <c r="G426" s="145"/>
      <c r="H426" s="145"/>
      <c r="I426" s="145"/>
      <c r="J426" s="145"/>
      <c r="K426" s="145"/>
      <c r="L426" s="145"/>
      <c r="M426" s="145"/>
      <c r="N426" s="146"/>
      <c r="O426" s="145"/>
      <c r="P426" s="138"/>
      <c r="Q426" s="255" t="str">
        <f t="shared" si="49"/>
        <v/>
      </c>
      <c r="R426" s="139" t="str">
        <f t="shared" si="50"/>
        <v/>
      </c>
      <c r="S426" s="128" t="str">
        <f t="shared" si="44"/>
        <v/>
      </c>
      <c r="T426" s="140" t="str">
        <f t="shared" si="45"/>
        <v/>
      </c>
      <c r="U426" s="141" t="str">
        <f t="shared" si="46"/>
        <v/>
      </c>
      <c r="V426" s="141" t="str">
        <f t="shared" si="47"/>
        <v/>
      </c>
      <c r="W426" s="142"/>
      <c r="X426" s="186" t="str">
        <f t="shared" si="48"/>
        <v/>
      </c>
    </row>
    <row r="427" spans="1:24" s="147" customFormat="1">
      <c r="A427" s="172"/>
      <c r="B427" s="151"/>
      <c r="C427" s="151"/>
      <c r="D427" s="151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38"/>
      <c r="Q427" s="255" t="str">
        <f t="shared" si="49"/>
        <v/>
      </c>
      <c r="R427" s="139" t="str">
        <f t="shared" si="50"/>
        <v/>
      </c>
      <c r="S427" s="128" t="str">
        <f t="shared" si="44"/>
        <v/>
      </c>
      <c r="T427" s="140" t="str">
        <f t="shared" si="45"/>
        <v/>
      </c>
      <c r="U427" s="141" t="str">
        <f t="shared" si="46"/>
        <v/>
      </c>
      <c r="V427" s="141" t="str">
        <f t="shared" si="47"/>
        <v/>
      </c>
      <c r="W427" s="142"/>
      <c r="X427" s="186" t="str">
        <f t="shared" si="48"/>
        <v/>
      </c>
    </row>
    <row r="428" spans="1:24" s="147" customFormat="1">
      <c r="A428" s="170"/>
      <c r="B428" s="145"/>
      <c r="C428" s="145"/>
      <c r="D428" s="146"/>
      <c r="E428" s="150"/>
      <c r="F428" s="145"/>
      <c r="G428" s="145"/>
      <c r="H428" s="145"/>
      <c r="I428" s="145"/>
      <c r="J428" s="145"/>
      <c r="K428" s="145"/>
      <c r="L428" s="145"/>
      <c r="M428" s="145"/>
      <c r="N428" s="146"/>
      <c r="O428" s="145"/>
      <c r="P428" s="138"/>
      <c r="Q428" s="255" t="str">
        <f t="shared" si="49"/>
        <v/>
      </c>
      <c r="R428" s="139" t="str">
        <f t="shared" si="50"/>
        <v/>
      </c>
      <c r="S428" s="128" t="str">
        <f t="shared" si="44"/>
        <v/>
      </c>
      <c r="T428" s="140" t="str">
        <f t="shared" si="45"/>
        <v/>
      </c>
      <c r="U428" s="141" t="str">
        <f t="shared" si="46"/>
        <v/>
      </c>
      <c r="V428" s="141" t="str">
        <f t="shared" si="47"/>
        <v/>
      </c>
      <c r="W428" s="142"/>
      <c r="X428" s="186" t="str">
        <f t="shared" si="48"/>
        <v/>
      </c>
    </row>
    <row r="429" spans="1:24" s="147" customFormat="1">
      <c r="A429" s="172"/>
      <c r="B429" s="151"/>
      <c r="C429" s="151"/>
      <c r="D429" s="151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38"/>
      <c r="Q429" s="255" t="str">
        <f t="shared" si="49"/>
        <v/>
      </c>
      <c r="R429" s="139" t="str">
        <f t="shared" si="50"/>
        <v/>
      </c>
      <c r="S429" s="128" t="str">
        <f t="shared" si="44"/>
        <v/>
      </c>
      <c r="T429" s="140" t="str">
        <f t="shared" si="45"/>
        <v/>
      </c>
      <c r="U429" s="141" t="str">
        <f t="shared" si="46"/>
        <v/>
      </c>
      <c r="V429" s="141" t="str">
        <f t="shared" si="47"/>
        <v/>
      </c>
      <c r="W429" s="142"/>
      <c r="X429" s="186" t="str">
        <f t="shared" si="48"/>
        <v/>
      </c>
    </row>
    <row r="430" spans="1:24" s="147" customFormat="1">
      <c r="A430" s="170"/>
      <c r="B430" s="145"/>
      <c r="C430" s="145"/>
      <c r="D430" s="149"/>
      <c r="E430" s="150"/>
      <c r="F430" s="145"/>
      <c r="G430" s="145"/>
      <c r="H430" s="145"/>
      <c r="I430" s="145"/>
      <c r="J430" s="145"/>
      <c r="K430" s="145"/>
      <c r="L430" s="145"/>
      <c r="M430" s="145"/>
      <c r="N430" s="149"/>
      <c r="O430" s="145"/>
      <c r="P430" s="138"/>
      <c r="Q430" s="255" t="str">
        <f t="shared" si="49"/>
        <v/>
      </c>
      <c r="R430" s="139" t="str">
        <f t="shared" si="50"/>
        <v/>
      </c>
      <c r="S430" s="128" t="str">
        <f t="shared" si="44"/>
        <v/>
      </c>
      <c r="T430" s="140" t="str">
        <f t="shared" si="45"/>
        <v/>
      </c>
      <c r="U430" s="141" t="str">
        <f t="shared" si="46"/>
        <v/>
      </c>
      <c r="V430" s="141" t="str">
        <f t="shared" si="47"/>
        <v/>
      </c>
      <c r="W430" s="142"/>
      <c r="X430" s="186" t="str">
        <f t="shared" si="48"/>
        <v/>
      </c>
    </row>
    <row r="431" spans="1:24" s="147" customFormat="1">
      <c r="A431" s="170"/>
      <c r="B431" s="145"/>
      <c r="C431" s="145"/>
      <c r="D431" s="146"/>
      <c r="E431" s="150"/>
      <c r="F431" s="145"/>
      <c r="G431" s="145"/>
      <c r="H431" s="145"/>
      <c r="I431" s="145"/>
      <c r="J431" s="145"/>
      <c r="K431" s="145"/>
      <c r="L431" s="145"/>
      <c r="M431" s="145"/>
      <c r="N431" s="146"/>
      <c r="O431" s="145"/>
      <c r="P431" s="138"/>
      <c r="Q431" s="255" t="str">
        <f t="shared" si="49"/>
        <v/>
      </c>
      <c r="R431" s="139" t="str">
        <f t="shared" si="50"/>
        <v/>
      </c>
      <c r="S431" s="128" t="str">
        <f t="shared" si="44"/>
        <v/>
      </c>
      <c r="T431" s="140" t="str">
        <f t="shared" si="45"/>
        <v/>
      </c>
      <c r="U431" s="141" t="str">
        <f t="shared" si="46"/>
        <v/>
      </c>
      <c r="V431" s="141" t="str">
        <f t="shared" si="47"/>
        <v/>
      </c>
      <c r="W431" s="142"/>
      <c r="X431" s="186" t="str">
        <f t="shared" si="48"/>
        <v/>
      </c>
    </row>
    <row r="432" spans="1:24" s="147" customFormat="1">
      <c r="A432" s="172"/>
      <c r="B432" s="151"/>
      <c r="C432" s="151"/>
      <c r="D432" s="151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38"/>
      <c r="Q432" s="255" t="str">
        <f t="shared" si="49"/>
        <v/>
      </c>
      <c r="R432" s="139" t="str">
        <f t="shared" si="50"/>
        <v/>
      </c>
      <c r="S432" s="128" t="str">
        <f t="shared" si="44"/>
        <v/>
      </c>
      <c r="T432" s="140" t="str">
        <f t="shared" si="45"/>
        <v/>
      </c>
      <c r="U432" s="141" t="str">
        <f t="shared" si="46"/>
        <v/>
      </c>
      <c r="V432" s="141" t="str">
        <f t="shared" si="47"/>
        <v/>
      </c>
      <c r="W432" s="142"/>
      <c r="X432" s="186" t="str">
        <f t="shared" si="48"/>
        <v/>
      </c>
    </row>
    <row r="433" spans="1:24" s="147" customFormat="1">
      <c r="A433" s="170"/>
      <c r="B433" s="145"/>
      <c r="C433" s="145"/>
      <c r="D433" s="146"/>
      <c r="E433" s="150"/>
      <c r="F433" s="145"/>
      <c r="G433" s="145"/>
      <c r="H433" s="145"/>
      <c r="I433" s="145"/>
      <c r="J433" s="145"/>
      <c r="K433" s="145"/>
      <c r="L433" s="145"/>
      <c r="M433" s="145"/>
      <c r="N433" s="146"/>
      <c r="O433" s="145"/>
      <c r="P433" s="138"/>
      <c r="Q433" s="255" t="str">
        <f t="shared" si="49"/>
        <v/>
      </c>
      <c r="R433" s="139" t="str">
        <f t="shared" si="50"/>
        <v/>
      </c>
      <c r="S433" s="128" t="str">
        <f t="shared" si="44"/>
        <v/>
      </c>
      <c r="T433" s="140" t="str">
        <f t="shared" si="45"/>
        <v/>
      </c>
      <c r="U433" s="141" t="str">
        <f t="shared" si="46"/>
        <v/>
      </c>
      <c r="V433" s="141" t="str">
        <f t="shared" si="47"/>
        <v/>
      </c>
      <c r="W433" s="142"/>
      <c r="X433" s="186" t="str">
        <f t="shared" si="48"/>
        <v/>
      </c>
    </row>
    <row r="434" spans="1:24" s="147" customFormat="1">
      <c r="A434" s="172"/>
      <c r="B434" s="151"/>
      <c r="C434" s="151"/>
      <c r="D434" s="151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38"/>
      <c r="Q434" s="255" t="str">
        <f t="shared" si="49"/>
        <v/>
      </c>
      <c r="R434" s="139" t="str">
        <f t="shared" si="50"/>
        <v/>
      </c>
      <c r="S434" s="128" t="str">
        <f t="shared" si="44"/>
        <v/>
      </c>
      <c r="T434" s="140" t="str">
        <f t="shared" si="45"/>
        <v/>
      </c>
      <c r="U434" s="141" t="str">
        <f t="shared" si="46"/>
        <v/>
      </c>
      <c r="V434" s="141" t="str">
        <f t="shared" si="47"/>
        <v/>
      </c>
      <c r="W434" s="142"/>
      <c r="X434" s="186" t="str">
        <f t="shared" si="48"/>
        <v/>
      </c>
    </row>
    <row r="435" spans="1:24" s="147" customFormat="1">
      <c r="A435" s="170"/>
      <c r="B435" s="145"/>
      <c r="C435" s="145"/>
      <c r="D435" s="146"/>
      <c r="E435" s="150"/>
      <c r="F435" s="145"/>
      <c r="G435" s="145"/>
      <c r="H435" s="145"/>
      <c r="I435" s="145"/>
      <c r="J435" s="145"/>
      <c r="K435" s="145"/>
      <c r="L435" s="145"/>
      <c r="M435" s="145"/>
      <c r="N435" s="146"/>
      <c r="O435" s="145"/>
      <c r="P435" s="138"/>
      <c r="Q435" s="255" t="str">
        <f t="shared" si="49"/>
        <v/>
      </c>
      <c r="R435" s="139" t="str">
        <f t="shared" si="50"/>
        <v/>
      </c>
      <c r="S435" s="128" t="str">
        <f t="shared" si="44"/>
        <v/>
      </c>
      <c r="T435" s="140" t="str">
        <f t="shared" si="45"/>
        <v/>
      </c>
      <c r="U435" s="141" t="str">
        <f t="shared" si="46"/>
        <v/>
      </c>
      <c r="V435" s="141" t="str">
        <f t="shared" si="47"/>
        <v/>
      </c>
      <c r="W435" s="142"/>
      <c r="X435" s="186" t="str">
        <f t="shared" si="48"/>
        <v/>
      </c>
    </row>
    <row r="436" spans="1:24" s="147" customFormat="1">
      <c r="A436" s="172"/>
      <c r="B436" s="151"/>
      <c r="C436" s="151"/>
      <c r="D436" s="151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38"/>
      <c r="Q436" s="255" t="str">
        <f t="shared" si="49"/>
        <v/>
      </c>
      <c r="R436" s="139" t="str">
        <f t="shared" si="50"/>
        <v/>
      </c>
      <c r="S436" s="128" t="str">
        <f t="shared" si="44"/>
        <v/>
      </c>
      <c r="T436" s="140" t="str">
        <f t="shared" si="45"/>
        <v/>
      </c>
      <c r="U436" s="141" t="str">
        <f t="shared" si="46"/>
        <v/>
      </c>
      <c r="V436" s="141" t="str">
        <f t="shared" si="47"/>
        <v/>
      </c>
      <c r="W436" s="142"/>
      <c r="X436" s="186" t="str">
        <f t="shared" si="48"/>
        <v/>
      </c>
    </row>
    <row r="437" spans="1:24" s="147" customFormat="1">
      <c r="A437" s="170"/>
      <c r="B437" s="145"/>
      <c r="C437" s="145"/>
      <c r="D437" s="145"/>
      <c r="E437" s="150"/>
      <c r="F437" s="145"/>
      <c r="G437" s="145"/>
      <c r="H437" s="145"/>
      <c r="I437" s="145"/>
      <c r="J437" s="145"/>
      <c r="K437" s="145"/>
      <c r="L437" s="145"/>
      <c r="M437" s="145"/>
      <c r="N437" s="149"/>
      <c r="O437" s="145"/>
      <c r="P437" s="138"/>
      <c r="Q437" s="255" t="str">
        <f t="shared" si="49"/>
        <v/>
      </c>
      <c r="R437" s="139" t="str">
        <f t="shared" si="50"/>
        <v/>
      </c>
      <c r="S437" s="128" t="str">
        <f t="shared" si="44"/>
        <v/>
      </c>
      <c r="T437" s="140" t="str">
        <f t="shared" si="45"/>
        <v/>
      </c>
      <c r="U437" s="141" t="str">
        <f t="shared" si="46"/>
        <v/>
      </c>
      <c r="V437" s="141" t="str">
        <f t="shared" si="47"/>
        <v/>
      </c>
      <c r="W437" s="142"/>
      <c r="X437" s="186" t="str">
        <f t="shared" si="48"/>
        <v/>
      </c>
    </row>
    <row r="438" spans="1:24" s="147" customFormat="1">
      <c r="A438" s="172"/>
      <c r="B438" s="151"/>
      <c r="C438" s="151"/>
      <c r="D438" s="151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38"/>
      <c r="Q438" s="255" t="str">
        <f t="shared" si="49"/>
        <v/>
      </c>
      <c r="R438" s="139" t="str">
        <f t="shared" si="50"/>
        <v/>
      </c>
      <c r="S438" s="128" t="str">
        <f t="shared" si="44"/>
        <v/>
      </c>
      <c r="T438" s="140" t="str">
        <f t="shared" si="45"/>
        <v/>
      </c>
      <c r="U438" s="141" t="str">
        <f t="shared" si="46"/>
        <v/>
      </c>
      <c r="V438" s="141" t="str">
        <f t="shared" si="47"/>
        <v/>
      </c>
      <c r="W438" s="142"/>
      <c r="X438" s="186" t="str">
        <f t="shared" si="48"/>
        <v/>
      </c>
    </row>
    <row r="439" spans="1:24" s="147" customFormat="1">
      <c r="A439" s="170"/>
      <c r="B439" s="145"/>
      <c r="C439" s="145"/>
      <c r="D439" s="145"/>
      <c r="E439" s="150"/>
      <c r="F439" s="145"/>
      <c r="G439" s="145"/>
      <c r="H439" s="145"/>
      <c r="I439" s="145"/>
      <c r="J439" s="145"/>
      <c r="K439" s="145"/>
      <c r="L439" s="145"/>
      <c r="M439" s="145"/>
      <c r="N439" s="146"/>
      <c r="O439" s="145"/>
      <c r="P439" s="138"/>
      <c r="Q439" s="255" t="str">
        <f t="shared" si="49"/>
        <v/>
      </c>
      <c r="R439" s="139" t="str">
        <f t="shared" si="50"/>
        <v/>
      </c>
      <c r="S439" s="128" t="str">
        <f t="shared" si="44"/>
        <v/>
      </c>
      <c r="T439" s="140" t="str">
        <f t="shared" si="45"/>
        <v/>
      </c>
      <c r="U439" s="141" t="str">
        <f t="shared" si="46"/>
        <v/>
      </c>
      <c r="V439" s="141" t="str">
        <f t="shared" si="47"/>
        <v/>
      </c>
      <c r="W439" s="142"/>
      <c r="X439" s="186" t="str">
        <f t="shared" si="48"/>
        <v/>
      </c>
    </row>
    <row r="440" spans="1:24" s="147" customFormat="1">
      <c r="A440" s="170"/>
      <c r="B440" s="145"/>
      <c r="C440" s="145"/>
      <c r="D440" s="149"/>
      <c r="E440" s="150"/>
      <c r="F440" s="145"/>
      <c r="G440" s="145"/>
      <c r="H440" s="145"/>
      <c r="I440" s="145"/>
      <c r="J440" s="145"/>
      <c r="K440" s="145"/>
      <c r="L440" s="145"/>
      <c r="M440" s="145"/>
      <c r="N440" s="149"/>
      <c r="O440" s="145"/>
      <c r="P440" s="138"/>
      <c r="Q440" s="255" t="str">
        <f t="shared" si="49"/>
        <v/>
      </c>
      <c r="R440" s="139" t="str">
        <f t="shared" si="50"/>
        <v/>
      </c>
      <c r="S440" s="128" t="str">
        <f t="shared" si="44"/>
        <v/>
      </c>
      <c r="T440" s="140" t="str">
        <f t="shared" si="45"/>
        <v/>
      </c>
      <c r="U440" s="141" t="str">
        <f t="shared" si="46"/>
        <v/>
      </c>
      <c r="V440" s="141" t="str">
        <f t="shared" si="47"/>
        <v/>
      </c>
      <c r="W440" s="142"/>
      <c r="X440" s="186" t="str">
        <f t="shared" si="48"/>
        <v/>
      </c>
    </row>
    <row r="441" spans="1:24" s="147" customFormat="1">
      <c r="A441" s="170"/>
      <c r="B441" s="145"/>
      <c r="C441" s="145"/>
      <c r="D441" s="149"/>
      <c r="E441" s="150"/>
      <c r="F441" s="145"/>
      <c r="G441" s="145"/>
      <c r="H441" s="145"/>
      <c r="I441" s="145"/>
      <c r="J441" s="145"/>
      <c r="K441" s="145"/>
      <c r="L441" s="145"/>
      <c r="M441" s="145"/>
      <c r="N441" s="149"/>
      <c r="O441" s="145"/>
      <c r="P441" s="138"/>
      <c r="Q441" s="255" t="str">
        <f t="shared" si="49"/>
        <v/>
      </c>
      <c r="R441" s="139" t="str">
        <f t="shared" si="50"/>
        <v/>
      </c>
      <c r="S441" s="128" t="str">
        <f t="shared" si="44"/>
        <v/>
      </c>
      <c r="T441" s="140" t="str">
        <f t="shared" si="45"/>
        <v/>
      </c>
      <c r="U441" s="141" t="str">
        <f t="shared" si="46"/>
        <v/>
      </c>
      <c r="V441" s="141" t="str">
        <f t="shared" si="47"/>
        <v/>
      </c>
      <c r="W441" s="142"/>
      <c r="X441" s="186" t="str">
        <f t="shared" si="48"/>
        <v/>
      </c>
    </row>
    <row r="442" spans="1:24" s="147" customFormat="1">
      <c r="A442" s="170"/>
      <c r="B442" s="145"/>
      <c r="C442" s="145"/>
      <c r="D442" s="149"/>
      <c r="E442" s="150"/>
      <c r="F442" s="145"/>
      <c r="G442" s="145"/>
      <c r="H442" s="145"/>
      <c r="I442" s="145"/>
      <c r="J442" s="145"/>
      <c r="K442" s="145"/>
      <c r="L442" s="145"/>
      <c r="M442" s="145"/>
      <c r="N442" s="149"/>
      <c r="O442" s="145"/>
      <c r="P442" s="138"/>
      <c r="Q442" s="255" t="str">
        <f t="shared" si="49"/>
        <v/>
      </c>
      <c r="R442" s="139" t="str">
        <f t="shared" si="50"/>
        <v/>
      </c>
      <c r="S442" s="128" t="str">
        <f t="shared" si="44"/>
        <v/>
      </c>
      <c r="T442" s="140" t="str">
        <f t="shared" si="45"/>
        <v/>
      </c>
      <c r="U442" s="141" t="str">
        <f t="shared" si="46"/>
        <v/>
      </c>
      <c r="V442" s="141" t="str">
        <f t="shared" si="47"/>
        <v/>
      </c>
      <c r="W442" s="142"/>
      <c r="X442" s="186" t="str">
        <f t="shared" si="48"/>
        <v/>
      </c>
    </row>
    <row r="443" spans="1:24" s="147" customFormat="1">
      <c r="A443" s="170"/>
      <c r="B443" s="145"/>
      <c r="C443" s="145"/>
      <c r="D443" s="149"/>
      <c r="E443" s="150"/>
      <c r="F443" s="145"/>
      <c r="G443" s="145"/>
      <c r="H443" s="145"/>
      <c r="I443" s="145"/>
      <c r="J443" s="145"/>
      <c r="K443" s="145"/>
      <c r="L443" s="145"/>
      <c r="M443" s="145"/>
      <c r="N443" s="149"/>
      <c r="O443" s="145"/>
      <c r="P443" s="138"/>
      <c r="Q443" s="255" t="str">
        <f t="shared" si="49"/>
        <v/>
      </c>
      <c r="R443" s="139" t="str">
        <f t="shared" si="50"/>
        <v/>
      </c>
      <c r="S443" s="128" t="str">
        <f t="shared" si="44"/>
        <v/>
      </c>
      <c r="T443" s="140" t="str">
        <f t="shared" si="45"/>
        <v/>
      </c>
      <c r="U443" s="141" t="str">
        <f t="shared" si="46"/>
        <v/>
      </c>
      <c r="V443" s="141" t="str">
        <f t="shared" si="47"/>
        <v/>
      </c>
      <c r="W443" s="142"/>
      <c r="X443" s="186" t="str">
        <f t="shared" si="48"/>
        <v/>
      </c>
    </row>
    <row r="444" spans="1:24" s="147" customFormat="1">
      <c r="A444" s="170"/>
      <c r="B444" s="145"/>
      <c r="C444" s="145"/>
      <c r="D444" s="149"/>
      <c r="E444" s="150"/>
      <c r="F444" s="145"/>
      <c r="G444" s="145"/>
      <c r="H444" s="145"/>
      <c r="I444" s="145"/>
      <c r="J444" s="145"/>
      <c r="K444" s="145"/>
      <c r="L444" s="145"/>
      <c r="M444" s="145"/>
      <c r="N444" s="149"/>
      <c r="O444" s="145"/>
      <c r="P444" s="138"/>
      <c r="Q444" s="255" t="str">
        <f t="shared" si="49"/>
        <v/>
      </c>
      <c r="R444" s="139" t="str">
        <f t="shared" si="50"/>
        <v/>
      </c>
      <c r="S444" s="128" t="str">
        <f t="shared" si="44"/>
        <v/>
      </c>
      <c r="T444" s="140" t="str">
        <f t="shared" si="45"/>
        <v/>
      </c>
      <c r="U444" s="141" t="str">
        <f t="shared" si="46"/>
        <v/>
      </c>
      <c r="V444" s="141" t="str">
        <f t="shared" si="47"/>
        <v/>
      </c>
      <c r="W444" s="142"/>
      <c r="X444" s="186" t="str">
        <f t="shared" si="48"/>
        <v/>
      </c>
    </row>
    <row r="445" spans="1:24" s="147" customFormat="1">
      <c r="A445" s="170"/>
      <c r="B445" s="145"/>
      <c r="C445" s="145"/>
      <c r="D445" s="146"/>
      <c r="E445" s="150"/>
      <c r="F445" s="145"/>
      <c r="G445" s="145"/>
      <c r="H445" s="145"/>
      <c r="I445" s="145"/>
      <c r="J445" s="145"/>
      <c r="K445" s="145"/>
      <c r="L445" s="145"/>
      <c r="M445" s="145"/>
      <c r="N445" s="146"/>
      <c r="O445" s="145"/>
      <c r="P445" s="138"/>
      <c r="Q445" s="255" t="str">
        <f t="shared" si="49"/>
        <v/>
      </c>
      <c r="R445" s="139" t="str">
        <f t="shared" si="50"/>
        <v/>
      </c>
      <c r="S445" s="128" t="str">
        <f t="shared" si="44"/>
        <v/>
      </c>
      <c r="T445" s="140" t="str">
        <f t="shared" si="45"/>
        <v/>
      </c>
      <c r="U445" s="141" t="str">
        <f t="shared" si="46"/>
        <v/>
      </c>
      <c r="V445" s="141" t="str">
        <f t="shared" si="47"/>
        <v/>
      </c>
      <c r="W445" s="142"/>
      <c r="X445" s="186" t="str">
        <f t="shared" si="48"/>
        <v/>
      </c>
    </row>
    <row r="446" spans="1:24" s="147" customFormat="1">
      <c r="A446" s="171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38"/>
      <c r="Q446" s="255" t="str">
        <f t="shared" si="49"/>
        <v/>
      </c>
      <c r="R446" s="139" t="str">
        <f t="shared" si="50"/>
        <v/>
      </c>
      <c r="S446" s="128" t="str">
        <f t="shared" si="44"/>
        <v/>
      </c>
      <c r="T446" s="140" t="str">
        <f t="shared" si="45"/>
        <v/>
      </c>
      <c r="U446" s="141" t="str">
        <f t="shared" si="46"/>
        <v/>
      </c>
      <c r="V446" s="141" t="str">
        <f t="shared" si="47"/>
        <v/>
      </c>
      <c r="W446" s="142"/>
      <c r="X446" s="186" t="str">
        <f t="shared" si="48"/>
        <v/>
      </c>
    </row>
    <row r="447" spans="1:24" s="147" customFormat="1">
      <c r="A447" s="170"/>
      <c r="B447" s="145"/>
      <c r="C447" s="145"/>
      <c r="D447" s="145"/>
      <c r="E447" s="150"/>
      <c r="F447" s="145"/>
      <c r="G447" s="145"/>
      <c r="H447" s="145"/>
      <c r="I447" s="145"/>
      <c r="J447" s="145"/>
      <c r="K447" s="145"/>
      <c r="L447" s="145"/>
      <c r="M447" s="145"/>
      <c r="N447" s="146"/>
      <c r="O447" s="145"/>
      <c r="P447" s="138"/>
      <c r="Q447" s="255" t="str">
        <f t="shared" si="49"/>
        <v/>
      </c>
      <c r="R447" s="139" t="str">
        <f t="shared" si="50"/>
        <v/>
      </c>
      <c r="S447" s="128" t="str">
        <f t="shared" si="44"/>
        <v/>
      </c>
      <c r="T447" s="140" t="str">
        <f t="shared" si="45"/>
        <v/>
      </c>
      <c r="U447" s="141" t="str">
        <f t="shared" si="46"/>
        <v/>
      </c>
      <c r="V447" s="141" t="str">
        <f t="shared" si="47"/>
        <v/>
      </c>
      <c r="W447" s="142"/>
      <c r="X447" s="186" t="str">
        <f t="shared" si="48"/>
        <v/>
      </c>
    </row>
    <row r="448" spans="1:24" s="147" customFormat="1">
      <c r="A448" s="170"/>
      <c r="B448" s="145"/>
      <c r="C448" s="145"/>
      <c r="D448" s="145"/>
      <c r="E448" s="150"/>
      <c r="F448" s="145"/>
      <c r="G448" s="145"/>
      <c r="H448" s="145"/>
      <c r="I448" s="145"/>
      <c r="J448" s="145"/>
      <c r="K448" s="145"/>
      <c r="L448" s="145"/>
      <c r="M448" s="145"/>
      <c r="N448" s="146"/>
      <c r="O448" s="145"/>
      <c r="P448" s="138"/>
      <c r="Q448" s="255" t="str">
        <f t="shared" si="49"/>
        <v/>
      </c>
      <c r="R448" s="139" t="str">
        <f t="shared" si="50"/>
        <v/>
      </c>
      <c r="S448" s="128" t="str">
        <f t="shared" si="44"/>
        <v/>
      </c>
      <c r="T448" s="140" t="str">
        <f t="shared" si="45"/>
        <v/>
      </c>
      <c r="U448" s="141" t="str">
        <f t="shared" si="46"/>
        <v/>
      </c>
      <c r="V448" s="141" t="str">
        <f t="shared" si="47"/>
        <v/>
      </c>
      <c r="W448" s="142"/>
      <c r="X448" s="186" t="str">
        <f t="shared" si="48"/>
        <v/>
      </c>
    </row>
    <row r="449" spans="1:24" s="147" customFormat="1">
      <c r="A449" s="170"/>
      <c r="B449" s="145"/>
      <c r="C449" s="145"/>
      <c r="D449" s="145"/>
      <c r="E449" s="150"/>
      <c r="F449" s="145"/>
      <c r="G449" s="145"/>
      <c r="H449" s="145"/>
      <c r="I449" s="145"/>
      <c r="J449" s="145"/>
      <c r="K449" s="145"/>
      <c r="L449" s="145"/>
      <c r="M449" s="145"/>
      <c r="N449" s="146"/>
      <c r="O449" s="145"/>
      <c r="P449" s="138"/>
      <c r="Q449" s="255" t="str">
        <f t="shared" si="49"/>
        <v/>
      </c>
      <c r="R449" s="139" t="str">
        <f t="shared" si="50"/>
        <v/>
      </c>
      <c r="S449" s="128" t="str">
        <f t="shared" si="44"/>
        <v/>
      </c>
      <c r="T449" s="140" t="str">
        <f t="shared" si="45"/>
        <v/>
      </c>
      <c r="U449" s="141" t="str">
        <f t="shared" si="46"/>
        <v/>
      </c>
      <c r="V449" s="141" t="str">
        <f t="shared" si="47"/>
        <v/>
      </c>
      <c r="W449" s="142"/>
      <c r="X449" s="186" t="str">
        <f t="shared" si="48"/>
        <v/>
      </c>
    </row>
    <row r="450" spans="1:24" s="147" customFormat="1">
      <c r="A450" s="171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38"/>
      <c r="Q450" s="255" t="str">
        <f t="shared" si="49"/>
        <v/>
      </c>
      <c r="R450" s="139" t="str">
        <f t="shared" si="50"/>
        <v/>
      </c>
      <c r="S450" s="128" t="str">
        <f t="shared" si="44"/>
        <v/>
      </c>
      <c r="T450" s="140" t="str">
        <f t="shared" si="45"/>
        <v/>
      </c>
      <c r="U450" s="141" t="str">
        <f t="shared" si="46"/>
        <v/>
      </c>
      <c r="V450" s="141" t="str">
        <f t="shared" si="47"/>
        <v/>
      </c>
      <c r="W450" s="142"/>
      <c r="X450" s="186" t="str">
        <f t="shared" si="48"/>
        <v/>
      </c>
    </row>
    <row r="451" spans="1:24" s="147" customFormat="1">
      <c r="A451" s="170"/>
      <c r="B451" s="145"/>
      <c r="C451" s="145"/>
      <c r="D451" s="146"/>
      <c r="E451" s="150"/>
      <c r="F451" s="145"/>
      <c r="G451" s="145"/>
      <c r="H451" s="145"/>
      <c r="I451" s="145"/>
      <c r="J451" s="145"/>
      <c r="K451" s="145"/>
      <c r="L451" s="145"/>
      <c r="M451" s="145"/>
      <c r="N451" s="146"/>
      <c r="O451" s="145"/>
      <c r="P451" s="138"/>
      <c r="Q451" s="255" t="str">
        <f t="shared" si="49"/>
        <v/>
      </c>
      <c r="R451" s="139" t="str">
        <f t="shared" si="50"/>
        <v/>
      </c>
      <c r="S451" s="128" t="str">
        <f t="shared" si="44"/>
        <v/>
      </c>
      <c r="T451" s="140" t="str">
        <f t="shared" si="45"/>
        <v/>
      </c>
      <c r="U451" s="141" t="str">
        <f t="shared" si="46"/>
        <v/>
      </c>
      <c r="V451" s="141" t="str">
        <f t="shared" si="47"/>
        <v/>
      </c>
      <c r="W451" s="142"/>
      <c r="X451" s="186" t="str">
        <f t="shared" si="48"/>
        <v/>
      </c>
    </row>
    <row r="452" spans="1:24" s="147" customFormat="1">
      <c r="A452" s="171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38"/>
      <c r="Q452" s="255" t="str">
        <f t="shared" si="49"/>
        <v/>
      </c>
      <c r="R452" s="139" t="str">
        <f t="shared" si="50"/>
        <v/>
      </c>
      <c r="S452" s="128" t="str">
        <f t="shared" si="44"/>
        <v/>
      </c>
      <c r="T452" s="140" t="str">
        <f t="shared" si="45"/>
        <v/>
      </c>
      <c r="U452" s="141" t="str">
        <f t="shared" si="46"/>
        <v/>
      </c>
      <c r="V452" s="141" t="str">
        <f t="shared" si="47"/>
        <v/>
      </c>
      <c r="W452" s="142"/>
      <c r="X452" s="186" t="str">
        <f t="shared" si="48"/>
        <v/>
      </c>
    </row>
    <row r="453" spans="1:24" s="147" customFormat="1">
      <c r="A453" s="170"/>
      <c r="B453" s="145"/>
      <c r="C453" s="145"/>
      <c r="D453" s="146"/>
      <c r="E453" s="150"/>
      <c r="F453" s="145"/>
      <c r="G453" s="145"/>
      <c r="H453" s="145"/>
      <c r="I453" s="145"/>
      <c r="J453" s="145"/>
      <c r="K453" s="145"/>
      <c r="L453" s="145"/>
      <c r="M453" s="145"/>
      <c r="N453" s="146"/>
      <c r="O453" s="145"/>
      <c r="P453" s="138"/>
      <c r="Q453" s="255" t="str">
        <f t="shared" si="49"/>
        <v/>
      </c>
      <c r="R453" s="139" t="str">
        <f t="shared" si="50"/>
        <v/>
      </c>
      <c r="S453" s="128" t="str">
        <f t="shared" si="44"/>
        <v/>
      </c>
      <c r="T453" s="140" t="str">
        <f t="shared" si="45"/>
        <v/>
      </c>
      <c r="U453" s="141" t="str">
        <f t="shared" si="46"/>
        <v/>
      </c>
      <c r="V453" s="141" t="str">
        <f t="shared" si="47"/>
        <v/>
      </c>
      <c r="W453" s="142"/>
      <c r="X453" s="186" t="str">
        <f t="shared" si="48"/>
        <v/>
      </c>
    </row>
    <row r="454" spans="1:24" s="147" customFormat="1">
      <c r="A454" s="171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38"/>
      <c r="Q454" s="255" t="str">
        <f t="shared" si="49"/>
        <v/>
      </c>
      <c r="R454" s="139" t="str">
        <f t="shared" si="50"/>
        <v/>
      </c>
      <c r="S454" s="128" t="str">
        <f t="shared" si="44"/>
        <v/>
      </c>
      <c r="T454" s="140" t="str">
        <f t="shared" si="45"/>
        <v/>
      </c>
      <c r="U454" s="141" t="str">
        <f t="shared" si="46"/>
        <v/>
      </c>
      <c r="V454" s="141" t="str">
        <f t="shared" si="47"/>
        <v/>
      </c>
      <c r="W454" s="142"/>
      <c r="X454" s="186" t="str">
        <f t="shared" si="48"/>
        <v/>
      </c>
    </row>
    <row r="455" spans="1:24" s="147" customFormat="1">
      <c r="A455" s="170"/>
      <c r="B455" s="145"/>
      <c r="C455" s="145"/>
      <c r="D455" s="146"/>
      <c r="E455" s="150"/>
      <c r="F455" s="145"/>
      <c r="G455" s="145"/>
      <c r="H455" s="145"/>
      <c r="I455" s="145"/>
      <c r="J455" s="145"/>
      <c r="K455" s="145"/>
      <c r="L455" s="145"/>
      <c r="M455" s="145"/>
      <c r="N455" s="146"/>
      <c r="O455" s="145"/>
      <c r="P455" s="138"/>
      <c r="Q455" s="255" t="str">
        <f t="shared" si="49"/>
        <v/>
      </c>
      <c r="R455" s="139" t="str">
        <f t="shared" si="50"/>
        <v/>
      </c>
      <c r="S455" s="128" t="str">
        <f t="shared" ref="S455:S518" si="51">IF(D455="","",IF(IFERROR(FIND("資",D455)&gt;0,FALSE),"資券",IF(IFERROR(FIND("券",D455)&gt;0,FALSE),"資券","波段")))</f>
        <v/>
      </c>
      <c r="T455" s="140" t="str">
        <f t="shared" ref="T455:T518" si="52">IF(F455="","",F455)</f>
        <v/>
      </c>
      <c r="U455" s="141" t="str">
        <f t="shared" ref="U455:U518" si="53">IF(D455="","",IF(IFERROR(FIND("買",D455)&gt;0,FALSE),E455,IF(IFERROR(FIND("賣",D455)&gt;0,FALSE),-E455,IF(IFERROR(FIND("資",D455)&gt;0,FALSE),E455,-E455))))</f>
        <v/>
      </c>
      <c r="V455" s="141" t="str">
        <f t="shared" ref="V455:V518" si="54">IF(Q455="","",T455*U455*-1)</f>
        <v/>
      </c>
      <c r="W455" s="142"/>
      <c r="X455" s="186" t="str">
        <f t="shared" ref="X455:X518" si="55">IFERROR((-1)*LEFT(N455,FIND("扣",N455)-1),IFERROR(1*LEFT(N455,FIND("入",N455)-1),""))</f>
        <v/>
      </c>
    </row>
    <row r="456" spans="1:24" s="147" customFormat="1">
      <c r="A456" s="171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38"/>
      <c r="Q456" s="255" t="str">
        <f t="shared" ref="Q456:Q519" si="56">IF(B456="","",DATE(LEFT(B456,3)+1911,MID(B456,4,2),RIGHT(B456,2)))</f>
        <v/>
      </c>
      <c r="R456" s="139" t="str">
        <f t="shared" ref="R456:R519" si="57">IF(C456="","",IFERROR(INDEX(代號1,MATCH($C456,股名1,0)),IFERROR(INDEX(代號2,MATCH($C456,股名2,0)),INDEX(代號3,MATCH($C456,股名3,0)))))</f>
        <v/>
      </c>
      <c r="S456" s="128" t="str">
        <f t="shared" si="51"/>
        <v/>
      </c>
      <c r="T456" s="140" t="str">
        <f t="shared" si="52"/>
        <v/>
      </c>
      <c r="U456" s="141" t="str">
        <f t="shared" si="53"/>
        <v/>
      </c>
      <c r="V456" s="141" t="str">
        <f t="shared" si="54"/>
        <v/>
      </c>
      <c r="W456" s="142"/>
      <c r="X456" s="186" t="str">
        <f t="shared" si="55"/>
        <v/>
      </c>
    </row>
    <row r="457" spans="1:24" s="147" customFormat="1">
      <c r="A457" s="170"/>
      <c r="B457" s="145"/>
      <c r="C457" s="145"/>
      <c r="D457" s="149"/>
      <c r="E457" s="150"/>
      <c r="F457" s="145"/>
      <c r="G457" s="145"/>
      <c r="H457" s="145"/>
      <c r="I457" s="145"/>
      <c r="J457" s="145"/>
      <c r="K457" s="145"/>
      <c r="L457" s="145"/>
      <c r="M457" s="145"/>
      <c r="N457" s="149"/>
      <c r="O457" s="145"/>
      <c r="P457" s="138"/>
      <c r="Q457" s="255" t="str">
        <f t="shared" si="56"/>
        <v/>
      </c>
      <c r="R457" s="139" t="str">
        <f t="shared" si="57"/>
        <v/>
      </c>
      <c r="S457" s="128" t="str">
        <f t="shared" si="51"/>
        <v/>
      </c>
      <c r="T457" s="140" t="str">
        <f t="shared" si="52"/>
        <v/>
      </c>
      <c r="U457" s="141" t="str">
        <f t="shared" si="53"/>
        <v/>
      </c>
      <c r="V457" s="141" t="str">
        <f t="shared" si="54"/>
        <v/>
      </c>
      <c r="W457" s="142"/>
      <c r="X457" s="186" t="str">
        <f t="shared" si="55"/>
        <v/>
      </c>
    </row>
    <row r="458" spans="1:24" s="147" customFormat="1">
      <c r="A458" s="170"/>
      <c r="B458" s="145"/>
      <c r="C458" s="145"/>
      <c r="D458" s="146"/>
      <c r="E458" s="150"/>
      <c r="F458" s="145"/>
      <c r="G458" s="145"/>
      <c r="H458" s="145"/>
      <c r="I458" s="145"/>
      <c r="J458" s="145"/>
      <c r="K458" s="145"/>
      <c r="L458" s="145"/>
      <c r="M458" s="145"/>
      <c r="N458" s="146"/>
      <c r="O458" s="145"/>
      <c r="P458" s="138"/>
      <c r="Q458" s="255" t="str">
        <f t="shared" si="56"/>
        <v/>
      </c>
      <c r="R458" s="139" t="str">
        <f t="shared" si="57"/>
        <v/>
      </c>
      <c r="S458" s="128" t="str">
        <f t="shared" si="51"/>
        <v/>
      </c>
      <c r="T458" s="140" t="str">
        <f t="shared" si="52"/>
        <v/>
      </c>
      <c r="U458" s="141" t="str">
        <f t="shared" si="53"/>
        <v/>
      </c>
      <c r="V458" s="141" t="str">
        <f t="shared" si="54"/>
        <v/>
      </c>
      <c r="W458" s="142"/>
      <c r="X458" s="186" t="str">
        <f t="shared" si="55"/>
        <v/>
      </c>
    </row>
    <row r="459" spans="1:24" s="147" customFormat="1">
      <c r="A459" s="172"/>
      <c r="B459" s="151"/>
      <c r="C459" s="151"/>
      <c r="D459" s="151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38"/>
      <c r="Q459" s="255" t="str">
        <f t="shared" si="56"/>
        <v/>
      </c>
      <c r="R459" s="139" t="str">
        <f t="shared" si="57"/>
        <v/>
      </c>
      <c r="S459" s="128" t="str">
        <f t="shared" si="51"/>
        <v/>
      </c>
      <c r="T459" s="140" t="str">
        <f t="shared" si="52"/>
        <v/>
      </c>
      <c r="U459" s="141" t="str">
        <f t="shared" si="53"/>
        <v/>
      </c>
      <c r="V459" s="141" t="str">
        <f t="shared" si="54"/>
        <v/>
      </c>
      <c r="W459" s="142"/>
      <c r="X459" s="186" t="str">
        <f t="shared" si="55"/>
        <v/>
      </c>
    </row>
    <row r="460" spans="1:24" s="147" customFormat="1">
      <c r="A460" s="170"/>
      <c r="B460" s="145"/>
      <c r="C460" s="145"/>
      <c r="D460" s="145"/>
      <c r="E460" s="150"/>
      <c r="F460" s="145"/>
      <c r="G460" s="145"/>
      <c r="H460" s="145"/>
      <c r="I460" s="145"/>
      <c r="J460" s="145"/>
      <c r="K460" s="145"/>
      <c r="L460" s="145"/>
      <c r="M460" s="145"/>
      <c r="N460" s="149"/>
      <c r="O460" s="145"/>
      <c r="P460" s="138"/>
      <c r="Q460" s="255" t="str">
        <f t="shared" si="56"/>
        <v/>
      </c>
      <c r="R460" s="139" t="str">
        <f t="shared" si="57"/>
        <v/>
      </c>
      <c r="S460" s="128" t="str">
        <f t="shared" si="51"/>
        <v/>
      </c>
      <c r="T460" s="140" t="str">
        <f t="shared" si="52"/>
        <v/>
      </c>
      <c r="U460" s="141" t="str">
        <f t="shared" si="53"/>
        <v/>
      </c>
      <c r="V460" s="141" t="str">
        <f t="shared" si="54"/>
        <v/>
      </c>
      <c r="W460" s="142"/>
      <c r="X460" s="186" t="str">
        <f t="shared" si="55"/>
        <v/>
      </c>
    </row>
    <row r="461" spans="1:24" s="147" customFormat="1">
      <c r="A461" s="172"/>
      <c r="B461" s="151"/>
      <c r="C461" s="151"/>
      <c r="D461" s="151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38"/>
      <c r="Q461" s="255" t="str">
        <f t="shared" si="56"/>
        <v/>
      </c>
      <c r="R461" s="139" t="str">
        <f t="shared" si="57"/>
        <v/>
      </c>
      <c r="S461" s="128" t="str">
        <f t="shared" si="51"/>
        <v/>
      </c>
      <c r="T461" s="140" t="str">
        <f t="shared" si="52"/>
        <v/>
      </c>
      <c r="U461" s="141" t="str">
        <f t="shared" si="53"/>
        <v/>
      </c>
      <c r="V461" s="141" t="str">
        <f t="shared" si="54"/>
        <v/>
      </c>
      <c r="W461" s="142"/>
      <c r="X461" s="186" t="str">
        <f t="shared" si="55"/>
        <v/>
      </c>
    </row>
    <row r="462" spans="1:24" s="147" customFormat="1">
      <c r="A462" s="170"/>
      <c r="B462" s="145"/>
      <c r="C462" s="145"/>
      <c r="D462" s="145"/>
      <c r="E462" s="150"/>
      <c r="F462" s="145"/>
      <c r="G462" s="145"/>
      <c r="H462" s="145"/>
      <c r="I462" s="145"/>
      <c r="J462" s="145"/>
      <c r="K462" s="145"/>
      <c r="L462" s="145"/>
      <c r="M462" s="145"/>
      <c r="N462" s="146"/>
      <c r="O462" s="145"/>
      <c r="P462" s="138"/>
      <c r="Q462" s="255" t="str">
        <f t="shared" si="56"/>
        <v/>
      </c>
      <c r="R462" s="139" t="str">
        <f t="shared" si="57"/>
        <v/>
      </c>
      <c r="S462" s="128" t="str">
        <f t="shared" si="51"/>
        <v/>
      </c>
      <c r="T462" s="140" t="str">
        <f t="shared" si="52"/>
        <v/>
      </c>
      <c r="U462" s="141" t="str">
        <f t="shared" si="53"/>
        <v/>
      </c>
      <c r="V462" s="141" t="str">
        <f t="shared" si="54"/>
        <v/>
      </c>
      <c r="W462" s="142"/>
      <c r="X462" s="186" t="str">
        <f t="shared" si="55"/>
        <v/>
      </c>
    </row>
    <row r="463" spans="1:24" s="147" customFormat="1">
      <c r="A463" s="170"/>
      <c r="B463" s="145"/>
      <c r="C463" s="145"/>
      <c r="D463" s="149"/>
      <c r="E463" s="145"/>
      <c r="F463" s="145"/>
      <c r="G463" s="145"/>
      <c r="H463" s="145"/>
      <c r="I463" s="145"/>
      <c r="J463" s="145"/>
      <c r="K463" s="145"/>
      <c r="L463" s="145"/>
      <c r="M463" s="145"/>
      <c r="N463" s="149"/>
      <c r="O463" s="145"/>
      <c r="P463" s="138"/>
      <c r="Q463" s="255" t="str">
        <f t="shared" si="56"/>
        <v/>
      </c>
      <c r="R463" s="139" t="str">
        <f t="shared" si="57"/>
        <v/>
      </c>
      <c r="S463" s="128" t="str">
        <f t="shared" si="51"/>
        <v/>
      </c>
      <c r="T463" s="140" t="str">
        <f t="shared" si="52"/>
        <v/>
      </c>
      <c r="U463" s="141" t="str">
        <f t="shared" si="53"/>
        <v/>
      </c>
      <c r="V463" s="141" t="str">
        <f t="shared" si="54"/>
        <v/>
      </c>
      <c r="W463" s="142"/>
      <c r="X463" s="186" t="str">
        <f t="shared" si="55"/>
        <v/>
      </c>
    </row>
    <row r="464" spans="1:24" s="147" customFormat="1">
      <c r="A464" s="170"/>
      <c r="B464" s="145"/>
      <c r="C464" s="145"/>
      <c r="D464" s="149"/>
      <c r="E464" s="145"/>
      <c r="F464" s="145"/>
      <c r="G464" s="145"/>
      <c r="H464" s="145"/>
      <c r="I464" s="145"/>
      <c r="J464" s="145"/>
      <c r="K464" s="145"/>
      <c r="L464" s="145"/>
      <c r="M464" s="145"/>
      <c r="N464" s="149"/>
      <c r="O464" s="145"/>
      <c r="P464" s="138"/>
      <c r="Q464" s="255" t="str">
        <f t="shared" si="56"/>
        <v/>
      </c>
      <c r="R464" s="139" t="str">
        <f t="shared" si="57"/>
        <v/>
      </c>
      <c r="S464" s="128" t="str">
        <f t="shared" si="51"/>
        <v/>
      </c>
      <c r="T464" s="140" t="str">
        <f t="shared" si="52"/>
        <v/>
      </c>
      <c r="U464" s="141" t="str">
        <f t="shared" si="53"/>
        <v/>
      </c>
      <c r="V464" s="141" t="str">
        <f t="shared" si="54"/>
        <v/>
      </c>
      <c r="W464" s="142"/>
      <c r="X464" s="186" t="str">
        <f t="shared" si="55"/>
        <v/>
      </c>
    </row>
    <row r="465" spans="1:24" s="147" customFormat="1">
      <c r="A465" s="170"/>
      <c r="B465" s="145"/>
      <c r="C465" s="145"/>
      <c r="D465" s="146"/>
      <c r="E465" s="150"/>
      <c r="F465" s="145"/>
      <c r="G465" s="145"/>
      <c r="H465" s="145"/>
      <c r="I465" s="145"/>
      <c r="J465" s="145"/>
      <c r="K465" s="145"/>
      <c r="L465" s="145"/>
      <c r="M465" s="145"/>
      <c r="N465" s="146"/>
      <c r="O465" s="145"/>
      <c r="P465" s="138"/>
      <c r="Q465" s="255" t="str">
        <f t="shared" si="56"/>
        <v/>
      </c>
      <c r="R465" s="139" t="str">
        <f t="shared" si="57"/>
        <v/>
      </c>
      <c r="S465" s="128" t="str">
        <f t="shared" si="51"/>
        <v/>
      </c>
      <c r="T465" s="140" t="str">
        <f t="shared" si="52"/>
        <v/>
      </c>
      <c r="U465" s="141" t="str">
        <f t="shared" si="53"/>
        <v/>
      </c>
      <c r="V465" s="141" t="str">
        <f t="shared" si="54"/>
        <v/>
      </c>
      <c r="W465" s="142"/>
      <c r="X465" s="186" t="str">
        <f t="shared" si="55"/>
        <v/>
      </c>
    </row>
    <row r="466" spans="1:24" s="147" customFormat="1">
      <c r="A466" s="172"/>
      <c r="B466" s="151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38"/>
      <c r="Q466" s="255" t="str">
        <f t="shared" si="56"/>
        <v/>
      </c>
      <c r="R466" s="139" t="str">
        <f t="shared" si="57"/>
        <v/>
      </c>
      <c r="S466" s="128" t="str">
        <f t="shared" si="51"/>
        <v/>
      </c>
      <c r="T466" s="140" t="str">
        <f t="shared" si="52"/>
        <v/>
      </c>
      <c r="U466" s="141" t="str">
        <f t="shared" si="53"/>
        <v/>
      </c>
      <c r="V466" s="141" t="str">
        <f t="shared" si="54"/>
        <v/>
      </c>
      <c r="W466" s="142"/>
      <c r="X466" s="186" t="str">
        <f t="shared" si="55"/>
        <v/>
      </c>
    </row>
    <row r="467" spans="1:24" s="147" customFormat="1">
      <c r="A467" s="170"/>
      <c r="B467" s="145"/>
      <c r="C467" s="145"/>
      <c r="D467" s="146"/>
      <c r="E467" s="150"/>
      <c r="F467" s="145"/>
      <c r="G467" s="145"/>
      <c r="H467" s="145"/>
      <c r="I467" s="145"/>
      <c r="J467" s="145"/>
      <c r="K467" s="145"/>
      <c r="L467" s="145"/>
      <c r="M467" s="145"/>
      <c r="N467" s="146"/>
      <c r="O467" s="145"/>
      <c r="P467" s="138"/>
      <c r="Q467" s="255" t="str">
        <f t="shared" si="56"/>
        <v/>
      </c>
      <c r="R467" s="139" t="str">
        <f t="shared" si="57"/>
        <v/>
      </c>
      <c r="S467" s="128" t="str">
        <f t="shared" si="51"/>
        <v/>
      </c>
      <c r="T467" s="140" t="str">
        <f t="shared" si="52"/>
        <v/>
      </c>
      <c r="U467" s="141" t="str">
        <f t="shared" si="53"/>
        <v/>
      </c>
      <c r="V467" s="141" t="str">
        <f t="shared" si="54"/>
        <v/>
      </c>
      <c r="W467" s="142"/>
      <c r="X467" s="186" t="str">
        <f t="shared" si="55"/>
        <v/>
      </c>
    </row>
    <row r="468" spans="1:24" s="147" customFormat="1">
      <c r="A468" s="172"/>
      <c r="B468" s="151"/>
      <c r="C468" s="151"/>
      <c r="D468" s="151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38"/>
      <c r="Q468" s="255" t="str">
        <f t="shared" si="56"/>
        <v/>
      </c>
      <c r="R468" s="139" t="str">
        <f t="shared" si="57"/>
        <v/>
      </c>
      <c r="S468" s="128" t="str">
        <f t="shared" si="51"/>
        <v/>
      </c>
      <c r="T468" s="140" t="str">
        <f t="shared" si="52"/>
        <v/>
      </c>
      <c r="U468" s="141" t="str">
        <f t="shared" si="53"/>
        <v/>
      </c>
      <c r="V468" s="141" t="str">
        <f t="shared" si="54"/>
        <v/>
      </c>
      <c r="W468" s="142"/>
      <c r="X468" s="186" t="str">
        <f t="shared" si="55"/>
        <v/>
      </c>
    </row>
    <row r="469" spans="1:24" s="147" customFormat="1">
      <c r="A469" s="170"/>
      <c r="B469" s="145"/>
      <c r="C469" s="145"/>
      <c r="D469" s="149"/>
      <c r="E469" s="150"/>
      <c r="F469" s="145"/>
      <c r="G469" s="145"/>
      <c r="H469" s="145"/>
      <c r="I469" s="145"/>
      <c r="J469" s="145"/>
      <c r="K469" s="145"/>
      <c r="L469" s="145"/>
      <c r="M469" s="145"/>
      <c r="N469" s="149"/>
      <c r="O469" s="145"/>
      <c r="P469" s="138"/>
      <c r="Q469" s="255" t="str">
        <f t="shared" si="56"/>
        <v/>
      </c>
      <c r="R469" s="139" t="str">
        <f t="shared" si="57"/>
        <v/>
      </c>
      <c r="S469" s="128" t="str">
        <f t="shared" si="51"/>
        <v/>
      </c>
      <c r="T469" s="140" t="str">
        <f t="shared" si="52"/>
        <v/>
      </c>
      <c r="U469" s="141" t="str">
        <f t="shared" si="53"/>
        <v/>
      </c>
      <c r="V469" s="141" t="str">
        <f t="shared" si="54"/>
        <v/>
      </c>
      <c r="W469" s="142"/>
      <c r="X469" s="186" t="str">
        <f t="shared" si="55"/>
        <v/>
      </c>
    </row>
    <row r="470" spans="1:24" s="147" customFormat="1">
      <c r="A470" s="170"/>
      <c r="B470" s="145"/>
      <c r="C470" s="145"/>
      <c r="D470" s="146"/>
      <c r="E470" s="150"/>
      <c r="F470" s="145"/>
      <c r="G470" s="145"/>
      <c r="H470" s="145"/>
      <c r="I470" s="145"/>
      <c r="J470" s="145"/>
      <c r="K470" s="145"/>
      <c r="L470" s="145"/>
      <c r="M470" s="145"/>
      <c r="N470" s="146"/>
      <c r="O470" s="145"/>
      <c r="P470" s="138"/>
      <c r="Q470" s="255" t="str">
        <f t="shared" si="56"/>
        <v/>
      </c>
      <c r="R470" s="139" t="str">
        <f t="shared" si="57"/>
        <v/>
      </c>
      <c r="S470" s="128" t="str">
        <f t="shared" si="51"/>
        <v/>
      </c>
      <c r="T470" s="140" t="str">
        <f t="shared" si="52"/>
        <v/>
      </c>
      <c r="U470" s="141" t="str">
        <f t="shared" si="53"/>
        <v/>
      </c>
      <c r="V470" s="141" t="str">
        <f t="shared" si="54"/>
        <v/>
      </c>
      <c r="W470" s="142"/>
      <c r="X470" s="186" t="str">
        <f t="shared" si="55"/>
        <v/>
      </c>
    </row>
    <row r="471" spans="1:24" s="147" customFormat="1">
      <c r="A471" s="171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38"/>
      <c r="Q471" s="255" t="str">
        <f t="shared" si="56"/>
        <v/>
      </c>
      <c r="R471" s="139" t="str">
        <f t="shared" si="57"/>
        <v/>
      </c>
      <c r="S471" s="128" t="str">
        <f t="shared" si="51"/>
        <v/>
      </c>
      <c r="T471" s="140" t="str">
        <f t="shared" si="52"/>
        <v/>
      </c>
      <c r="U471" s="141" t="str">
        <f t="shared" si="53"/>
        <v/>
      </c>
      <c r="V471" s="141" t="str">
        <f t="shared" si="54"/>
        <v/>
      </c>
      <c r="W471" s="142"/>
      <c r="X471" s="186" t="str">
        <f t="shared" si="55"/>
        <v/>
      </c>
    </row>
    <row r="472" spans="1:24" s="147" customFormat="1">
      <c r="A472" s="170"/>
      <c r="B472" s="145"/>
      <c r="C472" s="145"/>
      <c r="D472" s="149"/>
      <c r="E472" s="150"/>
      <c r="F472" s="145"/>
      <c r="G472" s="145"/>
      <c r="H472" s="145"/>
      <c r="I472" s="145"/>
      <c r="J472" s="145"/>
      <c r="K472" s="145"/>
      <c r="L472" s="145"/>
      <c r="M472" s="145"/>
      <c r="N472" s="149"/>
      <c r="O472" s="145"/>
      <c r="P472" s="138"/>
      <c r="Q472" s="255" t="str">
        <f t="shared" si="56"/>
        <v/>
      </c>
      <c r="R472" s="139" t="str">
        <f t="shared" si="57"/>
        <v/>
      </c>
      <c r="S472" s="128" t="str">
        <f t="shared" si="51"/>
        <v/>
      </c>
      <c r="T472" s="140" t="str">
        <f t="shared" si="52"/>
        <v/>
      </c>
      <c r="U472" s="141" t="str">
        <f t="shared" si="53"/>
        <v/>
      </c>
      <c r="V472" s="141" t="str">
        <f t="shared" si="54"/>
        <v/>
      </c>
      <c r="W472" s="142"/>
      <c r="X472" s="186" t="str">
        <f t="shared" si="55"/>
        <v/>
      </c>
    </row>
    <row r="473" spans="1:24" s="147" customFormat="1">
      <c r="A473" s="170"/>
      <c r="B473" s="145"/>
      <c r="C473" s="145"/>
      <c r="D473" s="146"/>
      <c r="E473" s="150"/>
      <c r="F473" s="145"/>
      <c r="G473" s="145"/>
      <c r="H473" s="145"/>
      <c r="I473" s="145"/>
      <c r="J473" s="145"/>
      <c r="K473" s="145"/>
      <c r="L473" s="145"/>
      <c r="M473" s="145"/>
      <c r="N473" s="146"/>
      <c r="O473" s="145"/>
      <c r="P473" s="138"/>
      <c r="Q473" s="255" t="str">
        <f t="shared" si="56"/>
        <v/>
      </c>
      <c r="R473" s="139" t="str">
        <f t="shared" si="57"/>
        <v/>
      </c>
      <c r="S473" s="128" t="str">
        <f t="shared" si="51"/>
        <v/>
      </c>
      <c r="T473" s="140" t="str">
        <f t="shared" si="52"/>
        <v/>
      </c>
      <c r="U473" s="141" t="str">
        <f t="shared" si="53"/>
        <v/>
      </c>
      <c r="V473" s="141" t="str">
        <f t="shared" si="54"/>
        <v/>
      </c>
      <c r="W473" s="142"/>
      <c r="X473" s="186" t="str">
        <f t="shared" si="55"/>
        <v/>
      </c>
    </row>
    <row r="474" spans="1:24" s="147" customFormat="1">
      <c r="A474" s="172"/>
      <c r="B474" s="151"/>
      <c r="C474" s="151"/>
      <c r="D474" s="151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38"/>
      <c r="Q474" s="255" t="str">
        <f t="shared" si="56"/>
        <v/>
      </c>
      <c r="R474" s="139" t="str">
        <f t="shared" si="57"/>
        <v/>
      </c>
      <c r="S474" s="128" t="str">
        <f t="shared" si="51"/>
        <v/>
      </c>
      <c r="T474" s="140" t="str">
        <f t="shared" si="52"/>
        <v/>
      </c>
      <c r="U474" s="141" t="str">
        <f t="shared" si="53"/>
        <v/>
      </c>
      <c r="V474" s="141" t="str">
        <f t="shared" si="54"/>
        <v/>
      </c>
      <c r="W474" s="142"/>
      <c r="X474" s="186" t="str">
        <f t="shared" si="55"/>
        <v/>
      </c>
    </row>
    <row r="475" spans="1:24" s="147" customFormat="1">
      <c r="A475" s="170"/>
      <c r="B475" s="145"/>
      <c r="C475" s="145"/>
      <c r="D475" s="145"/>
      <c r="E475" s="150"/>
      <c r="F475" s="145"/>
      <c r="G475" s="145"/>
      <c r="H475" s="145"/>
      <c r="I475" s="145"/>
      <c r="J475" s="145"/>
      <c r="K475" s="145"/>
      <c r="L475" s="145"/>
      <c r="M475" s="145"/>
      <c r="N475" s="146"/>
      <c r="O475" s="145"/>
      <c r="P475" s="138"/>
      <c r="Q475" s="255" t="str">
        <f t="shared" si="56"/>
        <v/>
      </c>
      <c r="R475" s="139" t="str">
        <f t="shared" si="57"/>
        <v/>
      </c>
      <c r="S475" s="128" t="str">
        <f t="shared" si="51"/>
        <v/>
      </c>
      <c r="T475" s="140" t="str">
        <f t="shared" si="52"/>
        <v/>
      </c>
      <c r="U475" s="141" t="str">
        <f t="shared" si="53"/>
        <v/>
      </c>
      <c r="V475" s="141" t="str">
        <f t="shared" si="54"/>
        <v/>
      </c>
      <c r="W475" s="142"/>
      <c r="X475" s="186" t="str">
        <f t="shared" si="55"/>
        <v/>
      </c>
    </row>
    <row r="476" spans="1:24" s="147" customFormat="1">
      <c r="A476" s="170"/>
      <c r="B476" s="145"/>
      <c r="C476" s="145"/>
      <c r="D476" s="145"/>
      <c r="E476" s="150"/>
      <c r="F476" s="145"/>
      <c r="G476" s="145"/>
      <c r="H476" s="145"/>
      <c r="I476" s="145"/>
      <c r="J476" s="145"/>
      <c r="K476" s="145"/>
      <c r="L476" s="145"/>
      <c r="M476" s="145"/>
      <c r="N476" s="146"/>
      <c r="O476" s="145"/>
      <c r="P476" s="138"/>
      <c r="Q476" s="255" t="str">
        <f t="shared" si="56"/>
        <v/>
      </c>
      <c r="R476" s="139" t="str">
        <f t="shared" si="57"/>
        <v/>
      </c>
      <c r="S476" s="128" t="str">
        <f t="shared" si="51"/>
        <v/>
      </c>
      <c r="T476" s="140" t="str">
        <f t="shared" si="52"/>
        <v/>
      </c>
      <c r="U476" s="141" t="str">
        <f t="shared" si="53"/>
        <v/>
      </c>
      <c r="V476" s="141" t="str">
        <f t="shared" si="54"/>
        <v/>
      </c>
      <c r="W476" s="142"/>
      <c r="X476" s="186" t="str">
        <f t="shared" si="55"/>
        <v/>
      </c>
    </row>
    <row r="477" spans="1:24" s="147" customFormat="1">
      <c r="A477" s="170"/>
      <c r="B477" s="145"/>
      <c r="C477" s="145"/>
      <c r="D477" s="145"/>
      <c r="E477" s="150"/>
      <c r="F477" s="145"/>
      <c r="G477" s="145"/>
      <c r="H477" s="145"/>
      <c r="I477" s="145"/>
      <c r="J477" s="145"/>
      <c r="K477" s="145"/>
      <c r="L477" s="145"/>
      <c r="M477" s="145"/>
      <c r="N477" s="146"/>
      <c r="O477" s="145"/>
      <c r="P477" s="138"/>
      <c r="Q477" s="255" t="str">
        <f t="shared" si="56"/>
        <v/>
      </c>
      <c r="R477" s="139" t="str">
        <f t="shared" si="57"/>
        <v/>
      </c>
      <c r="S477" s="128" t="str">
        <f t="shared" si="51"/>
        <v/>
      </c>
      <c r="T477" s="140" t="str">
        <f t="shared" si="52"/>
        <v/>
      </c>
      <c r="U477" s="141" t="str">
        <f t="shared" si="53"/>
        <v/>
      </c>
      <c r="V477" s="141" t="str">
        <f t="shared" si="54"/>
        <v/>
      </c>
      <c r="W477" s="142"/>
      <c r="X477" s="186" t="str">
        <f t="shared" si="55"/>
        <v/>
      </c>
    </row>
    <row r="478" spans="1:24" s="147" customFormat="1">
      <c r="A478" s="171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38"/>
      <c r="Q478" s="255" t="str">
        <f t="shared" si="56"/>
        <v/>
      </c>
      <c r="R478" s="139" t="str">
        <f t="shared" si="57"/>
        <v/>
      </c>
      <c r="S478" s="128" t="str">
        <f t="shared" si="51"/>
        <v/>
      </c>
      <c r="T478" s="140" t="str">
        <f t="shared" si="52"/>
        <v/>
      </c>
      <c r="U478" s="141" t="str">
        <f t="shared" si="53"/>
        <v/>
      </c>
      <c r="V478" s="141" t="str">
        <f t="shared" si="54"/>
        <v/>
      </c>
      <c r="W478" s="142"/>
      <c r="X478" s="186" t="str">
        <f t="shared" si="55"/>
        <v/>
      </c>
    </row>
    <row r="479" spans="1:24" s="147" customFormat="1">
      <c r="A479" s="170"/>
      <c r="B479" s="145"/>
      <c r="C479" s="145"/>
      <c r="D479" s="145"/>
      <c r="E479" s="150"/>
      <c r="F479" s="145"/>
      <c r="G479" s="145"/>
      <c r="H479" s="145"/>
      <c r="I479" s="145"/>
      <c r="J479" s="145"/>
      <c r="K479" s="145"/>
      <c r="L479" s="145"/>
      <c r="M479" s="145"/>
      <c r="N479" s="149"/>
      <c r="O479" s="145"/>
      <c r="P479" s="138"/>
      <c r="Q479" s="255" t="str">
        <f t="shared" si="56"/>
        <v/>
      </c>
      <c r="R479" s="139" t="str">
        <f t="shared" si="57"/>
        <v/>
      </c>
      <c r="S479" s="128" t="str">
        <f t="shared" si="51"/>
        <v/>
      </c>
      <c r="T479" s="140" t="str">
        <f t="shared" si="52"/>
        <v/>
      </c>
      <c r="U479" s="141" t="str">
        <f t="shared" si="53"/>
        <v/>
      </c>
      <c r="V479" s="141" t="str">
        <f t="shared" si="54"/>
        <v/>
      </c>
      <c r="W479" s="142"/>
      <c r="X479" s="186" t="str">
        <f t="shared" si="55"/>
        <v/>
      </c>
    </row>
    <row r="480" spans="1:24" s="147" customFormat="1">
      <c r="A480" s="172"/>
      <c r="B480" s="151"/>
      <c r="C480" s="151"/>
      <c r="D480" s="151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38"/>
      <c r="Q480" s="255" t="str">
        <f t="shared" si="56"/>
        <v/>
      </c>
      <c r="R480" s="139" t="str">
        <f t="shared" si="57"/>
        <v/>
      </c>
      <c r="S480" s="128" t="str">
        <f t="shared" si="51"/>
        <v/>
      </c>
      <c r="T480" s="140" t="str">
        <f t="shared" si="52"/>
        <v/>
      </c>
      <c r="U480" s="141" t="str">
        <f t="shared" si="53"/>
        <v/>
      </c>
      <c r="V480" s="141" t="str">
        <f t="shared" si="54"/>
        <v/>
      </c>
      <c r="W480" s="142"/>
      <c r="X480" s="186" t="str">
        <f t="shared" si="55"/>
        <v/>
      </c>
    </row>
    <row r="481" spans="1:24" s="147" customFormat="1">
      <c r="A481" s="170"/>
      <c r="B481" s="145"/>
      <c r="C481" s="145"/>
      <c r="D481" s="145"/>
      <c r="E481" s="150"/>
      <c r="F481" s="145"/>
      <c r="G481" s="145"/>
      <c r="H481" s="145"/>
      <c r="I481" s="145"/>
      <c r="J481" s="145"/>
      <c r="K481" s="145"/>
      <c r="L481" s="145"/>
      <c r="M481" s="145"/>
      <c r="N481" s="146"/>
      <c r="O481" s="145"/>
      <c r="P481" s="138"/>
      <c r="Q481" s="255" t="str">
        <f t="shared" si="56"/>
        <v/>
      </c>
      <c r="R481" s="139" t="str">
        <f t="shared" si="57"/>
        <v/>
      </c>
      <c r="S481" s="128" t="str">
        <f t="shared" si="51"/>
        <v/>
      </c>
      <c r="T481" s="140" t="str">
        <f t="shared" si="52"/>
        <v/>
      </c>
      <c r="U481" s="141" t="str">
        <f t="shared" si="53"/>
        <v/>
      </c>
      <c r="V481" s="141" t="str">
        <f t="shared" si="54"/>
        <v/>
      </c>
      <c r="W481" s="142"/>
      <c r="X481" s="186" t="str">
        <f t="shared" si="55"/>
        <v/>
      </c>
    </row>
    <row r="482" spans="1:24" s="147" customFormat="1">
      <c r="A482" s="170"/>
      <c r="B482" s="145"/>
      <c r="C482" s="145"/>
      <c r="D482" s="145"/>
      <c r="E482" s="150"/>
      <c r="F482" s="145"/>
      <c r="G482" s="145"/>
      <c r="H482" s="145"/>
      <c r="I482" s="145"/>
      <c r="J482" s="145"/>
      <c r="K482" s="145"/>
      <c r="L482" s="145"/>
      <c r="M482" s="145"/>
      <c r="N482" s="146"/>
      <c r="O482" s="145"/>
      <c r="P482" s="138"/>
      <c r="Q482" s="255" t="str">
        <f t="shared" si="56"/>
        <v/>
      </c>
      <c r="R482" s="139" t="str">
        <f t="shared" si="57"/>
        <v/>
      </c>
      <c r="S482" s="128" t="str">
        <f t="shared" si="51"/>
        <v/>
      </c>
      <c r="T482" s="140" t="str">
        <f t="shared" si="52"/>
        <v/>
      </c>
      <c r="U482" s="141" t="str">
        <f t="shared" si="53"/>
        <v/>
      </c>
      <c r="V482" s="141" t="str">
        <f t="shared" si="54"/>
        <v/>
      </c>
      <c r="W482" s="142"/>
      <c r="X482" s="186" t="str">
        <f t="shared" si="55"/>
        <v/>
      </c>
    </row>
    <row r="483" spans="1:24" s="147" customFormat="1">
      <c r="A483" s="170"/>
      <c r="B483" s="145"/>
      <c r="C483" s="145"/>
      <c r="D483" s="145"/>
      <c r="E483" s="150"/>
      <c r="F483" s="145"/>
      <c r="G483" s="145"/>
      <c r="H483" s="145"/>
      <c r="I483" s="145"/>
      <c r="J483" s="145"/>
      <c r="K483" s="145"/>
      <c r="L483" s="145"/>
      <c r="M483" s="145"/>
      <c r="N483" s="146"/>
      <c r="O483" s="145"/>
      <c r="P483" s="138"/>
      <c r="Q483" s="255" t="str">
        <f t="shared" si="56"/>
        <v/>
      </c>
      <c r="R483" s="139" t="str">
        <f t="shared" si="57"/>
        <v/>
      </c>
      <c r="S483" s="128" t="str">
        <f t="shared" si="51"/>
        <v/>
      </c>
      <c r="T483" s="140" t="str">
        <f t="shared" si="52"/>
        <v/>
      </c>
      <c r="U483" s="141" t="str">
        <f t="shared" si="53"/>
        <v/>
      </c>
      <c r="V483" s="141" t="str">
        <f t="shared" si="54"/>
        <v/>
      </c>
      <c r="W483" s="142"/>
      <c r="X483" s="186" t="str">
        <f t="shared" si="55"/>
        <v/>
      </c>
    </row>
    <row r="484" spans="1:24" s="147" customFormat="1">
      <c r="A484" s="170"/>
      <c r="B484" s="145"/>
      <c r="C484" s="145"/>
      <c r="D484" s="145"/>
      <c r="E484" s="150"/>
      <c r="F484" s="145"/>
      <c r="G484" s="145"/>
      <c r="H484" s="145"/>
      <c r="I484" s="145"/>
      <c r="J484" s="145"/>
      <c r="K484" s="145"/>
      <c r="L484" s="145"/>
      <c r="M484" s="145"/>
      <c r="N484" s="146"/>
      <c r="O484" s="145"/>
      <c r="P484" s="138"/>
      <c r="Q484" s="255" t="str">
        <f t="shared" si="56"/>
        <v/>
      </c>
      <c r="R484" s="139" t="str">
        <f t="shared" si="57"/>
        <v/>
      </c>
      <c r="S484" s="128" t="str">
        <f t="shared" si="51"/>
        <v/>
      </c>
      <c r="T484" s="140" t="str">
        <f t="shared" si="52"/>
        <v/>
      </c>
      <c r="U484" s="141" t="str">
        <f t="shared" si="53"/>
        <v/>
      </c>
      <c r="V484" s="141" t="str">
        <f t="shared" si="54"/>
        <v/>
      </c>
      <c r="W484" s="142"/>
      <c r="X484" s="186" t="str">
        <f t="shared" si="55"/>
        <v/>
      </c>
    </row>
    <row r="485" spans="1:24" s="147" customFormat="1">
      <c r="A485" s="170"/>
      <c r="B485" s="145"/>
      <c r="C485" s="145"/>
      <c r="D485" s="145"/>
      <c r="E485" s="150"/>
      <c r="F485" s="145"/>
      <c r="G485" s="145"/>
      <c r="H485" s="145"/>
      <c r="I485" s="145"/>
      <c r="J485" s="145"/>
      <c r="K485" s="145"/>
      <c r="L485" s="145"/>
      <c r="M485" s="145"/>
      <c r="N485" s="146"/>
      <c r="O485" s="145"/>
      <c r="P485" s="138"/>
      <c r="Q485" s="255" t="str">
        <f t="shared" si="56"/>
        <v/>
      </c>
      <c r="R485" s="139" t="str">
        <f t="shared" si="57"/>
        <v/>
      </c>
      <c r="S485" s="128" t="str">
        <f t="shared" si="51"/>
        <v/>
      </c>
      <c r="T485" s="140" t="str">
        <f t="shared" si="52"/>
        <v/>
      </c>
      <c r="U485" s="141" t="str">
        <f t="shared" si="53"/>
        <v/>
      </c>
      <c r="V485" s="141" t="str">
        <f t="shared" si="54"/>
        <v/>
      </c>
      <c r="W485" s="142"/>
      <c r="X485" s="186" t="str">
        <f t="shared" si="55"/>
        <v/>
      </c>
    </row>
    <row r="486" spans="1:24" s="147" customFormat="1">
      <c r="A486" s="171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38"/>
      <c r="Q486" s="255" t="str">
        <f t="shared" si="56"/>
        <v/>
      </c>
      <c r="R486" s="139" t="str">
        <f t="shared" si="57"/>
        <v/>
      </c>
      <c r="S486" s="128" t="str">
        <f t="shared" si="51"/>
        <v/>
      </c>
      <c r="T486" s="140" t="str">
        <f t="shared" si="52"/>
        <v/>
      </c>
      <c r="U486" s="141" t="str">
        <f t="shared" si="53"/>
        <v/>
      </c>
      <c r="V486" s="141" t="str">
        <f t="shared" si="54"/>
        <v/>
      </c>
      <c r="W486" s="142"/>
      <c r="X486" s="186" t="str">
        <f t="shared" si="55"/>
        <v/>
      </c>
    </row>
    <row r="487" spans="1:24" s="147" customFormat="1">
      <c r="A487" s="170"/>
      <c r="B487" s="145"/>
      <c r="C487" s="145"/>
      <c r="D487" s="145"/>
      <c r="E487" s="150"/>
      <c r="F487" s="145"/>
      <c r="G487" s="145"/>
      <c r="H487" s="145"/>
      <c r="I487" s="145"/>
      <c r="J487" s="145"/>
      <c r="K487" s="145"/>
      <c r="L487" s="145"/>
      <c r="M487" s="145"/>
      <c r="N487" s="149"/>
      <c r="O487" s="145"/>
      <c r="P487" s="138"/>
      <c r="Q487" s="255" t="str">
        <f t="shared" si="56"/>
        <v/>
      </c>
      <c r="R487" s="139" t="str">
        <f t="shared" si="57"/>
        <v/>
      </c>
      <c r="S487" s="128" t="str">
        <f t="shared" si="51"/>
        <v/>
      </c>
      <c r="T487" s="140" t="str">
        <f t="shared" si="52"/>
        <v/>
      </c>
      <c r="U487" s="141" t="str">
        <f t="shared" si="53"/>
        <v/>
      </c>
      <c r="V487" s="141" t="str">
        <f t="shared" si="54"/>
        <v/>
      </c>
      <c r="W487" s="142"/>
      <c r="X487" s="186" t="str">
        <f t="shared" si="55"/>
        <v/>
      </c>
    </row>
    <row r="488" spans="1:24" s="147" customFormat="1">
      <c r="A488" s="172"/>
      <c r="B488" s="151"/>
      <c r="C488" s="151"/>
      <c r="D488" s="151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38"/>
      <c r="Q488" s="255" t="str">
        <f t="shared" si="56"/>
        <v/>
      </c>
      <c r="R488" s="139" t="str">
        <f t="shared" si="57"/>
        <v/>
      </c>
      <c r="S488" s="128" t="str">
        <f t="shared" si="51"/>
        <v/>
      </c>
      <c r="T488" s="140" t="str">
        <f t="shared" si="52"/>
        <v/>
      </c>
      <c r="U488" s="141" t="str">
        <f t="shared" si="53"/>
        <v/>
      </c>
      <c r="V488" s="141" t="str">
        <f t="shared" si="54"/>
        <v/>
      </c>
      <c r="W488" s="142"/>
      <c r="X488" s="186" t="str">
        <f t="shared" si="55"/>
        <v/>
      </c>
    </row>
    <row r="489" spans="1:24" s="147" customFormat="1">
      <c r="A489" s="170"/>
      <c r="B489" s="145"/>
      <c r="C489" s="145"/>
      <c r="D489" s="145"/>
      <c r="E489" s="150"/>
      <c r="F489" s="145"/>
      <c r="G489" s="145"/>
      <c r="H489" s="145"/>
      <c r="I489" s="145"/>
      <c r="J489" s="145"/>
      <c r="K489" s="145"/>
      <c r="L489" s="145"/>
      <c r="M489" s="145"/>
      <c r="N489" s="146"/>
      <c r="O489" s="145"/>
      <c r="P489" s="138"/>
      <c r="Q489" s="255" t="str">
        <f t="shared" si="56"/>
        <v/>
      </c>
      <c r="R489" s="139" t="str">
        <f t="shared" si="57"/>
        <v/>
      </c>
      <c r="S489" s="128" t="str">
        <f t="shared" si="51"/>
        <v/>
      </c>
      <c r="T489" s="140" t="str">
        <f t="shared" si="52"/>
        <v/>
      </c>
      <c r="U489" s="141" t="str">
        <f t="shared" si="53"/>
        <v/>
      </c>
      <c r="V489" s="141" t="str">
        <f t="shared" si="54"/>
        <v/>
      </c>
      <c r="W489" s="142"/>
      <c r="X489" s="186" t="str">
        <f t="shared" si="55"/>
        <v/>
      </c>
    </row>
    <row r="490" spans="1:24" s="147" customFormat="1">
      <c r="A490" s="170"/>
      <c r="B490" s="145"/>
      <c r="C490" s="145"/>
      <c r="D490" s="145"/>
      <c r="E490" s="150"/>
      <c r="F490" s="145"/>
      <c r="G490" s="145"/>
      <c r="H490" s="145"/>
      <c r="I490" s="145"/>
      <c r="J490" s="145"/>
      <c r="K490" s="145"/>
      <c r="L490" s="145"/>
      <c r="M490" s="145"/>
      <c r="N490" s="149"/>
      <c r="O490" s="145"/>
      <c r="P490" s="138"/>
      <c r="Q490" s="255" t="str">
        <f t="shared" si="56"/>
        <v/>
      </c>
      <c r="R490" s="139" t="str">
        <f t="shared" si="57"/>
        <v/>
      </c>
      <c r="S490" s="128" t="str">
        <f t="shared" si="51"/>
        <v/>
      </c>
      <c r="T490" s="140" t="str">
        <f t="shared" si="52"/>
        <v/>
      </c>
      <c r="U490" s="141" t="str">
        <f t="shared" si="53"/>
        <v/>
      </c>
      <c r="V490" s="141" t="str">
        <f t="shared" si="54"/>
        <v/>
      </c>
      <c r="W490" s="142"/>
      <c r="X490" s="186" t="str">
        <f t="shared" si="55"/>
        <v/>
      </c>
    </row>
    <row r="491" spans="1:24" s="147" customFormat="1">
      <c r="A491" s="172"/>
      <c r="B491" s="151"/>
      <c r="C491" s="151"/>
      <c r="D491" s="151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38"/>
      <c r="Q491" s="255" t="str">
        <f t="shared" si="56"/>
        <v/>
      </c>
      <c r="R491" s="139" t="str">
        <f t="shared" si="57"/>
        <v/>
      </c>
      <c r="S491" s="128" t="str">
        <f t="shared" si="51"/>
        <v/>
      </c>
      <c r="T491" s="140" t="str">
        <f t="shared" si="52"/>
        <v/>
      </c>
      <c r="U491" s="141" t="str">
        <f t="shared" si="53"/>
        <v/>
      </c>
      <c r="V491" s="141" t="str">
        <f t="shared" si="54"/>
        <v/>
      </c>
      <c r="W491" s="142"/>
      <c r="X491" s="186" t="str">
        <f t="shared" si="55"/>
        <v/>
      </c>
    </row>
    <row r="492" spans="1:24" s="147" customFormat="1">
      <c r="A492" s="170"/>
      <c r="B492" s="145"/>
      <c r="C492" s="145"/>
      <c r="D492" s="145"/>
      <c r="E492" s="150"/>
      <c r="F492" s="145"/>
      <c r="G492" s="145"/>
      <c r="H492" s="145"/>
      <c r="I492" s="145"/>
      <c r="J492" s="145"/>
      <c r="K492" s="145"/>
      <c r="L492" s="145"/>
      <c r="M492" s="145"/>
      <c r="N492" s="146"/>
      <c r="O492" s="145"/>
      <c r="P492" s="138"/>
      <c r="Q492" s="255" t="str">
        <f t="shared" si="56"/>
        <v/>
      </c>
      <c r="R492" s="139" t="str">
        <f t="shared" si="57"/>
        <v/>
      </c>
      <c r="S492" s="128" t="str">
        <f t="shared" si="51"/>
        <v/>
      </c>
      <c r="T492" s="140" t="str">
        <f t="shared" si="52"/>
        <v/>
      </c>
      <c r="U492" s="141" t="str">
        <f t="shared" si="53"/>
        <v/>
      </c>
      <c r="V492" s="141" t="str">
        <f t="shared" si="54"/>
        <v/>
      </c>
      <c r="W492" s="142"/>
      <c r="X492" s="186" t="str">
        <f t="shared" si="55"/>
        <v/>
      </c>
    </row>
    <row r="493" spans="1:24" s="147" customFormat="1">
      <c r="A493" s="170"/>
      <c r="B493" s="145"/>
      <c r="C493" s="145"/>
      <c r="D493" s="145"/>
      <c r="E493" s="150"/>
      <c r="F493" s="145"/>
      <c r="G493" s="145"/>
      <c r="H493" s="145"/>
      <c r="I493" s="145"/>
      <c r="J493" s="145"/>
      <c r="K493" s="145"/>
      <c r="L493" s="145"/>
      <c r="M493" s="145"/>
      <c r="N493" s="149"/>
      <c r="O493" s="145"/>
      <c r="P493" s="138"/>
      <c r="Q493" s="255" t="str">
        <f t="shared" si="56"/>
        <v/>
      </c>
      <c r="R493" s="139" t="str">
        <f t="shared" si="57"/>
        <v/>
      </c>
      <c r="S493" s="128" t="str">
        <f t="shared" si="51"/>
        <v/>
      </c>
      <c r="T493" s="140" t="str">
        <f t="shared" si="52"/>
        <v/>
      </c>
      <c r="U493" s="141" t="str">
        <f t="shared" si="53"/>
        <v/>
      </c>
      <c r="V493" s="141" t="str">
        <f t="shared" si="54"/>
        <v/>
      </c>
      <c r="W493" s="142"/>
      <c r="X493" s="186" t="str">
        <f t="shared" si="55"/>
        <v/>
      </c>
    </row>
    <row r="494" spans="1:24" s="147" customFormat="1">
      <c r="A494" s="172"/>
      <c r="B494" s="151"/>
      <c r="C494" s="151"/>
      <c r="D494" s="151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38"/>
      <c r="Q494" s="255" t="str">
        <f t="shared" si="56"/>
        <v/>
      </c>
      <c r="R494" s="139" t="str">
        <f t="shared" si="57"/>
        <v/>
      </c>
      <c r="S494" s="128" t="str">
        <f t="shared" si="51"/>
        <v/>
      </c>
      <c r="T494" s="140" t="str">
        <f t="shared" si="52"/>
        <v/>
      </c>
      <c r="U494" s="141" t="str">
        <f t="shared" si="53"/>
        <v/>
      </c>
      <c r="V494" s="141" t="str">
        <f t="shared" si="54"/>
        <v/>
      </c>
      <c r="W494" s="142"/>
      <c r="X494" s="186" t="str">
        <f t="shared" si="55"/>
        <v/>
      </c>
    </row>
    <row r="495" spans="1:24" s="147" customFormat="1">
      <c r="A495" s="170"/>
      <c r="B495" s="145"/>
      <c r="C495" s="145"/>
      <c r="D495" s="145"/>
      <c r="E495" s="150"/>
      <c r="F495" s="145"/>
      <c r="G495" s="145"/>
      <c r="H495" s="145"/>
      <c r="I495" s="145"/>
      <c r="J495" s="145"/>
      <c r="K495" s="145"/>
      <c r="L495" s="145"/>
      <c r="M495" s="145"/>
      <c r="N495" s="146"/>
      <c r="O495" s="145"/>
      <c r="P495" s="138"/>
      <c r="Q495" s="255" t="str">
        <f t="shared" si="56"/>
        <v/>
      </c>
      <c r="R495" s="139" t="str">
        <f t="shared" si="57"/>
        <v/>
      </c>
      <c r="S495" s="128" t="str">
        <f t="shared" si="51"/>
        <v/>
      </c>
      <c r="T495" s="140" t="str">
        <f t="shared" si="52"/>
        <v/>
      </c>
      <c r="U495" s="141" t="str">
        <f t="shared" si="53"/>
        <v/>
      </c>
      <c r="V495" s="141" t="str">
        <f t="shared" si="54"/>
        <v/>
      </c>
      <c r="W495" s="142"/>
      <c r="X495" s="186" t="str">
        <f t="shared" si="55"/>
        <v/>
      </c>
    </row>
    <row r="496" spans="1:24" s="147" customFormat="1">
      <c r="A496" s="170"/>
      <c r="B496" s="145"/>
      <c r="C496" s="145"/>
      <c r="D496" s="149"/>
      <c r="E496" s="150"/>
      <c r="F496" s="145"/>
      <c r="G496" s="145"/>
      <c r="H496" s="145"/>
      <c r="I496" s="145"/>
      <c r="J496" s="145"/>
      <c r="K496" s="145"/>
      <c r="L496" s="145"/>
      <c r="M496" s="145"/>
      <c r="N496" s="149"/>
      <c r="O496" s="145"/>
      <c r="P496" s="138"/>
      <c r="Q496" s="255" t="str">
        <f t="shared" si="56"/>
        <v/>
      </c>
      <c r="R496" s="139" t="str">
        <f t="shared" si="57"/>
        <v/>
      </c>
      <c r="S496" s="128" t="str">
        <f t="shared" si="51"/>
        <v/>
      </c>
      <c r="T496" s="140" t="str">
        <f t="shared" si="52"/>
        <v/>
      </c>
      <c r="U496" s="141" t="str">
        <f t="shared" si="53"/>
        <v/>
      </c>
      <c r="V496" s="141" t="str">
        <f t="shared" si="54"/>
        <v/>
      </c>
      <c r="W496" s="142"/>
      <c r="X496" s="186" t="str">
        <f t="shared" si="55"/>
        <v/>
      </c>
    </row>
    <row r="497" spans="1:24" s="147" customFormat="1">
      <c r="A497" s="170"/>
      <c r="B497" s="145"/>
      <c r="C497" s="145"/>
      <c r="D497" s="146"/>
      <c r="E497" s="150"/>
      <c r="F497" s="145"/>
      <c r="G497" s="145"/>
      <c r="H497" s="145"/>
      <c r="I497" s="145"/>
      <c r="J497" s="145"/>
      <c r="K497" s="145"/>
      <c r="L497" s="145"/>
      <c r="M497" s="145"/>
      <c r="N497" s="146"/>
      <c r="O497" s="145"/>
      <c r="P497" s="138"/>
      <c r="Q497" s="255" t="str">
        <f t="shared" si="56"/>
        <v/>
      </c>
      <c r="R497" s="139" t="str">
        <f t="shared" si="57"/>
        <v/>
      </c>
      <c r="S497" s="128" t="str">
        <f t="shared" si="51"/>
        <v/>
      </c>
      <c r="T497" s="140" t="str">
        <f t="shared" si="52"/>
        <v/>
      </c>
      <c r="U497" s="141" t="str">
        <f t="shared" si="53"/>
        <v/>
      </c>
      <c r="V497" s="141" t="str">
        <f t="shared" si="54"/>
        <v/>
      </c>
      <c r="W497" s="142"/>
      <c r="X497" s="186" t="str">
        <f t="shared" si="55"/>
        <v/>
      </c>
    </row>
    <row r="498" spans="1:24" s="147" customFormat="1">
      <c r="A498" s="172"/>
      <c r="B498" s="151"/>
      <c r="C498" s="151"/>
      <c r="D498" s="151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38"/>
      <c r="Q498" s="255" t="str">
        <f t="shared" si="56"/>
        <v/>
      </c>
      <c r="R498" s="139" t="str">
        <f t="shared" si="57"/>
        <v/>
      </c>
      <c r="S498" s="128" t="str">
        <f t="shared" si="51"/>
        <v/>
      </c>
      <c r="T498" s="140" t="str">
        <f t="shared" si="52"/>
        <v/>
      </c>
      <c r="U498" s="141" t="str">
        <f t="shared" si="53"/>
        <v/>
      </c>
      <c r="V498" s="141" t="str">
        <f t="shared" si="54"/>
        <v/>
      </c>
      <c r="W498" s="142"/>
      <c r="X498" s="186" t="str">
        <f t="shared" si="55"/>
        <v/>
      </c>
    </row>
    <row r="499" spans="1:24" s="147" customFormat="1">
      <c r="A499" s="170"/>
      <c r="B499" s="145"/>
      <c r="C499" s="145"/>
      <c r="D499" s="145"/>
      <c r="E499" s="150"/>
      <c r="F499" s="145"/>
      <c r="G499" s="145"/>
      <c r="H499" s="145"/>
      <c r="I499" s="145"/>
      <c r="J499" s="145"/>
      <c r="K499" s="145"/>
      <c r="L499" s="145"/>
      <c r="M499" s="145"/>
      <c r="N499" s="149"/>
      <c r="O499" s="145"/>
      <c r="P499" s="138"/>
      <c r="Q499" s="255" t="str">
        <f t="shared" si="56"/>
        <v/>
      </c>
      <c r="R499" s="139" t="str">
        <f t="shared" si="57"/>
        <v/>
      </c>
      <c r="S499" s="128" t="str">
        <f t="shared" si="51"/>
        <v/>
      </c>
      <c r="T499" s="140" t="str">
        <f t="shared" si="52"/>
        <v/>
      </c>
      <c r="U499" s="141" t="str">
        <f t="shared" si="53"/>
        <v/>
      </c>
      <c r="V499" s="141" t="str">
        <f t="shared" si="54"/>
        <v/>
      </c>
      <c r="W499" s="142"/>
      <c r="X499" s="186" t="str">
        <f t="shared" si="55"/>
        <v/>
      </c>
    </row>
    <row r="500" spans="1:24" s="147" customFormat="1">
      <c r="A500" s="172"/>
      <c r="B500" s="151"/>
      <c r="C500" s="151"/>
      <c r="D500" s="151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38"/>
      <c r="Q500" s="255" t="str">
        <f t="shared" si="56"/>
        <v/>
      </c>
      <c r="R500" s="139" t="str">
        <f t="shared" si="57"/>
        <v/>
      </c>
      <c r="S500" s="128" t="str">
        <f t="shared" si="51"/>
        <v/>
      </c>
      <c r="T500" s="140" t="str">
        <f t="shared" si="52"/>
        <v/>
      </c>
      <c r="U500" s="141" t="str">
        <f t="shared" si="53"/>
        <v/>
      </c>
      <c r="V500" s="141" t="str">
        <f t="shared" si="54"/>
        <v/>
      </c>
      <c r="W500" s="142"/>
      <c r="X500" s="186" t="str">
        <f t="shared" si="55"/>
        <v/>
      </c>
    </row>
    <row r="501" spans="1:24" s="147" customFormat="1">
      <c r="A501" s="170"/>
      <c r="B501" s="145"/>
      <c r="C501" s="145"/>
      <c r="D501" s="145"/>
      <c r="E501" s="150"/>
      <c r="F501" s="145"/>
      <c r="G501" s="145"/>
      <c r="H501" s="145"/>
      <c r="I501" s="145"/>
      <c r="J501" s="145"/>
      <c r="K501" s="145"/>
      <c r="L501" s="145"/>
      <c r="M501" s="145"/>
      <c r="N501" s="146"/>
      <c r="O501" s="145"/>
      <c r="P501" s="138"/>
      <c r="Q501" s="255" t="str">
        <f t="shared" si="56"/>
        <v/>
      </c>
      <c r="R501" s="139" t="str">
        <f t="shared" si="57"/>
        <v/>
      </c>
      <c r="S501" s="128" t="str">
        <f t="shared" si="51"/>
        <v/>
      </c>
      <c r="T501" s="140" t="str">
        <f t="shared" si="52"/>
        <v/>
      </c>
      <c r="U501" s="141" t="str">
        <f t="shared" si="53"/>
        <v/>
      </c>
      <c r="V501" s="141" t="str">
        <f t="shared" si="54"/>
        <v/>
      </c>
      <c r="W501" s="142"/>
      <c r="X501" s="186" t="str">
        <f t="shared" si="55"/>
        <v/>
      </c>
    </row>
    <row r="502" spans="1:24" s="147" customFormat="1">
      <c r="A502" s="170"/>
      <c r="B502" s="145"/>
      <c r="C502" s="145"/>
      <c r="D502" s="146"/>
      <c r="E502" s="150"/>
      <c r="F502" s="145"/>
      <c r="G502" s="145"/>
      <c r="H502" s="145"/>
      <c r="I502" s="145"/>
      <c r="J502" s="145"/>
      <c r="K502" s="145"/>
      <c r="L502" s="145"/>
      <c r="M502" s="145"/>
      <c r="N502" s="146"/>
      <c r="O502" s="145"/>
      <c r="P502" s="138"/>
      <c r="Q502" s="255" t="str">
        <f t="shared" si="56"/>
        <v/>
      </c>
      <c r="R502" s="139" t="str">
        <f t="shared" si="57"/>
        <v/>
      </c>
      <c r="S502" s="128" t="str">
        <f t="shared" si="51"/>
        <v/>
      </c>
      <c r="T502" s="140" t="str">
        <f t="shared" si="52"/>
        <v/>
      </c>
      <c r="U502" s="141" t="str">
        <f t="shared" si="53"/>
        <v/>
      </c>
      <c r="V502" s="141" t="str">
        <f t="shared" si="54"/>
        <v/>
      </c>
      <c r="W502" s="142"/>
      <c r="X502" s="186" t="str">
        <f t="shared" si="55"/>
        <v/>
      </c>
    </row>
    <row r="503" spans="1:24" s="147" customFormat="1">
      <c r="A503" s="172"/>
      <c r="B503" s="151"/>
      <c r="C503" s="151"/>
      <c r="D503" s="151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38"/>
      <c r="Q503" s="255" t="str">
        <f t="shared" si="56"/>
        <v/>
      </c>
      <c r="R503" s="139" t="str">
        <f t="shared" si="57"/>
        <v/>
      </c>
      <c r="S503" s="128" t="str">
        <f t="shared" si="51"/>
        <v/>
      </c>
      <c r="T503" s="140" t="str">
        <f t="shared" si="52"/>
        <v/>
      </c>
      <c r="U503" s="141" t="str">
        <f t="shared" si="53"/>
        <v/>
      </c>
      <c r="V503" s="141" t="str">
        <f t="shared" si="54"/>
        <v/>
      </c>
      <c r="W503" s="142"/>
      <c r="X503" s="186" t="str">
        <f t="shared" si="55"/>
        <v/>
      </c>
    </row>
    <row r="504" spans="1:24" s="147" customFormat="1">
      <c r="A504" s="170"/>
      <c r="B504" s="145"/>
      <c r="C504" s="145"/>
      <c r="D504" s="146"/>
      <c r="E504" s="150"/>
      <c r="F504" s="145"/>
      <c r="G504" s="145"/>
      <c r="H504" s="145"/>
      <c r="I504" s="145"/>
      <c r="J504" s="145"/>
      <c r="K504" s="145"/>
      <c r="L504" s="145"/>
      <c r="M504" s="145"/>
      <c r="N504" s="146"/>
      <c r="O504" s="145"/>
      <c r="P504" s="138"/>
      <c r="Q504" s="255" t="str">
        <f t="shared" si="56"/>
        <v/>
      </c>
      <c r="R504" s="139" t="str">
        <f t="shared" si="57"/>
        <v/>
      </c>
      <c r="S504" s="128" t="str">
        <f t="shared" si="51"/>
        <v/>
      </c>
      <c r="T504" s="140" t="str">
        <f t="shared" si="52"/>
        <v/>
      </c>
      <c r="U504" s="141" t="str">
        <f t="shared" si="53"/>
        <v/>
      </c>
      <c r="V504" s="141" t="str">
        <f t="shared" si="54"/>
        <v/>
      </c>
      <c r="W504" s="142"/>
      <c r="X504" s="186" t="str">
        <f t="shared" si="55"/>
        <v/>
      </c>
    </row>
    <row r="505" spans="1:24" s="147" customFormat="1">
      <c r="A505" s="172"/>
      <c r="B505" s="151"/>
      <c r="C505" s="151"/>
      <c r="D505" s="151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38"/>
      <c r="Q505" s="255" t="str">
        <f t="shared" si="56"/>
        <v/>
      </c>
      <c r="R505" s="139" t="str">
        <f t="shared" si="57"/>
        <v/>
      </c>
      <c r="S505" s="128" t="str">
        <f t="shared" si="51"/>
        <v/>
      </c>
      <c r="T505" s="140" t="str">
        <f t="shared" si="52"/>
        <v/>
      </c>
      <c r="U505" s="141" t="str">
        <f t="shared" si="53"/>
        <v/>
      </c>
      <c r="V505" s="141" t="str">
        <f t="shared" si="54"/>
        <v/>
      </c>
      <c r="W505" s="142"/>
      <c r="X505" s="186" t="str">
        <f t="shared" si="55"/>
        <v/>
      </c>
    </row>
    <row r="506" spans="1:24" s="147" customFormat="1">
      <c r="A506" s="170"/>
      <c r="B506" s="145"/>
      <c r="C506" s="145"/>
      <c r="D506" s="145"/>
      <c r="E506" s="150"/>
      <c r="F506" s="145"/>
      <c r="G506" s="145"/>
      <c r="H506" s="145"/>
      <c r="I506" s="145"/>
      <c r="J506" s="145"/>
      <c r="K506" s="145"/>
      <c r="L506" s="145"/>
      <c r="M506" s="145"/>
      <c r="N506" s="149"/>
      <c r="O506" s="145"/>
      <c r="P506" s="138"/>
      <c r="Q506" s="255" t="str">
        <f t="shared" si="56"/>
        <v/>
      </c>
      <c r="R506" s="139" t="str">
        <f t="shared" si="57"/>
        <v/>
      </c>
      <c r="S506" s="128" t="str">
        <f t="shared" si="51"/>
        <v/>
      </c>
      <c r="T506" s="140" t="str">
        <f t="shared" si="52"/>
        <v/>
      </c>
      <c r="U506" s="141" t="str">
        <f t="shared" si="53"/>
        <v/>
      </c>
      <c r="V506" s="141" t="str">
        <f t="shared" si="54"/>
        <v/>
      </c>
      <c r="W506" s="142"/>
      <c r="X506" s="186" t="str">
        <f t="shared" si="55"/>
        <v/>
      </c>
    </row>
    <row r="507" spans="1:24" s="147" customFormat="1">
      <c r="A507" s="172"/>
      <c r="B507" s="151"/>
      <c r="C507" s="151"/>
      <c r="D507" s="151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38"/>
      <c r="Q507" s="255" t="str">
        <f t="shared" si="56"/>
        <v/>
      </c>
      <c r="R507" s="139" t="str">
        <f t="shared" si="57"/>
        <v/>
      </c>
      <c r="S507" s="128" t="str">
        <f t="shared" si="51"/>
        <v/>
      </c>
      <c r="T507" s="140" t="str">
        <f t="shared" si="52"/>
        <v/>
      </c>
      <c r="U507" s="141" t="str">
        <f t="shared" si="53"/>
        <v/>
      </c>
      <c r="V507" s="141" t="str">
        <f t="shared" si="54"/>
        <v/>
      </c>
      <c r="W507" s="142"/>
      <c r="X507" s="186" t="str">
        <f t="shared" si="55"/>
        <v/>
      </c>
    </row>
    <row r="508" spans="1:24" s="147" customFormat="1">
      <c r="A508" s="170"/>
      <c r="B508" s="145"/>
      <c r="C508" s="145"/>
      <c r="D508" s="145"/>
      <c r="E508" s="150"/>
      <c r="F508" s="145"/>
      <c r="G508" s="145"/>
      <c r="H508" s="145"/>
      <c r="I508" s="145"/>
      <c r="J508" s="145"/>
      <c r="K508" s="145"/>
      <c r="L508" s="145"/>
      <c r="M508" s="145"/>
      <c r="N508" s="146"/>
      <c r="O508" s="145"/>
      <c r="P508" s="138"/>
      <c r="Q508" s="255" t="str">
        <f t="shared" si="56"/>
        <v/>
      </c>
      <c r="R508" s="139" t="str">
        <f t="shared" si="57"/>
        <v/>
      </c>
      <c r="S508" s="128" t="str">
        <f t="shared" si="51"/>
        <v/>
      </c>
      <c r="T508" s="140" t="str">
        <f t="shared" si="52"/>
        <v/>
      </c>
      <c r="U508" s="141" t="str">
        <f t="shared" si="53"/>
        <v/>
      </c>
      <c r="V508" s="141" t="str">
        <f t="shared" si="54"/>
        <v/>
      </c>
      <c r="W508" s="142"/>
      <c r="X508" s="186" t="str">
        <f t="shared" si="55"/>
        <v/>
      </c>
    </row>
    <row r="509" spans="1:24" s="147" customFormat="1">
      <c r="A509" s="170"/>
      <c r="B509" s="145"/>
      <c r="C509" s="145"/>
      <c r="D509" s="146"/>
      <c r="E509" s="150"/>
      <c r="F509" s="145"/>
      <c r="G509" s="145"/>
      <c r="H509" s="145"/>
      <c r="I509" s="145"/>
      <c r="J509" s="145"/>
      <c r="K509" s="145"/>
      <c r="L509" s="145"/>
      <c r="M509" s="145"/>
      <c r="N509" s="146"/>
      <c r="O509" s="145"/>
      <c r="P509" s="138"/>
      <c r="Q509" s="255" t="str">
        <f t="shared" si="56"/>
        <v/>
      </c>
      <c r="R509" s="139" t="str">
        <f t="shared" si="57"/>
        <v/>
      </c>
      <c r="S509" s="128" t="str">
        <f t="shared" si="51"/>
        <v/>
      </c>
      <c r="T509" s="140" t="str">
        <f t="shared" si="52"/>
        <v/>
      </c>
      <c r="U509" s="141" t="str">
        <f t="shared" si="53"/>
        <v/>
      </c>
      <c r="V509" s="141" t="str">
        <f t="shared" si="54"/>
        <v/>
      </c>
      <c r="W509" s="142"/>
      <c r="X509" s="186" t="str">
        <f t="shared" si="55"/>
        <v/>
      </c>
    </row>
    <row r="510" spans="1:24" s="147" customFormat="1">
      <c r="A510" s="171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38"/>
      <c r="Q510" s="255" t="str">
        <f t="shared" si="56"/>
        <v/>
      </c>
      <c r="R510" s="139" t="str">
        <f t="shared" si="57"/>
        <v/>
      </c>
      <c r="S510" s="128" t="str">
        <f t="shared" si="51"/>
        <v/>
      </c>
      <c r="T510" s="140" t="str">
        <f t="shared" si="52"/>
        <v/>
      </c>
      <c r="U510" s="141" t="str">
        <f t="shared" si="53"/>
        <v/>
      </c>
      <c r="V510" s="141" t="str">
        <f t="shared" si="54"/>
        <v/>
      </c>
      <c r="W510" s="142"/>
      <c r="X510" s="186" t="str">
        <f t="shared" si="55"/>
        <v/>
      </c>
    </row>
    <row r="511" spans="1:24" s="147" customFormat="1">
      <c r="A511" s="170"/>
      <c r="B511" s="145"/>
      <c r="C511" s="145"/>
      <c r="D511" s="146"/>
      <c r="E511" s="150"/>
      <c r="F511" s="145"/>
      <c r="G511" s="145"/>
      <c r="H511" s="145"/>
      <c r="I511" s="145"/>
      <c r="J511" s="145"/>
      <c r="K511" s="145"/>
      <c r="L511" s="145"/>
      <c r="M511" s="145"/>
      <c r="N511" s="146"/>
      <c r="O511" s="145"/>
      <c r="P511" s="138"/>
      <c r="Q511" s="255" t="str">
        <f t="shared" si="56"/>
        <v/>
      </c>
      <c r="R511" s="139" t="str">
        <f t="shared" si="57"/>
        <v/>
      </c>
      <c r="S511" s="128" t="str">
        <f t="shared" si="51"/>
        <v/>
      </c>
      <c r="T511" s="140" t="str">
        <f t="shared" si="52"/>
        <v/>
      </c>
      <c r="U511" s="141" t="str">
        <f t="shared" si="53"/>
        <v/>
      </c>
      <c r="V511" s="141" t="str">
        <f t="shared" si="54"/>
        <v/>
      </c>
      <c r="W511" s="142"/>
      <c r="X511" s="186" t="str">
        <f t="shared" si="55"/>
        <v/>
      </c>
    </row>
    <row r="512" spans="1:24" s="147" customFormat="1">
      <c r="A512" s="172"/>
      <c r="B512" s="151"/>
      <c r="C512" s="151"/>
      <c r="D512" s="151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38"/>
      <c r="Q512" s="255" t="str">
        <f t="shared" si="56"/>
        <v/>
      </c>
      <c r="R512" s="139" t="str">
        <f t="shared" si="57"/>
        <v/>
      </c>
      <c r="S512" s="128" t="str">
        <f t="shared" si="51"/>
        <v/>
      </c>
      <c r="T512" s="140" t="str">
        <f t="shared" si="52"/>
        <v/>
      </c>
      <c r="U512" s="141" t="str">
        <f t="shared" si="53"/>
        <v/>
      </c>
      <c r="V512" s="141" t="str">
        <f t="shared" si="54"/>
        <v/>
      </c>
      <c r="W512" s="142"/>
      <c r="X512" s="186" t="str">
        <f t="shared" si="55"/>
        <v/>
      </c>
    </row>
    <row r="513" spans="1:24" s="147" customFormat="1">
      <c r="A513" s="170"/>
      <c r="B513" s="145"/>
      <c r="C513" s="145"/>
      <c r="D513" s="146"/>
      <c r="E513" s="145"/>
      <c r="F513" s="145"/>
      <c r="G513" s="145"/>
      <c r="H513" s="145"/>
      <c r="I513" s="145"/>
      <c r="J513" s="145"/>
      <c r="K513" s="145"/>
      <c r="L513" s="145"/>
      <c r="M513" s="145"/>
      <c r="N513" s="146"/>
      <c r="O513" s="145"/>
      <c r="P513" s="138"/>
      <c r="Q513" s="255" t="str">
        <f t="shared" si="56"/>
        <v/>
      </c>
      <c r="R513" s="139" t="str">
        <f t="shared" si="57"/>
        <v/>
      </c>
      <c r="S513" s="128" t="str">
        <f t="shared" si="51"/>
        <v/>
      </c>
      <c r="T513" s="140" t="str">
        <f t="shared" si="52"/>
        <v/>
      </c>
      <c r="U513" s="141" t="str">
        <f t="shared" si="53"/>
        <v/>
      </c>
      <c r="V513" s="141" t="str">
        <f t="shared" si="54"/>
        <v/>
      </c>
      <c r="W513" s="142"/>
      <c r="X513" s="186" t="str">
        <f t="shared" si="55"/>
        <v/>
      </c>
    </row>
    <row r="514" spans="1:24" s="147" customFormat="1">
      <c r="A514" s="172"/>
      <c r="B514" s="151"/>
      <c r="C514" s="151"/>
      <c r="D514" s="151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38"/>
      <c r="Q514" s="255" t="str">
        <f t="shared" si="56"/>
        <v/>
      </c>
      <c r="R514" s="139" t="str">
        <f t="shared" si="57"/>
        <v/>
      </c>
      <c r="S514" s="128" t="str">
        <f t="shared" si="51"/>
        <v/>
      </c>
      <c r="T514" s="140" t="str">
        <f t="shared" si="52"/>
        <v/>
      </c>
      <c r="U514" s="141" t="str">
        <f t="shared" si="53"/>
        <v/>
      </c>
      <c r="V514" s="141" t="str">
        <f t="shared" si="54"/>
        <v/>
      </c>
      <c r="W514" s="142"/>
      <c r="X514" s="186" t="str">
        <f t="shared" si="55"/>
        <v/>
      </c>
    </row>
    <row r="515" spans="1:24" s="147" customFormat="1">
      <c r="A515" s="170"/>
      <c r="B515" s="145"/>
      <c r="C515" s="145"/>
      <c r="D515" s="146"/>
      <c r="E515" s="145"/>
      <c r="F515" s="145"/>
      <c r="G515" s="145"/>
      <c r="H515" s="145"/>
      <c r="I515" s="145"/>
      <c r="J515" s="145"/>
      <c r="K515" s="145"/>
      <c r="L515" s="145"/>
      <c r="M515" s="145"/>
      <c r="N515" s="146"/>
      <c r="O515" s="145"/>
      <c r="P515" s="138"/>
      <c r="Q515" s="255" t="str">
        <f t="shared" si="56"/>
        <v/>
      </c>
      <c r="R515" s="139" t="str">
        <f t="shared" si="57"/>
        <v/>
      </c>
      <c r="S515" s="128" t="str">
        <f t="shared" si="51"/>
        <v/>
      </c>
      <c r="T515" s="140" t="str">
        <f t="shared" si="52"/>
        <v/>
      </c>
      <c r="U515" s="141" t="str">
        <f t="shared" si="53"/>
        <v/>
      </c>
      <c r="V515" s="141" t="str">
        <f t="shared" si="54"/>
        <v/>
      </c>
      <c r="W515" s="142"/>
      <c r="X515" s="186" t="str">
        <f t="shared" si="55"/>
        <v/>
      </c>
    </row>
    <row r="516" spans="1:24" s="147" customFormat="1">
      <c r="A516" s="172"/>
      <c r="B516" s="151"/>
      <c r="C516" s="151"/>
      <c r="D516" s="151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38"/>
      <c r="Q516" s="255" t="str">
        <f t="shared" si="56"/>
        <v/>
      </c>
      <c r="R516" s="139" t="str">
        <f t="shared" si="57"/>
        <v/>
      </c>
      <c r="S516" s="128" t="str">
        <f t="shared" si="51"/>
        <v/>
      </c>
      <c r="T516" s="140" t="str">
        <f t="shared" si="52"/>
        <v/>
      </c>
      <c r="U516" s="141" t="str">
        <f t="shared" si="53"/>
        <v/>
      </c>
      <c r="V516" s="141" t="str">
        <f t="shared" si="54"/>
        <v/>
      </c>
      <c r="W516" s="142"/>
      <c r="X516" s="186" t="str">
        <f t="shared" si="55"/>
        <v/>
      </c>
    </row>
    <row r="517" spans="1:24" s="147" customFormat="1">
      <c r="A517" s="170"/>
      <c r="B517" s="145"/>
      <c r="C517" s="145"/>
      <c r="D517" s="146"/>
      <c r="E517" s="145"/>
      <c r="F517" s="145"/>
      <c r="G517" s="145"/>
      <c r="H517" s="145"/>
      <c r="I517" s="145"/>
      <c r="J517" s="145"/>
      <c r="K517" s="145"/>
      <c r="L517" s="145"/>
      <c r="M517" s="145"/>
      <c r="N517" s="146"/>
      <c r="O517" s="145"/>
      <c r="P517" s="138"/>
      <c r="Q517" s="255" t="str">
        <f t="shared" si="56"/>
        <v/>
      </c>
      <c r="R517" s="139" t="str">
        <f t="shared" si="57"/>
        <v/>
      </c>
      <c r="S517" s="128" t="str">
        <f t="shared" si="51"/>
        <v/>
      </c>
      <c r="T517" s="140" t="str">
        <f t="shared" si="52"/>
        <v/>
      </c>
      <c r="U517" s="141" t="str">
        <f t="shared" si="53"/>
        <v/>
      </c>
      <c r="V517" s="141" t="str">
        <f t="shared" si="54"/>
        <v/>
      </c>
      <c r="W517" s="142"/>
      <c r="X517" s="186" t="str">
        <f t="shared" si="55"/>
        <v/>
      </c>
    </row>
    <row r="518" spans="1:24" s="147" customFormat="1">
      <c r="A518" s="172"/>
      <c r="B518" s="151"/>
      <c r="C518" s="151"/>
      <c r="D518" s="151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38"/>
      <c r="Q518" s="255" t="str">
        <f t="shared" si="56"/>
        <v/>
      </c>
      <c r="R518" s="139" t="str">
        <f t="shared" si="57"/>
        <v/>
      </c>
      <c r="S518" s="128" t="str">
        <f t="shared" si="51"/>
        <v/>
      </c>
      <c r="T518" s="140" t="str">
        <f t="shared" si="52"/>
        <v/>
      </c>
      <c r="U518" s="141" t="str">
        <f t="shared" si="53"/>
        <v/>
      </c>
      <c r="V518" s="141" t="str">
        <f t="shared" si="54"/>
        <v/>
      </c>
      <c r="W518" s="142"/>
      <c r="X518" s="186" t="str">
        <f t="shared" si="55"/>
        <v/>
      </c>
    </row>
    <row r="519" spans="1:24" s="147" customFormat="1">
      <c r="A519" s="170"/>
      <c r="B519" s="145"/>
      <c r="C519" s="145"/>
      <c r="D519" s="146"/>
      <c r="E519" s="145"/>
      <c r="F519" s="145"/>
      <c r="G519" s="145"/>
      <c r="H519" s="145"/>
      <c r="I519" s="145"/>
      <c r="J519" s="145"/>
      <c r="K519" s="145"/>
      <c r="L519" s="145"/>
      <c r="M519" s="145"/>
      <c r="N519" s="146"/>
      <c r="O519" s="145"/>
      <c r="P519" s="138"/>
      <c r="Q519" s="255" t="str">
        <f t="shared" si="56"/>
        <v/>
      </c>
      <c r="R519" s="139" t="str">
        <f t="shared" si="57"/>
        <v/>
      </c>
      <c r="S519" s="128" t="str">
        <f t="shared" ref="S519:S582" si="58">IF(D519="","",IF(IFERROR(FIND("資",D519)&gt;0,FALSE),"資券",IF(IFERROR(FIND("券",D519)&gt;0,FALSE),"資券","波段")))</f>
        <v/>
      </c>
      <c r="T519" s="140" t="str">
        <f t="shared" ref="T519:T582" si="59">IF(F519="","",F519)</f>
        <v/>
      </c>
      <c r="U519" s="141" t="str">
        <f t="shared" ref="U519:U582" si="60">IF(D519="","",IF(IFERROR(FIND("買",D519)&gt;0,FALSE),E519,IF(IFERROR(FIND("賣",D519)&gt;0,FALSE),-E519,IF(IFERROR(FIND("資",D519)&gt;0,FALSE),E519,-E519))))</f>
        <v/>
      </c>
      <c r="V519" s="141" t="str">
        <f t="shared" ref="V519:V582" si="61">IF(Q519="","",T519*U519*-1)</f>
        <v/>
      </c>
      <c r="W519" s="142"/>
      <c r="X519" s="186" t="str">
        <f t="shared" ref="X519:X582" si="62">IFERROR((-1)*LEFT(N519,FIND("扣",N519)-1),IFERROR(1*LEFT(N519,FIND("入",N519)-1),""))</f>
        <v/>
      </c>
    </row>
    <row r="520" spans="1:24" s="147" customFormat="1">
      <c r="A520" s="172"/>
      <c r="B520" s="151"/>
      <c r="C520" s="151"/>
      <c r="D520" s="151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38"/>
      <c r="Q520" s="255" t="str">
        <f t="shared" ref="Q520:Q583" si="63">IF(B520="","",DATE(LEFT(B520,3)+1911,MID(B520,4,2),RIGHT(B520,2)))</f>
        <v/>
      </c>
      <c r="R520" s="139" t="str">
        <f t="shared" ref="R520:R583" si="64">IF(C520="","",IFERROR(INDEX(代號1,MATCH($C520,股名1,0)),IFERROR(INDEX(代號2,MATCH($C520,股名2,0)),INDEX(代號3,MATCH($C520,股名3,0)))))</f>
        <v/>
      </c>
      <c r="S520" s="128" t="str">
        <f t="shared" si="58"/>
        <v/>
      </c>
      <c r="T520" s="140" t="str">
        <f t="shared" si="59"/>
        <v/>
      </c>
      <c r="U520" s="141" t="str">
        <f t="shared" si="60"/>
        <v/>
      </c>
      <c r="V520" s="141" t="str">
        <f t="shared" si="61"/>
        <v/>
      </c>
      <c r="W520" s="142"/>
      <c r="X520" s="186" t="str">
        <f t="shared" si="62"/>
        <v/>
      </c>
    </row>
    <row r="521" spans="1:24" s="147" customFormat="1">
      <c r="A521" s="170"/>
      <c r="B521" s="145"/>
      <c r="C521" s="145"/>
      <c r="D521" s="146"/>
      <c r="E521" s="145"/>
      <c r="F521" s="145"/>
      <c r="G521" s="145"/>
      <c r="H521" s="145"/>
      <c r="I521" s="145"/>
      <c r="J521" s="145"/>
      <c r="K521" s="145"/>
      <c r="L521" s="145"/>
      <c r="M521" s="145"/>
      <c r="N521" s="146"/>
      <c r="O521" s="145"/>
      <c r="P521" s="138"/>
      <c r="Q521" s="255" t="str">
        <f t="shared" si="63"/>
        <v/>
      </c>
      <c r="R521" s="139" t="str">
        <f t="shared" si="64"/>
        <v/>
      </c>
      <c r="S521" s="128" t="str">
        <f t="shared" si="58"/>
        <v/>
      </c>
      <c r="T521" s="140" t="str">
        <f t="shared" si="59"/>
        <v/>
      </c>
      <c r="U521" s="141" t="str">
        <f t="shared" si="60"/>
        <v/>
      </c>
      <c r="V521" s="141" t="str">
        <f t="shared" si="61"/>
        <v/>
      </c>
      <c r="W521" s="142"/>
      <c r="X521" s="186" t="str">
        <f t="shared" si="62"/>
        <v/>
      </c>
    </row>
    <row r="522" spans="1:24" s="147" customFormat="1">
      <c r="A522" s="172"/>
      <c r="B522" s="151"/>
      <c r="C522" s="151"/>
      <c r="D522" s="151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38"/>
      <c r="Q522" s="255" t="str">
        <f t="shared" si="63"/>
        <v/>
      </c>
      <c r="R522" s="139" t="str">
        <f t="shared" si="64"/>
        <v/>
      </c>
      <c r="S522" s="128" t="str">
        <f t="shared" si="58"/>
        <v/>
      </c>
      <c r="T522" s="140" t="str">
        <f t="shared" si="59"/>
        <v/>
      </c>
      <c r="U522" s="141" t="str">
        <f t="shared" si="60"/>
        <v/>
      </c>
      <c r="V522" s="141" t="str">
        <f t="shared" si="61"/>
        <v/>
      </c>
      <c r="W522" s="142"/>
      <c r="X522" s="186" t="str">
        <f t="shared" si="62"/>
        <v/>
      </c>
    </row>
    <row r="523" spans="1:24" s="147" customFormat="1">
      <c r="A523" s="170"/>
      <c r="B523" s="145"/>
      <c r="C523" s="145"/>
      <c r="D523" s="146"/>
      <c r="E523" s="145"/>
      <c r="F523" s="145"/>
      <c r="G523" s="145"/>
      <c r="H523" s="145"/>
      <c r="I523" s="145"/>
      <c r="J523" s="145"/>
      <c r="K523" s="145"/>
      <c r="L523" s="145"/>
      <c r="M523" s="145"/>
      <c r="N523" s="146"/>
      <c r="O523" s="145"/>
      <c r="P523" s="138"/>
      <c r="Q523" s="255" t="str">
        <f t="shared" si="63"/>
        <v/>
      </c>
      <c r="R523" s="139" t="str">
        <f t="shared" si="64"/>
        <v/>
      </c>
      <c r="S523" s="128" t="str">
        <f t="shared" si="58"/>
        <v/>
      </c>
      <c r="T523" s="140" t="str">
        <f t="shared" si="59"/>
        <v/>
      </c>
      <c r="U523" s="141" t="str">
        <f t="shared" si="60"/>
        <v/>
      </c>
      <c r="V523" s="141" t="str">
        <f t="shared" si="61"/>
        <v/>
      </c>
      <c r="W523" s="142"/>
      <c r="X523" s="186" t="str">
        <f t="shared" si="62"/>
        <v/>
      </c>
    </row>
    <row r="524" spans="1:24" s="147" customFormat="1">
      <c r="A524" s="172"/>
      <c r="B524" s="151"/>
      <c r="C524" s="151"/>
      <c r="D524" s="151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38"/>
      <c r="Q524" s="255" t="str">
        <f t="shared" si="63"/>
        <v/>
      </c>
      <c r="R524" s="139" t="str">
        <f t="shared" si="64"/>
        <v/>
      </c>
      <c r="S524" s="128" t="str">
        <f t="shared" si="58"/>
        <v/>
      </c>
      <c r="T524" s="140" t="str">
        <f t="shared" si="59"/>
        <v/>
      </c>
      <c r="U524" s="141" t="str">
        <f t="shared" si="60"/>
        <v/>
      </c>
      <c r="V524" s="141" t="str">
        <f t="shared" si="61"/>
        <v/>
      </c>
      <c r="W524" s="142"/>
      <c r="X524" s="186" t="str">
        <f t="shared" si="62"/>
        <v/>
      </c>
    </row>
    <row r="525" spans="1:24" s="147" customFormat="1">
      <c r="A525" s="170"/>
      <c r="B525" s="145"/>
      <c r="C525" s="145"/>
      <c r="D525" s="146"/>
      <c r="E525" s="150"/>
      <c r="F525" s="145"/>
      <c r="G525" s="145"/>
      <c r="H525" s="145"/>
      <c r="I525" s="145"/>
      <c r="J525" s="145"/>
      <c r="K525" s="145"/>
      <c r="L525" s="145"/>
      <c r="M525" s="145"/>
      <c r="N525" s="149"/>
      <c r="O525" s="145"/>
      <c r="P525" s="138"/>
      <c r="Q525" s="255" t="str">
        <f t="shared" si="63"/>
        <v/>
      </c>
      <c r="R525" s="139" t="str">
        <f t="shared" si="64"/>
        <v/>
      </c>
      <c r="S525" s="128" t="str">
        <f t="shared" si="58"/>
        <v/>
      </c>
      <c r="T525" s="140" t="str">
        <f t="shared" si="59"/>
        <v/>
      </c>
      <c r="U525" s="141" t="str">
        <f t="shared" si="60"/>
        <v/>
      </c>
      <c r="V525" s="141" t="str">
        <f t="shared" si="61"/>
        <v/>
      </c>
      <c r="W525" s="142"/>
      <c r="X525" s="186" t="str">
        <f t="shared" si="62"/>
        <v/>
      </c>
    </row>
    <row r="526" spans="1:24" s="147" customFormat="1">
      <c r="A526" s="170"/>
      <c r="B526" s="145"/>
      <c r="C526" s="145"/>
      <c r="D526" s="146"/>
      <c r="E526" s="145"/>
      <c r="F526" s="145"/>
      <c r="G526" s="145"/>
      <c r="H526" s="145"/>
      <c r="I526" s="145"/>
      <c r="J526" s="145"/>
      <c r="K526" s="145"/>
      <c r="L526" s="145"/>
      <c r="M526" s="145"/>
      <c r="N526" s="146"/>
      <c r="O526" s="145"/>
      <c r="P526" s="138"/>
      <c r="Q526" s="255" t="str">
        <f t="shared" si="63"/>
        <v/>
      </c>
      <c r="R526" s="139" t="str">
        <f t="shared" si="64"/>
        <v/>
      </c>
      <c r="S526" s="128" t="str">
        <f t="shared" si="58"/>
        <v/>
      </c>
      <c r="T526" s="140" t="str">
        <f t="shared" si="59"/>
        <v/>
      </c>
      <c r="U526" s="141" t="str">
        <f t="shared" si="60"/>
        <v/>
      </c>
      <c r="V526" s="141" t="str">
        <f t="shared" si="61"/>
        <v/>
      </c>
      <c r="W526" s="142"/>
      <c r="X526" s="186" t="str">
        <f t="shared" si="62"/>
        <v/>
      </c>
    </row>
    <row r="527" spans="1:24" s="147" customFormat="1">
      <c r="A527" s="172"/>
      <c r="B527" s="151"/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38"/>
      <c r="Q527" s="255" t="str">
        <f t="shared" si="63"/>
        <v/>
      </c>
      <c r="R527" s="139" t="str">
        <f t="shared" si="64"/>
        <v/>
      </c>
      <c r="S527" s="128" t="str">
        <f t="shared" si="58"/>
        <v/>
      </c>
      <c r="T527" s="140" t="str">
        <f t="shared" si="59"/>
        <v/>
      </c>
      <c r="U527" s="141" t="str">
        <f t="shared" si="60"/>
        <v/>
      </c>
      <c r="V527" s="141" t="str">
        <f t="shared" si="61"/>
        <v/>
      </c>
      <c r="W527" s="142"/>
      <c r="X527" s="186" t="str">
        <f t="shared" si="62"/>
        <v/>
      </c>
    </row>
    <row r="528" spans="1:24" s="147" customFormat="1">
      <c r="A528" s="170"/>
      <c r="B528" s="145"/>
      <c r="C528" s="145"/>
      <c r="D528" s="146"/>
      <c r="E528" s="145"/>
      <c r="F528" s="145"/>
      <c r="G528" s="145"/>
      <c r="H528" s="145"/>
      <c r="I528" s="145"/>
      <c r="J528" s="145"/>
      <c r="K528" s="145"/>
      <c r="L528" s="145"/>
      <c r="M528" s="145"/>
      <c r="N528" s="146"/>
      <c r="O528" s="145"/>
      <c r="P528" s="138"/>
      <c r="Q528" s="255" t="str">
        <f t="shared" si="63"/>
        <v/>
      </c>
      <c r="R528" s="139" t="str">
        <f t="shared" si="64"/>
        <v/>
      </c>
      <c r="S528" s="128" t="str">
        <f t="shared" si="58"/>
        <v/>
      </c>
      <c r="T528" s="140" t="str">
        <f t="shared" si="59"/>
        <v/>
      </c>
      <c r="U528" s="141" t="str">
        <f t="shared" si="60"/>
        <v/>
      </c>
      <c r="V528" s="141" t="str">
        <f t="shared" si="61"/>
        <v/>
      </c>
      <c r="W528" s="142"/>
      <c r="X528" s="186" t="str">
        <f t="shared" si="62"/>
        <v/>
      </c>
    </row>
    <row r="529" spans="1:24" s="147" customFormat="1">
      <c r="A529" s="172"/>
      <c r="B529" s="151"/>
      <c r="C529" s="151"/>
      <c r="D529" s="151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38"/>
      <c r="Q529" s="255" t="str">
        <f t="shared" si="63"/>
        <v/>
      </c>
      <c r="R529" s="139" t="str">
        <f t="shared" si="64"/>
        <v/>
      </c>
      <c r="S529" s="128" t="str">
        <f t="shared" si="58"/>
        <v/>
      </c>
      <c r="T529" s="140" t="str">
        <f t="shared" si="59"/>
        <v/>
      </c>
      <c r="U529" s="141" t="str">
        <f t="shared" si="60"/>
        <v/>
      </c>
      <c r="V529" s="141" t="str">
        <f t="shared" si="61"/>
        <v/>
      </c>
      <c r="W529" s="142"/>
      <c r="X529" s="186" t="str">
        <f t="shared" si="62"/>
        <v/>
      </c>
    </row>
    <row r="530" spans="1:24" s="147" customFormat="1">
      <c r="A530" s="170"/>
      <c r="B530" s="145"/>
      <c r="C530" s="145"/>
      <c r="D530" s="146"/>
      <c r="E530" s="150"/>
      <c r="F530" s="145"/>
      <c r="G530" s="145"/>
      <c r="H530" s="145"/>
      <c r="I530" s="145"/>
      <c r="J530" s="145"/>
      <c r="K530" s="145"/>
      <c r="L530" s="145"/>
      <c r="M530" s="145"/>
      <c r="N530" s="149"/>
      <c r="O530" s="145"/>
      <c r="P530" s="138"/>
      <c r="Q530" s="255" t="str">
        <f t="shared" si="63"/>
        <v/>
      </c>
      <c r="R530" s="139" t="str">
        <f t="shared" si="64"/>
        <v/>
      </c>
      <c r="S530" s="128" t="str">
        <f t="shared" si="58"/>
        <v/>
      </c>
      <c r="T530" s="140" t="str">
        <f t="shared" si="59"/>
        <v/>
      </c>
      <c r="U530" s="141" t="str">
        <f t="shared" si="60"/>
        <v/>
      </c>
      <c r="V530" s="141" t="str">
        <f t="shared" si="61"/>
        <v/>
      </c>
      <c r="W530" s="142"/>
      <c r="X530" s="186" t="str">
        <f t="shared" si="62"/>
        <v/>
      </c>
    </row>
    <row r="531" spans="1:24" s="147" customFormat="1">
      <c r="A531" s="170"/>
      <c r="B531" s="145"/>
      <c r="C531" s="145"/>
      <c r="D531" s="146"/>
      <c r="E531" s="150"/>
      <c r="F531" s="145"/>
      <c r="G531" s="145"/>
      <c r="H531" s="145"/>
      <c r="I531" s="145"/>
      <c r="J531" s="145"/>
      <c r="K531" s="145"/>
      <c r="L531" s="145"/>
      <c r="M531" s="145"/>
      <c r="N531" s="149"/>
      <c r="O531" s="145"/>
      <c r="P531" s="138"/>
      <c r="Q531" s="255" t="str">
        <f t="shared" si="63"/>
        <v/>
      </c>
      <c r="R531" s="139" t="str">
        <f t="shared" si="64"/>
        <v/>
      </c>
      <c r="S531" s="128" t="str">
        <f t="shared" si="58"/>
        <v/>
      </c>
      <c r="T531" s="140" t="str">
        <f t="shared" si="59"/>
        <v/>
      </c>
      <c r="U531" s="141" t="str">
        <f t="shared" si="60"/>
        <v/>
      </c>
      <c r="V531" s="141" t="str">
        <f t="shared" si="61"/>
        <v/>
      </c>
      <c r="W531" s="142"/>
      <c r="X531" s="186" t="str">
        <f t="shared" si="62"/>
        <v/>
      </c>
    </row>
    <row r="532" spans="1:24" s="147" customFormat="1">
      <c r="A532" s="170"/>
      <c r="B532" s="145"/>
      <c r="C532" s="145"/>
      <c r="D532" s="146"/>
      <c r="E532" s="145"/>
      <c r="F532" s="145"/>
      <c r="G532" s="145"/>
      <c r="H532" s="145"/>
      <c r="I532" s="145"/>
      <c r="J532" s="145"/>
      <c r="K532" s="145"/>
      <c r="L532" s="145"/>
      <c r="M532" s="145"/>
      <c r="N532" s="146"/>
      <c r="O532" s="145"/>
      <c r="P532" s="138"/>
      <c r="Q532" s="255" t="str">
        <f t="shared" si="63"/>
        <v/>
      </c>
      <c r="R532" s="139" t="str">
        <f t="shared" si="64"/>
        <v/>
      </c>
      <c r="S532" s="128" t="str">
        <f t="shared" si="58"/>
        <v/>
      </c>
      <c r="T532" s="140" t="str">
        <f t="shared" si="59"/>
        <v/>
      </c>
      <c r="U532" s="141" t="str">
        <f t="shared" si="60"/>
        <v/>
      </c>
      <c r="V532" s="141" t="str">
        <f t="shared" si="61"/>
        <v/>
      </c>
      <c r="W532" s="142"/>
      <c r="X532" s="186" t="str">
        <f t="shared" si="62"/>
        <v/>
      </c>
    </row>
    <row r="533" spans="1:24" s="147" customFormat="1">
      <c r="A533" s="172"/>
      <c r="B533" s="151"/>
      <c r="C533" s="151"/>
      <c r="D533" s="151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38"/>
      <c r="Q533" s="255" t="str">
        <f t="shared" si="63"/>
        <v/>
      </c>
      <c r="R533" s="139" t="str">
        <f t="shared" si="64"/>
        <v/>
      </c>
      <c r="S533" s="128" t="str">
        <f t="shared" si="58"/>
        <v/>
      </c>
      <c r="T533" s="140" t="str">
        <f t="shared" si="59"/>
        <v/>
      </c>
      <c r="U533" s="141" t="str">
        <f t="shared" si="60"/>
        <v/>
      </c>
      <c r="V533" s="141" t="str">
        <f t="shared" si="61"/>
        <v/>
      </c>
      <c r="W533" s="142"/>
      <c r="X533" s="186" t="str">
        <f t="shared" si="62"/>
        <v/>
      </c>
    </row>
    <row r="534" spans="1:24" s="147" customFormat="1">
      <c r="A534" s="170"/>
      <c r="B534" s="145"/>
      <c r="C534" s="145"/>
      <c r="D534" s="146"/>
      <c r="E534" s="145"/>
      <c r="F534" s="145"/>
      <c r="G534" s="145"/>
      <c r="H534" s="145"/>
      <c r="I534" s="145"/>
      <c r="J534" s="145"/>
      <c r="K534" s="145"/>
      <c r="L534" s="145"/>
      <c r="M534" s="145"/>
      <c r="N534" s="146"/>
      <c r="O534" s="145"/>
      <c r="P534" s="138"/>
      <c r="Q534" s="255" t="str">
        <f t="shared" si="63"/>
        <v/>
      </c>
      <c r="R534" s="139" t="str">
        <f t="shared" si="64"/>
        <v/>
      </c>
      <c r="S534" s="128" t="str">
        <f t="shared" si="58"/>
        <v/>
      </c>
      <c r="T534" s="140" t="str">
        <f t="shared" si="59"/>
        <v/>
      </c>
      <c r="U534" s="141" t="str">
        <f t="shared" si="60"/>
        <v/>
      </c>
      <c r="V534" s="141" t="str">
        <f t="shared" si="61"/>
        <v/>
      </c>
      <c r="W534" s="142"/>
      <c r="X534" s="186" t="str">
        <f t="shared" si="62"/>
        <v/>
      </c>
    </row>
    <row r="535" spans="1:24" s="147" customFormat="1">
      <c r="A535" s="172"/>
      <c r="B535" s="151"/>
      <c r="C535" s="151"/>
      <c r="D535" s="151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38"/>
      <c r="Q535" s="255" t="str">
        <f t="shared" si="63"/>
        <v/>
      </c>
      <c r="R535" s="139" t="str">
        <f t="shared" si="64"/>
        <v/>
      </c>
      <c r="S535" s="128" t="str">
        <f t="shared" si="58"/>
        <v/>
      </c>
      <c r="T535" s="140" t="str">
        <f t="shared" si="59"/>
        <v/>
      </c>
      <c r="U535" s="141" t="str">
        <f t="shared" si="60"/>
        <v/>
      </c>
      <c r="V535" s="141" t="str">
        <f t="shared" si="61"/>
        <v/>
      </c>
      <c r="W535" s="142"/>
      <c r="X535" s="186" t="str">
        <f t="shared" si="62"/>
        <v/>
      </c>
    </row>
    <row r="536" spans="1:24" s="147" customFormat="1">
      <c r="A536" s="170"/>
      <c r="B536" s="145"/>
      <c r="C536" s="145"/>
      <c r="D536" s="146"/>
      <c r="E536" s="150"/>
      <c r="F536" s="145"/>
      <c r="G536" s="145"/>
      <c r="H536" s="145"/>
      <c r="I536" s="145"/>
      <c r="J536" s="145"/>
      <c r="K536" s="145"/>
      <c r="L536" s="145"/>
      <c r="M536" s="145"/>
      <c r="N536" s="149"/>
      <c r="O536" s="145"/>
      <c r="P536" s="138"/>
      <c r="Q536" s="255" t="str">
        <f t="shared" si="63"/>
        <v/>
      </c>
      <c r="R536" s="139" t="str">
        <f t="shared" si="64"/>
        <v/>
      </c>
      <c r="S536" s="128" t="str">
        <f t="shared" si="58"/>
        <v/>
      </c>
      <c r="T536" s="140" t="str">
        <f t="shared" si="59"/>
        <v/>
      </c>
      <c r="U536" s="141" t="str">
        <f t="shared" si="60"/>
        <v/>
      </c>
      <c r="V536" s="141" t="str">
        <f t="shared" si="61"/>
        <v/>
      </c>
      <c r="W536" s="142"/>
      <c r="X536" s="186" t="str">
        <f t="shared" si="62"/>
        <v/>
      </c>
    </row>
    <row r="537" spans="1:24" s="147" customFormat="1">
      <c r="A537" s="170"/>
      <c r="B537" s="145"/>
      <c r="C537" s="145"/>
      <c r="D537" s="149"/>
      <c r="E537" s="150"/>
      <c r="F537" s="145"/>
      <c r="G537" s="145"/>
      <c r="H537" s="145"/>
      <c r="I537" s="145"/>
      <c r="J537" s="145"/>
      <c r="K537" s="145"/>
      <c r="L537" s="145"/>
      <c r="M537" s="145"/>
      <c r="N537" s="146"/>
      <c r="O537" s="145"/>
      <c r="P537" s="138"/>
      <c r="Q537" s="255" t="str">
        <f t="shared" si="63"/>
        <v/>
      </c>
      <c r="R537" s="139" t="str">
        <f t="shared" si="64"/>
        <v/>
      </c>
      <c r="S537" s="128" t="str">
        <f t="shared" si="58"/>
        <v/>
      </c>
      <c r="T537" s="140" t="str">
        <f t="shared" si="59"/>
        <v/>
      </c>
      <c r="U537" s="141" t="str">
        <f t="shared" si="60"/>
        <v/>
      </c>
      <c r="V537" s="141" t="str">
        <f t="shared" si="61"/>
        <v/>
      </c>
      <c r="W537" s="142"/>
      <c r="X537" s="186" t="str">
        <f t="shared" si="62"/>
        <v/>
      </c>
    </row>
    <row r="538" spans="1:24" s="147" customFormat="1">
      <c r="A538" s="171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38"/>
      <c r="Q538" s="255" t="str">
        <f t="shared" si="63"/>
        <v/>
      </c>
      <c r="R538" s="139" t="str">
        <f t="shared" si="64"/>
        <v/>
      </c>
      <c r="S538" s="128" t="str">
        <f t="shared" si="58"/>
        <v/>
      </c>
      <c r="T538" s="140" t="str">
        <f t="shared" si="59"/>
        <v/>
      </c>
      <c r="U538" s="141" t="str">
        <f t="shared" si="60"/>
        <v/>
      </c>
      <c r="V538" s="141" t="str">
        <f t="shared" si="61"/>
        <v/>
      </c>
      <c r="W538" s="142"/>
      <c r="X538" s="186" t="str">
        <f t="shared" si="62"/>
        <v/>
      </c>
    </row>
    <row r="539" spans="1:24" s="147" customFormat="1">
      <c r="A539" s="170"/>
      <c r="B539" s="145"/>
      <c r="C539" s="145"/>
      <c r="D539" s="149"/>
      <c r="E539" s="150"/>
      <c r="F539" s="145"/>
      <c r="G539" s="145"/>
      <c r="H539" s="145"/>
      <c r="I539" s="145"/>
      <c r="J539" s="145"/>
      <c r="K539" s="145"/>
      <c r="L539" s="145"/>
      <c r="M539" s="145"/>
      <c r="N539" s="146"/>
      <c r="O539" s="145"/>
      <c r="P539" s="138"/>
      <c r="Q539" s="255" t="str">
        <f t="shared" si="63"/>
        <v/>
      </c>
      <c r="R539" s="139" t="str">
        <f t="shared" si="64"/>
        <v/>
      </c>
      <c r="S539" s="128" t="str">
        <f t="shared" si="58"/>
        <v/>
      </c>
      <c r="T539" s="140" t="str">
        <f t="shared" si="59"/>
        <v/>
      </c>
      <c r="U539" s="141" t="str">
        <f t="shared" si="60"/>
        <v/>
      </c>
      <c r="V539" s="141" t="str">
        <f t="shared" si="61"/>
        <v/>
      </c>
      <c r="W539" s="142"/>
      <c r="X539" s="186" t="str">
        <f t="shared" si="62"/>
        <v/>
      </c>
    </row>
    <row r="540" spans="1:24" s="147" customFormat="1">
      <c r="A540" s="171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38"/>
      <c r="Q540" s="255" t="str">
        <f t="shared" si="63"/>
        <v/>
      </c>
      <c r="R540" s="139" t="str">
        <f t="shared" si="64"/>
        <v/>
      </c>
      <c r="S540" s="128" t="str">
        <f t="shared" si="58"/>
        <v/>
      </c>
      <c r="T540" s="140" t="str">
        <f t="shared" si="59"/>
        <v/>
      </c>
      <c r="U540" s="141" t="str">
        <f t="shared" si="60"/>
        <v/>
      </c>
      <c r="V540" s="141" t="str">
        <f t="shared" si="61"/>
        <v/>
      </c>
      <c r="W540" s="142"/>
      <c r="X540" s="186" t="str">
        <f t="shared" si="62"/>
        <v/>
      </c>
    </row>
    <row r="541" spans="1:24" s="147" customFormat="1">
      <c r="A541" s="170"/>
      <c r="B541" s="145"/>
      <c r="C541" s="145"/>
      <c r="D541" s="149"/>
      <c r="E541" s="150"/>
      <c r="F541" s="145"/>
      <c r="G541" s="145"/>
      <c r="H541" s="145"/>
      <c r="I541" s="145"/>
      <c r="J541" s="145"/>
      <c r="K541" s="145"/>
      <c r="L541" s="145"/>
      <c r="M541" s="145"/>
      <c r="N541" s="146"/>
      <c r="O541" s="145"/>
      <c r="P541" s="138"/>
      <c r="Q541" s="255" t="str">
        <f t="shared" si="63"/>
        <v/>
      </c>
      <c r="R541" s="139" t="str">
        <f t="shared" si="64"/>
        <v/>
      </c>
      <c r="S541" s="128" t="str">
        <f t="shared" si="58"/>
        <v/>
      </c>
      <c r="T541" s="140" t="str">
        <f t="shared" si="59"/>
        <v/>
      </c>
      <c r="U541" s="141" t="str">
        <f t="shared" si="60"/>
        <v/>
      </c>
      <c r="V541" s="141" t="str">
        <f t="shared" si="61"/>
        <v/>
      </c>
      <c r="W541" s="142"/>
      <c r="X541" s="186" t="str">
        <f t="shared" si="62"/>
        <v/>
      </c>
    </row>
    <row r="542" spans="1:24" s="147" customFormat="1">
      <c r="A542" s="171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38"/>
      <c r="Q542" s="255" t="str">
        <f t="shared" si="63"/>
        <v/>
      </c>
      <c r="R542" s="139" t="str">
        <f t="shared" si="64"/>
        <v/>
      </c>
      <c r="S542" s="128" t="str">
        <f t="shared" si="58"/>
        <v/>
      </c>
      <c r="T542" s="140" t="str">
        <f t="shared" si="59"/>
        <v/>
      </c>
      <c r="U542" s="141" t="str">
        <f t="shared" si="60"/>
        <v/>
      </c>
      <c r="V542" s="141" t="str">
        <f t="shared" si="61"/>
        <v/>
      </c>
      <c r="W542" s="142"/>
      <c r="X542" s="186" t="str">
        <f t="shared" si="62"/>
        <v/>
      </c>
    </row>
    <row r="543" spans="1:24" s="147" customFormat="1">
      <c r="A543" s="170"/>
      <c r="B543" s="145"/>
      <c r="C543" s="145"/>
      <c r="D543" s="146"/>
      <c r="E543" s="150"/>
      <c r="F543" s="145"/>
      <c r="G543" s="145"/>
      <c r="H543" s="145"/>
      <c r="I543" s="145"/>
      <c r="J543" s="145"/>
      <c r="K543" s="145"/>
      <c r="L543" s="145"/>
      <c r="M543" s="145"/>
      <c r="N543" s="146"/>
      <c r="O543" s="145"/>
      <c r="P543" s="138"/>
      <c r="Q543" s="255" t="str">
        <f t="shared" si="63"/>
        <v/>
      </c>
      <c r="R543" s="139" t="str">
        <f t="shared" si="64"/>
        <v/>
      </c>
      <c r="S543" s="128" t="str">
        <f t="shared" si="58"/>
        <v/>
      </c>
      <c r="T543" s="140" t="str">
        <f t="shared" si="59"/>
        <v/>
      </c>
      <c r="U543" s="141" t="str">
        <f t="shared" si="60"/>
        <v/>
      </c>
      <c r="V543" s="141" t="str">
        <f t="shared" si="61"/>
        <v/>
      </c>
      <c r="W543" s="142"/>
      <c r="X543" s="186" t="str">
        <f t="shared" si="62"/>
        <v/>
      </c>
    </row>
    <row r="544" spans="1:24" s="147" customFormat="1">
      <c r="A544" s="171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38"/>
      <c r="Q544" s="255" t="str">
        <f t="shared" si="63"/>
        <v/>
      </c>
      <c r="R544" s="139" t="str">
        <f t="shared" si="64"/>
        <v/>
      </c>
      <c r="S544" s="128" t="str">
        <f t="shared" si="58"/>
        <v/>
      </c>
      <c r="T544" s="140" t="str">
        <f t="shared" si="59"/>
        <v/>
      </c>
      <c r="U544" s="141" t="str">
        <f t="shared" si="60"/>
        <v/>
      </c>
      <c r="V544" s="141" t="str">
        <f t="shared" si="61"/>
        <v/>
      </c>
      <c r="W544" s="142"/>
      <c r="X544" s="186" t="str">
        <f t="shared" si="62"/>
        <v/>
      </c>
    </row>
    <row r="545" spans="1:24" s="147" customFormat="1">
      <c r="A545" s="170"/>
      <c r="B545" s="145"/>
      <c r="C545" s="145"/>
      <c r="D545" s="149"/>
      <c r="E545" s="150"/>
      <c r="F545" s="145"/>
      <c r="G545" s="145"/>
      <c r="H545" s="145"/>
      <c r="I545" s="145"/>
      <c r="J545" s="145"/>
      <c r="K545" s="145"/>
      <c r="L545" s="145"/>
      <c r="M545" s="145"/>
      <c r="N545" s="146"/>
      <c r="O545" s="145"/>
      <c r="P545" s="138"/>
      <c r="Q545" s="255" t="str">
        <f t="shared" si="63"/>
        <v/>
      </c>
      <c r="R545" s="139" t="str">
        <f t="shared" si="64"/>
        <v/>
      </c>
      <c r="S545" s="128" t="str">
        <f t="shared" si="58"/>
        <v/>
      </c>
      <c r="T545" s="140" t="str">
        <f t="shared" si="59"/>
        <v/>
      </c>
      <c r="U545" s="141" t="str">
        <f t="shared" si="60"/>
        <v/>
      </c>
      <c r="V545" s="141" t="str">
        <f t="shared" si="61"/>
        <v/>
      </c>
      <c r="W545" s="142"/>
      <c r="X545" s="186" t="str">
        <f t="shared" si="62"/>
        <v/>
      </c>
    </row>
    <row r="546" spans="1:24" s="147" customFormat="1">
      <c r="A546" s="171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38"/>
      <c r="Q546" s="255" t="str">
        <f t="shared" si="63"/>
        <v/>
      </c>
      <c r="R546" s="139" t="str">
        <f t="shared" si="64"/>
        <v/>
      </c>
      <c r="S546" s="128" t="str">
        <f t="shared" si="58"/>
        <v/>
      </c>
      <c r="T546" s="140" t="str">
        <f t="shared" si="59"/>
        <v/>
      </c>
      <c r="U546" s="141" t="str">
        <f t="shared" si="60"/>
        <v/>
      </c>
      <c r="V546" s="141" t="str">
        <f t="shared" si="61"/>
        <v/>
      </c>
      <c r="W546" s="142"/>
      <c r="X546" s="186" t="str">
        <f t="shared" si="62"/>
        <v/>
      </c>
    </row>
    <row r="547" spans="1:24" s="147" customFormat="1">
      <c r="A547" s="170"/>
      <c r="B547" s="145"/>
      <c r="C547" s="145"/>
      <c r="D547" s="149"/>
      <c r="E547" s="150"/>
      <c r="F547" s="145"/>
      <c r="G547" s="145"/>
      <c r="H547" s="145"/>
      <c r="I547" s="145"/>
      <c r="J547" s="145"/>
      <c r="K547" s="145"/>
      <c r="L547" s="145"/>
      <c r="M547" s="145"/>
      <c r="N547" s="146"/>
      <c r="O547" s="145"/>
      <c r="P547" s="138"/>
      <c r="Q547" s="255" t="str">
        <f t="shared" si="63"/>
        <v/>
      </c>
      <c r="R547" s="139" t="str">
        <f t="shared" si="64"/>
        <v/>
      </c>
      <c r="S547" s="128" t="str">
        <f t="shared" si="58"/>
        <v/>
      </c>
      <c r="T547" s="140" t="str">
        <f t="shared" si="59"/>
        <v/>
      </c>
      <c r="U547" s="141" t="str">
        <f t="shared" si="60"/>
        <v/>
      </c>
      <c r="V547" s="141" t="str">
        <f t="shared" si="61"/>
        <v/>
      </c>
      <c r="W547" s="142"/>
      <c r="X547" s="186" t="str">
        <f t="shared" si="62"/>
        <v/>
      </c>
    </row>
    <row r="548" spans="1:24" s="147" customFormat="1">
      <c r="A548" s="171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38"/>
      <c r="Q548" s="255" t="str">
        <f t="shared" si="63"/>
        <v/>
      </c>
      <c r="R548" s="139" t="str">
        <f t="shared" si="64"/>
        <v/>
      </c>
      <c r="S548" s="128" t="str">
        <f t="shared" si="58"/>
        <v/>
      </c>
      <c r="T548" s="140" t="str">
        <f t="shared" si="59"/>
        <v/>
      </c>
      <c r="U548" s="141" t="str">
        <f t="shared" si="60"/>
        <v/>
      </c>
      <c r="V548" s="141" t="str">
        <f t="shared" si="61"/>
        <v/>
      </c>
      <c r="W548" s="142"/>
      <c r="X548" s="186" t="str">
        <f t="shared" si="62"/>
        <v/>
      </c>
    </row>
    <row r="549" spans="1:24" s="147" customFormat="1">
      <c r="A549" s="170"/>
      <c r="B549" s="145"/>
      <c r="C549" s="145"/>
      <c r="D549" s="149"/>
      <c r="E549" s="150"/>
      <c r="F549" s="145"/>
      <c r="G549" s="145"/>
      <c r="H549" s="145"/>
      <c r="I549" s="145"/>
      <c r="J549" s="145"/>
      <c r="K549" s="145"/>
      <c r="L549" s="145"/>
      <c r="M549" s="145"/>
      <c r="N549" s="146"/>
      <c r="O549" s="145"/>
      <c r="P549" s="138"/>
      <c r="Q549" s="255" t="str">
        <f t="shared" si="63"/>
        <v/>
      </c>
      <c r="R549" s="139" t="str">
        <f t="shared" si="64"/>
        <v/>
      </c>
      <c r="S549" s="128" t="str">
        <f t="shared" si="58"/>
        <v/>
      </c>
      <c r="T549" s="140" t="str">
        <f t="shared" si="59"/>
        <v/>
      </c>
      <c r="U549" s="141" t="str">
        <f t="shared" si="60"/>
        <v/>
      </c>
      <c r="V549" s="141" t="str">
        <f t="shared" si="61"/>
        <v/>
      </c>
      <c r="W549" s="142"/>
      <c r="X549" s="186" t="str">
        <f t="shared" si="62"/>
        <v/>
      </c>
    </row>
    <row r="550" spans="1:24" s="147" customFormat="1">
      <c r="A550" s="171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38"/>
      <c r="Q550" s="255" t="str">
        <f t="shared" si="63"/>
        <v/>
      </c>
      <c r="R550" s="139" t="str">
        <f t="shared" si="64"/>
        <v/>
      </c>
      <c r="S550" s="128" t="str">
        <f t="shared" si="58"/>
        <v/>
      </c>
      <c r="T550" s="140" t="str">
        <f t="shared" si="59"/>
        <v/>
      </c>
      <c r="U550" s="141" t="str">
        <f t="shared" si="60"/>
        <v/>
      </c>
      <c r="V550" s="141" t="str">
        <f t="shared" si="61"/>
        <v/>
      </c>
      <c r="W550" s="142"/>
      <c r="X550" s="186" t="str">
        <f t="shared" si="62"/>
        <v/>
      </c>
    </row>
    <row r="551" spans="1:24" s="147" customFormat="1">
      <c r="A551" s="170"/>
      <c r="B551" s="145"/>
      <c r="C551" s="145"/>
      <c r="D551" s="149"/>
      <c r="E551" s="150"/>
      <c r="F551" s="145"/>
      <c r="G551" s="145"/>
      <c r="H551" s="145"/>
      <c r="I551" s="145"/>
      <c r="J551" s="145"/>
      <c r="K551" s="145"/>
      <c r="L551" s="145"/>
      <c r="M551" s="145"/>
      <c r="N551" s="146"/>
      <c r="O551" s="145"/>
      <c r="P551" s="138"/>
      <c r="Q551" s="255" t="str">
        <f t="shared" si="63"/>
        <v/>
      </c>
      <c r="R551" s="139" t="str">
        <f t="shared" si="64"/>
        <v/>
      </c>
      <c r="S551" s="128" t="str">
        <f t="shared" si="58"/>
        <v/>
      </c>
      <c r="T551" s="140" t="str">
        <f t="shared" si="59"/>
        <v/>
      </c>
      <c r="U551" s="141" t="str">
        <f t="shared" si="60"/>
        <v/>
      </c>
      <c r="V551" s="141" t="str">
        <f t="shared" si="61"/>
        <v/>
      </c>
      <c r="W551" s="142"/>
      <c r="X551" s="186" t="str">
        <f t="shared" si="62"/>
        <v/>
      </c>
    </row>
    <row r="552" spans="1:24" s="147" customFormat="1">
      <c r="A552" s="171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38"/>
      <c r="Q552" s="255" t="str">
        <f t="shared" si="63"/>
        <v/>
      </c>
      <c r="R552" s="139" t="str">
        <f t="shared" si="64"/>
        <v/>
      </c>
      <c r="S552" s="128" t="str">
        <f t="shared" si="58"/>
        <v/>
      </c>
      <c r="T552" s="140" t="str">
        <f t="shared" si="59"/>
        <v/>
      </c>
      <c r="U552" s="141" t="str">
        <f t="shared" si="60"/>
        <v/>
      </c>
      <c r="V552" s="141" t="str">
        <f t="shared" si="61"/>
        <v/>
      </c>
      <c r="W552" s="142"/>
      <c r="X552" s="186" t="str">
        <f t="shared" si="62"/>
        <v/>
      </c>
    </row>
    <row r="553" spans="1:24" s="147" customFormat="1">
      <c r="A553" s="170"/>
      <c r="B553" s="145"/>
      <c r="C553" s="145"/>
      <c r="D553" s="149"/>
      <c r="E553" s="150"/>
      <c r="F553" s="145"/>
      <c r="G553" s="145"/>
      <c r="H553" s="145"/>
      <c r="I553" s="145"/>
      <c r="J553" s="145"/>
      <c r="K553" s="145"/>
      <c r="L553" s="145"/>
      <c r="M553" s="145"/>
      <c r="N553" s="146"/>
      <c r="O553" s="145"/>
      <c r="P553" s="138"/>
      <c r="Q553" s="255" t="str">
        <f t="shared" si="63"/>
        <v/>
      </c>
      <c r="R553" s="139" t="str">
        <f t="shared" si="64"/>
        <v/>
      </c>
      <c r="S553" s="128" t="str">
        <f t="shared" si="58"/>
        <v/>
      </c>
      <c r="T553" s="140" t="str">
        <f t="shared" si="59"/>
        <v/>
      </c>
      <c r="U553" s="141" t="str">
        <f t="shared" si="60"/>
        <v/>
      </c>
      <c r="V553" s="141" t="str">
        <f t="shared" si="61"/>
        <v/>
      </c>
      <c r="W553" s="142"/>
      <c r="X553" s="186" t="str">
        <f t="shared" si="62"/>
        <v/>
      </c>
    </row>
    <row r="554" spans="1:24" s="147" customFormat="1">
      <c r="A554" s="171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38"/>
      <c r="Q554" s="255" t="str">
        <f t="shared" si="63"/>
        <v/>
      </c>
      <c r="R554" s="139" t="str">
        <f t="shared" si="64"/>
        <v/>
      </c>
      <c r="S554" s="128" t="str">
        <f t="shared" si="58"/>
        <v/>
      </c>
      <c r="T554" s="140" t="str">
        <f t="shared" si="59"/>
        <v/>
      </c>
      <c r="U554" s="141" t="str">
        <f t="shared" si="60"/>
        <v/>
      </c>
      <c r="V554" s="141" t="str">
        <f t="shared" si="61"/>
        <v/>
      </c>
      <c r="W554" s="142"/>
      <c r="X554" s="186" t="str">
        <f t="shared" si="62"/>
        <v/>
      </c>
    </row>
    <row r="555" spans="1:24" s="147" customFormat="1">
      <c r="A555" s="170"/>
      <c r="B555" s="145"/>
      <c r="C555" s="145"/>
      <c r="D555" s="149"/>
      <c r="E555" s="150"/>
      <c r="F555" s="145"/>
      <c r="G555" s="145"/>
      <c r="H555" s="145"/>
      <c r="I555" s="145"/>
      <c r="J555" s="145"/>
      <c r="K555" s="145"/>
      <c r="L555" s="145"/>
      <c r="M555" s="145"/>
      <c r="N555" s="149"/>
      <c r="O555" s="145"/>
      <c r="P555" s="138"/>
      <c r="Q555" s="255" t="str">
        <f t="shared" si="63"/>
        <v/>
      </c>
      <c r="R555" s="139" t="str">
        <f t="shared" si="64"/>
        <v/>
      </c>
      <c r="S555" s="128" t="str">
        <f t="shared" si="58"/>
        <v/>
      </c>
      <c r="T555" s="140" t="str">
        <f t="shared" si="59"/>
        <v/>
      </c>
      <c r="U555" s="141" t="str">
        <f t="shared" si="60"/>
        <v/>
      </c>
      <c r="V555" s="141" t="str">
        <f t="shared" si="61"/>
        <v/>
      </c>
      <c r="W555" s="142"/>
      <c r="X555" s="186" t="str">
        <f t="shared" si="62"/>
        <v/>
      </c>
    </row>
    <row r="556" spans="1:24" s="147" customFormat="1">
      <c r="A556" s="170"/>
      <c r="B556" s="145"/>
      <c r="C556" s="145"/>
      <c r="D556" s="149"/>
      <c r="E556" s="150"/>
      <c r="F556" s="145"/>
      <c r="G556" s="145"/>
      <c r="H556" s="145"/>
      <c r="I556" s="145"/>
      <c r="J556" s="145"/>
      <c r="K556" s="145"/>
      <c r="L556" s="145"/>
      <c r="M556" s="145"/>
      <c r="N556" s="149"/>
      <c r="O556" s="145"/>
      <c r="P556" s="138"/>
      <c r="Q556" s="255" t="str">
        <f t="shared" si="63"/>
        <v/>
      </c>
      <c r="R556" s="139" t="str">
        <f t="shared" si="64"/>
        <v/>
      </c>
      <c r="S556" s="128" t="str">
        <f t="shared" si="58"/>
        <v/>
      </c>
      <c r="T556" s="140" t="str">
        <f t="shared" si="59"/>
        <v/>
      </c>
      <c r="U556" s="141" t="str">
        <f t="shared" si="60"/>
        <v/>
      </c>
      <c r="V556" s="141" t="str">
        <f t="shared" si="61"/>
        <v/>
      </c>
      <c r="W556" s="142"/>
      <c r="X556" s="186" t="str">
        <f t="shared" si="62"/>
        <v/>
      </c>
    </row>
    <row r="557" spans="1:24" s="147" customFormat="1">
      <c r="A557" s="170"/>
      <c r="B557" s="145"/>
      <c r="C557" s="145"/>
      <c r="D557" s="149"/>
      <c r="E557" s="150"/>
      <c r="F557" s="145"/>
      <c r="G557" s="145"/>
      <c r="H557" s="145"/>
      <c r="I557" s="145"/>
      <c r="J557" s="145"/>
      <c r="K557" s="145"/>
      <c r="L557" s="145"/>
      <c r="M557" s="145"/>
      <c r="N557" s="149"/>
      <c r="O557" s="145"/>
      <c r="P557" s="138"/>
      <c r="Q557" s="255" t="str">
        <f t="shared" si="63"/>
        <v/>
      </c>
      <c r="R557" s="139" t="str">
        <f t="shared" si="64"/>
        <v/>
      </c>
      <c r="S557" s="128" t="str">
        <f t="shared" si="58"/>
        <v/>
      </c>
      <c r="T557" s="140" t="str">
        <f t="shared" si="59"/>
        <v/>
      </c>
      <c r="U557" s="141" t="str">
        <f t="shared" si="60"/>
        <v/>
      </c>
      <c r="V557" s="141" t="str">
        <f t="shared" si="61"/>
        <v/>
      </c>
      <c r="W557" s="142"/>
      <c r="X557" s="186" t="str">
        <f t="shared" si="62"/>
        <v/>
      </c>
    </row>
    <row r="558" spans="1:24" s="147" customFormat="1">
      <c r="A558" s="170"/>
      <c r="B558" s="145"/>
      <c r="C558" s="145"/>
      <c r="D558" s="149"/>
      <c r="E558" s="150"/>
      <c r="F558" s="145"/>
      <c r="G558" s="145"/>
      <c r="H558" s="145"/>
      <c r="I558" s="145"/>
      <c r="J558" s="145"/>
      <c r="K558" s="145"/>
      <c r="L558" s="145"/>
      <c r="M558" s="145"/>
      <c r="N558" s="149"/>
      <c r="O558" s="145"/>
      <c r="P558" s="138"/>
      <c r="Q558" s="255" t="str">
        <f t="shared" si="63"/>
        <v/>
      </c>
      <c r="R558" s="139" t="str">
        <f t="shared" si="64"/>
        <v/>
      </c>
      <c r="S558" s="128" t="str">
        <f t="shared" si="58"/>
        <v/>
      </c>
      <c r="T558" s="140" t="str">
        <f t="shared" si="59"/>
        <v/>
      </c>
      <c r="U558" s="141" t="str">
        <f t="shared" si="60"/>
        <v/>
      </c>
      <c r="V558" s="141" t="str">
        <f t="shared" si="61"/>
        <v/>
      </c>
      <c r="W558" s="142"/>
      <c r="X558" s="186" t="str">
        <f t="shared" si="62"/>
        <v/>
      </c>
    </row>
    <row r="559" spans="1:24" s="147" customFormat="1">
      <c r="A559" s="170"/>
      <c r="B559" s="145"/>
      <c r="C559" s="145"/>
      <c r="D559" s="149"/>
      <c r="E559" s="150"/>
      <c r="F559" s="145"/>
      <c r="G559" s="145"/>
      <c r="H559" s="145"/>
      <c r="I559" s="145"/>
      <c r="J559" s="145"/>
      <c r="K559" s="145"/>
      <c r="L559" s="145"/>
      <c r="M559" s="145"/>
      <c r="N559" s="149"/>
      <c r="O559" s="145"/>
      <c r="P559" s="138"/>
      <c r="Q559" s="255" t="str">
        <f t="shared" si="63"/>
        <v/>
      </c>
      <c r="R559" s="139" t="str">
        <f t="shared" si="64"/>
        <v/>
      </c>
      <c r="S559" s="128" t="str">
        <f t="shared" si="58"/>
        <v/>
      </c>
      <c r="T559" s="140" t="str">
        <f t="shared" si="59"/>
        <v/>
      </c>
      <c r="U559" s="141" t="str">
        <f t="shared" si="60"/>
        <v/>
      </c>
      <c r="V559" s="141" t="str">
        <f t="shared" si="61"/>
        <v/>
      </c>
      <c r="W559" s="142"/>
      <c r="X559" s="186" t="str">
        <f t="shared" si="62"/>
        <v/>
      </c>
    </row>
    <row r="560" spans="1:24" s="147" customFormat="1">
      <c r="A560" s="170"/>
      <c r="B560" s="145"/>
      <c r="C560" s="145"/>
      <c r="D560" s="149"/>
      <c r="E560" s="150"/>
      <c r="F560" s="145"/>
      <c r="G560" s="145"/>
      <c r="H560" s="145"/>
      <c r="I560" s="145"/>
      <c r="J560" s="145"/>
      <c r="K560" s="145"/>
      <c r="L560" s="145"/>
      <c r="M560" s="145"/>
      <c r="N560" s="149"/>
      <c r="O560" s="145"/>
      <c r="P560" s="138"/>
      <c r="Q560" s="255" t="str">
        <f t="shared" si="63"/>
        <v/>
      </c>
      <c r="R560" s="139" t="str">
        <f t="shared" si="64"/>
        <v/>
      </c>
      <c r="S560" s="128" t="str">
        <f t="shared" si="58"/>
        <v/>
      </c>
      <c r="T560" s="140" t="str">
        <f t="shared" si="59"/>
        <v/>
      </c>
      <c r="U560" s="141" t="str">
        <f t="shared" si="60"/>
        <v/>
      </c>
      <c r="V560" s="141" t="str">
        <f t="shared" si="61"/>
        <v/>
      </c>
      <c r="W560" s="142"/>
      <c r="X560" s="186" t="str">
        <f t="shared" si="62"/>
        <v/>
      </c>
    </row>
    <row r="561" spans="1:24" s="147" customFormat="1">
      <c r="A561" s="170"/>
      <c r="B561" s="145"/>
      <c r="C561" s="145"/>
      <c r="D561" s="149"/>
      <c r="E561" s="150"/>
      <c r="F561" s="145"/>
      <c r="G561" s="145"/>
      <c r="H561" s="145"/>
      <c r="I561" s="145"/>
      <c r="J561" s="145"/>
      <c r="K561" s="145"/>
      <c r="L561" s="145"/>
      <c r="M561" s="145"/>
      <c r="N561" s="149"/>
      <c r="O561" s="145"/>
      <c r="P561" s="138"/>
      <c r="Q561" s="255" t="str">
        <f t="shared" si="63"/>
        <v/>
      </c>
      <c r="R561" s="139" t="str">
        <f t="shared" si="64"/>
        <v/>
      </c>
      <c r="S561" s="128" t="str">
        <f t="shared" si="58"/>
        <v/>
      </c>
      <c r="T561" s="140" t="str">
        <f t="shared" si="59"/>
        <v/>
      </c>
      <c r="U561" s="141" t="str">
        <f t="shared" si="60"/>
        <v/>
      </c>
      <c r="V561" s="141" t="str">
        <f t="shared" si="61"/>
        <v/>
      </c>
      <c r="W561" s="142"/>
      <c r="X561" s="186" t="str">
        <f t="shared" si="62"/>
        <v/>
      </c>
    </row>
    <row r="562" spans="1:24" s="147" customFormat="1">
      <c r="A562" s="170"/>
      <c r="B562" s="145"/>
      <c r="C562" s="145"/>
      <c r="D562" s="145"/>
      <c r="E562" s="150"/>
      <c r="F562" s="145"/>
      <c r="G562" s="145"/>
      <c r="H562" s="145"/>
      <c r="I562" s="145"/>
      <c r="J562" s="145"/>
      <c r="K562" s="145"/>
      <c r="L562" s="145"/>
      <c r="M562" s="145"/>
      <c r="N562" s="149"/>
      <c r="O562" s="145"/>
      <c r="P562" s="138"/>
      <c r="Q562" s="255" t="str">
        <f t="shared" si="63"/>
        <v/>
      </c>
      <c r="R562" s="139" t="str">
        <f t="shared" si="64"/>
        <v/>
      </c>
      <c r="S562" s="128" t="str">
        <f t="shared" si="58"/>
        <v/>
      </c>
      <c r="T562" s="140" t="str">
        <f t="shared" si="59"/>
        <v/>
      </c>
      <c r="U562" s="141" t="str">
        <f t="shared" si="60"/>
        <v/>
      </c>
      <c r="V562" s="141" t="str">
        <f t="shared" si="61"/>
        <v/>
      </c>
      <c r="W562" s="142"/>
      <c r="X562" s="186" t="str">
        <f t="shared" si="62"/>
        <v/>
      </c>
    </row>
    <row r="563" spans="1:24" s="147" customFormat="1">
      <c r="A563" s="172"/>
      <c r="B563" s="151"/>
      <c r="C563" s="151"/>
      <c r="D563" s="151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38"/>
      <c r="Q563" s="255" t="str">
        <f t="shared" si="63"/>
        <v/>
      </c>
      <c r="R563" s="139" t="str">
        <f t="shared" si="64"/>
        <v/>
      </c>
      <c r="S563" s="128" t="str">
        <f t="shared" si="58"/>
        <v/>
      </c>
      <c r="T563" s="140" t="str">
        <f t="shared" si="59"/>
        <v/>
      </c>
      <c r="U563" s="141" t="str">
        <f t="shared" si="60"/>
        <v/>
      </c>
      <c r="V563" s="141" t="str">
        <f t="shared" si="61"/>
        <v/>
      </c>
      <c r="W563" s="142"/>
      <c r="X563" s="186" t="str">
        <f t="shared" si="62"/>
        <v/>
      </c>
    </row>
    <row r="564" spans="1:24" s="147" customFormat="1">
      <c r="A564" s="170"/>
      <c r="B564" s="145"/>
      <c r="C564" s="145"/>
      <c r="D564" s="145"/>
      <c r="E564" s="150"/>
      <c r="F564" s="145"/>
      <c r="G564" s="145"/>
      <c r="H564" s="145"/>
      <c r="I564" s="145"/>
      <c r="J564" s="145"/>
      <c r="K564" s="145"/>
      <c r="L564" s="145"/>
      <c r="M564" s="145"/>
      <c r="N564" s="146"/>
      <c r="O564" s="145"/>
      <c r="P564" s="138"/>
      <c r="Q564" s="255" t="str">
        <f t="shared" si="63"/>
        <v/>
      </c>
      <c r="R564" s="139" t="str">
        <f t="shared" si="64"/>
        <v/>
      </c>
      <c r="S564" s="128" t="str">
        <f t="shared" si="58"/>
        <v/>
      </c>
      <c r="T564" s="140" t="str">
        <f t="shared" si="59"/>
        <v/>
      </c>
      <c r="U564" s="141" t="str">
        <f t="shared" si="60"/>
        <v/>
      </c>
      <c r="V564" s="141" t="str">
        <f t="shared" si="61"/>
        <v/>
      </c>
      <c r="W564" s="142"/>
      <c r="X564" s="186" t="str">
        <f t="shared" si="62"/>
        <v/>
      </c>
    </row>
    <row r="565" spans="1:24" s="147" customFormat="1">
      <c r="A565" s="170"/>
      <c r="B565" s="145"/>
      <c r="C565" s="145"/>
      <c r="D565" s="145"/>
      <c r="E565" s="150"/>
      <c r="F565" s="145"/>
      <c r="G565" s="145"/>
      <c r="H565" s="145"/>
      <c r="I565" s="145"/>
      <c r="J565" s="145"/>
      <c r="K565" s="145"/>
      <c r="L565" s="145"/>
      <c r="M565" s="145"/>
      <c r="N565" s="146"/>
      <c r="O565" s="145"/>
      <c r="P565" s="138"/>
      <c r="Q565" s="255" t="str">
        <f t="shared" si="63"/>
        <v/>
      </c>
      <c r="R565" s="139" t="str">
        <f t="shared" si="64"/>
        <v/>
      </c>
      <c r="S565" s="128" t="str">
        <f t="shared" si="58"/>
        <v/>
      </c>
      <c r="T565" s="140" t="str">
        <f t="shared" si="59"/>
        <v/>
      </c>
      <c r="U565" s="141" t="str">
        <f t="shared" si="60"/>
        <v/>
      </c>
      <c r="V565" s="141" t="str">
        <f t="shared" si="61"/>
        <v/>
      </c>
      <c r="W565" s="142"/>
      <c r="X565" s="186" t="str">
        <f t="shared" si="62"/>
        <v/>
      </c>
    </row>
    <row r="566" spans="1:24" s="147" customFormat="1">
      <c r="A566" s="171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38"/>
      <c r="Q566" s="255" t="str">
        <f t="shared" si="63"/>
        <v/>
      </c>
      <c r="R566" s="139" t="str">
        <f t="shared" si="64"/>
        <v/>
      </c>
      <c r="S566" s="128" t="str">
        <f t="shared" si="58"/>
        <v/>
      </c>
      <c r="T566" s="140" t="str">
        <f t="shared" si="59"/>
        <v/>
      </c>
      <c r="U566" s="141" t="str">
        <f t="shared" si="60"/>
        <v/>
      </c>
      <c r="V566" s="141" t="str">
        <f t="shared" si="61"/>
        <v/>
      </c>
      <c r="W566" s="142"/>
      <c r="X566" s="186" t="str">
        <f t="shared" si="62"/>
        <v/>
      </c>
    </row>
    <row r="567" spans="1:24" s="147" customFormat="1">
      <c r="A567" s="170"/>
      <c r="B567" s="145"/>
      <c r="C567" s="145"/>
      <c r="D567" s="145"/>
      <c r="E567" s="150"/>
      <c r="F567" s="145"/>
      <c r="G567" s="145"/>
      <c r="H567" s="145"/>
      <c r="I567" s="145"/>
      <c r="J567" s="145"/>
      <c r="K567" s="145"/>
      <c r="L567" s="145"/>
      <c r="M567" s="145"/>
      <c r="N567" s="146"/>
      <c r="O567" s="145"/>
      <c r="P567" s="138"/>
      <c r="Q567" s="255" t="str">
        <f t="shared" si="63"/>
        <v/>
      </c>
      <c r="R567" s="139" t="str">
        <f t="shared" si="64"/>
        <v/>
      </c>
      <c r="S567" s="128" t="str">
        <f t="shared" si="58"/>
        <v/>
      </c>
      <c r="T567" s="140" t="str">
        <f t="shared" si="59"/>
        <v/>
      </c>
      <c r="U567" s="141" t="str">
        <f t="shared" si="60"/>
        <v/>
      </c>
      <c r="V567" s="141" t="str">
        <f t="shared" si="61"/>
        <v/>
      </c>
      <c r="W567" s="142"/>
      <c r="X567" s="186" t="str">
        <f t="shared" si="62"/>
        <v/>
      </c>
    </row>
    <row r="568" spans="1:24" s="147" customFormat="1">
      <c r="A568" s="170"/>
      <c r="B568" s="145"/>
      <c r="C568" s="145"/>
      <c r="D568" s="145"/>
      <c r="E568" s="150"/>
      <c r="F568" s="145"/>
      <c r="G568" s="145"/>
      <c r="H568" s="145"/>
      <c r="I568" s="145"/>
      <c r="J568" s="145"/>
      <c r="K568" s="145"/>
      <c r="L568" s="145"/>
      <c r="M568" s="145"/>
      <c r="N568" s="146"/>
      <c r="O568" s="145"/>
      <c r="P568" s="138"/>
      <c r="Q568" s="255" t="str">
        <f t="shared" si="63"/>
        <v/>
      </c>
      <c r="R568" s="139" t="str">
        <f t="shared" si="64"/>
        <v/>
      </c>
      <c r="S568" s="128" t="str">
        <f t="shared" si="58"/>
        <v/>
      </c>
      <c r="T568" s="140" t="str">
        <f t="shared" si="59"/>
        <v/>
      </c>
      <c r="U568" s="141" t="str">
        <f t="shared" si="60"/>
        <v/>
      </c>
      <c r="V568" s="141" t="str">
        <f t="shared" si="61"/>
        <v/>
      </c>
      <c r="W568" s="142"/>
      <c r="X568" s="186" t="str">
        <f t="shared" si="62"/>
        <v/>
      </c>
    </row>
    <row r="569" spans="1:24" s="147" customFormat="1">
      <c r="A569" s="170"/>
      <c r="B569" s="145"/>
      <c r="C569" s="145"/>
      <c r="D569" s="145"/>
      <c r="E569" s="150"/>
      <c r="F569" s="145"/>
      <c r="G569" s="145"/>
      <c r="H569" s="145"/>
      <c r="I569" s="145"/>
      <c r="J569" s="145"/>
      <c r="K569" s="145"/>
      <c r="L569" s="145"/>
      <c r="M569" s="145"/>
      <c r="N569" s="149"/>
      <c r="O569" s="145"/>
      <c r="P569" s="138"/>
      <c r="Q569" s="255" t="str">
        <f t="shared" si="63"/>
        <v/>
      </c>
      <c r="R569" s="139" t="str">
        <f t="shared" si="64"/>
        <v/>
      </c>
      <c r="S569" s="128" t="str">
        <f t="shared" si="58"/>
        <v/>
      </c>
      <c r="T569" s="140" t="str">
        <f t="shared" si="59"/>
        <v/>
      </c>
      <c r="U569" s="141" t="str">
        <f t="shared" si="60"/>
        <v/>
      </c>
      <c r="V569" s="141" t="str">
        <f t="shared" si="61"/>
        <v/>
      </c>
      <c r="W569" s="142"/>
      <c r="X569" s="186" t="str">
        <f t="shared" si="62"/>
        <v/>
      </c>
    </row>
    <row r="570" spans="1:24" s="147" customFormat="1">
      <c r="A570" s="172"/>
      <c r="B570" s="151"/>
      <c r="C570" s="151"/>
      <c r="D570" s="151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38"/>
      <c r="Q570" s="255" t="str">
        <f t="shared" si="63"/>
        <v/>
      </c>
      <c r="R570" s="139" t="str">
        <f t="shared" si="64"/>
        <v/>
      </c>
      <c r="S570" s="128" t="str">
        <f t="shared" si="58"/>
        <v/>
      </c>
      <c r="T570" s="140" t="str">
        <f t="shared" si="59"/>
        <v/>
      </c>
      <c r="U570" s="141" t="str">
        <f t="shared" si="60"/>
        <v/>
      </c>
      <c r="V570" s="141" t="str">
        <f t="shared" si="61"/>
        <v/>
      </c>
      <c r="W570" s="142"/>
      <c r="X570" s="186" t="str">
        <f t="shared" si="62"/>
        <v/>
      </c>
    </row>
    <row r="571" spans="1:24" s="147" customFormat="1">
      <c r="A571" s="170"/>
      <c r="B571" s="145"/>
      <c r="C571" s="145"/>
      <c r="D571" s="146"/>
      <c r="E571" s="150"/>
      <c r="F571" s="145"/>
      <c r="G571" s="145"/>
      <c r="H571" s="145"/>
      <c r="I571" s="145"/>
      <c r="J571" s="145"/>
      <c r="K571" s="145"/>
      <c r="L571" s="145"/>
      <c r="M571" s="145"/>
      <c r="N571" s="146"/>
      <c r="O571" s="145"/>
      <c r="P571" s="138"/>
      <c r="Q571" s="255" t="str">
        <f t="shared" si="63"/>
        <v/>
      </c>
      <c r="R571" s="139" t="str">
        <f t="shared" si="64"/>
        <v/>
      </c>
      <c r="S571" s="128" t="str">
        <f t="shared" si="58"/>
        <v/>
      </c>
      <c r="T571" s="140" t="str">
        <f t="shared" si="59"/>
        <v/>
      </c>
      <c r="U571" s="141" t="str">
        <f t="shared" si="60"/>
        <v/>
      </c>
      <c r="V571" s="141" t="str">
        <f t="shared" si="61"/>
        <v/>
      </c>
      <c r="W571" s="142"/>
      <c r="X571" s="186" t="str">
        <f t="shared" si="62"/>
        <v/>
      </c>
    </row>
    <row r="572" spans="1:24" s="147" customFormat="1">
      <c r="A572" s="172"/>
      <c r="B572" s="151"/>
      <c r="C572" s="151"/>
      <c r="D572" s="151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38"/>
      <c r="Q572" s="255" t="str">
        <f t="shared" si="63"/>
        <v/>
      </c>
      <c r="R572" s="139" t="str">
        <f t="shared" si="64"/>
        <v/>
      </c>
      <c r="S572" s="128" t="str">
        <f t="shared" si="58"/>
        <v/>
      </c>
      <c r="T572" s="140" t="str">
        <f t="shared" si="59"/>
        <v/>
      </c>
      <c r="U572" s="141" t="str">
        <f t="shared" si="60"/>
        <v/>
      </c>
      <c r="V572" s="141" t="str">
        <f t="shared" si="61"/>
        <v/>
      </c>
      <c r="W572" s="142"/>
      <c r="X572" s="186" t="str">
        <f t="shared" si="62"/>
        <v/>
      </c>
    </row>
    <row r="573" spans="1:24" s="147" customFormat="1">
      <c r="A573" s="170"/>
      <c r="B573" s="145"/>
      <c r="C573" s="145"/>
      <c r="D573" s="145"/>
      <c r="E573" s="150"/>
      <c r="F573" s="145"/>
      <c r="G573" s="145"/>
      <c r="H573" s="145"/>
      <c r="I573" s="145"/>
      <c r="J573" s="145"/>
      <c r="K573" s="145"/>
      <c r="L573" s="145"/>
      <c r="M573" s="145"/>
      <c r="N573" s="149"/>
      <c r="O573" s="145"/>
      <c r="P573" s="138"/>
      <c r="Q573" s="255" t="str">
        <f t="shared" si="63"/>
        <v/>
      </c>
      <c r="R573" s="139" t="str">
        <f t="shared" si="64"/>
        <v/>
      </c>
      <c r="S573" s="128" t="str">
        <f t="shared" si="58"/>
        <v/>
      </c>
      <c r="T573" s="140" t="str">
        <f t="shared" si="59"/>
        <v/>
      </c>
      <c r="U573" s="141" t="str">
        <f t="shared" si="60"/>
        <v/>
      </c>
      <c r="V573" s="141" t="str">
        <f t="shared" si="61"/>
        <v/>
      </c>
      <c r="W573" s="142"/>
      <c r="X573" s="186" t="str">
        <f t="shared" si="62"/>
        <v/>
      </c>
    </row>
    <row r="574" spans="1:24" s="147" customFormat="1">
      <c r="A574" s="172"/>
      <c r="B574" s="151"/>
      <c r="C574" s="151"/>
      <c r="D574" s="151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38"/>
      <c r="Q574" s="255" t="str">
        <f t="shared" si="63"/>
        <v/>
      </c>
      <c r="R574" s="139" t="str">
        <f t="shared" si="64"/>
        <v/>
      </c>
      <c r="S574" s="128" t="str">
        <f t="shared" si="58"/>
        <v/>
      </c>
      <c r="T574" s="140" t="str">
        <f t="shared" si="59"/>
        <v/>
      </c>
      <c r="U574" s="141" t="str">
        <f t="shared" si="60"/>
        <v/>
      </c>
      <c r="V574" s="141" t="str">
        <f t="shared" si="61"/>
        <v/>
      </c>
      <c r="W574" s="142"/>
      <c r="X574" s="186" t="str">
        <f t="shared" si="62"/>
        <v/>
      </c>
    </row>
    <row r="575" spans="1:24" s="147" customFormat="1">
      <c r="A575" s="170"/>
      <c r="B575" s="145"/>
      <c r="C575" s="145"/>
      <c r="D575" s="145"/>
      <c r="E575" s="150"/>
      <c r="F575" s="145"/>
      <c r="G575" s="145"/>
      <c r="H575" s="145"/>
      <c r="I575" s="145"/>
      <c r="J575" s="145"/>
      <c r="K575" s="145"/>
      <c r="L575" s="145"/>
      <c r="M575" s="145"/>
      <c r="N575" s="146"/>
      <c r="O575" s="145"/>
      <c r="P575" s="138"/>
      <c r="Q575" s="255" t="str">
        <f t="shared" si="63"/>
        <v/>
      </c>
      <c r="R575" s="139" t="str">
        <f t="shared" si="64"/>
        <v/>
      </c>
      <c r="S575" s="128" t="str">
        <f t="shared" si="58"/>
        <v/>
      </c>
      <c r="T575" s="140" t="str">
        <f t="shared" si="59"/>
        <v/>
      </c>
      <c r="U575" s="141" t="str">
        <f t="shared" si="60"/>
        <v/>
      </c>
      <c r="V575" s="141" t="str">
        <f t="shared" si="61"/>
        <v/>
      </c>
      <c r="W575" s="142"/>
      <c r="X575" s="186" t="str">
        <f t="shared" si="62"/>
        <v/>
      </c>
    </row>
    <row r="576" spans="1:24" s="147" customFormat="1">
      <c r="A576" s="170"/>
      <c r="B576" s="145"/>
      <c r="C576" s="145"/>
      <c r="D576" s="149"/>
      <c r="E576" s="150"/>
      <c r="F576" s="145"/>
      <c r="G576" s="145"/>
      <c r="H576" s="145"/>
      <c r="I576" s="145"/>
      <c r="J576" s="145"/>
      <c r="K576" s="145"/>
      <c r="L576" s="145"/>
      <c r="M576" s="145"/>
      <c r="N576" s="149"/>
      <c r="O576" s="145"/>
      <c r="P576" s="138"/>
      <c r="Q576" s="255" t="str">
        <f t="shared" si="63"/>
        <v/>
      </c>
      <c r="R576" s="139" t="str">
        <f t="shared" si="64"/>
        <v/>
      </c>
      <c r="S576" s="128" t="str">
        <f t="shared" si="58"/>
        <v/>
      </c>
      <c r="T576" s="140" t="str">
        <f t="shared" si="59"/>
        <v/>
      </c>
      <c r="U576" s="141" t="str">
        <f t="shared" si="60"/>
        <v/>
      </c>
      <c r="V576" s="141" t="str">
        <f t="shared" si="61"/>
        <v/>
      </c>
      <c r="W576" s="142"/>
      <c r="X576" s="186" t="str">
        <f t="shared" si="62"/>
        <v/>
      </c>
    </row>
    <row r="577" spans="1:24" s="147" customFormat="1">
      <c r="A577" s="170"/>
      <c r="B577" s="145"/>
      <c r="C577" s="145"/>
      <c r="D577" s="149"/>
      <c r="E577" s="150"/>
      <c r="F577" s="145"/>
      <c r="G577" s="145"/>
      <c r="H577" s="145"/>
      <c r="I577" s="145"/>
      <c r="J577" s="145"/>
      <c r="K577" s="145"/>
      <c r="L577" s="145"/>
      <c r="M577" s="145"/>
      <c r="N577" s="149"/>
      <c r="O577" s="145"/>
      <c r="P577" s="138"/>
      <c r="Q577" s="255" t="str">
        <f t="shared" si="63"/>
        <v/>
      </c>
      <c r="R577" s="139" t="str">
        <f t="shared" si="64"/>
        <v/>
      </c>
      <c r="S577" s="128" t="str">
        <f t="shared" si="58"/>
        <v/>
      </c>
      <c r="T577" s="140" t="str">
        <f t="shared" si="59"/>
        <v/>
      </c>
      <c r="U577" s="141" t="str">
        <f t="shared" si="60"/>
        <v/>
      </c>
      <c r="V577" s="141" t="str">
        <f t="shared" si="61"/>
        <v/>
      </c>
      <c r="W577" s="142"/>
      <c r="X577" s="186" t="str">
        <f t="shared" si="62"/>
        <v/>
      </c>
    </row>
    <row r="578" spans="1:24" s="147" customFormat="1">
      <c r="A578" s="170"/>
      <c r="B578" s="145"/>
      <c r="C578" s="145"/>
      <c r="D578" s="149"/>
      <c r="E578" s="150"/>
      <c r="F578" s="145"/>
      <c r="G578" s="145"/>
      <c r="H578" s="145"/>
      <c r="I578" s="145"/>
      <c r="J578" s="145"/>
      <c r="K578" s="145"/>
      <c r="L578" s="145"/>
      <c r="M578" s="145"/>
      <c r="N578" s="149"/>
      <c r="O578" s="145"/>
      <c r="P578" s="138"/>
      <c r="Q578" s="255" t="str">
        <f t="shared" si="63"/>
        <v/>
      </c>
      <c r="R578" s="139" t="str">
        <f t="shared" si="64"/>
        <v/>
      </c>
      <c r="S578" s="128" t="str">
        <f t="shared" si="58"/>
        <v/>
      </c>
      <c r="T578" s="140" t="str">
        <f t="shared" si="59"/>
        <v/>
      </c>
      <c r="U578" s="141" t="str">
        <f t="shared" si="60"/>
        <v/>
      </c>
      <c r="V578" s="141" t="str">
        <f t="shared" si="61"/>
        <v/>
      </c>
      <c r="W578" s="142"/>
      <c r="X578" s="186" t="str">
        <f t="shared" si="62"/>
        <v/>
      </c>
    </row>
    <row r="579" spans="1:24" s="147" customFormat="1">
      <c r="A579" s="170"/>
      <c r="B579" s="145"/>
      <c r="C579" s="145"/>
      <c r="D579" s="149"/>
      <c r="E579" s="150"/>
      <c r="F579" s="145"/>
      <c r="G579" s="145"/>
      <c r="H579" s="145"/>
      <c r="I579" s="145"/>
      <c r="J579" s="145"/>
      <c r="K579" s="145"/>
      <c r="L579" s="145"/>
      <c r="M579" s="145"/>
      <c r="N579" s="149"/>
      <c r="O579" s="145"/>
      <c r="P579" s="138"/>
      <c r="Q579" s="255" t="str">
        <f t="shared" si="63"/>
        <v/>
      </c>
      <c r="R579" s="139" t="str">
        <f t="shared" si="64"/>
        <v/>
      </c>
      <c r="S579" s="128" t="str">
        <f t="shared" si="58"/>
        <v/>
      </c>
      <c r="T579" s="140" t="str">
        <f t="shared" si="59"/>
        <v/>
      </c>
      <c r="U579" s="141" t="str">
        <f t="shared" si="60"/>
        <v/>
      </c>
      <c r="V579" s="141" t="str">
        <f t="shared" si="61"/>
        <v/>
      </c>
      <c r="W579" s="142"/>
      <c r="X579" s="186" t="str">
        <f t="shared" si="62"/>
        <v/>
      </c>
    </row>
    <row r="580" spans="1:24" s="147" customFormat="1">
      <c r="A580" s="170"/>
      <c r="B580" s="145"/>
      <c r="C580" s="145"/>
      <c r="D580" s="146"/>
      <c r="E580" s="150"/>
      <c r="F580" s="145"/>
      <c r="G580" s="145"/>
      <c r="H580" s="145"/>
      <c r="I580" s="145"/>
      <c r="J580" s="145"/>
      <c r="K580" s="145"/>
      <c r="L580" s="145"/>
      <c r="M580" s="145"/>
      <c r="N580" s="146"/>
      <c r="O580" s="145"/>
      <c r="P580" s="138"/>
      <c r="Q580" s="255" t="str">
        <f t="shared" si="63"/>
        <v/>
      </c>
      <c r="R580" s="139" t="str">
        <f t="shared" si="64"/>
        <v/>
      </c>
      <c r="S580" s="128" t="str">
        <f t="shared" si="58"/>
        <v/>
      </c>
      <c r="T580" s="140" t="str">
        <f t="shared" si="59"/>
        <v/>
      </c>
      <c r="U580" s="141" t="str">
        <f t="shared" si="60"/>
        <v/>
      </c>
      <c r="V580" s="141" t="str">
        <f t="shared" si="61"/>
        <v/>
      </c>
      <c r="W580" s="142"/>
      <c r="X580" s="186" t="str">
        <f t="shared" si="62"/>
        <v/>
      </c>
    </row>
    <row r="581" spans="1:24" s="147" customFormat="1">
      <c r="A581" s="172"/>
      <c r="B581" s="151"/>
      <c r="C581" s="151"/>
      <c r="D581" s="151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38"/>
      <c r="Q581" s="255" t="str">
        <f t="shared" si="63"/>
        <v/>
      </c>
      <c r="R581" s="139" t="str">
        <f t="shared" si="64"/>
        <v/>
      </c>
      <c r="S581" s="128" t="str">
        <f t="shared" si="58"/>
        <v/>
      </c>
      <c r="T581" s="140" t="str">
        <f t="shared" si="59"/>
        <v/>
      </c>
      <c r="U581" s="141" t="str">
        <f t="shared" si="60"/>
        <v/>
      </c>
      <c r="V581" s="141" t="str">
        <f t="shared" si="61"/>
        <v/>
      </c>
      <c r="W581" s="142"/>
      <c r="X581" s="186" t="str">
        <f t="shared" si="62"/>
        <v/>
      </c>
    </row>
    <row r="582" spans="1:24" s="147" customFormat="1">
      <c r="A582" s="170"/>
      <c r="B582" s="145"/>
      <c r="C582" s="145"/>
      <c r="D582" s="149"/>
      <c r="E582" s="150"/>
      <c r="F582" s="145"/>
      <c r="G582" s="145"/>
      <c r="H582" s="145"/>
      <c r="I582" s="145"/>
      <c r="J582" s="145"/>
      <c r="K582" s="145"/>
      <c r="L582" s="145"/>
      <c r="M582" s="145"/>
      <c r="N582" s="149"/>
      <c r="O582" s="145"/>
      <c r="P582" s="138"/>
      <c r="Q582" s="255" t="str">
        <f t="shared" si="63"/>
        <v/>
      </c>
      <c r="R582" s="139" t="str">
        <f t="shared" si="64"/>
        <v/>
      </c>
      <c r="S582" s="128" t="str">
        <f t="shared" si="58"/>
        <v/>
      </c>
      <c r="T582" s="140" t="str">
        <f t="shared" si="59"/>
        <v/>
      </c>
      <c r="U582" s="141" t="str">
        <f t="shared" si="60"/>
        <v/>
      </c>
      <c r="V582" s="141" t="str">
        <f t="shared" si="61"/>
        <v/>
      </c>
      <c r="W582" s="142"/>
      <c r="X582" s="186" t="str">
        <f t="shared" si="62"/>
        <v/>
      </c>
    </row>
    <row r="583" spans="1:24" s="147" customFormat="1">
      <c r="A583" s="170"/>
      <c r="B583" s="145"/>
      <c r="C583" s="145"/>
      <c r="D583" s="149"/>
      <c r="E583" s="150"/>
      <c r="F583" s="145"/>
      <c r="G583" s="145"/>
      <c r="H583" s="145"/>
      <c r="I583" s="145"/>
      <c r="J583" s="145"/>
      <c r="K583" s="145"/>
      <c r="L583" s="145"/>
      <c r="M583" s="145"/>
      <c r="N583" s="149"/>
      <c r="O583" s="145"/>
      <c r="P583" s="138"/>
      <c r="Q583" s="255" t="str">
        <f t="shared" si="63"/>
        <v/>
      </c>
      <c r="R583" s="139" t="str">
        <f t="shared" si="64"/>
        <v/>
      </c>
      <c r="S583" s="128" t="str">
        <f t="shared" ref="S583:S646" si="65">IF(D583="","",IF(IFERROR(FIND("資",D583)&gt;0,FALSE),"資券",IF(IFERROR(FIND("券",D583)&gt;0,FALSE),"資券","波段")))</f>
        <v/>
      </c>
      <c r="T583" s="140" t="str">
        <f t="shared" ref="T583:T646" si="66">IF(F583="","",F583)</f>
        <v/>
      </c>
      <c r="U583" s="141" t="str">
        <f t="shared" ref="U583:U646" si="67">IF(D583="","",IF(IFERROR(FIND("買",D583)&gt;0,FALSE),E583,IF(IFERROR(FIND("賣",D583)&gt;0,FALSE),-E583,IF(IFERROR(FIND("資",D583)&gt;0,FALSE),E583,-E583))))</f>
        <v/>
      </c>
      <c r="V583" s="141" t="str">
        <f t="shared" ref="V583:V646" si="68">IF(Q583="","",T583*U583*-1)</f>
        <v/>
      </c>
      <c r="W583" s="142"/>
      <c r="X583" s="186" t="str">
        <f t="shared" ref="X583:X646" si="69">IFERROR((-1)*LEFT(N583,FIND("扣",N583)-1),IFERROR(1*LEFT(N583,FIND("入",N583)-1),""))</f>
        <v/>
      </c>
    </row>
    <row r="584" spans="1:24" s="147" customFormat="1">
      <c r="A584" s="170"/>
      <c r="B584" s="145"/>
      <c r="C584" s="145"/>
      <c r="D584" s="149"/>
      <c r="E584" s="150"/>
      <c r="F584" s="145"/>
      <c r="G584" s="145"/>
      <c r="H584" s="145"/>
      <c r="I584" s="145"/>
      <c r="J584" s="145"/>
      <c r="K584" s="145"/>
      <c r="L584" s="145"/>
      <c r="M584" s="145"/>
      <c r="N584" s="149"/>
      <c r="O584" s="145"/>
      <c r="P584" s="138"/>
      <c r="Q584" s="255" t="str">
        <f t="shared" ref="Q584:Q647" si="70">IF(B584="","",DATE(LEFT(B584,3)+1911,MID(B584,4,2),RIGHT(B584,2)))</f>
        <v/>
      </c>
      <c r="R584" s="139" t="str">
        <f t="shared" ref="R584:R647" si="71">IF(C584="","",IFERROR(INDEX(代號1,MATCH($C584,股名1,0)),IFERROR(INDEX(代號2,MATCH($C584,股名2,0)),INDEX(代號3,MATCH($C584,股名3,0)))))</f>
        <v/>
      </c>
      <c r="S584" s="128" t="str">
        <f t="shared" si="65"/>
        <v/>
      </c>
      <c r="T584" s="140" t="str">
        <f t="shared" si="66"/>
        <v/>
      </c>
      <c r="U584" s="141" t="str">
        <f t="shared" si="67"/>
        <v/>
      </c>
      <c r="V584" s="141" t="str">
        <f t="shared" si="68"/>
        <v/>
      </c>
      <c r="W584" s="142"/>
      <c r="X584" s="186" t="str">
        <f t="shared" si="69"/>
        <v/>
      </c>
    </row>
    <row r="585" spans="1:24" s="147" customFormat="1">
      <c r="A585" s="170"/>
      <c r="B585" s="145"/>
      <c r="C585" s="145"/>
      <c r="D585" s="146"/>
      <c r="E585" s="150"/>
      <c r="F585" s="145"/>
      <c r="G585" s="145"/>
      <c r="H585" s="145"/>
      <c r="I585" s="145"/>
      <c r="J585" s="145"/>
      <c r="K585" s="145"/>
      <c r="L585" s="145"/>
      <c r="M585" s="145"/>
      <c r="N585" s="146"/>
      <c r="O585" s="145"/>
      <c r="P585" s="138"/>
      <c r="Q585" s="255" t="str">
        <f t="shared" si="70"/>
        <v/>
      </c>
      <c r="R585" s="139" t="str">
        <f t="shared" si="71"/>
        <v/>
      </c>
      <c r="S585" s="128" t="str">
        <f t="shared" si="65"/>
        <v/>
      </c>
      <c r="T585" s="140" t="str">
        <f t="shared" si="66"/>
        <v/>
      </c>
      <c r="U585" s="141" t="str">
        <f t="shared" si="67"/>
        <v/>
      </c>
      <c r="V585" s="141" t="str">
        <f t="shared" si="68"/>
        <v/>
      </c>
      <c r="W585" s="142"/>
      <c r="X585" s="186" t="str">
        <f t="shared" si="69"/>
        <v/>
      </c>
    </row>
    <row r="586" spans="1:24" s="147" customFormat="1">
      <c r="A586" s="172"/>
      <c r="B586" s="151"/>
      <c r="C586" s="151"/>
      <c r="D586" s="151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38"/>
      <c r="Q586" s="255" t="str">
        <f t="shared" si="70"/>
        <v/>
      </c>
      <c r="R586" s="139" t="str">
        <f t="shared" si="71"/>
        <v/>
      </c>
      <c r="S586" s="128" t="str">
        <f t="shared" si="65"/>
        <v/>
      </c>
      <c r="T586" s="140" t="str">
        <f t="shared" si="66"/>
        <v/>
      </c>
      <c r="U586" s="141" t="str">
        <f t="shared" si="67"/>
        <v/>
      </c>
      <c r="V586" s="141" t="str">
        <f t="shared" si="68"/>
        <v/>
      </c>
      <c r="W586" s="142"/>
      <c r="X586" s="186" t="str">
        <f t="shared" si="69"/>
        <v/>
      </c>
    </row>
    <row r="587" spans="1:24" s="147" customFormat="1">
      <c r="A587" s="170"/>
      <c r="B587" s="145"/>
      <c r="C587" s="145"/>
      <c r="D587" s="146"/>
      <c r="E587" s="145"/>
      <c r="F587" s="145"/>
      <c r="G587" s="145"/>
      <c r="H587" s="145"/>
      <c r="I587" s="145"/>
      <c r="J587" s="145"/>
      <c r="K587" s="145"/>
      <c r="L587" s="145"/>
      <c r="M587" s="145"/>
      <c r="N587" s="146"/>
      <c r="O587" s="145"/>
      <c r="P587" s="138"/>
      <c r="Q587" s="255" t="str">
        <f t="shared" si="70"/>
        <v/>
      </c>
      <c r="R587" s="139" t="str">
        <f t="shared" si="71"/>
        <v/>
      </c>
      <c r="S587" s="128" t="str">
        <f t="shared" si="65"/>
        <v/>
      </c>
      <c r="T587" s="140" t="str">
        <f t="shared" si="66"/>
        <v/>
      </c>
      <c r="U587" s="141" t="str">
        <f t="shared" si="67"/>
        <v/>
      </c>
      <c r="V587" s="141" t="str">
        <f t="shared" si="68"/>
        <v/>
      </c>
      <c r="W587" s="142"/>
      <c r="X587" s="186" t="str">
        <f t="shared" si="69"/>
        <v/>
      </c>
    </row>
    <row r="588" spans="1:24" s="147" customFormat="1">
      <c r="A588" s="172"/>
      <c r="B588" s="151"/>
      <c r="C588" s="151"/>
      <c r="D588" s="151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38"/>
      <c r="Q588" s="255" t="str">
        <f t="shared" si="70"/>
        <v/>
      </c>
      <c r="R588" s="139" t="str">
        <f t="shared" si="71"/>
        <v/>
      </c>
      <c r="S588" s="128" t="str">
        <f t="shared" si="65"/>
        <v/>
      </c>
      <c r="T588" s="140" t="str">
        <f t="shared" si="66"/>
        <v/>
      </c>
      <c r="U588" s="141" t="str">
        <f t="shared" si="67"/>
        <v/>
      </c>
      <c r="V588" s="141" t="str">
        <f t="shared" si="68"/>
        <v/>
      </c>
      <c r="W588" s="142"/>
      <c r="X588" s="186" t="str">
        <f t="shared" si="69"/>
        <v/>
      </c>
    </row>
    <row r="589" spans="1:24" s="147" customFormat="1">
      <c r="A589" s="170"/>
      <c r="B589" s="145"/>
      <c r="C589" s="145"/>
      <c r="D589" s="146"/>
      <c r="E589" s="145"/>
      <c r="F589" s="145"/>
      <c r="G589" s="145"/>
      <c r="H589" s="145"/>
      <c r="I589" s="145"/>
      <c r="J589" s="145"/>
      <c r="K589" s="145"/>
      <c r="L589" s="145"/>
      <c r="M589" s="145"/>
      <c r="N589" s="146"/>
      <c r="O589" s="145"/>
      <c r="P589" s="138"/>
      <c r="Q589" s="255" t="str">
        <f t="shared" si="70"/>
        <v/>
      </c>
      <c r="R589" s="139" t="str">
        <f t="shared" si="71"/>
        <v/>
      </c>
      <c r="S589" s="128" t="str">
        <f t="shared" si="65"/>
        <v/>
      </c>
      <c r="T589" s="140" t="str">
        <f t="shared" si="66"/>
        <v/>
      </c>
      <c r="U589" s="141" t="str">
        <f t="shared" si="67"/>
        <v/>
      </c>
      <c r="V589" s="141" t="str">
        <f t="shared" si="68"/>
        <v/>
      </c>
      <c r="W589" s="142"/>
      <c r="X589" s="186" t="str">
        <f t="shared" si="69"/>
        <v/>
      </c>
    </row>
    <row r="590" spans="1:24" s="147" customFormat="1">
      <c r="A590" s="172"/>
      <c r="B590" s="151"/>
      <c r="C590" s="151"/>
      <c r="D590" s="151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38"/>
      <c r="Q590" s="255" t="str">
        <f t="shared" si="70"/>
        <v/>
      </c>
      <c r="R590" s="139" t="str">
        <f t="shared" si="71"/>
        <v/>
      </c>
      <c r="S590" s="128" t="str">
        <f t="shared" si="65"/>
        <v/>
      </c>
      <c r="T590" s="140" t="str">
        <f t="shared" si="66"/>
        <v/>
      </c>
      <c r="U590" s="141" t="str">
        <f t="shared" si="67"/>
        <v/>
      </c>
      <c r="V590" s="141" t="str">
        <f t="shared" si="68"/>
        <v/>
      </c>
      <c r="W590" s="142"/>
      <c r="X590" s="186" t="str">
        <f t="shared" si="69"/>
        <v/>
      </c>
    </row>
    <row r="591" spans="1:24" s="147" customFormat="1">
      <c r="A591" s="170"/>
      <c r="B591" s="145"/>
      <c r="C591" s="145"/>
      <c r="D591" s="146"/>
      <c r="E591" s="145"/>
      <c r="F591" s="145"/>
      <c r="G591" s="145"/>
      <c r="H591" s="145"/>
      <c r="I591" s="145"/>
      <c r="J591" s="145"/>
      <c r="K591" s="145"/>
      <c r="L591" s="145"/>
      <c r="M591" s="145"/>
      <c r="N591" s="146"/>
      <c r="O591" s="145"/>
      <c r="P591" s="138"/>
      <c r="Q591" s="255" t="str">
        <f t="shared" si="70"/>
        <v/>
      </c>
      <c r="R591" s="139" t="str">
        <f t="shared" si="71"/>
        <v/>
      </c>
      <c r="S591" s="128" t="str">
        <f t="shared" si="65"/>
        <v/>
      </c>
      <c r="T591" s="140" t="str">
        <f t="shared" si="66"/>
        <v/>
      </c>
      <c r="U591" s="141" t="str">
        <f t="shared" si="67"/>
        <v/>
      </c>
      <c r="V591" s="141" t="str">
        <f t="shared" si="68"/>
        <v/>
      </c>
      <c r="W591" s="142"/>
      <c r="X591" s="186" t="str">
        <f t="shared" si="69"/>
        <v/>
      </c>
    </row>
    <row r="592" spans="1:24" s="147" customFormat="1">
      <c r="A592" s="172"/>
      <c r="B592" s="151"/>
      <c r="C592" s="151"/>
      <c r="D592" s="151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38"/>
      <c r="Q592" s="255" t="str">
        <f t="shared" si="70"/>
        <v/>
      </c>
      <c r="R592" s="139" t="str">
        <f t="shared" si="71"/>
        <v/>
      </c>
      <c r="S592" s="128" t="str">
        <f t="shared" si="65"/>
        <v/>
      </c>
      <c r="T592" s="140" t="str">
        <f t="shared" si="66"/>
        <v/>
      </c>
      <c r="U592" s="141" t="str">
        <f t="shared" si="67"/>
        <v/>
      </c>
      <c r="V592" s="141" t="str">
        <f t="shared" si="68"/>
        <v/>
      </c>
      <c r="W592" s="142"/>
      <c r="X592" s="186" t="str">
        <f t="shared" si="69"/>
        <v/>
      </c>
    </row>
    <row r="593" spans="1:24" s="147" customFormat="1">
      <c r="A593" s="170"/>
      <c r="B593" s="145"/>
      <c r="C593" s="145"/>
      <c r="D593" s="146"/>
      <c r="E593" s="145"/>
      <c r="F593" s="145"/>
      <c r="G593" s="145"/>
      <c r="H593" s="145"/>
      <c r="I593" s="145"/>
      <c r="J593" s="145"/>
      <c r="K593" s="145"/>
      <c r="L593" s="145"/>
      <c r="M593" s="145"/>
      <c r="N593" s="146"/>
      <c r="O593" s="145"/>
      <c r="P593" s="138"/>
      <c r="Q593" s="255" t="str">
        <f t="shared" si="70"/>
        <v/>
      </c>
      <c r="R593" s="139" t="str">
        <f t="shared" si="71"/>
        <v/>
      </c>
      <c r="S593" s="128" t="str">
        <f t="shared" si="65"/>
        <v/>
      </c>
      <c r="T593" s="140" t="str">
        <f t="shared" si="66"/>
        <v/>
      </c>
      <c r="U593" s="141" t="str">
        <f t="shared" si="67"/>
        <v/>
      </c>
      <c r="V593" s="141" t="str">
        <f t="shared" si="68"/>
        <v/>
      </c>
      <c r="W593" s="142"/>
      <c r="X593" s="186" t="str">
        <f t="shared" si="69"/>
        <v/>
      </c>
    </row>
    <row r="594" spans="1:24" s="147" customFormat="1">
      <c r="A594" s="172"/>
      <c r="B594" s="151"/>
      <c r="C594" s="151"/>
      <c r="D594" s="151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38"/>
      <c r="Q594" s="255" t="str">
        <f t="shared" si="70"/>
        <v/>
      </c>
      <c r="R594" s="139" t="str">
        <f t="shared" si="71"/>
        <v/>
      </c>
      <c r="S594" s="128" t="str">
        <f t="shared" si="65"/>
        <v/>
      </c>
      <c r="T594" s="140" t="str">
        <f t="shared" si="66"/>
        <v/>
      </c>
      <c r="U594" s="141" t="str">
        <f t="shared" si="67"/>
        <v/>
      </c>
      <c r="V594" s="141" t="str">
        <f t="shared" si="68"/>
        <v/>
      </c>
      <c r="W594" s="142"/>
      <c r="X594" s="186" t="str">
        <f t="shared" si="69"/>
        <v/>
      </c>
    </row>
    <row r="595" spans="1:24" s="147" customFormat="1">
      <c r="A595" s="170"/>
      <c r="B595" s="145"/>
      <c r="C595" s="145"/>
      <c r="D595" s="149"/>
      <c r="E595" s="150"/>
      <c r="F595" s="145"/>
      <c r="G595" s="145"/>
      <c r="H595" s="145"/>
      <c r="I595" s="145"/>
      <c r="J595" s="145"/>
      <c r="K595" s="145"/>
      <c r="L595" s="145"/>
      <c r="M595" s="145"/>
      <c r="N595" s="149"/>
      <c r="O595" s="145"/>
      <c r="P595" s="138"/>
      <c r="Q595" s="255" t="str">
        <f t="shared" si="70"/>
        <v/>
      </c>
      <c r="R595" s="139" t="str">
        <f t="shared" si="71"/>
        <v/>
      </c>
      <c r="S595" s="128" t="str">
        <f t="shared" si="65"/>
        <v/>
      </c>
      <c r="T595" s="140" t="str">
        <f t="shared" si="66"/>
        <v/>
      </c>
      <c r="U595" s="141" t="str">
        <f t="shared" si="67"/>
        <v/>
      </c>
      <c r="V595" s="141" t="str">
        <f t="shared" si="68"/>
        <v/>
      </c>
      <c r="W595" s="142"/>
      <c r="X595" s="186" t="str">
        <f t="shared" si="69"/>
        <v/>
      </c>
    </row>
    <row r="596" spans="1:24" s="147" customFormat="1">
      <c r="A596" s="170"/>
      <c r="B596" s="145"/>
      <c r="C596" s="145"/>
      <c r="D596" s="149"/>
      <c r="E596" s="150"/>
      <c r="F596" s="145"/>
      <c r="G596" s="145"/>
      <c r="H596" s="145"/>
      <c r="I596" s="145"/>
      <c r="J596" s="145"/>
      <c r="K596" s="145"/>
      <c r="L596" s="145"/>
      <c r="M596" s="145"/>
      <c r="N596" s="149"/>
      <c r="O596" s="145"/>
      <c r="P596" s="138"/>
      <c r="Q596" s="255" t="str">
        <f t="shared" si="70"/>
        <v/>
      </c>
      <c r="R596" s="139" t="str">
        <f t="shared" si="71"/>
        <v/>
      </c>
      <c r="S596" s="128" t="str">
        <f t="shared" si="65"/>
        <v/>
      </c>
      <c r="T596" s="140" t="str">
        <f t="shared" si="66"/>
        <v/>
      </c>
      <c r="U596" s="141" t="str">
        <f t="shared" si="67"/>
        <v/>
      </c>
      <c r="V596" s="141" t="str">
        <f t="shared" si="68"/>
        <v/>
      </c>
      <c r="W596" s="142"/>
      <c r="X596" s="186" t="str">
        <f t="shared" si="69"/>
        <v/>
      </c>
    </row>
    <row r="597" spans="1:24" s="147" customFormat="1">
      <c r="A597" s="170"/>
      <c r="B597" s="145"/>
      <c r="C597" s="145"/>
      <c r="D597" s="146"/>
      <c r="E597" s="150"/>
      <c r="F597" s="145"/>
      <c r="G597" s="145"/>
      <c r="H597" s="145"/>
      <c r="I597" s="145"/>
      <c r="J597" s="145"/>
      <c r="K597" s="145"/>
      <c r="L597" s="145"/>
      <c r="M597" s="145"/>
      <c r="N597" s="146"/>
      <c r="O597" s="145"/>
      <c r="P597" s="138"/>
      <c r="Q597" s="255" t="str">
        <f t="shared" si="70"/>
        <v/>
      </c>
      <c r="R597" s="139" t="str">
        <f t="shared" si="71"/>
        <v/>
      </c>
      <c r="S597" s="128" t="str">
        <f t="shared" si="65"/>
        <v/>
      </c>
      <c r="T597" s="140" t="str">
        <f t="shared" si="66"/>
        <v/>
      </c>
      <c r="U597" s="141" t="str">
        <f t="shared" si="67"/>
        <v/>
      </c>
      <c r="V597" s="141" t="str">
        <f t="shared" si="68"/>
        <v/>
      </c>
      <c r="W597" s="142"/>
      <c r="X597" s="186" t="str">
        <f t="shared" si="69"/>
        <v/>
      </c>
    </row>
    <row r="598" spans="1:24" s="147" customFormat="1">
      <c r="A598" s="172"/>
      <c r="B598" s="151"/>
      <c r="C598" s="151"/>
      <c r="D598" s="151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38"/>
      <c r="Q598" s="255" t="str">
        <f t="shared" si="70"/>
        <v/>
      </c>
      <c r="R598" s="139" t="str">
        <f t="shared" si="71"/>
        <v/>
      </c>
      <c r="S598" s="128" t="str">
        <f t="shared" si="65"/>
        <v/>
      </c>
      <c r="T598" s="140" t="str">
        <f t="shared" si="66"/>
        <v/>
      </c>
      <c r="U598" s="141" t="str">
        <f t="shared" si="67"/>
        <v/>
      </c>
      <c r="V598" s="141" t="str">
        <f t="shared" si="68"/>
        <v/>
      </c>
      <c r="W598" s="142"/>
      <c r="X598" s="186" t="str">
        <f t="shared" si="69"/>
        <v/>
      </c>
    </row>
    <row r="599" spans="1:24" s="147" customFormat="1">
      <c r="A599" s="170"/>
      <c r="B599" s="145"/>
      <c r="C599" s="145"/>
      <c r="D599" s="145"/>
      <c r="E599" s="150"/>
      <c r="F599" s="145"/>
      <c r="G599" s="145"/>
      <c r="H599" s="145"/>
      <c r="I599" s="145"/>
      <c r="J599" s="145"/>
      <c r="K599" s="145"/>
      <c r="L599" s="145"/>
      <c r="M599" s="145"/>
      <c r="N599" s="149"/>
      <c r="O599" s="145"/>
      <c r="P599" s="138"/>
      <c r="Q599" s="255" t="str">
        <f t="shared" si="70"/>
        <v/>
      </c>
      <c r="R599" s="139" t="str">
        <f t="shared" si="71"/>
        <v/>
      </c>
      <c r="S599" s="128" t="str">
        <f t="shared" si="65"/>
        <v/>
      </c>
      <c r="T599" s="140" t="str">
        <f t="shared" si="66"/>
        <v/>
      </c>
      <c r="U599" s="141" t="str">
        <f t="shared" si="67"/>
        <v/>
      </c>
      <c r="V599" s="141" t="str">
        <f t="shared" si="68"/>
        <v/>
      </c>
      <c r="W599" s="142"/>
      <c r="X599" s="186" t="str">
        <f t="shared" si="69"/>
        <v/>
      </c>
    </row>
    <row r="600" spans="1:24" s="147" customFormat="1">
      <c r="A600" s="172"/>
      <c r="B600" s="151"/>
      <c r="C600" s="151"/>
      <c r="D600" s="151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38"/>
      <c r="Q600" s="255" t="str">
        <f t="shared" si="70"/>
        <v/>
      </c>
      <c r="R600" s="139" t="str">
        <f t="shared" si="71"/>
        <v/>
      </c>
      <c r="S600" s="128" t="str">
        <f t="shared" si="65"/>
        <v/>
      </c>
      <c r="T600" s="140" t="str">
        <f t="shared" si="66"/>
        <v/>
      </c>
      <c r="U600" s="141" t="str">
        <f t="shared" si="67"/>
        <v/>
      </c>
      <c r="V600" s="141" t="str">
        <f t="shared" si="68"/>
        <v/>
      </c>
      <c r="W600" s="142"/>
      <c r="X600" s="186" t="str">
        <f t="shared" si="69"/>
        <v/>
      </c>
    </row>
    <row r="601" spans="1:24" s="147" customFormat="1">
      <c r="A601" s="170"/>
      <c r="B601" s="145"/>
      <c r="C601" s="145"/>
      <c r="D601" s="145"/>
      <c r="E601" s="150"/>
      <c r="F601" s="145"/>
      <c r="G601" s="145"/>
      <c r="H601" s="145"/>
      <c r="I601" s="145"/>
      <c r="J601" s="145"/>
      <c r="K601" s="145"/>
      <c r="L601" s="145"/>
      <c r="M601" s="145"/>
      <c r="N601" s="146"/>
      <c r="O601" s="145"/>
      <c r="P601" s="138"/>
      <c r="Q601" s="255" t="str">
        <f t="shared" si="70"/>
        <v/>
      </c>
      <c r="R601" s="139" t="str">
        <f t="shared" si="71"/>
        <v/>
      </c>
      <c r="S601" s="128" t="str">
        <f t="shared" si="65"/>
        <v/>
      </c>
      <c r="T601" s="140" t="str">
        <f t="shared" si="66"/>
        <v/>
      </c>
      <c r="U601" s="141" t="str">
        <f t="shared" si="67"/>
        <v/>
      </c>
      <c r="V601" s="141" t="str">
        <f t="shared" si="68"/>
        <v/>
      </c>
      <c r="W601" s="142"/>
      <c r="X601" s="186" t="str">
        <f t="shared" si="69"/>
        <v/>
      </c>
    </row>
    <row r="602" spans="1:24" s="147" customFormat="1">
      <c r="A602" s="170"/>
      <c r="B602" s="145"/>
      <c r="C602" s="145"/>
      <c r="D602" s="146"/>
      <c r="E602" s="150"/>
      <c r="F602" s="145"/>
      <c r="G602" s="145"/>
      <c r="H602" s="145"/>
      <c r="I602" s="145"/>
      <c r="J602" s="145"/>
      <c r="K602" s="145"/>
      <c r="L602" s="145"/>
      <c r="M602" s="145"/>
      <c r="N602" s="146"/>
      <c r="O602" s="145"/>
      <c r="P602" s="138"/>
      <c r="Q602" s="255" t="str">
        <f t="shared" si="70"/>
        <v/>
      </c>
      <c r="R602" s="139" t="str">
        <f t="shared" si="71"/>
        <v/>
      </c>
      <c r="S602" s="128" t="str">
        <f t="shared" si="65"/>
        <v/>
      </c>
      <c r="T602" s="140" t="str">
        <f t="shared" si="66"/>
        <v/>
      </c>
      <c r="U602" s="141" t="str">
        <f t="shared" si="67"/>
        <v/>
      </c>
      <c r="V602" s="141" t="str">
        <f t="shared" si="68"/>
        <v/>
      </c>
      <c r="W602" s="142"/>
      <c r="X602" s="186" t="str">
        <f t="shared" si="69"/>
        <v/>
      </c>
    </row>
    <row r="603" spans="1:24" s="147" customFormat="1">
      <c r="A603" s="172"/>
      <c r="B603" s="151"/>
      <c r="C603" s="151"/>
      <c r="D603" s="151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38"/>
      <c r="Q603" s="255" t="str">
        <f t="shared" si="70"/>
        <v/>
      </c>
      <c r="R603" s="139" t="str">
        <f t="shared" si="71"/>
        <v/>
      </c>
      <c r="S603" s="128" t="str">
        <f t="shared" si="65"/>
        <v/>
      </c>
      <c r="T603" s="140" t="str">
        <f t="shared" si="66"/>
        <v/>
      </c>
      <c r="U603" s="141" t="str">
        <f t="shared" si="67"/>
        <v/>
      </c>
      <c r="V603" s="141" t="str">
        <f t="shared" si="68"/>
        <v/>
      </c>
      <c r="W603" s="142"/>
      <c r="X603" s="186" t="str">
        <f t="shared" si="69"/>
        <v/>
      </c>
    </row>
    <row r="604" spans="1:24" s="147" customFormat="1">
      <c r="A604" s="170"/>
      <c r="B604" s="145"/>
      <c r="C604" s="145"/>
      <c r="D604" s="146"/>
      <c r="E604" s="150"/>
      <c r="F604" s="145"/>
      <c r="G604" s="145"/>
      <c r="H604" s="145"/>
      <c r="I604" s="145"/>
      <c r="J604" s="145"/>
      <c r="K604" s="145"/>
      <c r="L604" s="145"/>
      <c r="M604" s="145"/>
      <c r="N604" s="146"/>
      <c r="O604" s="145"/>
      <c r="P604" s="138"/>
      <c r="Q604" s="255" t="str">
        <f t="shared" si="70"/>
        <v/>
      </c>
      <c r="R604" s="139" t="str">
        <f t="shared" si="71"/>
        <v/>
      </c>
      <c r="S604" s="128" t="str">
        <f t="shared" si="65"/>
        <v/>
      </c>
      <c r="T604" s="140" t="str">
        <f t="shared" si="66"/>
        <v/>
      </c>
      <c r="U604" s="141" t="str">
        <f t="shared" si="67"/>
        <v/>
      </c>
      <c r="V604" s="141" t="str">
        <f t="shared" si="68"/>
        <v/>
      </c>
      <c r="W604" s="142"/>
      <c r="X604" s="186" t="str">
        <f t="shared" si="69"/>
        <v/>
      </c>
    </row>
    <row r="605" spans="1:24" s="147" customFormat="1">
      <c r="A605" s="172"/>
      <c r="B605" s="151"/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38"/>
      <c r="Q605" s="255" t="str">
        <f t="shared" si="70"/>
        <v/>
      </c>
      <c r="R605" s="139" t="str">
        <f t="shared" si="71"/>
        <v/>
      </c>
      <c r="S605" s="128" t="str">
        <f t="shared" si="65"/>
        <v/>
      </c>
      <c r="T605" s="140" t="str">
        <f t="shared" si="66"/>
        <v/>
      </c>
      <c r="U605" s="141" t="str">
        <f t="shared" si="67"/>
        <v/>
      </c>
      <c r="V605" s="141" t="str">
        <f t="shared" si="68"/>
        <v/>
      </c>
      <c r="W605" s="142"/>
      <c r="X605" s="186" t="str">
        <f t="shared" si="69"/>
        <v/>
      </c>
    </row>
    <row r="606" spans="1:24" s="147" customFormat="1">
      <c r="A606" s="170"/>
      <c r="B606" s="145"/>
      <c r="C606" s="145"/>
      <c r="D606" s="146"/>
      <c r="E606" s="150"/>
      <c r="F606" s="145"/>
      <c r="G606" s="145"/>
      <c r="H606" s="145"/>
      <c r="I606" s="145"/>
      <c r="J606" s="145"/>
      <c r="K606" s="145"/>
      <c r="L606" s="145"/>
      <c r="M606" s="145"/>
      <c r="N606" s="146"/>
      <c r="O606" s="145"/>
      <c r="P606" s="138"/>
      <c r="Q606" s="255" t="str">
        <f t="shared" si="70"/>
        <v/>
      </c>
      <c r="R606" s="139" t="str">
        <f t="shared" si="71"/>
        <v/>
      </c>
      <c r="S606" s="128" t="str">
        <f t="shared" si="65"/>
        <v/>
      </c>
      <c r="T606" s="140" t="str">
        <f t="shared" si="66"/>
        <v/>
      </c>
      <c r="U606" s="141" t="str">
        <f t="shared" si="67"/>
        <v/>
      </c>
      <c r="V606" s="141" t="str">
        <f t="shared" si="68"/>
        <v/>
      </c>
      <c r="W606" s="142"/>
      <c r="X606" s="186" t="str">
        <f t="shared" si="69"/>
        <v/>
      </c>
    </row>
    <row r="607" spans="1:24" s="147" customFormat="1">
      <c r="A607" s="172"/>
      <c r="B607" s="151"/>
      <c r="C607" s="151"/>
      <c r="D607" s="151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38"/>
      <c r="Q607" s="255" t="str">
        <f t="shared" si="70"/>
        <v/>
      </c>
      <c r="R607" s="139" t="str">
        <f t="shared" si="71"/>
        <v/>
      </c>
      <c r="S607" s="128" t="str">
        <f t="shared" si="65"/>
        <v/>
      </c>
      <c r="T607" s="140" t="str">
        <f t="shared" si="66"/>
        <v/>
      </c>
      <c r="U607" s="141" t="str">
        <f t="shared" si="67"/>
        <v/>
      </c>
      <c r="V607" s="141" t="str">
        <f t="shared" si="68"/>
        <v/>
      </c>
      <c r="W607" s="142"/>
      <c r="X607" s="186" t="str">
        <f t="shared" si="69"/>
        <v/>
      </c>
    </row>
    <row r="608" spans="1:24" s="147" customFormat="1">
      <c r="A608" s="170"/>
      <c r="B608" s="145"/>
      <c r="C608" s="145"/>
      <c r="D608" s="145"/>
      <c r="E608" s="150"/>
      <c r="F608" s="145"/>
      <c r="G608" s="145"/>
      <c r="H608" s="145"/>
      <c r="I608" s="145"/>
      <c r="J608" s="145"/>
      <c r="K608" s="145"/>
      <c r="L608" s="145"/>
      <c r="M608" s="145"/>
      <c r="N608" s="149"/>
      <c r="O608" s="145"/>
      <c r="P608" s="138"/>
      <c r="Q608" s="255" t="str">
        <f t="shared" si="70"/>
        <v/>
      </c>
      <c r="R608" s="139" t="str">
        <f t="shared" si="71"/>
        <v/>
      </c>
      <c r="S608" s="128" t="str">
        <f t="shared" si="65"/>
        <v/>
      </c>
      <c r="T608" s="140" t="str">
        <f t="shared" si="66"/>
        <v/>
      </c>
      <c r="U608" s="141" t="str">
        <f t="shared" si="67"/>
        <v/>
      </c>
      <c r="V608" s="141" t="str">
        <f t="shared" si="68"/>
        <v/>
      </c>
      <c r="W608" s="142"/>
      <c r="X608" s="186" t="str">
        <f t="shared" si="69"/>
        <v/>
      </c>
    </row>
    <row r="609" spans="1:24" s="147" customFormat="1">
      <c r="A609" s="172"/>
      <c r="B609" s="151"/>
      <c r="C609" s="151"/>
      <c r="D609" s="151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38"/>
      <c r="Q609" s="255" t="str">
        <f t="shared" si="70"/>
        <v/>
      </c>
      <c r="R609" s="139" t="str">
        <f t="shared" si="71"/>
        <v/>
      </c>
      <c r="S609" s="128" t="str">
        <f t="shared" si="65"/>
        <v/>
      </c>
      <c r="T609" s="140" t="str">
        <f t="shared" si="66"/>
        <v/>
      </c>
      <c r="U609" s="141" t="str">
        <f t="shared" si="67"/>
        <v/>
      </c>
      <c r="V609" s="141" t="str">
        <f t="shared" si="68"/>
        <v/>
      </c>
      <c r="W609" s="142"/>
      <c r="X609" s="186" t="str">
        <f t="shared" si="69"/>
        <v/>
      </c>
    </row>
    <row r="610" spans="1:24" s="147" customFormat="1">
      <c r="A610" s="170"/>
      <c r="B610" s="145"/>
      <c r="C610" s="145"/>
      <c r="D610" s="145"/>
      <c r="E610" s="150"/>
      <c r="F610" s="145"/>
      <c r="G610" s="145"/>
      <c r="H610" s="145"/>
      <c r="I610" s="145"/>
      <c r="J610" s="145"/>
      <c r="K610" s="145"/>
      <c r="L610" s="145"/>
      <c r="M610" s="145"/>
      <c r="N610" s="146"/>
      <c r="O610" s="145"/>
      <c r="P610" s="138"/>
      <c r="Q610" s="255" t="str">
        <f t="shared" si="70"/>
        <v/>
      </c>
      <c r="R610" s="139" t="str">
        <f t="shared" si="71"/>
        <v/>
      </c>
      <c r="S610" s="128" t="str">
        <f t="shared" si="65"/>
        <v/>
      </c>
      <c r="T610" s="140" t="str">
        <f t="shared" si="66"/>
        <v/>
      </c>
      <c r="U610" s="141" t="str">
        <f t="shared" si="67"/>
        <v/>
      </c>
      <c r="V610" s="141" t="str">
        <f t="shared" si="68"/>
        <v/>
      </c>
      <c r="W610" s="142"/>
      <c r="X610" s="186" t="str">
        <f t="shared" si="69"/>
        <v/>
      </c>
    </row>
    <row r="611" spans="1:24" s="147" customFormat="1">
      <c r="A611" s="170"/>
      <c r="B611" s="145"/>
      <c r="C611" s="145"/>
      <c r="D611" s="146"/>
      <c r="E611" s="150"/>
      <c r="F611" s="145"/>
      <c r="G611" s="145"/>
      <c r="H611" s="145"/>
      <c r="I611" s="145"/>
      <c r="J611" s="145"/>
      <c r="K611" s="145"/>
      <c r="L611" s="145"/>
      <c r="M611" s="145"/>
      <c r="N611" s="146"/>
      <c r="O611" s="145"/>
      <c r="P611" s="138"/>
      <c r="Q611" s="255" t="str">
        <f t="shared" si="70"/>
        <v/>
      </c>
      <c r="R611" s="139" t="str">
        <f t="shared" si="71"/>
        <v/>
      </c>
      <c r="S611" s="128" t="str">
        <f t="shared" si="65"/>
        <v/>
      </c>
      <c r="T611" s="140" t="str">
        <f t="shared" si="66"/>
        <v/>
      </c>
      <c r="U611" s="141" t="str">
        <f t="shared" si="67"/>
        <v/>
      </c>
      <c r="V611" s="141" t="str">
        <f t="shared" si="68"/>
        <v/>
      </c>
      <c r="W611" s="142"/>
      <c r="X611" s="186" t="str">
        <f t="shared" si="69"/>
        <v/>
      </c>
    </row>
    <row r="612" spans="1:24" s="147" customFormat="1">
      <c r="A612" s="172"/>
      <c r="B612" s="151"/>
      <c r="C612" s="151"/>
      <c r="D612" s="151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38"/>
      <c r="Q612" s="255" t="str">
        <f t="shared" si="70"/>
        <v/>
      </c>
      <c r="R612" s="139" t="str">
        <f t="shared" si="71"/>
        <v/>
      </c>
      <c r="S612" s="128" t="str">
        <f t="shared" si="65"/>
        <v/>
      </c>
      <c r="T612" s="140" t="str">
        <f t="shared" si="66"/>
        <v/>
      </c>
      <c r="U612" s="141" t="str">
        <f t="shared" si="67"/>
        <v/>
      </c>
      <c r="V612" s="141" t="str">
        <f t="shared" si="68"/>
        <v/>
      </c>
      <c r="W612" s="142"/>
      <c r="X612" s="186" t="str">
        <f t="shared" si="69"/>
        <v/>
      </c>
    </row>
    <row r="613" spans="1:24" s="147" customFormat="1">
      <c r="A613" s="170"/>
      <c r="B613" s="145"/>
      <c r="C613" s="145"/>
      <c r="D613" s="146"/>
      <c r="E613" s="150"/>
      <c r="F613" s="145"/>
      <c r="G613" s="145"/>
      <c r="H613" s="145"/>
      <c r="I613" s="145"/>
      <c r="J613" s="145"/>
      <c r="K613" s="145"/>
      <c r="L613" s="145"/>
      <c r="M613" s="145"/>
      <c r="N613" s="149"/>
      <c r="O613" s="145"/>
      <c r="P613" s="138"/>
      <c r="Q613" s="255" t="str">
        <f t="shared" si="70"/>
        <v/>
      </c>
      <c r="R613" s="139" t="str">
        <f t="shared" si="71"/>
        <v/>
      </c>
      <c r="S613" s="128" t="str">
        <f t="shared" si="65"/>
        <v/>
      </c>
      <c r="T613" s="140" t="str">
        <f t="shared" si="66"/>
        <v/>
      </c>
      <c r="U613" s="141" t="str">
        <f t="shared" si="67"/>
        <v/>
      </c>
      <c r="V613" s="141" t="str">
        <f t="shared" si="68"/>
        <v/>
      </c>
      <c r="W613" s="142"/>
      <c r="X613" s="186" t="str">
        <f t="shared" si="69"/>
        <v/>
      </c>
    </row>
    <row r="614" spans="1:24" s="147" customFormat="1">
      <c r="A614" s="170"/>
      <c r="B614" s="145"/>
      <c r="C614" s="145"/>
      <c r="D614" s="149"/>
      <c r="E614" s="150"/>
      <c r="F614" s="145"/>
      <c r="G614" s="145"/>
      <c r="H614" s="145"/>
      <c r="I614" s="145"/>
      <c r="J614" s="145"/>
      <c r="K614" s="145"/>
      <c r="L614" s="145"/>
      <c r="M614" s="145"/>
      <c r="N614" s="149"/>
      <c r="O614" s="145"/>
      <c r="P614" s="138"/>
      <c r="Q614" s="255" t="str">
        <f t="shared" si="70"/>
        <v/>
      </c>
      <c r="R614" s="139" t="str">
        <f t="shared" si="71"/>
        <v/>
      </c>
      <c r="S614" s="128" t="str">
        <f t="shared" si="65"/>
        <v/>
      </c>
      <c r="T614" s="140" t="str">
        <f t="shared" si="66"/>
        <v/>
      </c>
      <c r="U614" s="141" t="str">
        <f t="shared" si="67"/>
        <v/>
      </c>
      <c r="V614" s="141" t="str">
        <f t="shared" si="68"/>
        <v/>
      </c>
      <c r="W614" s="142"/>
      <c r="X614" s="186" t="str">
        <f t="shared" si="69"/>
        <v/>
      </c>
    </row>
    <row r="615" spans="1:24" s="147" customFormat="1">
      <c r="A615" s="170"/>
      <c r="B615" s="145"/>
      <c r="C615" s="145"/>
      <c r="D615" s="149"/>
      <c r="E615" s="150"/>
      <c r="F615" s="145"/>
      <c r="G615" s="145"/>
      <c r="H615" s="145"/>
      <c r="I615" s="145"/>
      <c r="J615" s="145"/>
      <c r="K615" s="145"/>
      <c r="L615" s="145"/>
      <c r="M615" s="145"/>
      <c r="N615" s="149"/>
      <c r="O615" s="145"/>
      <c r="P615" s="138"/>
      <c r="Q615" s="255" t="str">
        <f t="shared" si="70"/>
        <v/>
      </c>
      <c r="R615" s="139" t="str">
        <f t="shared" si="71"/>
        <v/>
      </c>
      <c r="S615" s="128" t="str">
        <f t="shared" si="65"/>
        <v/>
      </c>
      <c r="T615" s="140" t="str">
        <f t="shared" si="66"/>
        <v/>
      </c>
      <c r="U615" s="141" t="str">
        <f t="shared" si="67"/>
        <v/>
      </c>
      <c r="V615" s="141" t="str">
        <f t="shared" si="68"/>
        <v/>
      </c>
      <c r="W615" s="142"/>
      <c r="X615" s="186" t="str">
        <f t="shared" si="69"/>
        <v/>
      </c>
    </row>
    <row r="616" spans="1:24" s="147" customFormat="1">
      <c r="A616" s="170"/>
      <c r="B616" s="145"/>
      <c r="C616" s="145"/>
      <c r="D616" s="149"/>
      <c r="E616" s="150"/>
      <c r="F616" s="145"/>
      <c r="G616" s="145"/>
      <c r="H616" s="145"/>
      <c r="I616" s="145"/>
      <c r="J616" s="145"/>
      <c r="K616" s="145"/>
      <c r="L616" s="145"/>
      <c r="M616" s="145"/>
      <c r="N616" s="149"/>
      <c r="O616" s="145"/>
      <c r="P616" s="138"/>
      <c r="Q616" s="255" t="str">
        <f t="shared" si="70"/>
        <v/>
      </c>
      <c r="R616" s="139" t="str">
        <f t="shared" si="71"/>
        <v/>
      </c>
      <c r="S616" s="128" t="str">
        <f t="shared" si="65"/>
        <v/>
      </c>
      <c r="T616" s="140" t="str">
        <f t="shared" si="66"/>
        <v/>
      </c>
      <c r="U616" s="141" t="str">
        <f t="shared" si="67"/>
        <v/>
      </c>
      <c r="V616" s="141" t="str">
        <f t="shared" si="68"/>
        <v/>
      </c>
      <c r="W616" s="142"/>
      <c r="X616" s="186" t="str">
        <f t="shared" si="69"/>
        <v/>
      </c>
    </row>
    <row r="617" spans="1:24" s="147" customFormat="1">
      <c r="A617" s="170"/>
      <c r="B617" s="145"/>
      <c r="C617" s="145"/>
      <c r="D617" s="149"/>
      <c r="E617" s="150"/>
      <c r="F617" s="145"/>
      <c r="G617" s="145"/>
      <c r="H617" s="145"/>
      <c r="I617" s="145"/>
      <c r="J617" s="145"/>
      <c r="K617" s="145"/>
      <c r="L617" s="145"/>
      <c r="M617" s="145"/>
      <c r="N617" s="149"/>
      <c r="O617" s="145"/>
      <c r="P617" s="138"/>
      <c r="Q617" s="255" t="str">
        <f t="shared" si="70"/>
        <v/>
      </c>
      <c r="R617" s="139" t="str">
        <f t="shared" si="71"/>
        <v/>
      </c>
      <c r="S617" s="128" t="str">
        <f t="shared" si="65"/>
        <v/>
      </c>
      <c r="T617" s="140" t="str">
        <f t="shared" si="66"/>
        <v/>
      </c>
      <c r="U617" s="141" t="str">
        <f t="shared" si="67"/>
        <v/>
      </c>
      <c r="V617" s="141" t="str">
        <f t="shared" si="68"/>
        <v/>
      </c>
      <c r="W617" s="142"/>
      <c r="X617" s="186" t="str">
        <f t="shared" si="69"/>
        <v/>
      </c>
    </row>
    <row r="618" spans="1:24" s="147" customFormat="1">
      <c r="A618" s="170"/>
      <c r="B618" s="145"/>
      <c r="C618" s="145"/>
      <c r="D618" s="149"/>
      <c r="E618" s="150"/>
      <c r="F618" s="145"/>
      <c r="G618" s="145"/>
      <c r="H618" s="145"/>
      <c r="I618" s="145"/>
      <c r="J618" s="145"/>
      <c r="K618" s="145"/>
      <c r="L618" s="145"/>
      <c r="M618" s="145"/>
      <c r="N618" s="149"/>
      <c r="O618" s="145"/>
      <c r="P618" s="138"/>
      <c r="Q618" s="255" t="str">
        <f t="shared" si="70"/>
        <v/>
      </c>
      <c r="R618" s="139" t="str">
        <f t="shared" si="71"/>
        <v/>
      </c>
      <c r="S618" s="128" t="str">
        <f t="shared" si="65"/>
        <v/>
      </c>
      <c r="T618" s="140" t="str">
        <f t="shared" si="66"/>
        <v/>
      </c>
      <c r="U618" s="141" t="str">
        <f t="shared" si="67"/>
        <v/>
      </c>
      <c r="V618" s="141" t="str">
        <f t="shared" si="68"/>
        <v/>
      </c>
      <c r="W618" s="142"/>
      <c r="X618" s="186" t="str">
        <f t="shared" si="69"/>
        <v/>
      </c>
    </row>
    <row r="619" spans="1:24" s="147" customFormat="1">
      <c r="A619" s="170"/>
      <c r="B619" s="145"/>
      <c r="C619" s="145"/>
      <c r="D619" s="149"/>
      <c r="E619" s="150"/>
      <c r="F619" s="145"/>
      <c r="G619" s="145"/>
      <c r="H619" s="145"/>
      <c r="I619" s="145"/>
      <c r="J619" s="145"/>
      <c r="K619" s="145"/>
      <c r="L619" s="145"/>
      <c r="M619" s="145"/>
      <c r="N619" s="149"/>
      <c r="O619" s="145"/>
      <c r="P619" s="138"/>
      <c r="Q619" s="255" t="str">
        <f t="shared" si="70"/>
        <v/>
      </c>
      <c r="R619" s="139" t="str">
        <f t="shared" si="71"/>
        <v/>
      </c>
      <c r="S619" s="128" t="str">
        <f t="shared" si="65"/>
        <v/>
      </c>
      <c r="T619" s="140" t="str">
        <f t="shared" si="66"/>
        <v/>
      </c>
      <c r="U619" s="141" t="str">
        <f t="shared" si="67"/>
        <v/>
      </c>
      <c r="V619" s="141" t="str">
        <f t="shared" si="68"/>
        <v/>
      </c>
      <c r="W619" s="142"/>
      <c r="X619" s="186" t="str">
        <f t="shared" si="69"/>
        <v/>
      </c>
    </row>
    <row r="620" spans="1:24" s="147" customFormat="1">
      <c r="A620" s="170"/>
      <c r="B620" s="145"/>
      <c r="C620" s="145"/>
      <c r="D620" s="149"/>
      <c r="E620" s="150"/>
      <c r="F620" s="145"/>
      <c r="G620" s="145"/>
      <c r="H620" s="145"/>
      <c r="I620" s="145"/>
      <c r="J620" s="145"/>
      <c r="K620" s="145"/>
      <c r="L620" s="145"/>
      <c r="M620" s="145"/>
      <c r="N620" s="149"/>
      <c r="O620" s="145"/>
      <c r="P620" s="138"/>
      <c r="Q620" s="255" t="str">
        <f t="shared" si="70"/>
        <v/>
      </c>
      <c r="R620" s="139" t="str">
        <f t="shared" si="71"/>
        <v/>
      </c>
      <c r="S620" s="128" t="str">
        <f t="shared" si="65"/>
        <v/>
      </c>
      <c r="T620" s="140" t="str">
        <f t="shared" si="66"/>
        <v/>
      </c>
      <c r="U620" s="141" t="str">
        <f t="shared" si="67"/>
        <v/>
      </c>
      <c r="V620" s="141" t="str">
        <f t="shared" si="68"/>
        <v/>
      </c>
      <c r="W620" s="142"/>
      <c r="X620" s="186" t="str">
        <f t="shared" si="69"/>
        <v/>
      </c>
    </row>
    <row r="621" spans="1:24" s="147" customFormat="1">
      <c r="A621" s="170"/>
      <c r="B621" s="145"/>
      <c r="C621" s="145"/>
      <c r="D621" s="146"/>
      <c r="E621" s="150"/>
      <c r="F621" s="145"/>
      <c r="G621" s="145"/>
      <c r="H621" s="145"/>
      <c r="I621" s="145"/>
      <c r="J621" s="145"/>
      <c r="K621" s="145"/>
      <c r="L621" s="145"/>
      <c r="M621" s="145"/>
      <c r="N621" s="146"/>
      <c r="O621" s="145"/>
      <c r="P621" s="138"/>
      <c r="Q621" s="255" t="str">
        <f t="shared" si="70"/>
        <v/>
      </c>
      <c r="R621" s="139" t="str">
        <f t="shared" si="71"/>
        <v/>
      </c>
      <c r="S621" s="128" t="str">
        <f t="shared" si="65"/>
        <v/>
      </c>
      <c r="T621" s="140" t="str">
        <f t="shared" si="66"/>
        <v/>
      </c>
      <c r="U621" s="141" t="str">
        <f t="shared" si="67"/>
        <v/>
      </c>
      <c r="V621" s="141" t="str">
        <f t="shared" si="68"/>
        <v/>
      </c>
      <c r="W621" s="142"/>
      <c r="X621" s="186" t="str">
        <f t="shared" si="69"/>
        <v/>
      </c>
    </row>
    <row r="622" spans="1:24" s="147" customFormat="1">
      <c r="A622" s="171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38"/>
      <c r="Q622" s="255" t="str">
        <f t="shared" si="70"/>
        <v/>
      </c>
      <c r="R622" s="139" t="str">
        <f t="shared" si="71"/>
        <v/>
      </c>
      <c r="S622" s="128" t="str">
        <f t="shared" si="65"/>
        <v/>
      </c>
      <c r="T622" s="140" t="str">
        <f t="shared" si="66"/>
        <v/>
      </c>
      <c r="U622" s="141" t="str">
        <f t="shared" si="67"/>
        <v/>
      </c>
      <c r="V622" s="141" t="str">
        <f t="shared" si="68"/>
        <v/>
      </c>
      <c r="W622" s="142"/>
      <c r="X622" s="186" t="str">
        <f t="shared" si="69"/>
        <v/>
      </c>
    </row>
    <row r="623" spans="1:24" s="147" customFormat="1">
      <c r="A623" s="170"/>
      <c r="B623" s="145"/>
      <c r="C623" s="145"/>
      <c r="D623" s="146"/>
      <c r="E623" s="150"/>
      <c r="F623" s="145"/>
      <c r="G623" s="145"/>
      <c r="H623" s="145"/>
      <c r="I623" s="145"/>
      <c r="J623" s="145"/>
      <c r="K623" s="145"/>
      <c r="L623" s="145"/>
      <c r="M623" s="145"/>
      <c r="N623" s="146"/>
      <c r="O623" s="145"/>
      <c r="P623" s="138"/>
      <c r="Q623" s="255" t="str">
        <f t="shared" si="70"/>
        <v/>
      </c>
      <c r="R623" s="139" t="str">
        <f t="shared" si="71"/>
        <v/>
      </c>
      <c r="S623" s="128" t="str">
        <f t="shared" si="65"/>
        <v/>
      </c>
      <c r="T623" s="140" t="str">
        <f t="shared" si="66"/>
        <v/>
      </c>
      <c r="U623" s="141" t="str">
        <f t="shared" si="67"/>
        <v/>
      </c>
      <c r="V623" s="141" t="str">
        <f t="shared" si="68"/>
        <v/>
      </c>
      <c r="W623" s="142"/>
      <c r="X623" s="186" t="str">
        <f t="shared" si="69"/>
        <v/>
      </c>
    </row>
    <row r="624" spans="1:24" s="147" customFormat="1">
      <c r="A624" s="171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38"/>
      <c r="Q624" s="255" t="str">
        <f t="shared" si="70"/>
        <v/>
      </c>
      <c r="R624" s="139" t="str">
        <f t="shared" si="71"/>
        <v/>
      </c>
      <c r="S624" s="128" t="str">
        <f t="shared" si="65"/>
        <v/>
      </c>
      <c r="T624" s="140" t="str">
        <f t="shared" si="66"/>
        <v/>
      </c>
      <c r="U624" s="141" t="str">
        <f t="shared" si="67"/>
        <v/>
      </c>
      <c r="V624" s="141" t="str">
        <f t="shared" si="68"/>
        <v/>
      </c>
      <c r="W624" s="142"/>
      <c r="X624" s="186" t="str">
        <f t="shared" si="69"/>
        <v/>
      </c>
    </row>
    <row r="625" spans="1:24" s="147" customFormat="1">
      <c r="A625" s="170"/>
      <c r="B625" s="145"/>
      <c r="C625" s="145"/>
      <c r="D625" s="149"/>
      <c r="E625" s="150"/>
      <c r="F625" s="145"/>
      <c r="G625" s="145"/>
      <c r="H625" s="145"/>
      <c r="I625" s="145"/>
      <c r="J625" s="145"/>
      <c r="K625" s="145"/>
      <c r="L625" s="145"/>
      <c r="M625" s="145"/>
      <c r="N625" s="146"/>
      <c r="O625" s="145"/>
      <c r="P625" s="138"/>
      <c r="Q625" s="255" t="str">
        <f t="shared" si="70"/>
        <v/>
      </c>
      <c r="R625" s="139" t="str">
        <f t="shared" si="71"/>
        <v/>
      </c>
      <c r="S625" s="128" t="str">
        <f t="shared" si="65"/>
        <v/>
      </c>
      <c r="T625" s="140" t="str">
        <f t="shared" si="66"/>
        <v/>
      </c>
      <c r="U625" s="141" t="str">
        <f t="shared" si="67"/>
        <v/>
      </c>
      <c r="V625" s="141" t="str">
        <f t="shared" si="68"/>
        <v/>
      </c>
      <c r="W625" s="142"/>
      <c r="X625" s="186" t="str">
        <f t="shared" si="69"/>
        <v/>
      </c>
    </row>
    <row r="626" spans="1:24" s="147" customFormat="1">
      <c r="A626" s="172"/>
      <c r="B626" s="151"/>
      <c r="C626" s="151"/>
      <c r="D626" s="151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38"/>
      <c r="Q626" s="255" t="str">
        <f t="shared" si="70"/>
        <v/>
      </c>
      <c r="R626" s="139" t="str">
        <f t="shared" si="71"/>
        <v/>
      </c>
      <c r="S626" s="128" t="str">
        <f t="shared" si="65"/>
        <v/>
      </c>
      <c r="T626" s="140" t="str">
        <f t="shared" si="66"/>
        <v/>
      </c>
      <c r="U626" s="141" t="str">
        <f t="shared" si="67"/>
        <v/>
      </c>
      <c r="V626" s="141" t="str">
        <f t="shared" si="68"/>
        <v/>
      </c>
      <c r="W626" s="142"/>
      <c r="X626" s="186" t="str">
        <f t="shared" si="69"/>
        <v/>
      </c>
    </row>
    <row r="627" spans="1:24" s="147" customFormat="1">
      <c r="A627" s="170"/>
      <c r="B627" s="145"/>
      <c r="C627" s="145"/>
      <c r="D627" s="149"/>
      <c r="E627" s="150"/>
      <c r="F627" s="145"/>
      <c r="G627" s="145"/>
      <c r="H627" s="145"/>
      <c r="I627" s="145"/>
      <c r="J627" s="145"/>
      <c r="K627" s="145"/>
      <c r="L627" s="145"/>
      <c r="M627" s="145"/>
      <c r="N627" s="149"/>
      <c r="O627" s="145"/>
      <c r="P627" s="138"/>
      <c r="Q627" s="255" t="str">
        <f t="shared" si="70"/>
        <v/>
      </c>
      <c r="R627" s="139" t="str">
        <f t="shared" si="71"/>
        <v/>
      </c>
      <c r="S627" s="128" t="str">
        <f t="shared" si="65"/>
        <v/>
      </c>
      <c r="T627" s="140" t="str">
        <f t="shared" si="66"/>
        <v/>
      </c>
      <c r="U627" s="141" t="str">
        <f t="shared" si="67"/>
        <v/>
      </c>
      <c r="V627" s="141" t="str">
        <f t="shared" si="68"/>
        <v/>
      </c>
      <c r="W627" s="142"/>
      <c r="X627" s="186" t="str">
        <f t="shared" si="69"/>
        <v/>
      </c>
    </row>
    <row r="628" spans="1:24" s="147" customFormat="1">
      <c r="A628" s="170"/>
      <c r="B628" s="145"/>
      <c r="C628" s="145"/>
      <c r="D628" s="149"/>
      <c r="E628" s="150"/>
      <c r="F628" s="145"/>
      <c r="G628" s="145"/>
      <c r="H628" s="145"/>
      <c r="I628" s="145"/>
      <c r="J628" s="145"/>
      <c r="K628" s="145"/>
      <c r="L628" s="145"/>
      <c r="M628" s="145"/>
      <c r="N628" s="149"/>
      <c r="O628" s="145"/>
      <c r="P628" s="138"/>
      <c r="Q628" s="255" t="str">
        <f t="shared" si="70"/>
        <v/>
      </c>
      <c r="R628" s="139" t="str">
        <f t="shared" si="71"/>
        <v/>
      </c>
      <c r="S628" s="128" t="str">
        <f t="shared" si="65"/>
        <v/>
      </c>
      <c r="T628" s="140" t="str">
        <f t="shared" si="66"/>
        <v/>
      </c>
      <c r="U628" s="141" t="str">
        <f t="shared" si="67"/>
        <v/>
      </c>
      <c r="V628" s="141" t="str">
        <f t="shared" si="68"/>
        <v/>
      </c>
      <c r="W628" s="142"/>
      <c r="X628" s="186" t="str">
        <f t="shared" si="69"/>
        <v/>
      </c>
    </row>
    <row r="629" spans="1:24" s="147" customFormat="1">
      <c r="A629" s="170"/>
      <c r="B629" s="145"/>
      <c r="C629" s="145"/>
      <c r="D629" s="149"/>
      <c r="E629" s="150"/>
      <c r="F629" s="145"/>
      <c r="G629" s="145"/>
      <c r="H629" s="145"/>
      <c r="I629" s="145"/>
      <c r="J629" s="145"/>
      <c r="K629" s="145"/>
      <c r="L629" s="145"/>
      <c r="M629" s="145"/>
      <c r="N629" s="149"/>
      <c r="O629" s="145"/>
      <c r="P629" s="138"/>
      <c r="Q629" s="255" t="str">
        <f t="shared" si="70"/>
        <v/>
      </c>
      <c r="R629" s="139" t="str">
        <f t="shared" si="71"/>
        <v/>
      </c>
      <c r="S629" s="128" t="str">
        <f t="shared" si="65"/>
        <v/>
      </c>
      <c r="T629" s="140" t="str">
        <f t="shared" si="66"/>
        <v/>
      </c>
      <c r="U629" s="141" t="str">
        <f t="shared" si="67"/>
        <v/>
      </c>
      <c r="V629" s="141" t="str">
        <f t="shared" si="68"/>
        <v/>
      </c>
      <c r="W629" s="142"/>
      <c r="X629" s="186" t="str">
        <f t="shared" si="69"/>
        <v/>
      </c>
    </row>
    <row r="630" spans="1:24" s="147" customFormat="1">
      <c r="A630" s="170"/>
      <c r="B630" s="145"/>
      <c r="C630" s="145"/>
      <c r="D630" s="149"/>
      <c r="E630" s="150"/>
      <c r="F630" s="145"/>
      <c r="G630" s="145"/>
      <c r="H630" s="145"/>
      <c r="I630" s="145"/>
      <c r="J630" s="145"/>
      <c r="K630" s="145"/>
      <c r="L630" s="145"/>
      <c r="M630" s="145"/>
      <c r="N630" s="149"/>
      <c r="O630" s="145"/>
      <c r="P630" s="138"/>
      <c r="Q630" s="255" t="str">
        <f t="shared" si="70"/>
        <v/>
      </c>
      <c r="R630" s="139" t="str">
        <f t="shared" si="71"/>
        <v/>
      </c>
      <c r="S630" s="128" t="str">
        <f t="shared" si="65"/>
        <v/>
      </c>
      <c r="T630" s="140" t="str">
        <f t="shared" si="66"/>
        <v/>
      </c>
      <c r="U630" s="141" t="str">
        <f t="shared" si="67"/>
        <v/>
      </c>
      <c r="V630" s="141" t="str">
        <f t="shared" si="68"/>
        <v/>
      </c>
      <c r="W630" s="142"/>
      <c r="X630" s="186" t="str">
        <f t="shared" si="69"/>
        <v/>
      </c>
    </row>
    <row r="631" spans="1:24" s="147" customFormat="1">
      <c r="A631" s="170"/>
      <c r="B631" s="145"/>
      <c r="C631" s="145"/>
      <c r="D631" s="149"/>
      <c r="E631" s="150"/>
      <c r="F631" s="145"/>
      <c r="G631" s="145"/>
      <c r="H631" s="145"/>
      <c r="I631" s="145"/>
      <c r="J631" s="145"/>
      <c r="K631" s="145"/>
      <c r="L631" s="145"/>
      <c r="M631" s="145"/>
      <c r="N631" s="149"/>
      <c r="O631" s="145"/>
      <c r="P631" s="138"/>
      <c r="Q631" s="255" t="str">
        <f t="shared" si="70"/>
        <v/>
      </c>
      <c r="R631" s="139" t="str">
        <f t="shared" si="71"/>
        <v/>
      </c>
      <c r="S631" s="128" t="str">
        <f t="shared" si="65"/>
        <v/>
      </c>
      <c r="T631" s="140" t="str">
        <f t="shared" si="66"/>
        <v/>
      </c>
      <c r="U631" s="141" t="str">
        <f t="shared" si="67"/>
        <v/>
      </c>
      <c r="V631" s="141" t="str">
        <f t="shared" si="68"/>
        <v/>
      </c>
      <c r="W631" s="142"/>
      <c r="X631" s="186" t="str">
        <f t="shared" si="69"/>
        <v/>
      </c>
    </row>
    <row r="632" spans="1:24" s="147" customFormat="1">
      <c r="A632" s="170"/>
      <c r="B632" s="145"/>
      <c r="C632" s="145"/>
      <c r="D632" s="146"/>
      <c r="E632" s="150"/>
      <c r="F632" s="145"/>
      <c r="G632" s="145"/>
      <c r="H632" s="145"/>
      <c r="I632" s="145"/>
      <c r="J632" s="145"/>
      <c r="K632" s="145"/>
      <c r="L632" s="145"/>
      <c r="M632" s="145"/>
      <c r="N632" s="146"/>
      <c r="O632" s="145"/>
      <c r="P632" s="138"/>
      <c r="Q632" s="255" t="str">
        <f t="shared" si="70"/>
        <v/>
      </c>
      <c r="R632" s="139" t="str">
        <f t="shared" si="71"/>
        <v/>
      </c>
      <c r="S632" s="128" t="str">
        <f t="shared" si="65"/>
        <v/>
      </c>
      <c r="T632" s="140" t="str">
        <f t="shared" si="66"/>
        <v/>
      </c>
      <c r="U632" s="141" t="str">
        <f t="shared" si="67"/>
        <v/>
      </c>
      <c r="V632" s="141" t="str">
        <f t="shared" si="68"/>
        <v/>
      </c>
      <c r="W632" s="142"/>
      <c r="X632" s="186" t="str">
        <f t="shared" si="69"/>
        <v/>
      </c>
    </row>
    <row r="633" spans="1:24" s="147" customFormat="1">
      <c r="A633" s="172"/>
      <c r="B633" s="151"/>
      <c r="C633" s="151"/>
      <c r="D633" s="151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38"/>
      <c r="Q633" s="255" t="str">
        <f t="shared" si="70"/>
        <v/>
      </c>
      <c r="R633" s="139" t="str">
        <f t="shared" si="71"/>
        <v/>
      </c>
      <c r="S633" s="128" t="str">
        <f t="shared" si="65"/>
        <v/>
      </c>
      <c r="T633" s="140" t="str">
        <f t="shared" si="66"/>
        <v/>
      </c>
      <c r="U633" s="141" t="str">
        <f t="shared" si="67"/>
        <v/>
      </c>
      <c r="V633" s="141" t="str">
        <f t="shared" si="68"/>
        <v/>
      </c>
      <c r="W633" s="142"/>
      <c r="X633" s="186" t="str">
        <f t="shared" si="69"/>
        <v/>
      </c>
    </row>
    <row r="634" spans="1:24" s="147" customFormat="1">
      <c r="A634" s="170"/>
      <c r="B634" s="145"/>
      <c r="C634" s="145"/>
      <c r="D634" s="146"/>
      <c r="E634" s="145"/>
      <c r="F634" s="145"/>
      <c r="G634" s="145"/>
      <c r="H634" s="145"/>
      <c r="I634" s="145"/>
      <c r="J634" s="145"/>
      <c r="K634" s="145"/>
      <c r="L634" s="145"/>
      <c r="M634" s="145"/>
      <c r="N634" s="146"/>
      <c r="O634" s="145"/>
      <c r="P634" s="138"/>
      <c r="Q634" s="255" t="str">
        <f t="shared" si="70"/>
        <v/>
      </c>
      <c r="R634" s="139" t="str">
        <f t="shared" si="71"/>
        <v/>
      </c>
      <c r="S634" s="128" t="str">
        <f t="shared" si="65"/>
        <v/>
      </c>
      <c r="T634" s="140" t="str">
        <f t="shared" si="66"/>
        <v/>
      </c>
      <c r="U634" s="141" t="str">
        <f t="shared" si="67"/>
        <v/>
      </c>
      <c r="V634" s="141" t="str">
        <f t="shared" si="68"/>
        <v/>
      </c>
      <c r="W634" s="142"/>
      <c r="X634" s="186" t="str">
        <f t="shared" si="69"/>
        <v/>
      </c>
    </row>
    <row r="635" spans="1:24" s="147" customFormat="1">
      <c r="A635" s="172"/>
      <c r="B635" s="151"/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38"/>
      <c r="Q635" s="255" t="str">
        <f t="shared" si="70"/>
        <v/>
      </c>
      <c r="R635" s="139" t="str">
        <f t="shared" si="71"/>
        <v/>
      </c>
      <c r="S635" s="128" t="str">
        <f t="shared" si="65"/>
        <v/>
      </c>
      <c r="T635" s="140" t="str">
        <f t="shared" si="66"/>
        <v/>
      </c>
      <c r="U635" s="141" t="str">
        <f t="shared" si="67"/>
        <v/>
      </c>
      <c r="V635" s="141" t="str">
        <f t="shared" si="68"/>
        <v/>
      </c>
      <c r="W635" s="142"/>
      <c r="X635" s="186" t="str">
        <f t="shared" si="69"/>
        <v/>
      </c>
    </row>
    <row r="636" spans="1:24" s="147" customFormat="1">
      <c r="A636" s="170"/>
      <c r="B636" s="145"/>
      <c r="C636" s="145"/>
      <c r="D636" s="146"/>
      <c r="E636" s="145"/>
      <c r="F636" s="145"/>
      <c r="G636" s="145"/>
      <c r="H636" s="145"/>
      <c r="I636" s="145"/>
      <c r="J636" s="145"/>
      <c r="K636" s="145"/>
      <c r="L636" s="145"/>
      <c r="M636" s="145"/>
      <c r="N636" s="146"/>
      <c r="O636" s="145"/>
      <c r="P636" s="138"/>
      <c r="Q636" s="255" t="str">
        <f t="shared" si="70"/>
        <v/>
      </c>
      <c r="R636" s="139" t="str">
        <f t="shared" si="71"/>
        <v/>
      </c>
      <c r="S636" s="128" t="str">
        <f t="shared" si="65"/>
        <v/>
      </c>
      <c r="T636" s="140" t="str">
        <f t="shared" si="66"/>
        <v/>
      </c>
      <c r="U636" s="141" t="str">
        <f t="shared" si="67"/>
        <v/>
      </c>
      <c r="V636" s="141" t="str">
        <f t="shared" si="68"/>
        <v/>
      </c>
      <c r="W636" s="142"/>
      <c r="X636" s="186" t="str">
        <f t="shared" si="69"/>
        <v/>
      </c>
    </row>
    <row r="637" spans="1:24" s="147" customFormat="1">
      <c r="A637" s="172"/>
      <c r="B637" s="151"/>
      <c r="C637" s="151"/>
      <c r="D637" s="151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38"/>
      <c r="Q637" s="255" t="str">
        <f t="shared" si="70"/>
        <v/>
      </c>
      <c r="R637" s="139" t="str">
        <f t="shared" si="71"/>
        <v/>
      </c>
      <c r="S637" s="128" t="str">
        <f t="shared" si="65"/>
        <v/>
      </c>
      <c r="T637" s="140" t="str">
        <f t="shared" si="66"/>
        <v/>
      </c>
      <c r="U637" s="141" t="str">
        <f t="shared" si="67"/>
        <v/>
      </c>
      <c r="V637" s="141" t="str">
        <f t="shared" si="68"/>
        <v/>
      </c>
      <c r="W637" s="142"/>
      <c r="X637" s="186" t="str">
        <f t="shared" si="69"/>
        <v/>
      </c>
    </row>
    <row r="638" spans="1:24" s="147" customFormat="1">
      <c r="A638" s="170"/>
      <c r="B638" s="145"/>
      <c r="C638" s="145"/>
      <c r="D638" s="146"/>
      <c r="E638" s="145"/>
      <c r="F638" s="145"/>
      <c r="G638" s="145"/>
      <c r="H638" s="145"/>
      <c r="I638" s="145"/>
      <c r="J638" s="145"/>
      <c r="K638" s="145"/>
      <c r="L638" s="145"/>
      <c r="M638" s="145"/>
      <c r="N638" s="146"/>
      <c r="O638" s="145"/>
      <c r="P638" s="138"/>
      <c r="Q638" s="255" t="str">
        <f t="shared" si="70"/>
        <v/>
      </c>
      <c r="R638" s="139" t="str">
        <f t="shared" si="71"/>
        <v/>
      </c>
      <c r="S638" s="128" t="str">
        <f t="shared" si="65"/>
        <v/>
      </c>
      <c r="T638" s="140" t="str">
        <f t="shared" si="66"/>
        <v/>
      </c>
      <c r="U638" s="141" t="str">
        <f t="shared" si="67"/>
        <v/>
      </c>
      <c r="V638" s="141" t="str">
        <f t="shared" si="68"/>
        <v/>
      </c>
      <c r="W638" s="142"/>
      <c r="X638" s="186" t="str">
        <f t="shared" si="69"/>
        <v/>
      </c>
    </row>
    <row r="639" spans="1:24" s="147" customFormat="1">
      <c r="A639" s="172"/>
      <c r="B639" s="151"/>
      <c r="C639" s="151"/>
      <c r="D639" s="151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38"/>
      <c r="Q639" s="255" t="str">
        <f t="shared" si="70"/>
        <v/>
      </c>
      <c r="R639" s="139" t="str">
        <f t="shared" si="71"/>
        <v/>
      </c>
      <c r="S639" s="128" t="str">
        <f t="shared" si="65"/>
        <v/>
      </c>
      <c r="T639" s="140" t="str">
        <f t="shared" si="66"/>
        <v/>
      </c>
      <c r="U639" s="141" t="str">
        <f t="shared" si="67"/>
        <v/>
      </c>
      <c r="V639" s="141" t="str">
        <f t="shared" si="68"/>
        <v/>
      </c>
      <c r="W639" s="142"/>
      <c r="X639" s="186" t="str">
        <f t="shared" si="69"/>
        <v/>
      </c>
    </row>
    <row r="640" spans="1:24" s="147" customFormat="1">
      <c r="A640" s="170"/>
      <c r="B640" s="145"/>
      <c r="C640" s="145"/>
      <c r="D640" s="146"/>
      <c r="E640" s="145"/>
      <c r="F640" s="145"/>
      <c r="G640" s="145"/>
      <c r="H640" s="145"/>
      <c r="I640" s="145"/>
      <c r="J640" s="145"/>
      <c r="K640" s="145"/>
      <c r="L640" s="145"/>
      <c r="M640" s="145"/>
      <c r="N640" s="146"/>
      <c r="O640" s="145"/>
      <c r="P640" s="138"/>
      <c r="Q640" s="255" t="str">
        <f t="shared" si="70"/>
        <v/>
      </c>
      <c r="R640" s="139" t="str">
        <f t="shared" si="71"/>
        <v/>
      </c>
      <c r="S640" s="128" t="str">
        <f t="shared" si="65"/>
        <v/>
      </c>
      <c r="T640" s="140" t="str">
        <f t="shared" si="66"/>
        <v/>
      </c>
      <c r="U640" s="141" t="str">
        <f t="shared" si="67"/>
        <v/>
      </c>
      <c r="V640" s="141" t="str">
        <f t="shared" si="68"/>
        <v/>
      </c>
      <c r="W640" s="142"/>
      <c r="X640" s="186" t="str">
        <f t="shared" si="69"/>
        <v/>
      </c>
    </row>
    <row r="641" spans="1:24" s="147" customFormat="1">
      <c r="A641" s="172"/>
      <c r="B641" s="151"/>
      <c r="C641" s="151"/>
      <c r="D641" s="151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38"/>
      <c r="Q641" s="255" t="str">
        <f t="shared" si="70"/>
        <v/>
      </c>
      <c r="R641" s="139" t="str">
        <f t="shared" si="71"/>
        <v/>
      </c>
      <c r="S641" s="128" t="str">
        <f t="shared" si="65"/>
        <v/>
      </c>
      <c r="T641" s="140" t="str">
        <f t="shared" si="66"/>
        <v/>
      </c>
      <c r="U641" s="141" t="str">
        <f t="shared" si="67"/>
        <v/>
      </c>
      <c r="V641" s="141" t="str">
        <f t="shared" si="68"/>
        <v/>
      </c>
      <c r="W641" s="142"/>
      <c r="X641" s="186" t="str">
        <f t="shared" si="69"/>
        <v/>
      </c>
    </row>
    <row r="642" spans="1:24" s="147" customFormat="1">
      <c r="A642" s="170"/>
      <c r="B642" s="145"/>
      <c r="C642" s="145"/>
      <c r="D642" s="146"/>
      <c r="E642" s="145"/>
      <c r="F642" s="145"/>
      <c r="G642" s="145"/>
      <c r="H642" s="145"/>
      <c r="I642" s="145"/>
      <c r="J642" s="145"/>
      <c r="K642" s="145"/>
      <c r="L642" s="145"/>
      <c r="M642" s="145"/>
      <c r="N642" s="146"/>
      <c r="O642" s="145"/>
      <c r="P642" s="138"/>
      <c r="Q642" s="255" t="str">
        <f t="shared" si="70"/>
        <v/>
      </c>
      <c r="R642" s="139" t="str">
        <f t="shared" si="71"/>
        <v/>
      </c>
      <c r="S642" s="128" t="str">
        <f t="shared" si="65"/>
        <v/>
      </c>
      <c r="T642" s="140" t="str">
        <f t="shared" si="66"/>
        <v/>
      </c>
      <c r="U642" s="141" t="str">
        <f t="shared" si="67"/>
        <v/>
      </c>
      <c r="V642" s="141" t="str">
        <f t="shared" si="68"/>
        <v/>
      </c>
      <c r="W642" s="142"/>
      <c r="X642" s="186" t="str">
        <f t="shared" si="69"/>
        <v/>
      </c>
    </row>
    <row r="643" spans="1:24" s="147" customFormat="1">
      <c r="A643" s="171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38"/>
      <c r="Q643" s="255" t="str">
        <f t="shared" si="70"/>
        <v/>
      </c>
      <c r="R643" s="139" t="str">
        <f t="shared" si="71"/>
        <v/>
      </c>
      <c r="S643" s="128" t="str">
        <f t="shared" si="65"/>
        <v/>
      </c>
      <c r="T643" s="140" t="str">
        <f t="shared" si="66"/>
        <v/>
      </c>
      <c r="U643" s="141" t="str">
        <f t="shared" si="67"/>
        <v/>
      </c>
      <c r="V643" s="141" t="str">
        <f t="shared" si="68"/>
        <v/>
      </c>
      <c r="W643" s="142"/>
      <c r="X643" s="186" t="str">
        <f t="shared" si="69"/>
        <v/>
      </c>
    </row>
    <row r="644" spans="1:24" s="147" customFormat="1">
      <c r="A644" s="170"/>
      <c r="B644" s="145"/>
      <c r="C644" s="145"/>
      <c r="D644" s="146"/>
      <c r="E644" s="145"/>
      <c r="F644" s="145"/>
      <c r="G644" s="145"/>
      <c r="H644" s="145"/>
      <c r="I644" s="145"/>
      <c r="J644" s="145"/>
      <c r="K644" s="145"/>
      <c r="L644" s="145"/>
      <c r="M644" s="145"/>
      <c r="N644" s="146"/>
      <c r="O644" s="145"/>
      <c r="P644" s="138"/>
      <c r="Q644" s="255" t="str">
        <f t="shared" si="70"/>
        <v/>
      </c>
      <c r="R644" s="139" t="str">
        <f t="shared" si="71"/>
        <v/>
      </c>
      <c r="S644" s="128" t="str">
        <f t="shared" si="65"/>
        <v/>
      </c>
      <c r="T644" s="140" t="str">
        <f t="shared" si="66"/>
        <v/>
      </c>
      <c r="U644" s="141" t="str">
        <f t="shared" si="67"/>
        <v/>
      </c>
      <c r="V644" s="141" t="str">
        <f t="shared" si="68"/>
        <v/>
      </c>
      <c r="W644" s="142"/>
      <c r="X644" s="186" t="str">
        <f t="shared" si="69"/>
        <v/>
      </c>
    </row>
    <row r="645" spans="1:24" s="147" customFormat="1">
      <c r="A645" s="171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38"/>
      <c r="Q645" s="255" t="str">
        <f t="shared" si="70"/>
        <v/>
      </c>
      <c r="R645" s="139" t="str">
        <f t="shared" si="71"/>
        <v/>
      </c>
      <c r="S645" s="128" t="str">
        <f t="shared" si="65"/>
        <v/>
      </c>
      <c r="T645" s="140" t="str">
        <f t="shared" si="66"/>
        <v/>
      </c>
      <c r="U645" s="141" t="str">
        <f t="shared" si="67"/>
        <v/>
      </c>
      <c r="V645" s="141" t="str">
        <f t="shared" si="68"/>
        <v/>
      </c>
      <c r="W645" s="142"/>
      <c r="X645" s="186" t="str">
        <f t="shared" si="69"/>
        <v/>
      </c>
    </row>
    <row r="646" spans="1:24" s="147" customFormat="1">
      <c r="A646" s="170"/>
      <c r="B646" s="145"/>
      <c r="C646" s="145"/>
      <c r="D646" s="146"/>
      <c r="E646" s="145"/>
      <c r="F646" s="145"/>
      <c r="G646" s="145"/>
      <c r="H646" s="145"/>
      <c r="I646" s="145"/>
      <c r="J646" s="145"/>
      <c r="K646" s="145"/>
      <c r="L646" s="145"/>
      <c r="M646" s="145"/>
      <c r="N646" s="146"/>
      <c r="O646" s="145"/>
      <c r="P646" s="138"/>
      <c r="Q646" s="255" t="str">
        <f t="shared" si="70"/>
        <v/>
      </c>
      <c r="R646" s="139" t="str">
        <f t="shared" si="71"/>
        <v/>
      </c>
      <c r="S646" s="128" t="str">
        <f t="shared" si="65"/>
        <v/>
      </c>
      <c r="T646" s="140" t="str">
        <f t="shared" si="66"/>
        <v/>
      </c>
      <c r="U646" s="141" t="str">
        <f t="shared" si="67"/>
        <v/>
      </c>
      <c r="V646" s="141" t="str">
        <f t="shared" si="68"/>
        <v/>
      </c>
      <c r="W646" s="142"/>
      <c r="X646" s="186" t="str">
        <f t="shared" si="69"/>
        <v/>
      </c>
    </row>
    <row r="647" spans="1:24" s="147" customFormat="1">
      <c r="A647" s="171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38"/>
      <c r="Q647" s="255" t="str">
        <f t="shared" si="70"/>
        <v/>
      </c>
      <c r="R647" s="139" t="str">
        <f t="shared" si="71"/>
        <v/>
      </c>
      <c r="S647" s="128" t="str">
        <f t="shared" ref="S647:S710" si="72">IF(D647="","",IF(IFERROR(FIND("資",D647)&gt;0,FALSE),"資券",IF(IFERROR(FIND("券",D647)&gt;0,FALSE),"資券","波段")))</f>
        <v/>
      </c>
      <c r="T647" s="140" t="str">
        <f t="shared" ref="T647:T710" si="73">IF(F647="","",F647)</f>
        <v/>
      </c>
      <c r="U647" s="141" t="str">
        <f t="shared" ref="U647:U710" si="74">IF(D647="","",IF(IFERROR(FIND("買",D647)&gt;0,FALSE),E647,IF(IFERROR(FIND("賣",D647)&gt;0,FALSE),-E647,IF(IFERROR(FIND("資",D647)&gt;0,FALSE),E647,-E647))))</f>
        <v/>
      </c>
      <c r="V647" s="141" t="str">
        <f t="shared" ref="V647:V710" si="75">IF(Q647="","",T647*U647*-1)</f>
        <v/>
      </c>
      <c r="W647" s="142"/>
      <c r="X647" s="186" t="str">
        <f t="shared" ref="X647:X710" si="76">IFERROR((-1)*LEFT(N647,FIND("扣",N647)-1),IFERROR(1*LEFT(N647,FIND("入",N647)-1),""))</f>
        <v/>
      </c>
    </row>
    <row r="648" spans="1:24" s="147" customFormat="1">
      <c r="A648" s="170"/>
      <c r="B648" s="145"/>
      <c r="C648" s="145"/>
      <c r="D648" s="146"/>
      <c r="E648" s="150"/>
      <c r="F648" s="145"/>
      <c r="G648" s="145"/>
      <c r="H648" s="145"/>
      <c r="I648" s="145"/>
      <c r="J648" s="145"/>
      <c r="K648" s="145"/>
      <c r="L648" s="145"/>
      <c r="M648" s="145"/>
      <c r="N648" s="146"/>
      <c r="O648" s="145"/>
      <c r="P648" s="138"/>
      <c r="Q648" s="255" t="str">
        <f t="shared" ref="Q648:Q711" si="77">IF(B648="","",DATE(LEFT(B648,3)+1911,MID(B648,4,2),RIGHT(B648,2)))</f>
        <v/>
      </c>
      <c r="R648" s="139" t="str">
        <f t="shared" ref="R648:R711" si="78">IF(C648="","",IFERROR(INDEX(代號1,MATCH($C648,股名1,0)),IFERROR(INDEX(代號2,MATCH($C648,股名2,0)),INDEX(代號3,MATCH($C648,股名3,0)))))</f>
        <v/>
      </c>
      <c r="S648" s="128" t="str">
        <f t="shared" si="72"/>
        <v/>
      </c>
      <c r="T648" s="140" t="str">
        <f t="shared" si="73"/>
        <v/>
      </c>
      <c r="U648" s="141" t="str">
        <f t="shared" si="74"/>
        <v/>
      </c>
      <c r="V648" s="141" t="str">
        <f t="shared" si="75"/>
        <v/>
      </c>
      <c r="W648" s="142"/>
      <c r="X648" s="186" t="str">
        <f t="shared" si="76"/>
        <v/>
      </c>
    </row>
    <row r="649" spans="1:24" s="147" customFormat="1">
      <c r="A649" s="171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38"/>
      <c r="Q649" s="255" t="str">
        <f t="shared" si="77"/>
        <v/>
      </c>
      <c r="R649" s="139" t="str">
        <f t="shared" si="78"/>
        <v/>
      </c>
      <c r="S649" s="128" t="str">
        <f t="shared" si="72"/>
        <v/>
      </c>
      <c r="T649" s="140" t="str">
        <f t="shared" si="73"/>
        <v/>
      </c>
      <c r="U649" s="141" t="str">
        <f t="shared" si="74"/>
        <v/>
      </c>
      <c r="V649" s="141" t="str">
        <f t="shared" si="75"/>
        <v/>
      </c>
      <c r="W649" s="142"/>
      <c r="X649" s="186" t="str">
        <f t="shared" si="76"/>
        <v/>
      </c>
    </row>
    <row r="650" spans="1:24" s="147" customFormat="1">
      <c r="A650" s="170"/>
      <c r="B650" s="145"/>
      <c r="C650" s="145"/>
      <c r="D650" s="146"/>
      <c r="E650" s="145"/>
      <c r="F650" s="145"/>
      <c r="G650" s="145"/>
      <c r="H650" s="145"/>
      <c r="I650" s="145"/>
      <c r="J650" s="145"/>
      <c r="K650" s="145"/>
      <c r="L650" s="145"/>
      <c r="M650" s="145"/>
      <c r="N650" s="146"/>
      <c r="O650" s="145"/>
      <c r="P650" s="138"/>
      <c r="Q650" s="255" t="str">
        <f t="shared" si="77"/>
        <v/>
      </c>
      <c r="R650" s="139" t="str">
        <f t="shared" si="78"/>
        <v/>
      </c>
      <c r="S650" s="128" t="str">
        <f t="shared" si="72"/>
        <v/>
      </c>
      <c r="T650" s="140" t="str">
        <f t="shared" si="73"/>
        <v/>
      </c>
      <c r="U650" s="141" t="str">
        <f t="shared" si="74"/>
        <v/>
      </c>
      <c r="V650" s="141" t="str">
        <f t="shared" si="75"/>
        <v/>
      </c>
      <c r="W650" s="142"/>
      <c r="X650" s="186" t="str">
        <f t="shared" si="76"/>
        <v/>
      </c>
    </row>
    <row r="651" spans="1:24" s="147" customFormat="1">
      <c r="A651" s="171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38"/>
      <c r="Q651" s="255" t="str">
        <f t="shared" si="77"/>
        <v/>
      </c>
      <c r="R651" s="139" t="str">
        <f t="shared" si="78"/>
        <v/>
      </c>
      <c r="S651" s="128" t="str">
        <f t="shared" si="72"/>
        <v/>
      </c>
      <c r="T651" s="140" t="str">
        <f t="shared" si="73"/>
        <v/>
      </c>
      <c r="U651" s="141" t="str">
        <f t="shared" si="74"/>
        <v/>
      </c>
      <c r="V651" s="141" t="str">
        <f t="shared" si="75"/>
        <v/>
      </c>
      <c r="W651" s="142"/>
      <c r="X651" s="186" t="str">
        <f t="shared" si="76"/>
        <v/>
      </c>
    </row>
    <row r="652" spans="1:24" s="147" customFormat="1">
      <c r="A652" s="170"/>
      <c r="B652" s="145"/>
      <c r="C652" s="145"/>
      <c r="D652" s="146"/>
      <c r="E652" s="145"/>
      <c r="F652" s="145"/>
      <c r="G652" s="145"/>
      <c r="H652" s="145"/>
      <c r="I652" s="145"/>
      <c r="J652" s="145"/>
      <c r="K652" s="145"/>
      <c r="L652" s="145"/>
      <c r="M652" s="145"/>
      <c r="N652" s="146"/>
      <c r="O652" s="145"/>
      <c r="P652" s="138"/>
      <c r="Q652" s="255" t="str">
        <f t="shared" si="77"/>
        <v/>
      </c>
      <c r="R652" s="139" t="str">
        <f t="shared" si="78"/>
        <v/>
      </c>
      <c r="S652" s="128" t="str">
        <f t="shared" si="72"/>
        <v/>
      </c>
      <c r="T652" s="140" t="str">
        <f t="shared" si="73"/>
        <v/>
      </c>
      <c r="U652" s="141" t="str">
        <f t="shared" si="74"/>
        <v/>
      </c>
      <c r="V652" s="141" t="str">
        <f t="shared" si="75"/>
        <v/>
      </c>
      <c r="W652" s="142"/>
      <c r="X652" s="186" t="str">
        <f t="shared" si="76"/>
        <v/>
      </c>
    </row>
    <row r="653" spans="1:24" s="147" customFormat="1">
      <c r="A653" s="171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38"/>
      <c r="Q653" s="255" t="str">
        <f t="shared" si="77"/>
        <v/>
      </c>
      <c r="R653" s="139" t="str">
        <f t="shared" si="78"/>
        <v/>
      </c>
      <c r="S653" s="128" t="str">
        <f t="shared" si="72"/>
        <v/>
      </c>
      <c r="T653" s="140" t="str">
        <f t="shared" si="73"/>
        <v/>
      </c>
      <c r="U653" s="141" t="str">
        <f t="shared" si="74"/>
        <v/>
      </c>
      <c r="V653" s="141" t="str">
        <f t="shared" si="75"/>
        <v/>
      </c>
      <c r="W653" s="142"/>
      <c r="X653" s="186" t="str">
        <f t="shared" si="76"/>
        <v/>
      </c>
    </row>
    <row r="654" spans="1:24" s="147" customFormat="1">
      <c r="A654" s="170"/>
      <c r="B654" s="145"/>
      <c r="C654" s="145"/>
      <c r="D654" s="149"/>
      <c r="E654" s="150"/>
      <c r="F654" s="145"/>
      <c r="G654" s="145"/>
      <c r="H654" s="145"/>
      <c r="I654" s="145"/>
      <c r="J654" s="145"/>
      <c r="K654" s="145"/>
      <c r="L654" s="145"/>
      <c r="M654" s="145"/>
      <c r="N654" s="149"/>
      <c r="O654" s="145"/>
      <c r="P654" s="138"/>
      <c r="Q654" s="255" t="str">
        <f t="shared" si="77"/>
        <v/>
      </c>
      <c r="R654" s="139" t="str">
        <f t="shared" si="78"/>
        <v/>
      </c>
      <c r="S654" s="128" t="str">
        <f t="shared" si="72"/>
        <v/>
      </c>
      <c r="T654" s="140" t="str">
        <f t="shared" si="73"/>
        <v/>
      </c>
      <c r="U654" s="141" t="str">
        <f t="shared" si="74"/>
        <v/>
      </c>
      <c r="V654" s="141" t="str">
        <f t="shared" si="75"/>
        <v/>
      </c>
      <c r="W654" s="142"/>
      <c r="X654" s="186" t="str">
        <f t="shared" si="76"/>
        <v/>
      </c>
    </row>
    <row r="655" spans="1:24" s="147" customFormat="1">
      <c r="A655" s="170"/>
      <c r="B655" s="145"/>
      <c r="C655" s="145"/>
      <c r="D655" s="149"/>
      <c r="E655" s="150"/>
      <c r="F655" s="145"/>
      <c r="G655" s="145"/>
      <c r="H655" s="145"/>
      <c r="I655" s="145"/>
      <c r="J655" s="145"/>
      <c r="K655" s="145"/>
      <c r="L655" s="145"/>
      <c r="M655" s="145"/>
      <c r="N655" s="149"/>
      <c r="O655" s="145"/>
      <c r="P655" s="138"/>
      <c r="Q655" s="255" t="str">
        <f t="shared" si="77"/>
        <v/>
      </c>
      <c r="R655" s="139" t="str">
        <f t="shared" si="78"/>
        <v/>
      </c>
      <c r="S655" s="128" t="str">
        <f t="shared" si="72"/>
        <v/>
      </c>
      <c r="T655" s="140" t="str">
        <f t="shared" si="73"/>
        <v/>
      </c>
      <c r="U655" s="141" t="str">
        <f t="shared" si="74"/>
        <v/>
      </c>
      <c r="V655" s="141" t="str">
        <f t="shared" si="75"/>
        <v/>
      </c>
      <c r="W655" s="142"/>
      <c r="X655" s="186" t="str">
        <f t="shared" si="76"/>
        <v/>
      </c>
    </row>
    <row r="656" spans="1:24" s="147" customFormat="1">
      <c r="A656" s="170"/>
      <c r="B656" s="145"/>
      <c r="C656" s="145"/>
      <c r="D656" s="149"/>
      <c r="E656" s="150"/>
      <c r="F656" s="145"/>
      <c r="G656" s="145"/>
      <c r="H656" s="145"/>
      <c r="I656" s="145"/>
      <c r="J656" s="145"/>
      <c r="K656" s="145"/>
      <c r="L656" s="145"/>
      <c r="M656" s="145"/>
      <c r="N656" s="149"/>
      <c r="O656" s="145"/>
      <c r="P656" s="138"/>
      <c r="Q656" s="255" t="str">
        <f t="shared" si="77"/>
        <v/>
      </c>
      <c r="R656" s="139" t="str">
        <f t="shared" si="78"/>
        <v/>
      </c>
      <c r="S656" s="128" t="str">
        <f t="shared" si="72"/>
        <v/>
      </c>
      <c r="T656" s="140" t="str">
        <f t="shared" si="73"/>
        <v/>
      </c>
      <c r="U656" s="141" t="str">
        <f t="shared" si="74"/>
        <v/>
      </c>
      <c r="V656" s="141" t="str">
        <f t="shared" si="75"/>
        <v/>
      </c>
      <c r="W656" s="142"/>
      <c r="X656" s="186" t="str">
        <f t="shared" si="76"/>
        <v/>
      </c>
    </row>
    <row r="657" spans="1:24" s="147" customFormat="1">
      <c r="A657" s="170"/>
      <c r="B657" s="145"/>
      <c r="C657" s="145"/>
      <c r="D657" s="149"/>
      <c r="E657" s="150"/>
      <c r="F657" s="145"/>
      <c r="G657" s="145"/>
      <c r="H657" s="145"/>
      <c r="I657" s="145"/>
      <c r="J657" s="145"/>
      <c r="K657" s="145"/>
      <c r="L657" s="145"/>
      <c r="M657" s="145"/>
      <c r="N657" s="149"/>
      <c r="O657" s="145"/>
      <c r="P657" s="138"/>
      <c r="Q657" s="255" t="str">
        <f t="shared" si="77"/>
        <v/>
      </c>
      <c r="R657" s="139" t="str">
        <f t="shared" si="78"/>
        <v/>
      </c>
      <c r="S657" s="128" t="str">
        <f t="shared" si="72"/>
        <v/>
      </c>
      <c r="T657" s="140" t="str">
        <f t="shared" si="73"/>
        <v/>
      </c>
      <c r="U657" s="141" t="str">
        <f t="shared" si="74"/>
        <v/>
      </c>
      <c r="V657" s="141" t="str">
        <f t="shared" si="75"/>
        <v/>
      </c>
      <c r="W657" s="142"/>
      <c r="X657" s="186" t="str">
        <f t="shared" si="76"/>
        <v/>
      </c>
    </row>
    <row r="658" spans="1:24" s="147" customFormat="1">
      <c r="A658" s="170"/>
      <c r="B658" s="145"/>
      <c r="C658" s="145"/>
      <c r="D658" s="149"/>
      <c r="E658" s="150"/>
      <c r="F658" s="145"/>
      <c r="G658" s="145"/>
      <c r="H658" s="145"/>
      <c r="I658" s="145"/>
      <c r="J658" s="145"/>
      <c r="K658" s="145"/>
      <c r="L658" s="145"/>
      <c r="M658" s="145"/>
      <c r="N658" s="149"/>
      <c r="O658" s="145"/>
      <c r="P658" s="138"/>
      <c r="Q658" s="255" t="str">
        <f t="shared" si="77"/>
        <v/>
      </c>
      <c r="R658" s="139" t="str">
        <f t="shared" si="78"/>
        <v/>
      </c>
      <c r="S658" s="128" t="str">
        <f t="shared" si="72"/>
        <v/>
      </c>
      <c r="T658" s="140" t="str">
        <f t="shared" si="73"/>
        <v/>
      </c>
      <c r="U658" s="141" t="str">
        <f t="shared" si="74"/>
        <v/>
      </c>
      <c r="V658" s="141" t="str">
        <f t="shared" si="75"/>
        <v/>
      </c>
      <c r="W658" s="142"/>
      <c r="X658" s="186" t="str">
        <f t="shared" si="76"/>
        <v/>
      </c>
    </row>
    <row r="659" spans="1:24" s="147" customFormat="1">
      <c r="A659" s="170"/>
      <c r="B659" s="145"/>
      <c r="C659" s="145"/>
      <c r="D659" s="149"/>
      <c r="E659" s="150"/>
      <c r="F659" s="145"/>
      <c r="G659" s="145"/>
      <c r="H659" s="145"/>
      <c r="I659" s="145"/>
      <c r="J659" s="145"/>
      <c r="K659" s="145"/>
      <c r="L659" s="145"/>
      <c r="M659" s="145"/>
      <c r="N659" s="149"/>
      <c r="O659" s="145"/>
      <c r="P659" s="138"/>
      <c r="Q659" s="255" t="str">
        <f t="shared" si="77"/>
        <v/>
      </c>
      <c r="R659" s="139" t="str">
        <f t="shared" si="78"/>
        <v/>
      </c>
      <c r="S659" s="128" t="str">
        <f t="shared" si="72"/>
        <v/>
      </c>
      <c r="T659" s="140" t="str">
        <f t="shared" si="73"/>
        <v/>
      </c>
      <c r="U659" s="141" t="str">
        <f t="shared" si="74"/>
        <v/>
      </c>
      <c r="V659" s="141" t="str">
        <f t="shared" si="75"/>
        <v/>
      </c>
      <c r="W659" s="142"/>
      <c r="X659" s="186" t="str">
        <f t="shared" si="76"/>
        <v/>
      </c>
    </row>
    <row r="660" spans="1:24" s="147" customFormat="1">
      <c r="A660" s="170"/>
      <c r="B660" s="145"/>
      <c r="C660" s="145"/>
      <c r="D660" s="149"/>
      <c r="E660" s="145"/>
      <c r="F660" s="145"/>
      <c r="G660" s="145"/>
      <c r="H660" s="145"/>
      <c r="I660" s="145"/>
      <c r="J660" s="145"/>
      <c r="K660" s="145"/>
      <c r="L660" s="145"/>
      <c r="M660" s="145"/>
      <c r="N660" s="149"/>
      <c r="O660" s="145"/>
      <c r="P660" s="138"/>
      <c r="Q660" s="255" t="str">
        <f t="shared" si="77"/>
        <v/>
      </c>
      <c r="R660" s="139" t="str">
        <f t="shared" si="78"/>
        <v/>
      </c>
      <c r="S660" s="128" t="str">
        <f t="shared" si="72"/>
        <v/>
      </c>
      <c r="T660" s="140" t="str">
        <f t="shared" si="73"/>
        <v/>
      </c>
      <c r="U660" s="141" t="str">
        <f t="shared" si="74"/>
        <v/>
      </c>
      <c r="V660" s="141" t="str">
        <f t="shared" si="75"/>
        <v/>
      </c>
      <c r="W660" s="142"/>
      <c r="X660" s="186" t="str">
        <f t="shared" si="76"/>
        <v/>
      </c>
    </row>
    <row r="661" spans="1:24" s="147" customFormat="1">
      <c r="A661" s="170"/>
      <c r="B661" s="145"/>
      <c r="C661" s="145"/>
      <c r="D661" s="149"/>
      <c r="E661" s="145"/>
      <c r="F661" s="145"/>
      <c r="G661" s="145"/>
      <c r="H661" s="145"/>
      <c r="I661" s="145"/>
      <c r="J661" s="145"/>
      <c r="K661" s="145"/>
      <c r="L661" s="145"/>
      <c r="M661" s="145"/>
      <c r="N661" s="149"/>
      <c r="O661" s="145"/>
      <c r="P661" s="138"/>
      <c r="Q661" s="255" t="str">
        <f t="shared" si="77"/>
        <v/>
      </c>
      <c r="R661" s="139" t="str">
        <f t="shared" si="78"/>
        <v/>
      </c>
      <c r="S661" s="128" t="str">
        <f t="shared" si="72"/>
        <v/>
      </c>
      <c r="T661" s="140" t="str">
        <f t="shared" si="73"/>
        <v/>
      </c>
      <c r="U661" s="141" t="str">
        <f t="shared" si="74"/>
        <v/>
      </c>
      <c r="V661" s="141" t="str">
        <f t="shared" si="75"/>
        <v/>
      </c>
      <c r="W661" s="142"/>
      <c r="X661" s="186" t="str">
        <f t="shared" si="76"/>
        <v/>
      </c>
    </row>
    <row r="662" spans="1:24" s="147" customFormat="1">
      <c r="A662" s="170"/>
      <c r="B662" s="145"/>
      <c r="C662" s="145"/>
      <c r="D662" s="149"/>
      <c r="E662" s="145"/>
      <c r="F662" s="145"/>
      <c r="G662" s="145"/>
      <c r="H662" s="145"/>
      <c r="I662" s="145"/>
      <c r="J662" s="145"/>
      <c r="K662" s="145"/>
      <c r="L662" s="145"/>
      <c r="M662" s="145"/>
      <c r="N662" s="149"/>
      <c r="O662" s="145"/>
      <c r="P662" s="138"/>
      <c r="Q662" s="255" t="str">
        <f t="shared" si="77"/>
        <v/>
      </c>
      <c r="R662" s="139" t="str">
        <f t="shared" si="78"/>
        <v/>
      </c>
      <c r="S662" s="128" t="str">
        <f t="shared" si="72"/>
        <v/>
      </c>
      <c r="T662" s="140" t="str">
        <f t="shared" si="73"/>
        <v/>
      </c>
      <c r="U662" s="141" t="str">
        <f t="shared" si="74"/>
        <v/>
      </c>
      <c r="V662" s="141" t="str">
        <f t="shared" si="75"/>
        <v/>
      </c>
      <c r="W662" s="142"/>
      <c r="X662" s="186" t="str">
        <f t="shared" si="76"/>
        <v/>
      </c>
    </row>
    <row r="663" spans="1:24" s="147" customFormat="1">
      <c r="A663" s="170"/>
      <c r="B663" s="145"/>
      <c r="C663" s="145"/>
      <c r="D663" s="149"/>
      <c r="E663" s="145"/>
      <c r="F663" s="145"/>
      <c r="G663" s="145"/>
      <c r="H663" s="145"/>
      <c r="I663" s="145"/>
      <c r="J663" s="145"/>
      <c r="K663" s="145"/>
      <c r="L663" s="145"/>
      <c r="M663" s="145"/>
      <c r="N663" s="149"/>
      <c r="O663" s="145"/>
      <c r="P663" s="138"/>
      <c r="Q663" s="255" t="str">
        <f t="shared" si="77"/>
        <v/>
      </c>
      <c r="R663" s="139" t="str">
        <f t="shared" si="78"/>
        <v/>
      </c>
      <c r="S663" s="128" t="str">
        <f t="shared" si="72"/>
        <v/>
      </c>
      <c r="T663" s="140" t="str">
        <f t="shared" si="73"/>
        <v/>
      </c>
      <c r="U663" s="141" t="str">
        <f t="shared" si="74"/>
        <v/>
      </c>
      <c r="V663" s="141" t="str">
        <f t="shared" si="75"/>
        <v/>
      </c>
      <c r="W663" s="142"/>
      <c r="X663" s="186" t="str">
        <f t="shared" si="76"/>
        <v/>
      </c>
    </row>
    <row r="664" spans="1:24" s="147" customFormat="1">
      <c r="A664" s="170"/>
      <c r="B664" s="145"/>
      <c r="C664" s="145"/>
      <c r="D664" s="149"/>
      <c r="E664" s="145"/>
      <c r="F664" s="145"/>
      <c r="G664" s="145"/>
      <c r="H664" s="145"/>
      <c r="I664" s="145"/>
      <c r="J664" s="145"/>
      <c r="K664" s="145"/>
      <c r="L664" s="145"/>
      <c r="M664" s="145"/>
      <c r="N664" s="149"/>
      <c r="O664" s="145"/>
      <c r="P664" s="138"/>
      <c r="Q664" s="255" t="str">
        <f t="shared" si="77"/>
        <v/>
      </c>
      <c r="R664" s="139" t="str">
        <f t="shared" si="78"/>
        <v/>
      </c>
      <c r="S664" s="128" t="str">
        <f t="shared" si="72"/>
        <v/>
      </c>
      <c r="T664" s="140" t="str">
        <f t="shared" si="73"/>
        <v/>
      </c>
      <c r="U664" s="141" t="str">
        <f t="shared" si="74"/>
        <v/>
      </c>
      <c r="V664" s="141" t="str">
        <f t="shared" si="75"/>
        <v/>
      </c>
      <c r="W664" s="142"/>
      <c r="X664" s="186" t="str">
        <f t="shared" si="76"/>
        <v/>
      </c>
    </row>
    <row r="665" spans="1:24" s="147" customFormat="1">
      <c r="A665" s="170"/>
      <c r="B665" s="145"/>
      <c r="C665" s="145"/>
      <c r="D665" s="149"/>
      <c r="E665" s="145"/>
      <c r="F665" s="145"/>
      <c r="G665" s="145"/>
      <c r="H665" s="145"/>
      <c r="I665" s="145"/>
      <c r="J665" s="145"/>
      <c r="K665" s="145"/>
      <c r="L665" s="145"/>
      <c r="M665" s="145"/>
      <c r="N665" s="149"/>
      <c r="O665" s="145"/>
      <c r="P665" s="138"/>
      <c r="Q665" s="255" t="str">
        <f t="shared" si="77"/>
        <v/>
      </c>
      <c r="R665" s="139" t="str">
        <f t="shared" si="78"/>
        <v/>
      </c>
      <c r="S665" s="128" t="str">
        <f t="shared" si="72"/>
        <v/>
      </c>
      <c r="T665" s="140" t="str">
        <f t="shared" si="73"/>
        <v/>
      </c>
      <c r="U665" s="141" t="str">
        <f t="shared" si="74"/>
        <v/>
      </c>
      <c r="V665" s="141" t="str">
        <f t="shared" si="75"/>
        <v/>
      </c>
      <c r="W665" s="142"/>
      <c r="X665" s="186" t="str">
        <f t="shared" si="76"/>
        <v/>
      </c>
    </row>
    <row r="666" spans="1:24" s="147" customFormat="1">
      <c r="A666" s="170"/>
      <c r="B666" s="145"/>
      <c r="C666" s="145"/>
      <c r="D666" s="149"/>
      <c r="E666" s="145"/>
      <c r="F666" s="145"/>
      <c r="G666" s="145"/>
      <c r="H666" s="145"/>
      <c r="I666" s="145"/>
      <c r="J666" s="145"/>
      <c r="K666" s="145"/>
      <c r="L666" s="145"/>
      <c r="M666" s="145"/>
      <c r="N666" s="149"/>
      <c r="O666" s="145"/>
      <c r="P666" s="138"/>
      <c r="Q666" s="255" t="str">
        <f t="shared" si="77"/>
        <v/>
      </c>
      <c r="R666" s="139" t="str">
        <f t="shared" si="78"/>
        <v/>
      </c>
      <c r="S666" s="128" t="str">
        <f t="shared" si="72"/>
        <v/>
      </c>
      <c r="T666" s="140" t="str">
        <f t="shared" si="73"/>
        <v/>
      </c>
      <c r="U666" s="141" t="str">
        <f t="shared" si="74"/>
        <v/>
      </c>
      <c r="V666" s="141" t="str">
        <f t="shared" si="75"/>
        <v/>
      </c>
      <c r="W666" s="142"/>
      <c r="X666" s="186" t="str">
        <f t="shared" si="76"/>
        <v/>
      </c>
    </row>
    <row r="667" spans="1:24" s="147" customFormat="1">
      <c r="A667" s="170"/>
      <c r="B667" s="145"/>
      <c r="C667" s="145"/>
      <c r="D667" s="149"/>
      <c r="E667" s="145"/>
      <c r="F667" s="145"/>
      <c r="G667" s="145"/>
      <c r="H667" s="145"/>
      <c r="I667" s="145"/>
      <c r="J667" s="145"/>
      <c r="K667" s="145"/>
      <c r="L667" s="145"/>
      <c r="M667" s="145"/>
      <c r="N667" s="149"/>
      <c r="O667" s="145"/>
      <c r="P667" s="138"/>
      <c r="Q667" s="255" t="str">
        <f t="shared" si="77"/>
        <v/>
      </c>
      <c r="R667" s="139" t="str">
        <f t="shared" si="78"/>
        <v/>
      </c>
      <c r="S667" s="128" t="str">
        <f t="shared" si="72"/>
        <v/>
      </c>
      <c r="T667" s="140" t="str">
        <f t="shared" si="73"/>
        <v/>
      </c>
      <c r="U667" s="141" t="str">
        <f t="shared" si="74"/>
        <v/>
      </c>
      <c r="V667" s="141" t="str">
        <f t="shared" si="75"/>
        <v/>
      </c>
      <c r="W667" s="142"/>
      <c r="X667" s="186" t="str">
        <f t="shared" si="76"/>
        <v/>
      </c>
    </row>
    <row r="668" spans="1:24" s="147" customFormat="1">
      <c r="A668" s="170"/>
      <c r="B668" s="145"/>
      <c r="C668" s="145"/>
      <c r="D668" s="149"/>
      <c r="E668" s="145"/>
      <c r="F668" s="145"/>
      <c r="G668" s="145"/>
      <c r="H668" s="145"/>
      <c r="I668" s="145"/>
      <c r="J668" s="145"/>
      <c r="K668" s="145"/>
      <c r="L668" s="145"/>
      <c r="M668" s="145"/>
      <c r="N668" s="149"/>
      <c r="O668" s="145"/>
      <c r="P668" s="138"/>
      <c r="Q668" s="255" t="str">
        <f t="shared" si="77"/>
        <v/>
      </c>
      <c r="R668" s="139" t="str">
        <f t="shared" si="78"/>
        <v/>
      </c>
      <c r="S668" s="128" t="str">
        <f t="shared" si="72"/>
        <v/>
      </c>
      <c r="T668" s="140" t="str">
        <f t="shared" si="73"/>
        <v/>
      </c>
      <c r="U668" s="141" t="str">
        <f t="shared" si="74"/>
        <v/>
      </c>
      <c r="V668" s="141" t="str">
        <f t="shared" si="75"/>
        <v/>
      </c>
      <c r="W668" s="142"/>
      <c r="X668" s="186" t="str">
        <f t="shared" si="76"/>
        <v/>
      </c>
    </row>
    <row r="669" spans="1:24" s="147" customFormat="1">
      <c r="A669" s="170"/>
      <c r="B669" s="145"/>
      <c r="C669" s="145"/>
      <c r="D669" s="149"/>
      <c r="E669" s="145"/>
      <c r="F669" s="145"/>
      <c r="G669" s="145"/>
      <c r="H669" s="145"/>
      <c r="I669" s="145"/>
      <c r="J669" s="145"/>
      <c r="K669" s="145"/>
      <c r="L669" s="145"/>
      <c r="M669" s="145"/>
      <c r="N669" s="149"/>
      <c r="O669" s="145"/>
      <c r="P669" s="138"/>
      <c r="Q669" s="255" t="str">
        <f t="shared" si="77"/>
        <v/>
      </c>
      <c r="R669" s="139" t="str">
        <f t="shared" si="78"/>
        <v/>
      </c>
      <c r="S669" s="128" t="str">
        <f t="shared" si="72"/>
        <v/>
      </c>
      <c r="T669" s="140" t="str">
        <f t="shared" si="73"/>
        <v/>
      </c>
      <c r="U669" s="141" t="str">
        <f t="shared" si="74"/>
        <v/>
      </c>
      <c r="V669" s="141" t="str">
        <f t="shared" si="75"/>
        <v/>
      </c>
      <c r="W669" s="142"/>
      <c r="X669" s="186" t="str">
        <f t="shared" si="76"/>
        <v/>
      </c>
    </row>
    <row r="670" spans="1:24" s="147" customFormat="1">
      <c r="A670" s="170"/>
      <c r="B670" s="145"/>
      <c r="C670" s="145"/>
      <c r="D670" s="149"/>
      <c r="E670" s="150"/>
      <c r="F670" s="145"/>
      <c r="G670" s="145"/>
      <c r="H670" s="145"/>
      <c r="I670" s="145"/>
      <c r="J670" s="145"/>
      <c r="K670" s="145"/>
      <c r="L670" s="145"/>
      <c r="M670" s="145"/>
      <c r="N670" s="146"/>
      <c r="O670" s="145"/>
      <c r="P670" s="138"/>
      <c r="Q670" s="255" t="str">
        <f t="shared" si="77"/>
        <v/>
      </c>
      <c r="R670" s="139" t="str">
        <f t="shared" si="78"/>
        <v/>
      </c>
      <c r="S670" s="128" t="str">
        <f t="shared" si="72"/>
        <v/>
      </c>
      <c r="T670" s="140" t="str">
        <f t="shared" si="73"/>
        <v/>
      </c>
      <c r="U670" s="141" t="str">
        <f t="shared" si="74"/>
        <v/>
      </c>
      <c r="V670" s="141" t="str">
        <f t="shared" si="75"/>
        <v/>
      </c>
      <c r="W670" s="142"/>
      <c r="X670" s="186" t="str">
        <f t="shared" si="76"/>
        <v/>
      </c>
    </row>
    <row r="671" spans="1:24" s="147" customFormat="1">
      <c r="A671" s="172"/>
      <c r="B671" s="151"/>
      <c r="C671" s="151"/>
      <c r="D671" s="151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38"/>
      <c r="Q671" s="255" t="str">
        <f t="shared" si="77"/>
        <v/>
      </c>
      <c r="R671" s="139" t="str">
        <f t="shared" si="78"/>
        <v/>
      </c>
      <c r="S671" s="128" t="str">
        <f t="shared" si="72"/>
        <v/>
      </c>
      <c r="T671" s="140" t="str">
        <f t="shared" si="73"/>
        <v/>
      </c>
      <c r="U671" s="141" t="str">
        <f t="shared" si="74"/>
        <v/>
      </c>
      <c r="V671" s="141" t="str">
        <f t="shared" si="75"/>
        <v/>
      </c>
      <c r="W671" s="142"/>
      <c r="X671" s="186" t="str">
        <f t="shared" si="76"/>
        <v/>
      </c>
    </row>
    <row r="672" spans="1:24" s="147" customFormat="1">
      <c r="A672" s="170"/>
      <c r="B672" s="145"/>
      <c r="C672" s="145"/>
      <c r="D672" s="149"/>
      <c r="E672" s="150"/>
      <c r="F672" s="145"/>
      <c r="G672" s="145"/>
      <c r="H672" s="145"/>
      <c r="I672" s="145"/>
      <c r="J672" s="145"/>
      <c r="K672" s="145"/>
      <c r="L672" s="145"/>
      <c r="M672" s="145"/>
      <c r="N672" s="149"/>
      <c r="O672" s="145"/>
      <c r="P672" s="138"/>
      <c r="Q672" s="255" t="str">
        <f t="shared" si="77"/>
        <v/>
      </c>
      <c r="R672" s="139" t="str">
        <f t="shared" si="78"/>
        <v/>
      </c>
      <c r="S672" s="128" t="str">
        <f t="shared" si="72"/>
        <v/>
      </c>
      <c r="T672" s="140" t="str">
        <f t="shared" si="73"/>
        <v/>
      </c>
      <c r="U672" s="141" t="str">
        <f t="shared" si="74"/>
        <v/>
      </c>
      <c r="V672" s="141" t="str">
        <f t="shared" si="75"/>
        <v/>
      </c>
      <c r="W672" s="142"/>
      <c r="X672" s="186" t="str">
        <f t="shared" si="76"/>
        <v/>
      </c>
    </row>
    <row r="673" spans="1:24" s="147" customFormat="1">
      <c r="A673" s="170"/>
      <c r="B673" s="145"/>
      <c r="C673" s="145"/>
      <c r="D673" s="149"/>
      <c r="E673" s="150"/>
      <c r="F673" s="145"/>
      <c r="G673" s="145"/>
      <c r="H673" s="145"/>
      <c r="I673" s="145"/>
      <c r="J673" s="145"/>
      <c r="K673" s="145"/>
      <c r="L673" s="145"/>
      <c r="M673" s="145"/>
      <c r="N673" s="149"/>
      <c r="O673" s="145"/>
      <c r="P673" s="138"/>
      <c r="Q673" s="255" t="str">
        <f t="shared" si="77"/>
        <v/>
      </c>
      <c r="R673" s="139" t="str">
        <f t="shared" si="78"/>
        <v/>
      </c>
      <c r="S673" s="128" t="str">
        <f t="shared" si="72"/>
        <v/>
      </c>
      <c r="T673" s="140" t="str">
        <f t="shared" si="73"/>
        <v/>
      </c>
      <c r="U673" s="141" t="str">
        <f t="shared" si="74"/>
        <v/>
      </c>
      <c r="V673" s="141" t="str">
        <f t="shared" si="75"/>
        <v/>
      </c>
      <c r="W673" s="142"/>
      <c r="X673" s="186" t="str">
        <f t="shared" si="76"/>
        <v/>
      </c>
    </row>
    <row r="674" spans="1:24" s="147" customFormat="1">
      <c r="A674" s="170"/>
      <c r="B674" s="145"/>
      <c r="C674" s="145"/>
      <c r="D674" s="146"/>
      <c r="E674" s="150"/>
      <c r="F674" s="145"/>
      <c r="G674" s="145"/>
      <c r="H674" s="145"/>
      <c r="I674" s="145"/>
      <c r="J674" s="145"/>
      <c r="K674" s="145"/>
      <c r="L674" s="145"/>
      <c r="M674" s="145"/>
      <c r="N674" s="146"/>
      <c r="O674" s="145"/>
      <c r="P674" s="138"/>
      <c r="Q674" s="255" t="str">
        <f t="shared" si="77"/>
        <v/>
      </c>
      <c r="R674" s="139" t="str">
        <f t="shared" si="78"/>
        <v/>
      </c>
      <c r="S674" s="128" t="str">
        <f t="shared" si="72"/>
        <v/>
      </c>
      <c r="T674" s="140" t="str">
        <f t="shared" si="73"/>
        <v/>
      </c>
      <c r="U674" s="141" t="str">
        <f t="shared" si="74"/>
        <v/>
      </c>
      <c r="V674" s="141" t="str">
        <f t="shared" si="75"/>
        <v/>
      </c>
      <c r="W674" s="142"/>
      <c r="X674" s="186" t="str">
        <f t="shared" si="76"/>
        <v/>
      </c>
    </row>
    <row r="675" spans="1:24" s="147" customFormat="1">
      <c r="A675" s="171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38"/>
      <c r="Q675" s="255" t="str">
        <f t="shared" si="77"/>
        <v/>
      </c>
      <c r="R675" s="139" t="str">
        <f t="shared" si="78"/>
        <v/>
      </c>
      <c r="S675" s="128" t="str">
        <f t="shared" si="72"/>
        <v/>
      </c>
      <c r="T675" s="140" t="str">
        <f t="shared" si="73"/>
        <v/>
      </c>
      <c r="U675" s="141" t="str">
        <f t="shared" si="74"/>
        <v/>
      </c>
      <c r="V675" s="141" t="str">
        <f t="shared" si="75"/>
        <v/>
      </c>
      <c r="W675" s="142"/>
      <c r="X675" s="186" t="str">
        <f t="shared" si="76"/>
        <v/>
      </c>
    </row>
    <row r="676" spans="1:24" s="147" customFormat="1">
      <c r="A676" s="170"/>
      <c r="B676" s="145"/>
      <c r="C676" s="145"/>
      <c r="D676" s="146"/>
      <c r="E676" s="150"/>
      <c r="F676" s="145"/>
      <c r="G676" s="145"/>
      <c r="H676" s="145"/>
      <c r="I676" s="145"/>
      <c r="J676" s="145"/>
      <c r="K676" s="145"/>
      <c r="L676" s="145"/>
      <c r="M676" s="145"/>
      <c r="N676" s="146"/>
      <c r="O676" s="145"/>
      <c r="P676" s="138"/>
      <c r="Q676" s="255" t="str">
        <f t="shared" si="77"/>
        <v/>
      </c>
      <c r="R676" s="139" t="str">
        <f t="shared" si="78"/>
        <v/>
      </c>
      <c r="S676" s="128" t="str">
        <f t="shared" si="72"/>
        <v/>
      </c>
      <c r="T676" s="140" t="str">
        <f t="shared" si="73"/>
        <v/>
      </c>
      <c r="U676" s="141" t="str">
        <f t="shared" si="74"/>
        <v/>
      </c>
      <c r="V676" s="141" t="str">
        <f t="shared" si="75"/>
        <v/>
      </c>
      <c r="W676" s="142"/>
      <c r="X676" s="186" t="str">
        <f t="shared" si="76"/>
        <v/>
      </c>
    </row>
    <row r="677" spans="1:24" s="147" customFormat="1">
      <c r="A677" s="171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38"/>
      <c r="Q677" s="255" t="str">
        <f t="shared" si="77"/>
        <v/>
      </c>
      <c r="R677" s="139" t="str">
        <f t="shared" si="78"/>
        <v/>
      </c>
      <c r="S677" s="128" t="str">
        <f t="shared" si="72"/>
        <v/>
      </c>
      <c r="T677" s="140" t="str">
        <f t="shared" si="73"/>
        <v/>
      </c>
      <c r="U677" s="141" t="str">
        <f t="shared" si="74"/>
        <v/>
      </c>
      <c r="V677" s="141" t="str">
        <f t="shared" si="75"/>
        <v/>
      </c>
      <c r="W677" s="142"/>
      <c r="X677" s="186" t="str">
        <f t="shared" si="76"/>
        <v/>
      </c>
    </row>
    <row r="678" spans="1:24" s="147" customFormat="1">
      <c r="A678" s="170"/>
      <c r="B678" s="145"/>
      <c r="C678" s="145"/>
      <c r="D678" s="149"/>
      <c r="E678" s="150"/>
      <c r="F678" s="145"/>
      <c r="G678" s="145"/>
      <c r="H678" s="145"/>
      <c r="I678" s="145"/>
      <c r="J678" s="145"/>
      <c r="K678" s="145"/>
      <c r="L678" s="145"/>
      <c r="M678" s="145"/>
      <c r="N678" s="149"/>
      <c r="O678" s="145"/>
      <c r="P678" s="138"/>
      <c r="Q678" s="255" t="str">
        <f t="shared" si="77"/>
        <v/>
      </c>
      <c r="R678" s="139" t="str">
        <f t="shared" si="78"/>
        <v/>
      </c>
      <c r="S678" s="128" t="str">
        <f t="shared" si="72"/>
        <v/>
      </c>
      <c r="T678" s="140" t="str">
        <f t="shared" si="73"/>
        <v/>
      </c>
      <c r="U678" s="141" t="str">
        <f t="shared" si="74"/>
        <v/>
      </c>
      <c r="V678" s="141" t="str">
        <f t="shared" si="75"/>
        <v/>
      </c>
      <c r="W678" s="142"/>
      <c r="X678" s="186" t="str">
        <f t="shared" si="76"/>
        <v/>
      </c>
    </row>
    <row r="679" spans="1:24" s="147" customFormat="1">
      <c r="A679" s="170"/>
      <c r="B679" s="145"/>
      <c r="C679" s="145"/>
      <c r="D679" s="149"/>
      <c r="E679" s="150"/>
      <c r="F679" s="145"/>
      <c r="G679" s="145"/>
      <c r="H679" s="145"/>
      <c r="I679" s="145"/>
      <c r="J679" s="145"/>
      <c r="K679" s="145"/>
      <c r="L679" s="145"/>
      <c r="M679" s="145"/>
      <c r="N679" s="149"/>
      <c r="O679" s="145"/>
      <c r="P679" s="138"/>
      <c r="Q679" s="255" t="str">
        <f t="shared" si="77"/>
        <v/>
      </c>
      <c r="R679" s="139" t="str">
        <f t="shared" si="78"/>
        <v/>
      </c>
      <c r="S679" s="128" t="str">
        <f t="shared" si="72"/>
        <v/>
      </c>
      <c r="T679" s="140" t="str">
        <f t="shared" si="73"/>
        <v/>
      </c>
      <c r="U679" s="141" t="str">
        <f t="shared" si="74"/>
        <v/>
      </c>
      <c r="V679" s="141" t="str">
        <f t="shared" si="75"/>
        <v/>
      </c>
      <c r="W679" s="142"/>
      <c r="X679" s="186" t="str">
        <f t="shared" si="76"/>
        <v/>
      </c>
    </row>
    <row r="680" spans="1:24" s="147" customFormat="1">
      <c r="A680" s="170"/>
      <c r="B680" s="145"/>
      <c r="C680" s="145"/>
      <c r="D680" s="146"/>
      <c r="E680" s="145"/>
      <c r="F680" s="145"/>
      <c r="G680" s="145"/>
      <c r="H680" s="145"/>
      <c r="I680" s="145"/>
      <c r="J680" s="145"/>
      <c r="K680" s="145"/>
      <c r="L680" s="145"/>
      <c r="M680" s="145"/>
      <c r="N680" s="146"/>
      <c r="O680" s="145"/>
      <c r="P680" s="138"/>
      <c r="Q680" s="255" t="str">
        <f t="shared" si="77"/>
        <v/>
      </c>
      <c r="R680" s="139" t="str">
        <f t="shared" si="78"/>
        <v/>
      </c>
      <c r="S680" s="128" t="str">
        <f t="shared" si="72"/>
        <v/>
      </c>
      <c r="T680" s="140" t="str">
        <f t="shared" si="73"/>
        <v/>
      </c>
      <c r="U680" s="141" t="str">
        <f t="shared" si="74"/>
        <v/>
      </c>
      <c r="V680" s="141" t="str">
        <f t="shared" si="75"/>
        <v/>
      </c>
      <c r="W680" s="142"/>
      <c r="X680" s="186" t="str">
        <f t="shared" si="76"/>
        <v/>
      </c>
    </row>
    <row r="681" spans="1:24" s="147" customFormat="1">
      <c r="A681" s="172"/>
      <c r="B681" s="151"/>
      <c r="C681" s="151"/>
      <c r="D681" s="151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38"/>
      <c r="Q681" s="255" t="str">
        <f t="shared" si="77"/>
        <v/>
      </c>
      <c r="R681" s="139" t="str">
        <f t="shared" si="78"/>
        <v/>
      </c>
      <c r="S681" s="128" t="str">
        <f t="shared" si="72"/>
        <v/>
      </c>
      <c r="T681" s="140" t="str">
        <f t="shared" si="73"/>
        <v/>
      </c>
      <c r="U681" s="141" t="str">
        <f t="shared" si="74"/>
        <v/>
      </c>
      <c r="V681" s="141" t="str">
        <f t="shared" si="75"/>
        <v/>
      </c>
      <c r="W681" s="142"/>
      <c r="X681" s="186" t="str">
        <f t="shared" si="76"/>
        <v/>
      </c>
    </row>
    <row r="682" spans="1:24" s="147" customFormat="1">
      <c r="A682" s="170"/>
      <c r="B682" s="145"/>
      <c r="C682" s="145"/>
      <c r="D682" s="149"/>
      <c r="E682" s="150"/>
      <c r="F682" s="145"/>
      <c r="G682" s="145"/>
      <c r="H682" s="145"/>
      <c r="I682" s="145"/>
      <c r="J682" s="145"/>
      <c r="K682" s="145"/>
      <c r="L682" s="145"/>
      <c r="M682" s="145"/>
      <c r="N682" s="149"/>
      <c r="O682" s="145"/>
      <c r="P682" s="138"/>
      <c r="Q682" s="255" t="str">
        <f t="shared" si="77"/>
        <v/>
      </c>
      <c r="R682" s="139" t="str">
        <f t="shared" si="78"/>
        <v/>
      </c>
      <c r="S682" s="128" t="str">
        <f t="shared" si="72"/>
        <v/>
      </c>
      <c r="T682" s="140" t="str">
        <f t="shared" si="73"/>
        <v/>
      </c>
      <c r="U682" s="141" t="str">
        <f t="shared" si="74"/>
        <v/>
      </c>
      <c r="V682" s="141" t="str">
        <f t="shared" si="75"/>
        <v/>
      </c>
      <c r="W682" s="142"/>
      <c r="X682" s="186" t="str">
        <f t="shared" si="76"/>
        <v/>
      </c>
    </row>
    <row r="683" spans="1:24" s="147" customFormat="1">
      <c r="A683" s="170"/>
      <c r="B683" s="145"/>
      <c r="C683" s="145"/>
      <c r="D683" s="146"/>
      <c r="E683" s="150"/>
      <c r="F683" s="145"/>
      <c r="G683" s="145"/>
      <c r="H683" s="145"/>
      <c r="I683" s="145"/>
      <c r="J683" s="145"/>
      <c r="K683" s="145"/>
      <c r="L683" s="145"/>
      <c r="M683" s="145"/>
      <c r="N683" s="146"/>
      <c r="O683" s="145"/>
      <c r="P683" s="138"/>
      <c r="Q683" s="255" t="str">
        <f t="shared" si="77"/>
        <v/>
      </c>
      <c r="R683" s="139" t="str">
        <f t="shared" si="78"/>
        <v/>
      </c>
      <c r="S683" s="128" t="str">
        <f t="shared" si="72"/>
        <v/>
      </c>
      <c r="T683" s="140" t="str">
        <f t="shared" si="73"/>
        <v/>
      </c>
      <c r="U683" s="141" t="str">
        <f t="shared" si="74"/>
        <v/>
      </c>
      <c r="V683" s="141" t="str">
        <f t="shared" si="75"/>
        <v/>
      </c>
      <c r="W683" s="142"/>
      <c r="X683" s="186" t="str">
        <f t="shared" si="76"/>
        <v/>
      </c>
    </row>
    <row r="684" spans="1:24" s="147" customFormat="1">
      <c r="A684" s="172"/>
      <c r="B684" s="151"/>
      <c r="C684" s="151"/>
      <c r="D684" s="151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38"/>
      <c r="Q684" s="255" t="str">
        <f t="shared" si="77"/>
        <v/>
      </c>
      <c r="R684" s="139" t="str">
        <f t="shared" si="78"/>
        <v/>
      </c>
      <c r="S684" s="128" t="str">
        <f t="shared" si="72"/>
        <v/>
      </c>
      <c r="T684" s="140" t="str">
        <f t="shared" si="73"/>
        <v/>
      </c>
      <c r="U684" s="141" t="str">
        <f t="shared" si="74"/>
        <v/>
      </c>
      <c r="V684" s="141" t="str">
        <f t="shared" si="75"/>
        <v/>
      </c>
      <c r="W684" s="142"/>
      <c r="X684" s="186" t="str">
        <f t="shared" si="76"/>
        <v/>
      </c>
    </row>
    <row r="685" spans="1:24" s="147" customFormat="1">
      <c r="A685" s="170"/>
      <c r="B685" s="145"/>
      <c r="C685" s="145"/>
      <c r="D685" s="149"/>
      <c r="E685" s="150"/>
      <c r="F685" s="145"/>
      <c r="G685" s="145"/>
      <c r="H685" s="145"/>
      <c r="I685" s="145"/>
      <c r="J685" s="145"/>
      <c r="K685" s="145"/>
      <c r="L685" s="145"/>
      <c r="M685" s="145"/>
      <c r="N685" s="149"/>
      <c r="O685" s="145"/>
      <c r="P685" s="138"/>
      <c r="Q685" s="255" t="str">
        <f t="shared" si="77"/>
        <v/>
      </c>
      <c r="R685" s="139" t="str">
        <f t="shared" si="78"/>
        <v/>
      </c>
      <c r="S685" s="128" t="str">
        <f t="shared" si="72"/>
        <v/>
      </c>
      <c r="T685" s="140" t="str">
        <f t="shared" si="73"/>
        <v/>
      </c>
      <c r="U685" s="141" t="str">
        <f t="shared" si="74"/>
        <v/>
      </c>
      <c r="V685" s="141" t="str">
        <f t="shared" si="75"/>
        <v/>
      </c>
      <c r="W685" s="142"/>
      <c r="X685" s="186" t="str">
        <f t="shared" si="76"/>
        <v/>
      </c>
    </row>
    <row r="686" spans="1:24" s="147" customFormat="1">
      <c r="A686" s="170"/>
      <c r="B686" s="145"/>
      <c r="C686" s="145"/>
      <c r="D686" s="149"/>
      <c r="E686" s="150"/>
      <c r="F686" s="145"/>
      <c r="G686" s="145"/>
      <c r="H686" s="145"/>
      <c r="I686" s="145"/>
      <c r="J686" s="145"/>
      <c r="K686" s="145"/>
      <c r="L686" s="145"/>
      <c r="M686" s="145"/>
      <c r="N686" s="149"/>
      <c r="O686" s="145"/>
      <c r="P686" s="138"/>
      <c r="Q686" s="255" t="str">
        <f t="shared" si="77"/>
        <v/>
      </c>
      <c r="R686" s="139" t="str">
        <f t="shared" si="78"/>
        <v/>
      </c>
      <c r="S686" s="128" t="str">
        <f t="shared" si="72"/>
        <v/>
      </c>
      <c r="T686" s="140" t="str">
        <f t="shared" si="73"/>
        <v/>
      </c>
      <c r="U686" s="141" t="str">
        <f t="shared" si="74"/>
        <v/>
      </c>
      <c r="V686" s="141" t="str">
        <f t="shared" si="75"/>
        <v/>
      </c>
      <c r="W686" s="142"/>
      <c r="X686" s="186" t="str">
        <f t="shared" si="76"/>
        <v/>
      </c>
    </row>
    <row r="687" spans="1:24" s="147" customFormat="1">
      <c r="A687" s="170"/>
      <c r="B687" s="145"/>
      <c r="C687" s="145"/>
      <c r="D687" s="146"/>
      <c r="E687" s="145"/>
      <c r="F687" s="145"/>
      <c r="G687" s="145"/>
      <c r="H687" s="145"/>
      <c r="I687" s="145"/>
      <c r="J687" s="145"/>
      <c r="K687" s="145"/>
      <c r="L687" s="145"/>
      <c r="M687" s="145"/>
      <c r="N687" s="146"/>
      <c r="O687" s="145"/>
      <c r="P687" s="138"/>
      <c r="Q687" s="255" t="str">
        <f t="shared" si="77"/>
        <v/>
      </c>
      <c r="R687" s="139" t="str">
        <f t="shared" si="78"/>
        <v/>
      </c>
      <c r="S687" s="128" t="str">
        <f t="shared" si="72"/>
        <v/>
      </c>
      <c r="T687" s="140" t="str">
        <f t="shared" si="73"/>
        <v/>
      </c>
      <c r="U687" s="141" t="str">
        <f t="shared" si="74"/>
        <v/>
      </c>
      <c r="V687" s="141" t="str">
        <f t="shared" si="75"/>
        <v/>
      </c>
      <c r="W687" s="142"/>
      <c r="X687" s="186" t="str">
        <f t="shared" si="76"/>
        <v/>
      </c>
    </row>
    <row r="688" spans="1:24" s="147" customFormat="1">
      <c r="A688" s="172"/>
      <c r="B688" s="151"/>
      <c r="C688" s="151"/>
      <c r="D688" s="151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38"/>
      <c r="Q688" s="255" t="str">
        <f t="shared" si="77"/>
        <v/>
      </c>
      <c r="R688" s="139" t="str">
        <f t="shared" si="78"/>
        <v/>
      </c>
      <c r="S688" s="128" t="str">
        <f t="shared" si="72"/>
        <v/>
      </c>
      <c r="T688" s="140" t="str">
        <f t="shared" si="73"/>
        <v/>
      </c>
      <c r="U688" s="141" t="str">
        <f t="shared" si="74"/>
        <v/>
      </c>
      <c r="V688" s="141" t="str">
        <f t="shared" si="75"/>
        <v/>
      </c>
      <c r="W688" s="142"/>
      <c r="X688" s="186" t="str">
        <f t="shared" si="76"/>
        <v/>
      </c>
    </row>
    <row r="689" spans="1:24" s="147" customFormat="1">
      <c r="A689" s="170"/>
      <c r="B689" s="145"/>
      <c r="C689" s="145"/>
      <c r="D689" s="146"/>
      <c r="E689" s="145"/>
      <c r="F689" s="145"/>
      <c r="G689" s="145"/>
      <c r="H689" s="145"/>
      <c r="I689" s="145"/>
      <c r="J689" s="145"/>
      <c r="K689" s="145"/>
      <c r="L689" s="145"/>
      <c r="M689" s="145"/>
      <c r="N689" s="146"/>
      <c r="O689" s="145"/>
      <c r="P689" s="138"/>
      <c r="Q689" s="255" t="str">
        <f t="shared" si="77"/>
        <v/>
      </c>
      <c r="R689" s="139" t="str">
        <f t="shared" si="78"/>
        <v/>
      </c>
      <c r="S689" s="128" t="str">
        <f t="shared" si="72"/>
        <v/>
      </c>
      <c r="T689" s="140" t="str">
        <f t="shared" si="73"/>
        <v/>
      </c>
      <c r="U689" s="141" t="str">
        <f t="shared" si="74"/>
        <v/>
      </c>
      <c r="V689" s="141" t="str">
        <f t="shared" si="75"/>
        <v/>
      </c>
      <c r="W689" s="142"/>
      <c r="X689" s="186" t="str">
        <f t="shared" si="76"/>
        <v/>
      </c>
    </row>
    <row r="690" spans="1:24" s="147" customFormat="1">
      <c r="A690" s="172"/>
      <c r="B690" s="151"/>
      <c r="C690" s="151"/>
      <c r="D690" s="151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38"/>
      <c r="Q690" s="255" t="str">
        <f t="shared" si="77"/>
        <v/>
      </c>
      <c r="R690" s="139" t="str">
        <f t="shared" si="78"/>
        <v/>
      </c>
      <c r="S690" s="128" t="str">
        <f t="shared" si="72"/>
        <v/>
      </c>
      <c r="T690" s="140" t="str">
        <f t="shared" si="73"/>
        <v/>
      </c>
      <c r="U690" s="141" t="str">
        <f t="shared" si="74"/>
        <v/>
      </c>
      <c r="V690" s="141" t="str">
        <f t="shared" si="75"/>
        <v/>
      </c>
      <c r="W690" s="142"/>
      <c r="X690" s="186" t="str">
        <f t="shared" si="76"/>
        <v/>
      </c>
    </row>
    <row r="691" spans="1:24" s="147" customFormat="1">
      <c r="A691" s="170"/>
      <c r="B691" s="145"/>
      <c r="C691" s="145"/>
      <c r="D691" s="146"/>
      <c r="E691" s="145"/>
      <c r="F691" s="145"/>
      <c r="G691" s="145"/>
      <c r="H691" s="145"/>
      <c r="I691" s="145"/>
      <c r="J691" s="145"/>
      <c r="K691" s="145"/>
      <c r="L691" s="145"/>
      <c r="M691" s="145"/>
      <c r="N691" s="146"/>
      <c r="O691" s="145"/>
      <c r="P691" s="138"/>
      <c r="Q691" s="255" t="str">
        <f t="shared" si="77"/>
        <v/>
      </c>
      <c r="R691" s="139" t="str">
        <f t="shared" si="78"/>
        <v/>
      </c>
      <c r="S691" s="128" t="str">
        <f t="shared" si="72"/>
        <v/>
      </c>
      <c r="T691" s="140" t="str">
        <f t="shared" si="73"/>
        <v/>
      </c>
      <c r="U691" s="141" t="str">
        <f t="shared" si="74"/>
        <v/>
      </c>
      <c r="V691" s="141" t="str">
        <f t="shared" si="75"/>
        <v/>
      </c>
      <c r="W691" s="142"/>
      <c r="X691" s="186" t="str">
        <f t="shared" si="76"/>
        <v/>
      </c>
    </row>
    <row r="692" spans="1:24" s="147" customFormat="1">
      <c r="A692" s="172"/>
      <c r="B692" s="151"/>
      <c r="C692" s="151"/>
      <c r="D692" s="151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38"/>
      <c r="Q692" s="255" t="str">
        <f t="shared" si="77"/>
        <v/>
      </c>
      <c r="R692" s="139" t="str">
        <f t="shared" si="78"/>
        <v/>
      </c>
      <c r="S692" s="128" t="str">
        <f t="shared" si="72"/>
        <v/>
      </c>
      <c r="T692" s="140" t="str">
        <f t="shared" si="73"/>
        <v/>
      </c>
      <c r="U692" s="141" t="str">
        <f t="shared" si="74"/>
        <v/>
      </c>
      <c r="V692" s="141" t="str">
        <f t="shared" si="75"/>
        <v/>
      </c>
      <c r="W692" s="142"/>
      <c r="X692" s="186" t="str">
        <f t="shared" si="76"/>
        <v/>
      </c>
    </row>
    <row r="693" spans="1:24" s="147" customFormat="1">
      <c r="A693" s="170"/>
      <c r="B693" s="145"/>
      <c r="C693" s="145"/>
      <c r="D693" s="146"/>
      <c r="E693" s="145"/>
      <c r="F693" s="145"/>
      <c r="G693" s="145"/>
      <c r="H693" s="145"/>
      <c r="I693" s="145"/>
      <c r="J693" s="145"/>
      <c r="K693" s="145"/>
      <c r="L693" s="145"/>
      <c r="M693" s="145"/>
      <c r="N693" s="146"/>
      <c r="O693" s="145"/>
      <c r="P693" s="138"/>
      <c r="Q693" s="255" t="str">
        <f t="shared" si="77"/>
        <v/>
      </c>
      <c r="R693" s="139" t="str">
        <f t="shared" si="78"/>
        <v/>
      </c>
      <c r="S693" s="128" t="str">
        <f t="shared" si="72"/>
        <v/>
      </c>
      <c r="T693" s="140" t="str">
        <f t="shared" si="73"/>
        <v/>
      </c>
      <c r="U693" s="141" t="str">
        <f t="shared" si="74"/>
        <v/>
      </c>
      <c r="V693" s="141" t="str">
        <f t="shared" si="75"/>
        <v/>
      </c>
      <c r="W693" s="142"/>
      <c r="X693" s="186" t="str">
        <f t="shared" si="76"/>
        <v/>
      </c>
    </row>
    <row r="694" spans="1:24" s="147" customFormat="1">
      <c r="A694" s="172"/>
      <c r="B694" s="151"/>
      <c r="C694" s="151"/>
      <c r="D694" s="151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38"/>
      <c r="Q694" s="255" t="str">
        <f t="shared" si="77"/>
        <v/>
      </c>
      <c r="R694" s="139" t="str">
        <f t="shared" si="78"/>
        <v/>
      </c>
      <c r="S694" s="128" t="str">
        <f t="shared" si="72"/>
        <v/>
      </c>
      <c r="T694" s="140" t="str">
        <f t="shared" si="73"/>
        <v/>
      </c>
      <c r="U694" s="141" t="str">
        <f t="shared" si="74"/>
        <v/>
      </c>
      <c r="V694" s="141" t="str">
        <f t="shared" si="75"/>
        <v/>
      </c>
      <c r="W694" s="142"/>
      <c r="X694" s="186" t="str">
        <f t="shared" si="76"/>
        <v/>
      </c>
    </row>
    <row r="695" spans="1:24" s="147" customFormat="1">
      <c r="A695" s="170"/>
      <c r="B695" s="145"/>
      <c r="C695" s="145"/>
      <c r="D695" s="146"/>
      <c r="E695" s="145"/>
      <c r="F695" s="145"/>
      <c r="G695" s="145"/>
      <c r="H695" s="145"/>
      <c r="I695" s="145"/>
      <c r="J695" s="145"/>
      <c r="K695" s="145"/>
      <c r="L695" s="145"/>
      <c r="M695" s="145"/>
      <c r="N695" s="146"/>
      <c r="O695" s="145"/>
      <c r="P695" s="138"/>
      <c r="Q695" s="255" t="str">
        <f t="shared" si="77"/>
        <v/>
      </c>
      <c r="R695" s="139" t="str">
        <f t="shared" si="78"/>
        <v/>
      </c>
      <c r="S695" s="128" t="str">
        <f t="shared" si="72"/>
        <v/>
      </c>
      <c r="T695" s="140" t="str">
        <f t="shared" si="73"/>
        <v/>
      </c>
      <c r="U695" s="141" t="str">
        <f t="shared" si="74"/>
        <v/>
      </c>
      <c r="V695" s="141" t="str">
        <f t="shared" si="75"/>
        <v/>
      </c>
      <c r="W695" s="142"/>
      <c r="X695" s="186" t="str">
        <f t="shared" si="76"/>
        <v/>
      </c>
    </row>
    <row r="696" spans="1:24" s="147" customFormat="1">
      <c r="A696" s="172"/>
      <c r="B696" s="151"/>
      <c r="C696" s="151"/>
      <c r="D696" s="151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38"/>
      <c r="Q696" s="255" t="str">
        <f t="shared" si="77"/>
        <v/>
      </c>
      <c r="R696" s="139" t="str">
        <f t="shared" si="78"/>
        <v/>
      </c>
      <c r="S696" s="128" t="str">
        <f t="shared" si="72"/>
        <v/>
      </c>
      <c r="T696" s="140" t="str">
        <f t="shared" si="73"/>
        <v/>
      </c>
      <c r="U696" s="141" t="str">
        <f t="shared" si="74"/>
        <v/>
      </c>
      <c r="V696" s="141" t="str">
        <f t="shared" si="75"/>
        <v/>
      </c>
      <c r="W696" s="142"/>
      <c r="X696" s="186" t="str">
        <f t="shared" si="76"/>
        <v/>
      </c>
    </row>
    <row r="697" spans="1:24" s="147" customFormat="1">
      <c r="A697" s="170"/>
      <c r="B697" s="145"/>
      <c r="C697" s="145"/>
      <c r="D697" s="146"/>
      <c r="E697" s="145"/>
      <c r="F697" s="145"/>
      <c r="G697" s="145"/>
      <c r="H697" s="145"/>
      <c r="I697" s="145"/>
      <c r="J697" s="145"/>
      <c r="K697" s="145"/>
      <c r="L697" s="145"/>
      <c r="M697" s="145"/>
      <c r="N697" s="146"/>
      <c r="O697" s="145"/>
      <c r="P697" s="138"/>
      <c r="Q697" s="255" t="str">
        <f t="shared" si="77"/>
        <v/>
      </c>
      <c r="R697" s="139" t="str">
        <f t="shared" si="78"/>
        <v/>
      </c>
      <c r="S697" s="128" t="str">
        <f t="shared" si="72"/>
        <v/>
      </c>
      <c r="T697" s="140" t="str">
        <f t="shared" si="73"/>
        <v/>
      </c>
      <c r="U697" s="141" t="str">
        <f t="shared" si="74"/>
        <v/>
      </c>
      <c r="V697" s="141" t="str">
        <f t="shared" si="75"/>
        <v/>
      </c>
      <c r="W697" s="142"/>
      <c r="X697" s="186" t="str">
        <f t="shared" si="76"/>
        <v/>
      </c>
    </row>
    <row r="698" spans="1:24" s="147" customFormat="1">
      <c r="A698" s="172"/>
      <c r="B698" s="151"/>
      <c r="C698" s="151"/>
      <c r="D698" s="151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38"/>
      <c r="Q698" s="255" t="str">
        <f t="shared" si="77"/>
        <v/>
      </c>
      <c r="R698" s="139" t="str">
        <f t="shared" si="78"/>
        <v/>
      </c>
      <c r="S698" s="128" t="str">
        <f t="shared" si="72"/>
        <v/>
      </c>
      <c r="T698" s="140" t="str">
        <f t="shared" si="73"/>
        <v/>
      </c>
      <c r="U698" s="141" t="str">
        <f t="shared" si="74"/>
        <v/>
      </c>
      <c r="V698" s="141" t="str">
        <f t="shared" si="75"/>
        <v/>
      </c>
      <c r="W698" s="142"/>
      <c r="X698" s="186" t="str">
        <f t="shared" si="76"/>
        <v/>
      </c>
    </row>
    <row r="699" spans="1:24" s="147" customFormat="1">
      <c r="A699" s="170"/>
      <c r="B699" s="145"/>
      <c r="C699" s="145"/>
      <c r="D699" s="146"/>
      <c r="E699" s="145"/>
      <c r="F699" s="145"/>
      <c r="G699" s="145"/>
      <c r="H699" s="145"/>
      <c r="I699" s="145"/>
      <c r="J699" s="145"/>
      <c r="K699" s="145"/>
      <c r="L699" s="145"/>
      <c r="M699" s="145"/>
      <c r="N699" s="146"/>
      <c r="O699" s="145"/>
      <c r="P699" s="138"/>
      <c r="Q699" s="255" t="str">
        <f t="shared" si="77"/>
        <v/>
      </c>
      <c r="R699" s="139" t="str">
        <f t="shared" si="78"/>
        <v/>
      </c>
      <c r="S699" s="128" t="str">
        <f t="shared" si="72"/>
        <v/>
      </c>
      <c r="T699" s="140" t="str">
        <f t="shared" si="73"/>
        <v/>
      </c>
      <c r="U699" s="141" t="str">
        <f t="shared" si="74"/>
        <v/>
      </c>
      <c r="V699" s="141" t="str">
        <f t="shared" si="75"/>
        <v/>
      </c>
      <c r="W699" s="142"/>
      <c r="X699" s="186" t="str">
        <f t="shared" si="76"/>
        <v/>
      </c>
    </row>
    <row r="700" spans="1:24" s="147" customFormat="1">
      <c r="A700" s="172"/>
      <c r="B700" s="151"/>
      <c r="C700" s="151"/>
      <c r="D700" s="151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38"/>
      <c r="Q700" s="255" t="str">
        <f t="shared" si="77"/>
        <v/>
      </c>
      <c r="R700" s="139" t="str">
        <f t="shared" si="78"/>
        <v/>
      </c>
      <c r="S700" s="128" t="str">
        <f t="shared" si="72"/>
        <v/>
      </c>
      <c r="T700" s="140" t="str">
        <f t="shared" si="73"/>
        <v/>
      </c>
      <c r="U700" s="141" t="str">
        <f t="shared" si="74"/>
        <v/>
      </c>
      <c r="V700" s="141" t="str">
        <f t="shared" si="75"/>
        <v/>
      </c>
      <c r="W700" s="142"/>
      <c r="X700" s="186" t="str">
        <f t="shared" si="76"/>
        <v/>
      </c>
    </row>
    <row r="701" spans="1:24" s="147" customFormat="1">
      <c r="A701" s="170"/>
      <c r="B701" s="145"/>
      <c r="C701" s="145"/>
      <c r="D701" s="146"/>
      <c r="E701" s="145"/>
      <c r="F701" s="145"/>
      <c r="G701" s="145"/>
      <c r="H701" s="145"/>
      <c r="I701" s="145"/>
      <c r="J701" s="145"/>
      <c r="K701" s="145"/>
      <c r="L701" s="145"/>
      <c r="M701" s="145"/>
      <c r="N701" s="146"/>
      <c r="O701" s="145"/>
      <c r="P701" s="138"/>
      <c r="Q701" s="255" t="str">
        <f t="shared" si="77"/>
        <v/>
      </c>
      <c r="R701" s="139" t="str">
        <f t="shared" si="78"/>
        <v/>
      </c>
      <c r="S701" s="128" t="str">
        <f t="shared" si="72"/>
        <v/>
      </c>
      <c r="T701" s="140" t="str">
        <f t="shared" si="73"/>
        <v/>
      </c>
      <c r="U701" s="141" t="str">
        <f t="shared" si="74"/>
        <v/>
      </c>
      <c r="V701" s="141" t="str">
        <f t="shared" si="75"/>
        <v/>
      </c>
      <c r="W701" s="142"/>
      <c r="X701" s="186" t="str">
        <f t="shared" si="76"/>
        <v/>
      </c>
    </row>
    <row r="702" spans="1:24" s="147" customFormat="1">
      <c r="A702" s="172"/>
      <c r="B702" s="151"/>
      <c r="C702" s="151"/>
      <c r="D702" s="151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38"/>
      <c r="Q702" s="255" t="str">
        <f t="shared" si="77"/>
        <v/>
      </c>
      <c r="R702" s="139" t="str">
        <f t="shared" si="78"/>
        <v/>
      </c>
      <c r="S702" s="128" t="str">
        <f t="shared" si="72"/>
        <v/>
      </c>
      <c r="T702" s="140" t="str">
        <f t="shared" si="73"/>
        <v/>
      </c>
      <c r="U702" s="141" t="str">
        <f t="shared" si="74"/>
        <v/>
      </c>
      <c r="V702" s="141" t="str">
        <f t="shared" si="75"/>
        <v/>
      </c>
      <c r="W702" s="142"/>
      <c r="X702" s="186" t="str">
        <f t="shared" si="76"/>
        <v/>
      </c>
    </row>
    <row r="703" spans="1:24" s="147" customFormat="1">
      <c r="A703" s="170"/>
      <c r="B703" s="145"/>
      <c r="C703" s="145"/>
      <c r="D703" s="146"/>
      <c r="E703" s="145"/>
      <c r="F703" s="145"/>
      <c r="G703" s="145"/>
      <c r="H703" s="145"/>
      <c r="I703" s="145"/>
      <c r="J703" s="145"/>
      <c r="K703" s="145"/>
      <c r="L703" s="145"/>
      <c r="M703" s="145"/>
      <c r="N703" s="146"/>
      <c r="O703" s="145"/>
      <c r="P703" s="138"/>
      <c r="Q703" s="255" t="str">
        <f t="shared" si="77"/>
        <v/>
      </c>
      <c r="R703" s="139" t="str">
        <f t="shared" si="78"/>
        <v/>
      </c>
      <c r="S703" s="128" t="str">
        <f t="shared" si="72"/>
        <v/>
      </c>
      <c r="T703" s="140" t="str">
        <f t="shared" si="73"/>
        <v/>
      </c>
      <c r="U703" s="141" t="str">
        <f t="shared" si="74"/>
        <v/>
      </c>
      <c r="V703" s="141" t="str">
        <f t="shared" si="75"/>
        <v/>
      </c>
      <c r="W703" s="142"/>
      <c r="X703" s="186" t="str">
        <f t="shared" si="76"/>
        <v/>
      </c>
    </row>
    <row r="704" spans="1:24" s="147" customFormat="1">
      <c r="A704" s="172"/>
      <c r="B704" s="151"/>
      <c r="C704" s="151"/>
      <c r="D704" s="151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38"/>
      <c r="Q704" s="255" t="str">
        <f t="shared" si="77"/>
        <v/>
      </c>
      <c r="R704" s="139" t="str">
        <f t="shared" si="78"/>
        <v/>
      </c>
      <c r="S704" s="128" t="str">
        <f t="shared" si="72"/>
        <v/>
      </c>
      <c r="T704" s="140" t="str">
        <f t="shared" si="73"/>
        <v/>
      </c>
      <c r="U704" s="141" t="str">
        <f t="shared" si="74"/>
        <v/>
      </c>
      <c r="V704" s="141" t="str">
        <f t="shared" si="75"/>
        <v/>
      </c>
      <c r="W704" s="142"/>
      <c r="X704" s="186" t="str">
        <f t="shared" si="76"/>
        <v/>
      </c>
    </row>
    <row r="705" spans="1:24" s="147" customFormat="1">
      <c r="A705" s="170"/>
      <c r="B705" s="145"/>
      <c r="C705" s="145"/>
      <c r="D705" s="146"/>
      <c r="E705" s="145"/>
      <c r="F705" s="145"/>
      <c r="G705" s="145"/>
      <c r="H705" s="145"/>
      <c r="I705" s="145"/>
      <c r="J705" s="145"/>
      <c r="K705" s="145"/>
      <c r="L705" s="145"/>
      <c r="M705" s="145"/>
      <c r="N705" s="146"/>
      <c r="O705" s="145"/>
      <c r="P705" s="138"/>
      <c r="Q705" s="255" t="str">
        <f t="shared" si="77"/>
        <v/>
      </c>
      <c r="R705" s="139" t="str">
        <f t="shared" si="78"/>
        <v/>
      </c>
      <c r="S705" s="128" t="str">
        <f t="shared" si="72"/>
        <v/>
      </c>
      <c r="T705" s="140" t="str">
        <f t="shared" si="73"/>
        <v/>
      </c>
      <c r="U705" s="141" t="str">
        <f t="shared" si="74"/>
        <v/>
      </c>
      <c r="V705" s="141" t="str">
        <f t="shared" si="75"/>
        <v/>
      </c>
      <c r="W705" s="142"/>
      <c r="X705" s="186" t="str">
        <f t="shared" si="76"/>
        <v/>
      </c>
    </row>
    <row r="706" spans="1:24" s="147" customFormat="1">
      <c r="A706" s="172"/>
      <c r="B706" s="151"/>
      <c r="C706" s="151"/>
      <c r="D706" s="151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38"/>
      <c r="Q706" s="255" t="str">
        <f t="shared" si="77"/>
        <v/>
      </c>
      <c r="R706" s="139" t="str">
        <f t="shared" si="78"/>
        <v/>
      </c>
      <c r="S706" s="128" t="str">
        <f t="shared" si="72"/>
        <v/>
      </c>
      <c r="T706" s="140" t="str">
        <f t="shared" si="73"/>
        <v/>
      </c>
      <c r="U706" s="141" t="str">
        <f t="shared" si="74"/>
        <v/>
      </c>
      <c r="V706" s="141" t="str">
        <f t="shared" si="75"/>
        <v/>
      </c>
      <c r="W706" s="142"/>
      <c r="X706" s="186" t="str">
        <f t="shared" si="76"/>
        <v/>
      </c>
    </row>
    <row r="707" spans="1:24" s="147" customFormat="1">
      <c r="A707" s="170"/>
      <c r="B707" s="145"/>
      <c r="C707" s="145"/>
      <c r="D707" s="146"/>
      <c r="E707" s="145"/>
      <c r="F707" s="145"/>
      <c r="G707" s="145"/>
      <c r="H707" s="145"/>
      <c r="I707" s="145"/>
      <c r="J707" s="145"/>
      <c r="K707" s="145"/>
      <c r="L707" s="145"/>
      <c r="M707" s="145"/>
      <c r="N707" s="146"/>
      <c r="O707" s="145"/>
      <c r="P707" s="138"/>
      <c r="Q707" s="255" t="str">
        <f t="shared" si="77"/>
        <v/>
      </c>
      <c r="R707" s="139" t="str">
        <f t="shared" si="78"/>
        <v/>
      </c>
      <c r="S707" s="128" t="str">
        <f t="shared" si="72"/>
        <v/>
      </c>
      <c r="T707" s="140" t="str">
        <f t="shared" si="73"/>
        <v/>
      </c>
      <c r="U707" s="141" t="str">
        <f t="shared" si="74"/>
        <v/>
      </c>
      <c r="V707" s="141" t="str">
        <f t="shared" si="75"/>
        <v/>
      </c>
      <c r="W707" s="142"/>
      <c r="X707" s="186" t="str">
        <f t="shared" si="76"/>
        <v/>
      </c>
    </row>
    <row r="708" spans="1:24" s="147" customFormat="1">
      <c r="A708" s="172"/>
      <c r="B708" s="151"/>
      <c r="C708" s="151"/>
      <c r="D708" s="151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38"/>
      <c r="Q708" s="255" t="str">
        <f t="shared" si="77"/>
        <v/>
      </c>
      <c r="R708" s="139" t="str">
        <f t="shared" si="78"/>
        <v/>
      </c>
      <c r="S708" s="128" t="str">
        <f t="shared" si="72"/>
        <v/>
      </c>
      <c r="T708" s="140" t="str">
        <f t="shared" si="73"/>
        <v/>
      </c>
      <c r="U708" s="141" t="str">
        <f t="shared" si="74"/>
        <v/>
      </c>
      <c r="V708" s="141" t="str">
        <f t="shared" si="75"/>
        <v/>
      </c>
      <c r="W708" s="142"/>
      <c r="X708" s="186" t="str">
        <f t="shared" si="76"/>
        <v/>
      </c>
    </row>
    <row r="709" spans="1:24" s="147" customFormat="1">
      <c r="A709" s="170"/>
      <c r="B709" s="145"/>
      <c r="C709" s="145"/>
      <c r="D709" s="146"/>
      <c r="E709" s="145"/>
      <c r="F709" s="145"/>
      <c r="G709" s="145"/>
      <c r="H709" s="145"/>
      <c r="I709" s="145"/>
      <c r="J709" s="145"/>
      <c r="K709" s="145"/>
      <c r="L709" s="145"/>
      <c r="M709" s="145"/>
      <c r="N709" s="146"/>
      <c r="O709" s="145"/>
      <c r="P709" s="138"/>
      <c r="Q709" s="255" t="str">
        <f t="shared" si="77"/>
        <v/>
      </c>
      <c r="R709" s="139" t="str">
        <f t="shared" si="78"/>
        <v/>
      </c>
      <c r="S709" s="128" t="str">
        <f t="shared" si="72"/>
        <v/>
      </c>
      <c r="T709" s="140" t="str">
        <f t="shared" si="73"/>
        <v/>
      </c>
      <c r="U709" s="141" t="str">
        <f t="shared" si="74"/>
        <v/>
      </c>
      <c r="V709" s="141" t="str">
        <f t="shared" si="75"/>
        <v/>
      </c>
      <c r="W709" s="142"/>
      <c r="X709" s="186" t="str">
        <f t="shared" si="76"/>
        <v/>
      </c>
    </row>
    <row r="710" spans="1:24" s="147" customFormat="1">
      <c r="A710" s="172"/>
      <c r="B710" s="151"/>
      <c r="C710" s="151"/>
      <c r="D710" s="151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38"/>
      <c r="Q710" s="255" t="str">
        <f t="shared" si="77"/>
        <v/>
      </c>
      <c r="R710" s="139" t="str">
        <f t="shared" si="78"/>
        <v/>
      </c>
      <c r="S710" s="128" t="str">
        <f t="shared" si="72"/>
        <v/>
      </c>
      <c r="T710" s="140" t="str">
        <f t="shared" si="73"/>
        <v/>
      </c>
      <c r="U710" s="141" t="str">
        <f t="shared" si="74"/>
        <v/>
      </c>
      <c r="V710" s="141" t="str">
        <f t="shared" si="75"/>
        <v/>
      </c>
      <c r="W710" s="142"/>
      <c r="X710" s="186" t="str">
        <f t="shared" si="76"/>
        <v/>
      </c>
    </row>
    <row r="711" spans="1:24" s="147" customFormat="1">
      <c r="A711" s="170"/>
      <c r="B711" s="145"/>
      <c r="C711" s="145"/>
      <c r="D711" s="146"/>
      <c r="E711" s="145"/>
      <c r="F711" s="145"/>
      <c r="G711" s="145"/>
      <c r="H711" s="145"/>
      <c r="I711" s="145"/>
      <c r="J711" s="145"/>
      <c r="K711" s="145"/>
      <c r="L711" s="145"/>
      <c r="M711" s="145"/>
      <c r="N711" s="146"/>
      <c r="O711" s="145"/>
      <c r="P711" s="138"/>
      <c r="Q711" s="255" t="str">
        <f t="shared" si="77"/>
        <v/>
      </c>
      <c r="R711" s="139" t="str">
        <f t="shared" si="78"/>
        <v/>
      </c>
      <c r="S711" s="128" t="str">
        <f t="shared" ref="S711:S774" si="79">IF(D711="","",IF(IFERROR(FIND("資",D711)&gt;0,FALSE),"資券",IF(IFERROR(FIND("券",D711)&gt;0,FALSE),"資券","波段")))</f>
        <v/>
      </c>
      <c r="T711" s="140" t="str">
        <f t="shared" ref="T711:T774" si="80">IF(F711="","",F711)</f>
        <v/>
      </c>
      <c r="U711" s="141" t="str">
        <f t="shared" ref="U711:U774" si="81">IF(D711="","",IF(IFERROR(FIND("買",D711)&gt;0,FALSE),E711,IF(IFERROR(FIND("賣",D711)&gt;0,FALSE),-E711,IF(IFERROR(FIND("資",D711)&gt;0,FALSE),E711,-E711))))</f>
        <v/>
      </c>
      <c r="V711" s="141" t="str">
        <f t="shared" ref="V711:V774" si="82">IF(Q711="","",T711*U711*-1)</f>
        <v/>
      </c>
      <c r="W711" s="142"/>
      <c r="X711" s="186" t="str">
        <f t="shared" ref="X711:X774" si="83">IFERROR((-1)*LEFT(N711,FIND("扣",N711)-1),IFERROR(1*LEFT(N711,FIND("入",N711)-1),""))</f>
        <v/>
      </c>
    </row>
    <row r="712" spans="1:24" s="147" customFormat="1">
      <c r="A712" s="172"/>
      <c r="B712" s="151"/>
      <c r="C712" s="151"/>
      <c r="D712" s="151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38"/>
      <c r="Q712" s="255" t="str">
        <f t="shared" ref="Q712:Q775" si="84">IF(B712="","",DATE(LEFT(B712,3)+1911,MID(B712,4,2),RIGHT(B712,2)))</f>
        <v/>
      </c>
      <c r="R712" s="139" t="str">
        <f t="shared" ref="R712:R775" si="85">IF(C712="","",IFERROR(INDEX(代號1,MATCH($C712,股名1,0)),IFERROR(INDEX(代號2,MATCH($C712,股名2,0)),INDEX(代號3,MATCH($C712,股名3,0)))))</f>
        <v/>
      </c>
      <c r="S712" s="128" t="str">
        <f t="shared" si="79"/>
        <v/>
      </c>
      <c r="T712" s="140" t="str">
        <f t="shared" si="80"/>
        <v/>
      </c>
      <c r="U712" s="141" t="str">
        <f t="shared" si="81"/>
        <v/>
      </c>
      <c r="V712" s="141" t="str">
        <f t="shared" si="82"/>
        <v/>
      </c>
      <c r="W712" s="142"/>
      <c r="X712" s="186" t="str">
        <f t="shared" si="83"/>
        <v/>
      </c>
    </row>
    <row r="713" spans="1:24" s="147" customFormat="1">
      <c r="A713" s="170"/>
      <c r="B713" s="145"/>
      <c r="C713" s="145"/>
      <c r="D713" s="146"/>
      <c r="E713" s="145"/>
      <c r="F713" s="145"/>
      <c r="G713" s="145"/>
      <c r="H713" s="145"/>
      <c r="I713" s="145"/>
      <c r="J713" s="145"/>
      <c r="K713" s="145"/>
      <c r="L713" s="145"/>
      <c r="M713" s="145"/>
      <c r="N713" s="146"/>
      <c r="O713" s="145"/>
      <c r="P713" s="138"/>
      <c r="Q713" s="255" t="str">
        <f t="shared" si="84"/>
        <v/>
      </c>
      <c r="R713" s="139" t="str">
        <f t="shared" si="85"/>
        <v/>
      </c>
      <c r="S713" s="128" t="str">
        <f t="shared" si="79"/>
        <v/>
      </c>
      <c r="T713" s="140" t="str">
        <f t="shared" si="80"/>
        <v/>
      </c>
      <c r="U713" s="141" t="str">
        <f t="shared" si="81"/>
        <v/>
      </c>
      <c r="V713" s="141" t="str">
        <f t="shared" si="82"/>
        <v/>
      </c>
      <c r="W713" s="142"/>
      <c r="X713" s="186" t="str">
        <f t="shared" si="83"/>
        <v/>
      </c>
    </row>
    <row r="714" spans="1:24" s="147" customFormat="1">
      <c r="A714" s="172"/>
      <c r="B714" s="151"/>
      <c r="C714" s="151"/>
      <c r="D714" s="151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38"/>
      <c r="Q714" s="255" t="str">
        <f t="shared" si="84"/>
        <v/>
      </c>
      <c r="R714" s="139" t="str">
        <f t="shared" si="85"/>
        <v/>
      </c>
      <c r="S714" s="128" t="str">
        <f t="shared" si="79"/>
        <v/>
      </c>
      <c r="T714" s="140" t="str">
        <f t="shared" si="80"/>
        <v/>
      </c>
      <c r="U714" s="141" t="str">
        <f t="shared" si="81"/>
        <v/>
      </c>
      <c r="V714" s="141" t="str">
        <f t="shared" si="82"/>
        <v/>
      </c>
      <c r="W714" s="142"/>
      <c r="X714" s="186" t="str">
        <f t="shared" si="83"/>
        <v/>
      </c>
    </row>
    <row r="715" spans="1:24" s="147" customFormat="1">
      <c r="A715" s="170"/>
      <c r="B715" s="145"/>
      <c r="C715" s="145"/>
      <c r="D715" s="146"/>
      <c r="E715" s="145"/>
      <c r="F715" s="145"/>
      <c r="G715" s="145"/>
      <c r="H715" s="145"/>
      <c r="I715" s="145"/>
      <c r="J715" s="145"/>
      <c r="K715" s="145"/>
      <c r="L715" s="145"/>
      <c r="M715" s="145"/>
      <c r="N715" s="146"/>
      <c r="O715" s="145"/>
      <c r="P715" s="138"/>
      <c r="Q715" s="255" t="str">
        <f t="shared" si="84"/>
        <v/>
      </c>
      <c r="R715" s="139" t="str">
        <f t="shared" si="85"/>
        <v/>
      </c>
      <c r="S715" s="128" t="str">
        <f t="shared" si="79"/>
        <v/>
      </c>
      <c r="T715" s="140" t="str">
        <f t="shared" si="80"/>
        <v/>
      </c>
      <c r="U715" s="141" t="str">
        <f t="shared" si="81"/>
        <v/>
      </c>
      <c r="V715" s="141" t="str">
        <f t="shared" si="82"/>
        <v/>
      </c>
      <c r="W715" s="142"/>
      <c r="X715" s="186" t="str">
        <f t="shared" si="83"/>
        <v/>
      </c>
    </row>
    <row r="716" spans="1:24" s="147" customFormat="1">
      <c r="A716" s="172"/>
      <c r="B716" s="151"/>
      <c r="C716" s="151"/>
      <c r="D716" s="151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38"/>
      <c r="Q716" s="255" t="str">
        <f t="shared" si="84"/>
        <v/>
      </c>
      <c r="R716" s="139" t="str">
        <f t="shared" si="85"/>
        <v/>
      </c>
      <c r="S716" s="128" t="str">
        <f t="shared" si="79"/>
        <v/>
      </c>
      <c r="T716" s="140" t="str">
        <f t="shared" si="80"/>
        <v/>
      </c>
      <c r="U716" s="141" t="str">
        <f t="shared" si="81"/>
        <v/>
      </c>
      <c r="V716" s="141" t="str">
        <f t="shared" si="82"/>
        <v/>
      </c>
      <c r="W716" s="142"/>
      <c r="X716" s="186" t="str">
        <f t="shared" si="83"/>
        <v/>
      </c>
    </row>
    <row r="717" spans="1:24" s="147" customFormat="1">
      <c r="A717" s="170"/>
      <c r="B717" s="145"/>
      <c r="C717" s="145"/>
      <c r="D717" s="146"/>
      <c r="E717" s="150"/>
      <c r="F717" s="145"/>
      <c r="G717" s="145"/>
      <c r="H717" s="145"/>
      <c r="I717" s="145"/>
      <c r="J717" s="145"/>
      <c r="K717" s="145"/>
      <c r="L717" s="145"/>
      <c r="M717" s="145"/>
      <c r="N717" s="146"/>
      <c r="O717" s="145"/>
      <c r="P717" s="138"/>
      <c r="Q717" s="255" t="str">
        <f t="shared" si="84"/>
        <v/>
      </c>
      <c r="R717" s="139" t="str">
        <f t="shared" si="85"/>
        <v/>
      </c>
      <c r="S717" s="128" t="str">
        <f t="shared" si="79"/>
        <v/>
      </c>
      <c r="T717" s="140" t="str">
        <f t="shared" si="80"/>
        <v/>
      </c>
      <c r="U717" s="141" t="str">
        <f t="shared" si="81"/>
        <v/>
      </c>
      <c r="V717" s="141" t="str">
        <f t="shared" si="82"/>
        <v/>
      </c>
      <c r="W717" s="142"/>
      <c r="X717" s="186" t="str">
        <f t="shared" si="83"/>
        <v/>
      </c>
    </row>
    <row r="718" spans="1:24" s="147" customFormat="1">
      <c r="A718" s="172"/>
      <c r="B718" s="151"/>
      <c r="C718" s="151"/>
      <c r="D718" s="151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38"/>
      <c r="Q718" s="255" t="str">
        <f t="shared" si="84"/>
        <v/>
      </c>
      <c r="R718" s="139" t="str">
        <f t="shared" si="85"/>
        <v/>
      </c>
      <c r="S718" s="128" t="str">
        <f t="shared" si="79"/>
        <v/>
      </c>
      <c r="T718" s="140" t="str">
        <f t="shared" si="80"/>
        <v/>
      </c>
      <c r="U718" s="141" t="str">
        <f t="shared" si="81"/>
        <v/>
      </c>
      <c r="V718" s="141" t="str">
        <f t="shared" si="82"/>
        <v/>
      </c>
      <c r="W718" s="142"/>
      <c r="X718" s="186" t="str">
        <f t="shared" si="83"/>
        <v/>
      </c>
    </row>
    <row r="719" spans="1:24" s="147" customFormat="1">
      <c r="A719" s="170"/>
      <c r="B719" s="145"/>
      <c r="C719" s="145"/>
      <c r="D719" s="146"/>
      <c r="E719" s="145"/>
      <c r="F719" s="145"/>
      <c r="G719" s="145"/>
      <c r="H719" s="145"/>
      <c r="I719" s="145"/>
      <c r="J719" s="145"/>
      <c r="K719" s="145"/>
      <c r="L719" s="145"/>
      <c r="M719" s="145"/>
      <c r="N719" s="146"/>
      <c r="O719" s="145"/>
      <c r="P719" s="138"/>
      <c r="Q719" s="255" t="str">
        <f t="shared" si="84"/>
        <v/>
      </c>
      <c r="R719" s="139" t="str">
        <f t="shared" si="85"/>
        <v/>
      </c>
      <c r="S719" s="128" t="str">
        <f t="shared" si="79"/>
        <v/>
      </c>
      <c r="T719" s="140" t="str">
        <f t="shared" si="80"/>
        <v/>
      </c>
      <c r="U719" s="141" t="str">
        <f t="shared" si="81"/>
        <v/>
      </c>
      <c r="V719" s="141" t="str">
        <f t="shared" si="82"/>
        <v/>
      </c>
      <c r="W719" s="142"/>
      <c r="X719" s="186" t="str">
        <f t="shared" si="83"/>
        <v/>
      </c>
    </row>
    <row r="720" spans="1:24" s="147" customFormat="1">
      <c r="A720" s="171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38"/>
      <c r="Q720" s="255" t="str">
        <f t="shared" si="84"/>
        <v/>
      </c>
      <c r="R720" s="139" t="str">
        <f t="shared" si="85"/>
        <v/>
      </c>
      <c r="S720" s="128" t="str">
        <f t="shared" si="79"/>
        <v/>
      </c>
      <c r="T720" s="140" t="str">
        <f t="shared" si="80"/>
        <v/>
      </c>
      <c r="U720" s="141" t="str">
        <f t="shared" si="81"/>
        <v/>
      </c>
      <c r="V720" s="141" t="str">
        <f t="shared" si="82"/>
        <v/>
      </c>
      <c r="W720" s="142"/>
      <c r="X720" s="186" t="str">
        <f t="shared" si="83"/>
        <v/>
      </c>
    </row>
    <row r="721" spans="1:24" s="147" customFormat="1">
      <c r="A721" s="170"/>
      <c r="B721" s="145"/>
      <c r="C721" s="145"/>
      <c r="D721" s="146"/>
      <c r="E721" s="145"/>
      <c r="F721" s="145"/>
      <c r="G721" s="145"/>
      <c r="H721" s="145"/>
      <c r="I721" s="145"/>
      <c r="J721" s="145"/>
      <c r="K721" s="145"/>
      <c r="L721" s="145"/>
      <c r="M721" s="145"/>
      <c r="N721" s="146"/>
      <c r="O721" s="145"/>
      <c r="P721" s="138"/>
      <c r="Q721" s="255" t="str">
        <f t="shared" si="84"/>
        <v/>
      </c>
      <c r="R721" s="139" t="str">
        <f t="shared" si="85"/>
        <v/>
      </c>
      <c r="S721" s="128" t="str">
        <f t="shared" si="79"/>
        <v/>
      </c>
      <c r="T721" s="140" t="str">
        <f t="shared" si="80"/>
        <v/>
      </c>
      <c r="U721" s="141" t="str">
        <f t="shared" si="81"/>
        <v/>
      </c>
      <c r="V721" s="141" t="str">
        <f t="shared" si="82"/>
        <v/>
      </c>
      <c r="W721" s="142"/>
      <c r="X721" s="186" t="str">
        <f t="shared" si="83"/>
        <v/>
      </c>
    </row>
    <row r="722" spans="1:24" s="147" customFormat="1">
      <c r="A722" s="171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38"/>
      <c r="Q722" s="255" t="str">
        <f t="shared" si="84"/>
        <v/>
      </c>
      <c r="R722" s="139" t="str">
        <f t="shared" si="85"/>
        <v/>
      </c>
      <c r="S722" s="128" t="str">
        <f t="shared" si="79"/>
        <v/>
      </c>
      <c r="T722" s="140" t="str">
        <f t="shared" si="80"/>
        <v/>
      </c>
      <c r="U722" s="141" t="str">
        <f t="shared" si="81"/>
        <v/>
      </c>
      <c r="V722" s="141" t="str">
        <f t="shared" si="82"/>
        <v/>
      </c>
      <c r="W722" s="142"/>
      <c r="X722" s="186" t="str">
        <f t="shared" si="83"/>
        <v/>
      </c>
    </row>
    <row r="723" spans="1:24" s="147" customFormat="1">
      <c r="A723" s="170"/>
      <c r="B723" s="145"/>
      <c r="C723" s="145"/>
      <c r="D723" s="146"/>
      <c r="E723" s="145"/>
      <c r="F723" s="145"/>
      <c r="G723" s="145"/>
      <c r="H723" s="145"/>
      <c r="I723" s="145"/>
      <c r="J723" s="145"/>
      <c r="K723" s="145"/>
      <c r="L723" s="145"/>
      <c r="M723" s="145"/>
      <c r="N723" s="146"/>
      <c r="O723" s="145"/>
      <c r="P723" s="138"/>
      <c r="Q723" s="255" t="str">
        <f t="shared" si="84"/>
        <v/>
      </c>
      <c r="R723" s="139" t="str">
        <f t="shared" si="85"/>
        <v/>
      </c>
      <c r="S723" s="128" t="str">
        <f t="shared" si="79"/>
        <v/>
      </c>
      <c r="T723" s="140" t="str">
        <f t="shared" si="80"/>
        <v/>
      </c>
      <c r="U723" s="141" t="str">
        <f t="shared" si="81"/>
        <v/>
      </c>
      <c r="V723" s="141" t="str">
        <f t="shared" si="82"/>
        <v/>
      </c>
      <c r="W723" s="142"/>
      <c r="X723" s="186" t="str">
        <f t="shared" si="83"/>
        <v/>
      </c>
    </row>
    <row r="724" spans="1:24" s="147" customFormat="1">
      <c r="A724" s="171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38"/>
      <c r="Q724" s="255" t="str">
        <f t="shared" si="84"/>
        <v/>
      </c>
      <c r="R724" s="139" t="str">
        <f t="shared" si="85"/>
        <v/>
      </c>
      <c r="S724" s="128" t="str">
        <f t="shared" si="79"/>
        <v/>
      </c>
      <c r="T724" s="140" t="str">
        <f t="shared" si="80"/>
        <v/>
      </c>
      <c r="U724" s="141" t="str">
        <f t="shared" si="81"/>
        <v/>
      </c>
      <c r="V724" s="141" t="str">
        <f t="shared" si="82"/>
        <v/>
      </c>
      <c r="W724" s="142"/>
      <c r="X724" s="186" t="str">
        <f t="shared" si="83"/>
        <v/>
      </c>
    </row>
    <row r="725" spans="1:24" s="147" customFormat="1">
      <c r="A725" s="170"/>
      <c r="B725" s="145"/>
      <c r="C725" s="145"/>
      <c r="D725" s="146"/>
      <c r="E725" s="145"/>
      <c r="F725" s="145"/>
      <c r="G725" s="145"/>
      <c r="H725" s="145"/>
      <c r="I725" s="145"/>
      <c r="J725" s="145"/>
      <c r="K725" s="145"/>
      <c r="L725" s="145"/>
      <c r="M725" s="145"/>
      <c r="N725" s="146"/>
      <c r="O725" s="145"/>
      <c r="P725" s="138"/>
      <c r="Q725" s="255" t="str">
        <f t="shared" si="84"/>
        <v/>
      </c>
      <c r="R725" s="139" t="str">
        <f t="shared" si="85"/>
        <v/>
      </c>
      <c r="S725" s="128" t="str">
        <f t="shared" si="79"/>
        <v/>
      </c>
      <c r="T725" s="140" t="str">
        <f t="shared" si="80"/>
        <v/>
      </c>
      <c r="U725" s="141" t="str">
        <f t="shared" si="81"/>
        <v/>
      </c>
      <c r="V725" s="141" t="str">
        <f t="shared" si="82"/>
        <v/>
      </c>
      <c r="W725" s="142"/>
      <c r="X725" s="186" t="str">
        <f t="shared" si="83"/>
        <v/>
      </c>
    </row>
    <row r="726" spans="1:24" s="147" customFormat="1">
      <c r="A726" s="171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38"/>
      <c r="Q726" s="255" t="str">
        <f t="shared" si="84"/>
        <v/>
      </c>
      <c r="R726" s="139" t="str">
        <f t="shared" si="85"/>
        <v/>
      </c>
      <c r="S726" s="128" t="str">
        <f t="shared" si="79"/>
        <v/>
      </c>
      <c r="T726" s="140" t="str">
        <f t="shared" si="80"/>
        <v/>
      </c>
      <c r="U726" s="141" t="str">
        <f t="shared" si="81"/>
        <v/>
      </c>
      <c r="V726" s="141" t="str">
        <f t="shared" si="82"/>
        <v/>
      </c>
      <c r="W726" s="142"/>
      <c r="X726" s="186" t="str">
        <f t="shared" si="83"/>
        <v/>
      </c>
    </row>
    <row r="727" spans="1:24" s="147" customFormat="1">
      <c r="A727" s="170"/>
      <c r="B727" s="145"/>
      <c r="C727" s="145"/>
      <c r="D727" s="146"/>
      <c r="E727" s="145"/>
      <c r="F727" s="145"/>
      <c r="G727" s="145"/>
      <c r="H727" s="145"/>
      <c r="I727" s="145"/>
      <c r="J727" s="145"/>
      <c r="K727" s="145"/>
      <c r="L727" s="145"/>
      <c r="M727" s="145"/>
      <c r="N727" s="146"/>
      <c r="O727" s="145"/>
      <c r="P727" s="138"/>
      <c r="Q727" s="255" t="str">
        <f t="shared" si="84"/>
        <v/>
      </c>
      <c r="R727" s="139" t="str">
        <f t="shared" si="85"/>
        <v/>
      </c>
      <c r="S727" s="128" t="str">
        <f t="shared" si="79"/>
        <v/>
      </c>
      <c r="T727" s="140" t="str">
        <f t="shared" si="80"/>
        <v/>
      </c>
      <c r="U727" s="141" t="str">
        <f t="shared" si="81"/>
        <v/>
      </c>
      <c r="V727" s="141" t="str">
        <f t="shared" si="82"/>
        <v/>
      </c>
      <c r="W727" s="142"/>
      <c r="X727" s="186" t="str">
        <f t="shared" si="83"/>
        <v/>
      </c>
    </row>
    <row r="728" spans="1:24" s="147" customFormat="1">
      <c r="A728" s="171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38"/>
      <c r="Q728" s="255" t="str">
        <f t="shared" si="84"/>
        <v/>
      </c>
      <c r="R728" s="139" t="str">
        <f t="shared" si="85"/>
        <v/>
      </c>
      <c r="S728" s="128" t="str">
        <f t="shared" si="79"/>
        <v/>
      </c>
      <c r="T728" s="140" t="str">
        <f t="shared" si="80"/>
        <v/>
      </c>
      <c r="U728" s="141" t="str">
        <f t="shared" si="81"/>
        <v/>
      </c>
      <c r="V728" s="141" t="str">
        <f t="shared" si="82"/>
        <v/>
      </c>
      <c r="W728" s="142"/>
      <c r="X728" s="186" t="str">
        <f t="shared" si="83"/>
        <v/>
      </c>
    </row>
    <row r="729" spans="1:24" s="147" customFormat="1">
      <c r="A729" s="170"/>
      <c r="B729" s="145"/>
      <c r="C729" s="145"/>
      <c r="D729" s="146"/>
      <c r="E729" s="145"/>
      <c r="F729" s="145"/>
      <c r="G729" s="145"/>
      <c r="H729" s="145"/>
      <c r="I729" s="145"/>
      <c r="J729" s="145"/>
      <c r="K729" s="145"/>
      <c r="L729" s="145"/>
      <c r="M729" s="145"/>
      <c r="N729" s="146"/>
      <c r="O729" s="145"/>
      <c r="P729" s="138"/>
      <c r="Q729" s="255" t="str">
        <f t="shared" si="84"/>
        <v/>
      </c>
      <c r="R729" s="139" t="str">
        <f t="shared" si="85"/>
        <v/>
      </c>
      <c r="S729" s="128" t="str">
        <f t="shared" si="79"/>
        <v/>
      </c>
      <c r="T729" s="140" t="str">
        <f t="shared" si="80"/>
        <v/>
      </c>
      <c r="U729" s="141" t="str">
        <f t="shared" si="81"/>
        <v/>
      </c>
      <c r="V729" s="141" t="str">
        <f t="shared" si="82"/>
        <v/>
      </c>
      <c r="W729" s="142"/>
      <c r="X729" s="186" t="str">
        <f t="shared" si="83"/>
        <v/>
      </c>
    </row>
    <row r="730" spans="1:24" s="147" customFormat="1">
      <c r="A730" s="171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38"/>
      <c r="Q730" s="255" t="str">
        <f t="shared" si="84"/>
        <v/>
      </c>
      <c r="R730" s="139" t="str">
        <f t="shared" si="85"/>
        <v/>
      </c>
      <c r="S730" s="128" t="str">
        <f t="shared" si="79"/>
        <v/>
      </c>
      <c r="T730" s="140" t="str">
        <f t="shared" si="80"/>
        <v/>
      </c>
      <c r="U730" s="141" t="str">
        <f t="shared" si="81"/>
        <v/>
      </c>
      <c r="V730" s="141" t="str">
        <f t="shared" si="82"/>
        <v/>
      </c>
      <c r="W730" s="142"/>
      <c r="X730" s="186" t="str">
        <f t="shared" si="83"/>
        <v/>
      </c>
    </row>
    <row r="731" spans="1:24" s="147" customFormat="1">
      <c r="A731" s="170"/>
      <c r="B731" s="145"/>
      <c r="C731" s="145"/>
      <c r="D731" s="146"/>
      <c r="E731" s="150"/>
      <c r="F731" s="145"/>
      <c r="G731" s="145"/>
      <c r="H731" s="150"/>
      <c r="I731" s="145"/>
      <c r="J731" s="145"/>
      <c r="K731" s="145"/>
      <c r="L731" s="145"/>
      <c r="M731" s="145"/>
      <c r="N731" s="146"/>
      <c r="O731" s="145"/>
      <c r="P731" s="138"/>
      <c r="Q731" s="255" t="str">
        <f t="shared" si="84"/>
        <v/>
      </c>
      <c r="R731" s="139" t="str">
        <f t="shared" si="85"/>
        <v/>
      </c>
      <c r="S731" s="128" t="str">
        <f t="shared" si="79"/>
        <v/>
      </c>
      <c r="T731" s="140" t="str">
        <f t="shared" si="80"/>
        <v/>
      </c>
      <c r="U731" s="141" t="str">
        <f t="shared" si="81"/>
        <v/>
      </c>
      <c r="V731" s="141" t="str">
        <f t="shared" si="82"/>
        <v/>
      </c>
      <c r="W731" s="142"/>
      <c r="X731" s="186" t="str">
        <f t="shared" si="83"/>
        <v/>
      </c>
    </row>
    <row r="732" spans="1:24" s="147" customFormat="1">
      <c r="A732" s="172"/>
      <c r="B732" s="151"/>
      <c r="C732" s="151"/>
      <c r="D732" s="151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38"/>
      <c r="Q732" s="255" t="str">
        <f t="shared" si="84"/>
        <v/>
      </c>
      <c r="R732" s="139" t="str">
        <f t="shared" si="85"/>
        <v/>
      </c>
      <c r="S732" s="128" t="str">
        <f t="shared" si="79"/>
        <v/>
      </c>
      <c r="T732" s="140" t="str">
        <f t="shared" si="80"/>
        <v/>
      </c>
      <c r="U732" s="141" t="str">
        <f t="shared" si="81"/>
        <v/>
      </c>
      <c r="V732" s="141" t="str">
        <f t="shared" si="82"/>
        <v/>
      </c>
      <c r="W732" s="142"/>
      <c r="X732" s="186" t="str">
        <f t="shared" si="83"/>
        <v/>
      </c>
    </row>
    <row r="733" spans="1:24" s="147" customFormat="1">
      <c r="A733" s="170"/>
      <c r="B733" s="145"/>
      <c r="C733" s="145"/>
      <c r="D733" s="146"/>
      <c r="E733" s="145"/>
      <c r="F733" s="145"/>
      <c r="G733" s="145"/>
      <c r="H733" s="145"/>
      <c r="I733" s="145"/>
      <c r="J733" s="145"/>
      <c r="K733" s="145"/>
      <c r="L733" s="145"/>
      <c r="M733" s="145"/>
      <c r="N733" s="146"/>
      <c r="O733" s="145"/>
      <c r="P733" s="138"/>
      <c r="Q733" s="255" t="str">
        <f t="shared" si="84"/>
        <v/>
      </c>
      <c r="R733" s="139" t="str">
        <f t="shared" si="85"/>
        <v/>
      </c>
      <c r="S733" s="128" t="str">
        <f t="shared" si="79"/>
        <v/>
      </c>
      <c r="T733" s="140" t="str">
        <f t="shared" si="80"/>
        <v/>
      </c>
      <c r="U733" s="141" t="str">
        <f t="shared" si="81"/>
        <v/>
      </c>
      <c r="V733" s="141" t="str">
        <f t="shared" si="82"/>
        <v/>
      </c>
      <c r="W733" s="142"/>
      <c r="X733" s="186" t="str">
        <f t="shared" si="83"/>
        <v/>
      </c>
    </row>
    <row r="734" spans="1:24" s="147" customFormat="1">
      <c r="A734" s="172"/>
      <c r="B734" s="151"/>
      <c r="C734" s="151"/>
      <c r="D734" s="151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38"/>
      <c r="Q734" s="255" t="str">
        <f t="shared" si="84"/>
        <v/>
      </c>
      <c r="R734" s="139" t="str">
        <f t="shared" si="85"/>
        <v/>
      </c>
      <c r="S734" s="128" t="str">
        <f t="shared" si="79"/>
        <v/>
      </c>
      <c r="T734" s="140" t="str">
        <f t="shared" si="80"/>
        <v/>
      </c>
      <c r="U734" s="141" t="str">
        <f t="shared" si="81"/>
        <v/>
      </c>
      <c r="V734" s="141" t="str">
        <f t="shared" si="82"/>
        <v/>
      </c>
      <c r="W734" s="142"/>
      <c r="X734" s="186" t="str">
        <f t="shared" si="83"/>
        <v/>
      </c>
    </row>
    <row r="735" spans="1:24" s="147" customFormat="1">
      <c r="A735" s="170"/>
      <c r="B735" s="145"/>
      <c r="C735" s="145"/>
      <c r="D735" s="146"/>
      <c r="E735" s="145"/>
      <c r="F735" s="145"/>
      <c r="G735" s="145"/>
      <c r="H735" s="145"/>
      <c r="I735" s="145"/>
      <c r="J735" s="145"/>
      <c r="K735" s="145"/>
      <c r="L735" s="145"/>
      <c r="M735" s="145"/>
      <c r="N735" s="146"/>
      <c r="O735" s="145"/>
      <c r="P735" s="138"/>
      <c r="Q735" s="255" t="str">
        <f t="shared" si="84"/>
        <v/>
      </c>
      <c r="R735" s="139" t="str">
        <f t="shared" si="85"/>
        <v/>
      </c>
      <c r="S735" s="128" t="str">
        <f t="shared" si="79"/>
        <v/>
      </c>
      <c r="T735" s="140" t="str">
        <f t="shared" si="80"/>
        <v/>
      </c>
      <c r="U735" s="141" t="str">
        <f t="shared" si="81"/>
        <v/>
      </c>
      <c r="V735" s="141" t="str">
        <f t="shared" si="82"/>
        <v/>
      </c>
      <c r="W735" s="142"/>
      <c r="X735" s="186" t="str">
        <f t="shared" si="83"/>
        <v/>
      </c>
    </row>
    <row r="736" spans="1:24" s="147" customFormat="1">
      <c r="A736" s="172"/>
      <c r="B736" s="151"/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38"/>
      <c r="Q736" s="255" t="str">
        <f t="shared" si="84"/>
        <v/>
      </c>
      <c r="R736" s="139" t="str">
        <f t="shared" si="85"/>
        <v/>
      </c>
      <c r="S736" s="128" t="str">
        <f t="shared" si="79"/>
        <v/>
      </c>
      <c r="T736" s="140" t="str">
        <f t="shared" si="80"/>
        <v/>
      </c>
      <c r="U736" s="141" t="str">
        <f t="shared" si="81"/>
        <v/>
      </c>
      <c r="V736" s="141" t="str">
        <f t="shared" si="82"/>
        <v/>
      </c>
      <c r="W736" s="142"/>
      <c r="X736" s="186" t="str">
        <f t="shared" si="83"/>
        <v/>
      </c>
    </row>
    <row r="737" spans="1:24" s="147" customFormat="1">
      <c r="A737" s="170"/>
      <c r="B737" s="145"/>
      <c r="C737" s="145"/>
      <c r="D737" s="146"/>
      <c r="E737" s="150"/>
      <c r="F737" s="145"/>
      <c r="G737" s="145"/>
      <c r="H737" s="145"/>
      <c r="I737" s="145"/>
      <c r="J737" s="145"/>
      <c r="K737" s="145"/>
      <c r="L737" s="145"/>
      <c r="M737" s="145"/>
      <c r="N737" s="146"/>
      <c r="O737" s="145"/>
      <c r="P737" s="138"/>
      <c r="Q737" s="255" t="str">
        <f t="shared" si="84"/>
        <v/>
      </c>
      <c r="R737" s="139" t="str">
        <f t="shared" si="85"/>
        <v/>
      </c>
      <c r="S737" s="128" t="str">
        <f t="shared" si="79"/>
        <v/>
      </c>
      <c r="T737" s="140" t="str">
        <f t="shared" si="80"/>
        <v/>
      </c>
      <c r="U737" s="141" t="str">
        <f t="shared" si="81"/>
        <v/>
      </c>
      <c r="V737" s="141" t="str">
        <f t="shared" si="82"/>
        <v/>
      </c>
      <c r="W737" s="142"/>
      <c r="X737" s="186" t="str">
        <f t="shared" si="83"/>
        <v/>
      </c>
    </row>
    <row r="738" spans="1:24" s="147" customFormat="1">
      <c r="A738" s="172"/>
      <c r="B738" s="151"/>
      <c r="C738" s="151"/>
      <c r="D738" s="151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38"/>
      <c r="Q738" s="255" t="str">
        <f t="shared" si="84"/>
        <v/>
      </c>
      <c r="R738" s="139" t="str">
        <f t="shared" si="85"/>
        <v/>
      </c>
      <c r="S738" s="128" t="str">
        <f t="shared" si="79"/>
        <v/>
      </c>
      <c r="T738" s="140" t="str">
        <f t="shared" si="80"/>
        <v/>
      </c>
      <c r="U738" s="141" t="str">
        <f t="shared" si="81"/>
        <v/>
      </c>
      <c r="V738" s="141" t="str">
        <f t="shared" si="82"/>
        <v/>
      </c>
      <c r="W738" s="142"/>
      <c r="X738" s="186" t="str">
        <f t="shared" si="83"/>
        <v/>
      </c>
    </row>
    <row r="739" spans="1:24" s="147" customFormat="1">
      <c r="A739" s="170"/>
      <c r="B739" s="145"/>
      <c r="C739" s="145"/>
      <c r="D739" s="146"/>
      <c r="E739" s="150"/>
      <c r="F739" s="145"/>
      <c r="G739" s="145"/>
      <c r="H739" s="150"/>
      <c r="I739" s="145"/>
      <c r="J739" s="145"/>
      <c r="K739" s="145"/>
      <c r="L739" s="145"/>
      <c r="M739" s="145"/>
      <c r="N739" s="146"/>
      <c r="O739" s="145"/>
      <c r="P739" s="138"/>
      <c r="Q739" s="255" t="str">
        <f t="shared" si="84"/>
        <v/>
      </c>
      <c r="R739" s="139" t="str">
        <f t="shared" si="85"/>
        <v/>
      </c>
      <c r="S739" s="128" t="str">
        <f t="shared" si="79"/>
        <v/>
      </c>
      <c r="T739" s="140" t="str">
        <f t="shared" si="80"/>
        <v/>
      </c>
      <c r="U739" s="141" t="str">
        <f t="shared" si="81"/>
        <v/>
      </c>
      <c r="V739" s="141" t="str">
        <f t="shared" si="82"/>
        <v/>
      </c>
      <c r="W739" s="142"/>
      <c r="X739" s="186" t="str">
        <f t="shared" si="83"/>
        <v/>
      </c>
    </row>
    <row r="740" spans="1:24" s="147" customFormat="1">
      <c r="A740" s="171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38"/>
      <c r="Q740" s="255" t="str">
        <f t="shared" si="84"/>
        <v/>
      </c>
      <c r="R740" s="139" t="str">
        <f t="shared" si="85"/>
        <v/>
      </c>
      <c r="S740" s="128" t="str">
        <f t="shared" si="79"/>
        <v/>
      </c>
      <c r="T740" s="140" t="str">
        <f t="shared" si="80"/>
        <v/>
      </c>
      <c r="U740" s="141" t="str">
        <f t="shared" si="81"/>
        <v/>
      </c>
      <c r="V740" s="141" t="str">
        <f t="shared" si="82"/>
        <v/>
      </c>
      <c r="W740" s="142"/>
      <c r="X740" s="186" t="str">
        <f t="shared" si="83"/>
        <v/>
      </c>
    </row>
    <row r="741" spans="1:24" s="147" customFormat="1">
      <c r="A741" s="170"/>
      <c r="B741" s="145"/>
      <c r="C741" s="145"/>
      <c r="D741" s="146"/>
      <c r="E741" s="145"/>
      <c r="F741" s="145"/>
      <c r="G741" s="145"/>
      <c r="H741" s="145"/>
      <c r="I741" s="145"/>
      <c r="J741" s="145"/>
      <c r="K741" s="145"/>
      <c r="L741" s="145"/>
      <c r="M741" s="145"/>
      <c r="N741" s="146"/>
      <c r="O741" s="145"/>
      <c r="P741" s="138"/>
      <c r="Q741" s="255" t="str">
        <f t="shared" si="84"/>
        <v/>
      </c>
      <c r="R741" s="139" t="str">
        <f t="shared" si="85"/>
        <v/>
      </c>
      <c r="S741" s="128" t="str">
        <f t="shared" si="79"/>
        <v/>
      </c>
      <c r="T741" s="140" t="str">
        <f t="shared" si="80"/>
        <v/>
      </c>
      <c r="U741" s="141" t="str">
        <f t="shared" si="81"/>
        <v/>
      </c>
      <c r="V741" s="141" t="str">
        <f t="shared" si="82"/>
        <v/>
      </c>
      <c r="W741" s="142"/>
      <c r="X741" s="186" t="str">
        <f t="shared" si="83"/>
        <v/>
      </c>
    </row>
    <row r="742" spans="1:24" s="147" customFormat="1">
      <c r="A742" s="171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38"/>
      <c r="Q742" s="255" t="str">
        <f t="shared" si="84"/>
        <v/>
      </c>
      <c r="R742" s="139" t="str">
        <f t="shared" si="85"/>
        <v/>
      </c>
      <c r="S742" s="128" t="str">
        <f t="shared" si="79"/>
        <v/>
      </c>
      <c r="T742" s="140" t="str">
        <f t="shared" si="80"/>
        <v/>
      </c>
      <c r="U742" s="141" t="str">
        <f t="shared" si="81"/>
        <v/>
      </c>
      <c r="V742" s="141" t="str">
        <f t="shared" si="82"/>
        <v/>
      </c>
      <c r="W742" s="142"/>
      <c r="X742" s="186" t="str">
        <f t="shared" si="83"/>
        <v/>
      </c>
    </row>
    <row r="743" spans="1:24" s="147" customFormat="1">
      <c r="A743" s="170"/>
      <c r="B743" s="145"/>
      <c r="C743" s="145"/>
      <c r="D743" s="146"/>
      <c r="E743" s="150"/>
      <c r="F743" s="145"/>
      <c r="G743" s="145"/>
      <c r="H743" s="145"/>
      <c r="I743" s="145"/>
      <c r="J743" s="145"/>
      <c r="K743" s="145"/>
      <c r="L743" s="145"/>
      <c r="M743" s="145"/>
      <c r="N743" s="146"/>
      <c r="O743" s="145"/>
      <c r="P743" s="138"/>
      <c r="Q743" s="255" t="str">
        <f t="shared" si="84"/>
        <v/>
      </c>
      <c r="R743" s="139" t="str">
        <f t="shared" si="85"/>
        <v/>
      </c>
      <c r="S743" s="128" t="str">
        <f t="shared" si="79"/>
        <v/>
      </c>
      <c r="T743" s="140" t="str">
        <f t="shared" si="80"/>
        <v/>
      </c>
      <c r="U743" s="141" t="str">
        <f t="shared" si="81"/>
        <v/>
      </c>
      <c r="V743" s="141" t="str">
        <f t="shared" si="82"/>
        <v/>
      </c>
      <c r="W743" s="142"/>
      <c r="X743" s="186" t="str">
        <f t="shared" si="83"/>
        <v/>
      </c>
    </row>
    <row r="744" spans="1:24" s="147" customFormat="1">
      <c r="A744" s="172"/>
      <c r="B744" s="151"/>
      <c r="C744" s="151"/>
      <c r="D744" s="151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38"/>
      <c r="Q744" s="255" t="str">
        <f t="shared" si="84"/>
        <v/>
      </c>
      <c r="R744" s="139" t="str">
        <f t="shared" si="85"/>
        <v/>
      </c>
      <c r="S744" s="128" t="str">
        <f t="shared" si="79"/>
        <v/>
      </c>
      <c r="T744" s="140" t="str">
        <f t="shared" si="80"/>
        <v/>
      </c>
      <c r="U744" s="141" t="str">
        <f t="shared" si="81"/>
        <v/>
      </c>
      <c r="V744" s="141" t="str">
        <f t="shared" si="82"/>
        <v/>
      </c>
      <c r="W744" s="142"/>
      <c r="X744" s="186" t="str">
        <f t="shared" si="83"/>
        <v/>
      </c>
    </row>
    <row r="745" spans="1:24" s="147" customFormat="1">
      <c r="A745" s="170"/>
      <c r="B745" s="145"/>
      <c r="C745" s="145"/>
      <c r="D745" s="146"/>
      <c r="E745" s="145"/>
      <c r="F745" s="145"/>
      <c r="G745" s="145"/>
      <c r="H745" s="145"/>
      <c r="I745" s="145"/>
      <c r="J745" s="145"/>
      <c r="K745" s="145"/>
      <c r="L745" s="145"/>
      <c r="M745" s="145"/>
      <c r="N745" s="146"/>
      <c r="O745" s="145"/>
      <c r="P745" s="138"/>
      <c r="Q745" s="255" t="str">
        <f t="shared" si="84"/>
        <v/>
      </c>
      <c r="R745" s="139" t="str">
        <f t="shared" si="85"/>
        <v/>
      </c>
      <c r="S745" s="128" t="str">
        <f t="shared" si="79"/>
        <v/>
      </c>
      <c r="T745" s="140" t="str">
        <f t="shared" si="80"/>
        <v/>
      </c>
      <c r="U745" s="141" t="str">
        <f t="shared" si="81"/>
        <v/>
      </c>
      <c r="V745" s="141" t="str">
        <f t="shared" si="82"/>
        <v/>
      </c>
      <c r="W745" s="142"/>
      <c r="X745" s="186" t="str">
        <f t="shared" si="83"/>
        <v/>
      </c>
    </row>
    <row r="746" spans="1:24" s="147" customFormat="1">
      <c r="A746" s="172"/>
      <c r="B746" s="151"/>
      <c r="C746" s="151"/>
      <c r="D746" s="151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38"/>
      <c r="Q746" s="255" t="str">
        <f t="shared" si="84"/>
        <v/>
      </c>
      <c r="R746" s="139" t="str">
        <f t="shared" si="85"/>
        <v/>
      </c>
      <c r="S746" s="128" t="str">
        <f t="shared" si="79"/>
        <v/>
      </c>
      <c r="T746" s="140" t="str">
        <f t="shared" si="80"/>
        <v/>
      </c>
      <c r="U746" s="141" t="str">
        <f t="shared" si="81"/>
        <v/>
      </c>
      <c r="V746" s="141" t="str">
        <f t="shared" si="82"/>
        <v/>
      </c>
      <c r="W746" s="142"/>
      <c r="X746" s="186" t="str">
        <f t="shared" si="83"/>
        <v/>
      </c>
    </row>
    <row r="747" spans="1:24" s="147" customFormat="1">
      <c r="A747" s="170"/>
      <c r="B747" s="145"/>
      <c r="C747" s="145"/>
      <c r="D747" s="146"/>
      <c r="E747" s="145"/>
      <c r="F747" s="145"/>
      <c r="G747" s="145"/>
      <c r="H747" s="145"/>
      <c r="I747" s="145"/>
      <c r="J747" s="145"/>
      <c r="K747" s="145"/>
      <c r="L747" s="145"/>
      <c r="M747" s="145"/>
      <c r="N747" s="146"/>
      <c r="O747" s="145"/>
      <c r="P747" s="138"/>
      <c r="Q747" s="255" t="str">
        <f t="shared" si="84"/>
        <v/>
      </c>
      <c r="R747" s="139" t="str">
        <f t="shared" si="85"/>
        <v/>
      </c>
      <c r="S747" s="128" t="str">
        <f t="shared" si="79"/>
        <v/>
      </c>
      <c r="T747" s="140" t="str">
        <f t="shared" si="80"/>
        <v/>
      </c>
      <c r="U747" s="141" t="str">
        <f t="shared" si="81"/>
        <v/>
      </c>
      <c r="V747" s="141" t="str">
        <f t="shared" si="82"/>
        <v/>
      </c>
      <c r="W747" s="142"/>
      <c r="X747" s="186" t="str">
        <f t="shared" si="83"/>
        <v/>
      </c>
    </row>
    <row r="748" spans="1:24" s="147" customFormat="1">
      <c r="A748" s="172"/>
      <c r="B748" s="151"/>
      <c r="C748" s="151"/>
      <c r="D748" s="151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38"/>
      <c r="Q748" s="255" t="str">
        <f t="shared" si="84"/>
        <v/>
      </c>
      <c r="R748" s="139" t="str">
        <f t="shared" si="85"/>
        <v/>
      </c>
      <c r="S748" s="128" t="str">
        <f t="shared" si="79"/>
        <v/>
      </c>
      <c r="T748" s="140" t="str">
        <f t="shared" si="80"/>
        <v/>
      </c>
      <c r="U748" s="141" t="str">
        <f t="shared" si="81"/>
        <v/>
      </c>
      <c r="V748" s="141" t="str">
        <f t="shared" si="82"/>
        <v/>
      </c>
      <c r="W748" s="142"/>
      <c r="X748" s="186" t="str">
        <f t="shared" si="83"/>
        <v/>
      </c>
    </row>
    <row r="749" spans="1:24" s="147" customFormat="1">
      <c r="A749" s="170"/>
      <c r="B749" s="145"/>
      <c r="C749" s="145"/>
      <c r="D749" s="146"/>
      <c r="E749" s="145"/>
      <c r="F749" s="145"/>
      <c r="G749" s="145"/>
      <c r="H749" s="145"/>
      <c r="I749" s="145"/>
      <c r="J749" s="145"/>
      <c r="K749" s="145"/>
      <c r="L749" s="145"/>
      <c r="M749" s="145"/>
      <c r="N749" s="146"/>
      <c r="O749" s="145"/>
      <c r="P749" s="138"/>
      <c r="Q749" s="255" t="str">
        <f t="shared" si="84"/>
        <v/>
      </c>
      <c r="R749" s="139" t="str">
        <f t="shared" si="85"/>
        <v/>
      </c>
      <c r="S749" s="128" t="str">
        <f t="shared" si="79"/>
        <v/>
      </c>
      <c r="T749" s="140" t="str">
        <f t="shared" si="80"/>
        <v/>
      </c>
      <c r="U749" s="141" t="str">
        <f t="shared" si="81"/>
        <v/>
      </c>
      <c r="V749" s="141" t="str">
        <f t="shared" si="82"/>
        <v/>
      </c>
      <c r="W749" s="142"/>
      <c r="X749" s="186" t="str">
        <f t="shared" si="83"/>
        <v/>
      </c>
    </row>
    <row r="750" spans="1:24" s="147" customFormat="1">
      <c r="A750" s="172"/>
      <c r="B750" s="151"/>
      <c r="C750" s="151"/>
      <c r="D750" s="151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38"/>
      <c r="Q750" s="255" t="str">
        <f t="shared" si="84"/>
        <v/>
      </c>
      <c r="R750" s="139" t="str">
        <f t="shared" si="85"/>
        <v/>
      </c>
      <c r="S750" s="128" t="str">
        <f t="shared" si="79"/>
        <v/>
      </c>
      <c r="T750" s="140" t="str">
        <f t="shared" si="80"/>
        <v/>
      </c>
      <c r="U750" s="141" t="str">
        <f t="shared" si="81"/>
        <v/>
      </c>
      <c r="V750" s="141" t="str">
        <f t="shared" si="82"/>
        <v/>
      </c>
      <c r="W750" s="142"/>
      <c r="X750" s="186" t="str">
        <f t="shared" si="83"/>
        <v/>
      </c>
    </row>
    <row r="751" spans="1:24" s="147" customFormat="1">
      <c r="A751" s="170"/>
      <c r="B751" s="145"/>
      <c r="C751" s="145"/>
      <c r="D751" s="146"/>
      <c r="E751" s="145"/>
      <c r="F751" s="145"/>
      <c r="G751" s="145"/>
      <c r="H751" s="145"/>
      <c r="I751" s="145"/>
      <c r="J751" s="145"/>
      <c r="K751" s="145"/>
      <c r="L751" s="145"/>
      <c r="M751" s="145"/>
      <c r="N751" s="146"/>
      <c r="O751" s="145"/>
      <c r="P751" s="138"/>
      <c r="Q751" s="255" t="str">
        <f t="shared" si="84"/>
        <v/>
      </c>
      <c r="R751" s="139" t="str">
        <f t="shared" si="85"/>
        <v/>
      </c>
      <c r="S751" s="128" t="str">
        <f t="shared" si="79"/>
        <v/>
      </c>
      <c r="T751" s="140" t="str">
        <f t="shared" si="80"/>
        <v/>
      </c>
      <c r="U751" s="141" t="str">
        <f t="shared" si="81"/>
        <v/>
      </c>
      <c r="V751" s="141" t="str">
        <f t="shared" si="82"/>
        <v/>
      </c>
      <c r="W751" s="142"/>
      <c r="X751" s="186" t="str">
        <f t="shared" si="83"/>
        <v/>
      </c>
    </row>
    <row r="752" spans="1:24" s="147" customFormat="1">
      <c r="A752" s="172"/>
      <c r="B752" s="151"/>
      <c r="C752" s="151"/>
      <c r="D752" s="151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38"/>
      <c r="Q752" s="255" t="str">
        <f t="shared" si="84"/>
        <v/>
      </c>
      <c r="R752" s="139" t="str">
        <f t="shared" si="85"/>
        <v/>
      </c>
      <c r="S752" s="128" t="str">
        <f t="shared" si="79"/>
        <v/>
      </c>
      <c r="T752" s="140" t="str">
        <f t="shared" si="80"/>
        <v/>
      </c>
      <c r="U752" s="141" t="str">
        <f t="shared" si="81"/>
        <v/>
      </c>
      <c r="V752" s="141" t="str">
        <f t="shared" si="82"/>
        <v/>
      </c>
      <c r="W752" s="142"/>
      <c r="X752" s="186" t="str">
        <f t="shared" si="83"/>
        <v/>
      </c>
    </row>
    <row r="753" spans="1:24" s="147" customFormat="1">
      <c r="A753" s="170"/>
      <c r="B753" s="145"/>
      <c r="C753" s="145"/>
      <c r="D753" s="146"/>
      <c r="E753" s="145"/>
      <c r="F753" s="145"/>
      <c r="G753" s="145"/>
      <c r="H753" s="145"/>
      <c r="I753" s="145"/>
      <c r="J753" s="145"/>
      <c r="K753" s="145"/>
      <c r="L753" s="145"/>
      <c r="M753" s="145"/>
      <c r="N753" s="146"/>
      <c r="O753" s="145"/>
      <c r="P753" s="138"/>
      <c r="Q753" s="255" t="str">
        <f t="shared" si="84"/>
        <v/>
      </c>
      <c r="R753" s="139" t="str">
        <f t="shared" si="85"/>
        <v/>
      </c>
      <c r="S753" s="128" t="str">
        <f t="shared" si="79"/>
        <v/>
      </c>
      <c r="T753" s="140" t="str">
        <f t="shared" si="80"/>
        <v/>
      </c>
      <c r="U753" s="141" t="str">
        <f t="shared" si="81"/>
        <v/>
      </c>
      <c r="V753" s="141" t="str">
        <f t="shared" si="82"/>
        <v/>
      </c>
      <c r="W753" s="142"/>
      <c r="X753" s="186" t="str">
        <f t="shared" si="83"/>
        <v/>
      </c>
    </row>
    <row r="754" spans="1:24" s="147" customFormat="1">
      <c r="A754" s="172"/>
      <c r="B754" s="151"/>
      <c r="C754" s="151"/>
      <c r="D754" s="151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38"/>
      <c r="Q754" s="255" t="str">
        <f t="shared" si="84"/>
        <v/>
      </c>
      <c r="R754" s="139" t="str">
        <f t="shared" si="85"/>
        <v/>
      </c>
      <c r="S754" s="128" t="str">
        <f t="shared" si="79"/>
        <v/>
      </c>
      <c r="T754" s="140" t="str">
        <f t="shared" si="80"/>
        <v/>
      </c>
      <c r="U754" s="141" t="str">
        <f t="shared" si="81"/>
        <v/>
      </c>
      <c r="V754" s="141" t="str">
        <f t="shared" si="82"/>
        <v/>
      </c>
      <c r="W754" s="142"/>
      <c r="X754" s="186" t="str">
        <f t="shared" si="83"/>
        <v/>
      </c>
    </row>
    <row r="755" spans="1:24" s="147" customFormat="1">
      <c r="A755" s="170"/>
      <c r="B755" s="145"/>
      <c r="C755" s="145"/>
      <c r="D755" s="146"/>
      <c r="E755" s="150"/>
      <c r="F755" s="145"/>
      <c r="G755" s="145"/>
      <c r="H755" s="145"/>
      <c r="I755" s="145"/>
      <c r="J755" s="145"/>
      <c r="K755" s="145"/>
      <c r="L755" s="145"/>
      <c r="M755" s="145"/>
      <c r="N755" s="146"/>
      <c r="O755" s="145"/>
      <c r="P755" s="138"/>
      <c r="Q755" s="255" t="str">
        <f t="shared" si="84"/>
        <v/>
      </c>
      <c r="R755" s="139" t="str">
        <f t="shared" si="85"/>
        <v/>
      </c>
      <c r="S755" s="128" t="str">
        <f t="shared" si="79"/>
        <v/>
      </c>
      <c r="T755" s="140" t="str">
        <f t="shared" si="80"/>
        <v/>
      </c>
      <c r="U755" s="141" t="str">
        <f t="shared" si="81"/>
        <v/>
      </c>
      <c r="V755" s="141" t="str">
        <f t="shared" si="82"/>
        <v/>
      </c>
      <c r="W755" s="142"/>
      <c r="X755" s="186" t="str">
        <f t="shared" si="83"/>
        <v/>
      </c>
    </row>
    <row r="756" spans="1:24" s="147" customFormat="1">
      <c r="A756" s="172"/>
      <c r="B756" s="151"/>
      <c r="C756" s="151"/>
      <c r="D756" s="151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38"/>
      <c r="Q756" s="255" t="str">
        <f t="shared" si="84"/>
        <v/>
      </c>
      <c r="R756" s="139" t="str">
        <f t="shared" si="85"/>
        <v/>
      </c>
      <c r="S756" s="128" t="str">
        <f t="shared" si="79"/>
        <v/>
      </c>
      <c r="T756" s="140" t="str">
        <f t="shared" si="80"/>
        <v/>
      </c>
      <c r="U756" s="141" t="str">
        <f t="shared" si="81"/>
        <v/>
      </c>
      <c r="V756" s="141" t="str">
        <f t="shared" si="82"/>
        <v/>
      </c>
      <c r="W756" s="142"/>
      <c r="X756" s="186" t="str">
        <f t="shared" si="83"/>
        <v/>
      </c>
    </row>
    <row r="757" spans="1:24" s="147" customFormat="1">
      <c r="A757" s="170"/>
      <c r="B757" s="145"/>
      <c r="C757" s="145"/>
      <c r="D757" s="149"/>
      <c r="E757" s="150"/>
      <c r="F757" s="145"/>
      <c r="G757" s="145"/>
      <c r="H757" s="145"/>
      <c r="I757" s="145"/>
      <c r="J757" s="145"/>
      <c r="K757" s="145"/>
      <c r="L757" s="145"/>
      <c r="M757" s="145"/>
      <c r="N757" s="149"/>
      <c r="O757" s="145"/>
      <c r="P757" s="138"/>
      <c r="Q757" s="255" t="str">
        <f t="shared" si="84"/>
        <v/>
      </c>
      <c r="R757" s="139" t="str">
        <f t="shared" si="85"/>
        <v/>
      </c>
      <c r="S757" s="128" t="str">
        <f t="shared" si="79"/>
        <v/>
      </c>
      <c r="T757" s="140" t="str">
        <f t="shared" si="80"/>
        <v/>
      </c>
      <c r="U757" s="141" t="str">
        <f t="shared" si="81"/>
        <v/>
      </c>
      <c r="V757" s="141" t="str">
        <f t="shared" si="82"/>
        <v/>
      </c>
      <c r="W757" s="142"/>
      <c r="X757" s="186" t="str">
        <f t="shared" si="83"/>
        <v/>
      </c>
    </row>
    <row r="758" spans="1:24" s="147" customFormat="1">
      <c r="A758" s="170"/>
      <c r="B758" s="145"/>
      <c r="C758" s="145"/>
      <c r="D758" s="149"/>
      <c r="E758" s="150"/>
      <c r="F758" s="145"/>
      <c r="G758" s="145"/>
      <c r="H758" s="145"/>
      <c r="I758" s="145"/>
      <c r="J758" s="145"/>
      <c r="K758" s="145"/>
      <c r="L758" s="145"/>
      <c r="M758" s="145"/>
      <c r="N758" s="149"/>
      <c r="O758" s="145"/>
      <c r="P758" s="138"/>
      <c r="Q758" s="255" t="str">
        <f t="shared" si="84"/>
        <v/>
      </c>
      <c r="R758" s="139" t="str">
        <f t="shared" si="85"/>
        <v/>
      </c>
      <c r="S758" s="128" t="str">
        <f t="shared" si="79"/>
        <v/>
      </c>
      <c r="T758" s="140" t="str">
        <f t="shared" si="80"/>
        <v/>
      </c>
      <c r="U758" s="141" t="str">
        <f t="shared" si="81"/>
        <v/>
      </c>
      <c r="V758" s="141" t="str">
        <f t="shared" si="82"/>
        <v/>
      </c>
      <c r="W758" s="142"/>
      <c r="X758" s="186" t="str">
        <f t="shared" si="83"/>
        <v/>
      </c>
    </row>
    <row r="759" spans="1:24" s="147" customFormat="1">
      <c r="A759" s="170"/>
      <c r="B759" s="145"/>
      <c r="C759" s="145"/>
      <c r="D759" s="149"/>
      <c r="E759" s="150"/>
      <c r="F759" s="145"/>
      <c r="G759" s="145"/>
      <c r="H759" s="145"/>
      <c r="I759" s="145"/>
      <c r="J759" s="145"/>
      <c r="K759" s="145"/>
      <c r="L759" s="145"/>
      <c r="M759" s="145"/>
      <c r="N759" s="149"/>
      <c r="O759" s="145"/>
      <c r="P759" s="138"/>
      <c r="Q759" s="255" t="str">
        <f t="shared" si="84"/>
        <v/>
      </c>
      <c r="R759" s="139" t="str">
        <f t="shared" si="85"/>
        <v/>
      </c>
      <c r="S759" s="128" t="str">
        <f t="shared" si="79"/>
        <v/>
      </c>
      <c r="T759" s="140" t="str">
        <f t="shared" si="80"/>
        <v/>
      </c>
      <c r="U759" s="141" t="str">
        <f t="shared" si="81"/>
        <v/>
      </c>
      <c r="V759" s="141" t="str">
        <f t="shared" si="82"/>
        <v/>
      </c>
      <c r="W759" s="142"/>
      <c r="X759" s="186" t="str">
        <f t="shared" si="83"/>
        <v/>
      </c>
    </row>
    <row r="760" spans="1:24" s="147" customFormat="1">
      <c r="A760" s="170"/>
      <c r="B760" s="145"/>
      <c r="C760" s="145"/>
      <c r="D760" s="149"/>
      <c r="E760" s="150"/>
      <c r="F760" s="145"/>
      <c r="G760" s="145"/>
      <c r="H760" s="145"/>
      <c r="I760" s="145"/>
      <c r="J760" s="145"/>
      <c r="K760" s="145"/>
      <c r="L760" s="145"/>
      <c r="M760" s="145"/>
      <c r="N760" s="149"/>
      <c r="O760" s="145"/>
      <c r="P760" s="138"/>
      <c r="Q760" s="255" t="str">
        <f t="shared" si="84"/>
        <v/>
      </c>
      <c r="R760" s="139" t="str">
        <f t="shared" si="85"/>
        <v/>
      </c>
      <c r="S760" s="128" t="str">
        <f t="shared" si="79"/>
        <v/>
      </c>
      <c r="T760" s="140" t="str">
        <f t="shared" si="80"/>
        <v/>
      </c>
      <c r="U760" s="141" t="str">
        <f t="shared" si="81"/>
        <v/>
      </c>
      <c r="V760" s="141" t="str">
        <f t="shared" si="82"/>
        <v/>
      </c>
      <c r="W760" s="142"/>
      <c r="X760" s="186" t="str">
        <f t="shared" si="83"/>
        <v/>
      </c>
    </row>
    <row r="761" spans="1:24" s="147" customFormat="1">
      <c r="A761" s="170"/>
      <c r="B761" s="145"/>
      <c r="C761" s="145"/>
      <c r="D761" s="149"/>
      <c r="E761" s="150"/>
      <c r="F761" s="145"/>
      <c r="G761" s="145"/>
      <c r="H761" s="145"/>
      <c r="I761" s="145"/>
      <c r="J761" s="145"/>
      <c r="K761" s="145"/>
      <c r="L761" s="145"/>
      <c r="M761" s="145"/>
      <c r="N761" s="149"/>
      <c r="O761" s="145"/>
      <c r="P761" s="138"/>
      <c r="Q761" s="255" t="str">
        <f t="shared" si="84"/>
        <v/>
      </c>
      <c r="R761" s="139" t="str">
        <f t="shared" si="85"/>
        <v/>
      </c>
      <c r="S761" s="128" t="str">
        <f t="shared" si="79"/>
        <v/>
      </c>
      <c r="T761" s="140" t="str">
        <f t="shared" si="80"/>
        <v/>
      </c>
      <c r="U761" s="141" t="str">
        <f t="shared" si="81"/>
        <v/>
      </c>
      <c r="V761" s="141" t="str">
        <f t="shared" si="82"/>
        <v/>
      </c>
      <c r="W761" s="142"/>
      <c r="X761" s="186" t="str">
        <f t="shared" si="83"/>
        <v/>
      </c>
    </row>
    <row r="762" spans="1:24" s="147" customFormat="1">
      <c r="A762" s="170"/>
      <c r="B762" s="145"/>
      <c r="C762" s="145"/>
      <c r="D762" s="146"/>
      <c r="E762" s="150"/>
      <c r="F762" s="145"/>
      <c r="G762" s="145"/>
      <c r="H762" s="145"/>
      <c r="I762" s="145"/>
      <c r="J762" s="145"/>
      <c r="K762" s="145"/>
      <c r="L762" s="145"/>
      <c r="M762" s="145"/>
      <c r="N762" s="149"/>
      <c r="O762" s="145"/>
      <c r="P762" s="138"/>
      <c r="Q762" s="255" t="str">
        <f t="shared" si="84"/>
        <v/>
      </c>
      <c r="R762" s="139" t="str">
        <f t="shared" si="85"/>
        <v/>
      </c>
      <c r="S762" s="128" t="str">
        <f t="shared" si="79"/>
        <v/>
      </c>
      <c r="T762" s="140" t="str">
        <f t="shared" si="80"/>
        <v/>
      </c>
      <c r="U762" s="141" t="str">
        <f t="shared" si="81"/>
        <v/>
      </c>
      <c r="V762" s="141" t="str">
        <f t="shared" si="82"/>
        <v/>
      </c>
      <c r="W762" s="142"/>
      <c r="X762" s="186" t="str">
        <f t="shared" si="83"/>
        <v/>
      </c>
    </row>
    <row r="763" spans="1:24" s="147" customFormat="1">
      <c r="A763" s="170"/>
      <c r="B763" s="145"/>
      <c r="C763" s="145"/>
      <c r="D763" s="145"/>
      <c r="E763" s="150"/>
      <c r="F763" s="145"/>
      <c r="G763" s="145"/>
      <c r="H763" s="145"/>
      <c r="I763" s="145"/>
      <c r="J763" s="145"/>
      <c r="K763" s="145"/>
      <c r="L763" s="145"/>
      <c r="M763" s="145"/>
      <c r="N763" s="146"/>
      <c r="O763" s="145"/>
      <c r="P763" s="138"/>
      <c r="Q763" s="255" t="str">
        <f t="shared" si="84"/>
        <v/>
      </c>
      <c r="R763" s="139" t="str">
        <f t="shared" si="85"/>
        <v/>
      </c>
      <c r="S763" s="128" t="str">
        <f t="shared" si="79"/>
        <v/>
      </c>
      <c r="T763" s="140" t="str">
        <f t="shared" si="80"/>
        <v/>
      </c>
      <c r="U763" s="141" t="str">
        <f t="shared" si="81"/>
        <v/>
      </c>
      <c r="V763" s="141" t="str">
        <f t="shared" si="82"/>
        <v/>
      </c>
      <c r="W763" s="142"/>
      <c r="X763" s="186" t="str">
        <f t="shared" si="83"/>
        <v/>
      </c>
    </row>
    <row r="764" spans="1:24" s="147" customFormat="1">
      <c r="A764" s="170"/>
      <c r="B764" s="145"/>
      <c r="C764" s="145"/>
      <c r="D764" s="145"/>
      <c r="E764" s="150"/>
      <c r="F764" s="145"/>
      <c r="G764" s="145"/>
      <c r="H764" s="145"/>
      <c r="I764" s="145"/>
      <c r="J764" s="145"/>
      <c r="K764" s="145"/>
      <c r="L764" s="145"/>
      <c r="M764" s="145"/>
      <c r="N764" s="146"/>
      <c r="O764" s="145"/>
      <c r="P764" s="138"/>
      <c r="Q764" s="255" t="str">
        <f t="shared" si="84"/>
        <v/>
      </c>
      <c r="R764" s="139" t="str">
        <f t="shared" si="85"/>
        <v/>
      </c>
      <c r="S764" s="128" t="str">
        <f t="shared" si="79"/>
        <v/>
      </c>
      <c r="T764" s="140" t="str">
        <f t="shared" si="80"/>
        <v/>
      </c>
      <c r="U764" s="141" t="str">
        <f t="shared" si="81"/>
        <v/>
      </c>
      <c r="V764" s="141" t="str">
        <f t="shared" si="82"/>
        <v/>
      </c>
      <c r="W764" s="142"/>
      <c r="X764" s="186" t="str">
        <f t="shared" si="83"/>
        <v/>
      </c>
    </row>
    <row r="765" spans="1:24" s="147" customFormat="1">
      <c r="A765" s="170"/>
      <c r="B765" s="145"/>
      <c r="C765" s="145"/>
      <c r="D765" s="145"/>
      <c r="E765" s="150"/>
      <c r="F765" s="145"/>
      <c r="G765" s="145"/>
      <c r="H765" s="145"/>
      <c r="I765" s="145"/>
      <c r="J765" s="145"/>
      <c r="K765" s="145"/>
      <c r="L765" s="145"/>
      <c r="M765" s="145"/>
      <c r="N765" s="149"/>
      <c r="O765" s="145"/>
      <c r="P765" s="138"/>
      <c r="Q765" s="255" t="str">
        <f t="shared" si="84"/>
        <v/>
      </c>
      <c r="R765" s="139" t="str">
        <f t="shared" si="85"/>
        <v/>
      </c>
      <c r="S765" s="128" t="str">
        <f t="shared" si="79"/>
        <v/>
      </c>
      <c r="T765" s="140" t="str">
        <f t="shared" si="80"/>
        <v/>
      </c>
      <c r="U765" s="141" t="str">
        <f t="shared" si="81"/>
        <v/>
      </c>
      <c r="V765" s="141" t="str">
        <f t="shared" si="82"/>
        <v/>
      </c>
      <c r="W765" s="142"/>
      <c r="X765" s="186" t="str">
        <f t="shared" si="83"/>
        <v/>
      </c>
    </row>
    <row r="766" spans="1:24" s="147" customFormat="1">
      <c r="A766" s="172"/>
      <c r="B766" s="151"/>
      <c r="C766" s="151"/>
      <c r="D766" s="151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38"/>
      <c r="Q766" s="255" t="str">
        <f t="shared" si="84"/>
        <v/>
      </c>
      <c r="R766" s="139" t="str">
        <f t="shared" si="85"/>
        <v/>
      </c>
      <c r="S766" s="128" t="str">
        <f t="shared" si="79"/>
        <v/>
      </c>
      <c r="T766" s="140" t="str">
        <f t="shared" si="80"/>
        <v/>
      </c>
      <c r="U766" s="141" t="str">
        <f t="shared" si="81"/>
        <v/>
      </c>
      <c r="V766" s="141" t="str">
        <f t="shared" si="82"/>
        <v/>
      </c>
      <c r="W766" s="142"/>
      <c r="X766" s="186" t="str">
        <f t="shared" si="83"/>
        <v/>
      </c>
    </row>
    <row r="767" spans="1:24" s="147" customFormat="1">
      <c r="A767" s="170"/>
      <c r="B767" s="145"/>
      <c r="C767" s="145"/>
      <c r="D767" s="149"/>
      <c r="E767" s="145"/>
      <c r="F767" s="145"/>
      <c r="G767" s="145"/>
      <c r="H767" s="145"/>
      <c r="I767" s="145"/>
      <c r="J767" s="145"/>
      <c r="K767" s="145"/>
      <c r="L767" s="145"/>
      <c r="M767" s="145"/>
      <c r="N767" s="149"/>
      <c r="O767" s="145"/>
      <c r="P767" s="138"/>
      <c r="Q767" s="255" t="str">
        <f t="shared" si="84"/>
        <v/>
      </c>
      <c r="R767" s="139" t="str">
        <f t="shared" si="85"/>
        <v/>
      </c>
      <c r="S767" s="128" t="str">
        <f t="shared" si="79"/>
        <v/>
      </c>
      <c r="T767" s="140" t="str">
        <f t="shared" si="80"/>
        <v/>
      </c>
      <c r="U767" s="141" t="str">
        <f t="shared" si="81"/>
        <v/>
      </c>
      <c r="V767" s="141" t="str">
        <f t="shared" si="82"/>
        <v/>
      </c>
      <c r="W767" s="142"/>
      <c r="X767" s="186" t="str">
        <f t="shared" si="83"/>
        <v/>
      </c>
    </row>
    <row r="768" spans="1:24" s="147" customFormat="1">
      <c r="A768" s="170"/>
      <c r="B768" s="145"/>
      <c r="C768" s="145"/>
      <c r="D768" s="149"/>
      <c r="E768" s="145"/>
      <c r="F768" s="145"/>
      <c r="G768" s="145"/>
      <c r="H768" s="145"/>
      <c r="I768" s="145"/>
      <c r="J768" s="145"/>
      <c r="K768" s="145"/>
      <c r="L768" s="145"/>
      <c r="M768" s="145"/>
      <c r="N768" s="149"/>
      <c r="O768" s="145"/>
      <c r="P768" s="138"/>
      <c r="Q768" s="255" t="str">
        <f t="shared" si="84"/>
        <v/>
      </c>
      <c r="R768" s="139" t="str">
        <f t="shared" si="85"/>
        <v/>
      </c>
      <c r="S768" s="128" t="str">
        <f t="shared" si="79"/>
        <v/>
      </c>
      <c r="T768" s="140" t="str">
        <f t="shared" si="80"/>
        <v/>
      </c>
      <c r="U768" s="141" t="str">
        <f t="shared" si="81"/>
        <v/>
      </c>
      <c r="V768" s="141" t="str">
        <f t="shared" si="82"/>
        <v/>
      </c>
      <c r="W768" s="142"/>
      <c r="X768" s="186" t="str">
        <f t="shared" si="83"/>
        <v/>
      </c>
    </row>
    <row r="769" spans="1:24" s="147" customFormat="1">
      <c r="A769" s="170"/>
      <c r="B769" s="145"/>
      <c r="C769" s="145"/>
      <c r="D769" s="149"/>
      <c r="E769" s="145"/>
      <c r="F769" s="145"/>
      <c r="G769" s="145"/>
      <c r="H769" s="145"/>
      <c r="I769" s="145"/>
      <c r="J769" s="145"/>
      <c r="K769" s="145"/>
      <c r="L769" s="145"/>
      <c r="M769" s="145"/>
      <c r="N769" s="149"/>
      <c r="O769" s="145"/>
      <c r="P769" s="138"/>
      <c r="Q769" s="255" t="str">
        <f t="shared" si="84"/>
        <v/>
      </c>
      <c r="R769" s="139" t="str">
        <f t="shared" si="85"/>
        <v/>
      </c>
      <c r="S769" s="128" t="str">
        <f t="shared" si="79"/>
        <v/>
      </c>
      <c r="T769" s="140" t="str">
        <f t="shared" si="80"/>
        <v/>
      </c>
      <c r="U769" s="141" t="str">
        <f t="shared" si="81"/>
        <v/>
      </c>
      <c r="V769" s="141" t="str">
        <f t="shared" si="82"/>
        <v/>
      </c>
      <c r="W769" s="142"/>
      <c r="X769" s="186" t="str">
        <f t="shared" si="83"/>
        <v/>
      </c>
    </row>
    <row r="770" spans="1:24" s="147" customFormat="1">
      <c r="A770" s="170"/>
      <c r="B770" s="145"/>
      <c r="C770" s="145"/>
      <c r="D770" s="149"/>
      <c r="E770" s="145"/>
      <c r="F770" s="145"/>
      <c r="G770" s="145"/>
      <c r="H770" s="145"/>
      <c r="I770" s="145"/>
      <c r="J770" s="145"/>
      <c r="K770" s="145"/>
      <c r="L770" s="145"/>
      <c r="M770" s="145"/>
      <c r="N770" s="149"/>
      <c r="O770" s="145"/>
      <c r="P770" s="138"/>
      <c r="Q770" s="255" t="str">
        <f t="shared" si="84"/>
        <v/>
      </c>
      <c r="R770" s="139" t="str">
        <f t="shared" si="85"/>
        <v/>
      </c>
      <c r="S770" s="128" t="str">
        <f t="shared" si="79"/>
        <v/>
      </c>
      <c r="T770" s="140" t="str">
        <f t="shared" si="80"/>
        <v/>
      </c>
      <c r="U770" s="141" t="str">
        <f t="shared" si="81"/>
        <v/>
      </c>
      <c r="V770" s="141" t="str">
        <f t="shared" si="82"/>
        <v/>
      </c>
      <c r="W770" s="142"/>
      <c r="X770" s="186" t="str">
        <f t="shared" si="83"/>
        <v/>
      </c>
    </row>
    <row r="771" spans="1:24" s="147" customFormat="1">
      <c r="A771" s="170"/>
      <c r="B771" s="145"/>
      <c r="C771" s="145"/>
      <c r="D771" s="149"/>
      <c r="E771" s="145"/>
      <c r="F771" s="145"/>
      <c r="G771" s="145"/>
      <c r="H771" s="145"/>
      <c r="I771" s="145"/>
      <c r="J771" s="145"/>
      <c r="K771" s="145"/>
      <c r="L771" s="145"/>
      <c r="M771" s="145"/>
      <c r="N771" s="149"/>
      <c r="O771" s="145"/>
      <c r="P771" s="138"/>
      <c r="Q771" s="255" t="str">
        <f t="shared" si="84"/>
        <v/>
      </c>
      <c r="R771" s="139" t="str">
        <f t="shared" si="85"/>
        <v/>
      </c>
      <c r="S771" s="128" t="str">
        <f t="shared" si="79"/>
        <v/>
      </c>
      <c r="T771" s="140" t="str">
        <f t="shared" si="80"/>
        <v/>
      </c>
      <c r="U771" s="141" t="str">
        <f t="shared" si="81"/>
        <v/>
      </c>
      <c r="V771" s="141" t="str">
        <f t="shared" si="82"/>
        <v/>
      </c>
      <c r="W771" s="142"/>
      <c r="X771" s="186" t="str">
        <f t="shared" si="83"/>
        <v/>
      </c>
    </row>
    <row r="772" spans="1:24" s="147" customFormat="1">
      <c r="A772" s="170"/>
      <c r="B772" s="145"/>
      <c r="C772" s="145"/>
      <c r="D772" s="149"/>
      <c r="E772" s="145"/>
      <c r="F772" s="145"/>
      <c r="G772" s="145"/>
      <c r="H772" s="145"/>
      <c r="I772" s="145"/>
      <c r="J772" s="145"/>
      <c r="K772" s="145"/>
      <c r="L772" s="145"/>
      <c r="M772" s="145"/>
      <c r="N772" s="149"/>
      <c r="O772" s="145"/>
      <c r="P772" s="138"/>
      <c r="Q772" s="255" t="str">
        <f t="shared" si="84"/>
        <v/>
      </c>
      <c r="R772" s="139" t="str">
        <f t="shared" si="85"/>
        <v/>
      </c>
      <c r="S772" s="128" t="str">
        <f t="shared" si="79"/>
        <v/>
      </c>
      <c r="T772" s="140" t="str">
        <f t="shared" si="80"/>
        <v/>
      </c>
      <c r="U772" s="141" t="str">
        <f t="shared" si="81"/>
        <v/>
      </c>
      <c r="V772" s="141" t="str">
        <f t="shared" si="82"/>
        <v/>
      </c>
      <c r="W772" s="142"/>
      <c r="X772" s="186" t="str">
        <f t="shared" si="83"/>
        <v/>
      </c>
    </row>
    <row r="773" spans="1:24" s="147" customFormat="1">
      <c r="A773" s="170"/>
      <c r="B773" s="145"/>
      <c r="C773" s="145"/>
      <c r="D773" s="149"/>
      <c r="E773" s="145"/>
      <c r="F773" s="145"/>
      <c r="G773" s="145"/>
      <c r="H773" s="145"/>
      <c r="I773" s="145"/>
      <c r="J773" s="145"/>
      <c r="K773" s="145"/>
      <c r="L773" s="145"/>
      <c r="M773" s="145"/>
      <c r="N773" s="149"/>
      <c r="O773" s="145"/>
      <c r="P773" s="138"/>
      <c r="Q773" s="255" t="str">
        <f t="shared" si="84"/>
        <v/>
      </c>
      <c r="R773" s="139" t="str">
        <f t="shared" si="85"/>
        <v/>
      </c>
      <c r="S773" s="128" t="str">
        <f t="shared" si="79"/>
        <v/>
      </c>
      <c r="T773" s="140" t="str">
        <f t="shared" si="80"/>
        <v/>
      </c>
      <c r="U773" s="141" t="str">
        <f t="shared" si="81"/>
        <v/>
      </c>
      <c r="V773" s="141" t="str">
        <f t="shared" si="82"/>
        <v/>
      </c>
      <c r="W773" s="142"/>
      <c r="X773" s="186" t="str">
        <f t="shared" si="83"/>
        <v/>
      </c>
    </row>
    <row r="774" spans="1:24" s="147" customFormat="1">
      <c r="A774" s="170"/>
      <c r="B774" s="145"/>
      <c r="C774" s="145"/>
      <c r="D774" s="149"/>
      <c r="E774" s="145"/>
      <c r="F774" s="145"/>
      <c r="G774" s="145"/>
      <c r="H774" s="145"/>
      <c r="I774" s="145"/>
      <c r="J774" s="145"/>
      <c r="K774" s="145"/>
      <c r="L774" s="145"/>
      <c r="M774" s="145"/>
      <c r="N774" s="149"/>
      <c r="O774" s="145"/>
      <c r="P774" s="138"/>
      <c r="Q774" s="255" t="str">
        <f t="shared" si="84"/>
        <v/>
      </c>
      <c r="R774" s="139" t="str">
        <f t="shared" si="85"/>
        <v/>
      </c>
      <c r="S774" s="128" t="str">
        <f t="shared" si="79"/>
        <v/>
      </c>
      <c r="T774" s="140" t="str">
        <f t="shared" si="80"/>
        <v/>
      </c>
      <c r="U774" s="141" t="str">
        <f t="shared" si="81"/>
        <v/>
      </c>
      <c r="V774" s="141" t="str">
        <f t="shared" si="82"/>
        <v/>
      </c>
      <c r="W774" s="142"/>
      <c r="X774" s="186" t="str">
        <f t="shared" si="83"/>
        <v/>
      </c>
    </row>
    <row r="775" spans="1:24" s="147" customFormat="1">
      <c r="A775" s="170"/>
      <c r="B775" s="145"/>
      <c r="C775" s="145"/>
      <c r="D775" s="149"/>
      <c r="E775" s="145"/>
      <c r="F775" s="145"/>
      <c r="G775" s="145"/>
      <c r="H775" s="145"/>
      <c r="I775" s="145"/>
      <c r="J775" s="145"/>
      <c r="K775" s="145"/>
      <c r="L775" s="145"/>
      <c r="M775" s="145"/>
      <c r="N775" s="149"/>
      <c r="O775" s="145"/>
      <c r="P775" s="138"/>
      <c r="Q775" s="255" t="str">
        <f t="shared" si="84"/>
        <v/>
      </c>
      <c r="R775" s="139" t="str">
        <f t="shared" si="85"/>
        <v/>
      </c>
      <c r="S775" s="128" t="str">
        <f t="shared" ref="S775:S838" si="86">IF(D775="","",IF(IFERROR(FIND("資",D775)&gt;0,FALSE),"資券",IF(IFERROR(FIND("券",D775)&gt;0,FALSE),"資券","波段")))</f>
        <v/>
      </c>
      <c r="T775" s="140" t="str">
        <f t="shared" ref="T775:T838" si="87">IF(F775="","",F775)</f>
        <v/>
      </c>
      <c r="U775" s="141" t="str">
        <f t="shared" ref="U775:U838" si="88">IF(D775="","",IF(IFERROR(FIND("買",D775)&gt;0,FALSE),E775,IF(IFERROR(FIND("賣",D775)&gt;0,FALSE),-E775,IF(IFERROR(FIND("資",D775)&gt;0,FALSE),E775,-E775))))</f>
        <v/>
      </c>
      <c r="V775" s="141" t="str">
        <f t="shared" ref="V775:V838" si="89">IF(Q775="","",T775*U775*-1)</f>
        <v/>
      </c>
      <c r="W775" s="142"/>
      <c r="X775" s="186" t="str">
        <f t="shared" ref="X775:X838" si="90">IFERROR((-1)*LEFT(N775,FIND("扣",N775)-1),IFERROR(1*LEFT(N775,FIND("入",N775)-1),""))</f>
        <v/>
      </c>
    </row>
    <row r="776" spans="1:24" s="147" customFormat="1">
      <c r="A776" s="170"/>
      <c r="B776" s="145"/>
      <c r="C776" s="145"/>
      <c r="D776" s="149"/>
      <c r="E776" s="145"/>
      <c r="F776" s="145"/>
      <c r="G776" s="145"/>
      <c r="H776" s="145"/>
      <c r="I776" s="145"/>
      <c r="J776" s="145"/>
      <c r="K776" s="145"/>
      <c r="L776" s="145"/>
      <c r="M776" s="145"/>
      <c r="N776" s="149"/>
      <c r="O776" s="145"/>
      <c r="P776" s="138"/>
      <c r="Q776" s="255" t="str">
        <f t="shared" ref="Q776:Q839" si="91">IF(B776="","",DATE(LEFT(B776,3)+1911,MID(B776,4,2),RIGHT(B776,2)))</f>
        <v/>
      </c>
      <c r="R776" s="139" t="str">
        <f t="shared" ref="R776:R839" si="92">IF(C776="","",IFERROR(INDEX(代號1,MATCH($C776,股名1,0)),IFERROR(INDEX(代號2,MATCH($C776,股名2,0)),INDEX(代號3,MATCH($C776,股名3,0)))))</f>
        <v/>
      </c>
      <c r="S776" s="128" t="str">
        <f t="shared" si="86"/>
        <v/>
      </c>
      <c r="T776" s="140" t="str">
        <f t="shared" si="87"/>
        <v/>
      </c>
      <c r="U776" s="141" t="str">
        <f t="shared" si="88"/>
        <v/>
      </c>
      <c r="V776" s="141" t="str">
        <f t="shared" si="89"/>
        <v/>
      </c>
      <c r="W776" s="142"/>
      <c r="X776" s="186" t="str">
        <f t="shared" si="90"/>
        <v/>
      </c>
    </row>
    <row r="777" spans="1:24" s="147" customFormat="1">
      <c r="A777" s="170"/>
      <c r="B777" s="145"/>
      <c r="C777" s="145"/>
      <c r="D777" s="149"/>
      <c r="E777" s="145"/>
      <c r="F777" s="145"/>
      <c r="G777" s="145"/>
      <c r="H777" s="145"/>
      <c r="I777" s="145"/>
      <c r="J777" s="145"/>
      <c r="K777" s="145"/>
      <c r="L777" s="145"/>
      <c r="M777" s="145"/>
      <c r="N777" s="149"/>
      <c r="O777" s="145"/>
      <c r="P777" s="138"/>
      <c r="Q777" s="255" t="str">
        <f t="shared" si="91"/>
        <v/>
      </c>
      <c r="R777" s="139" t="str">
        <f t="shared" si="92"/>
        <v/>
      </c>
      <c r="S777" s="128" t="str">
        <f t="shared" si="86"/>
        <v/>
      </c>
      <c r="T777" s="140" t="str">
        <f t="shared" si="87"/>
        <v/>
      </c>
      <c r="U777" s="141" t="str">
        <f t="shared" si="88"/>
        <v/>
      </c>
      <c r="V777" s="141" t="str">
        <f t="shared" si="89"/>
        <v/>
      </c>
      <c r="W777" s="142"/>
      <c r="X777" s="186" t="str">
        <f t="shared" si="90"/>
        <v/>
      </c>
    </row>
    <row r="778" spans="1:24" s="147" customFormat="1">
      <c r="A778" s="170"/>
      <c r="B778" s="145"/>
      <c r="C778" s="145"/>
      <c r="D778" s="149"/>
      <c r="E778" s="145"/>
      <c r="F778" s="145"/>
      <c r="G778" s="145"/>
      <c r="H778" s="145"/>
      <c r="I778" s="145"/>
      <c r="J778" s="145"/>
      <c r="K778" s="145"/>
      <c r="L778" s="145"/>
      <c r="M778" s="145"/>
      <c r="N778" s="149"/>
      <c r="O778" s="145"/>
      <c r="P778" s="138"/>
      <c r="Q778" s="255" t="str">
        <f t="shared" si="91"/>
        <v/>
      </c>
      <c r="R778" s="139" t="str">
        <f t="shared" si="92"/>
        <v/>
      </c>
      <c r="S778" s="128" t="str">
        <f t="shared" si="86"/>
        <v/>
      </c>
      <c r="T778" s="140" t="str">
        <f t="shared" si="87"/>
        <v/>
      </c>
      <c r="U778" s="141" t="str">
        <f t="shared" si="88"/>
        <v/>
      </c>
      <c r="V778" s="141" t="str">
        <f t="shared" si="89"/>
        <v/>
      </c>
      <c r="W778" s="142"/>
      <c r="X778" s="186" t="str">
        <f t="shared" si="90"/>
        <v/>
      </c>
    </row>
    <row r="779" spans="1:24" s="147" customFormat="1">
      <c r="A779" s="170"/>
      <c r="B779" s="145"/>
      <c r="C779" s="145"/>
      <c r="D779" s="149"/>
      <c r="E779" s="145"/>
      <c r="F779" s="145"/>
      <c r="G779" s="145"/>
      <c r="H779" s="145"/>
      <c r="I779" s="145"/>
      <c r="J779" s="145"/>
      <c r="K779" s="145"/>
      <c r="L779" s="145"/>
      <c r="M779" s="145"/>
      <c r="N779" s="149"/>
      <c r="O779" s="145"/>
      <c r="P779" s="138"/>
      <c r="Q779" s="255" t="str">
        <f t="shared" si="91"/>
        <v/>
      </c>
      <c r="R779" s="139" t="str">
        <f t="shared" si="92"/>
        <v/>
      </c>
      <c r="S779" s="128" t="str">
        <f t="shared" si="86"/>
        <v/>
      </c>
      <c r="T779" s="140" t="str">
        <f t="shared" si="87"/>
        <v/>
      </c>
      <c r="U779" s="141" t="str">
        <f t="shared" si="88"/>
        <v/>
      </c>
      <c r="V779" s="141" t="str">
        <f t="shared" si="89"/>
        <v/>
      </c>
      <c r="W779" s="142"/>
      <c r="X779" s="186" t="str">
        <f t="shared" si="90"/>
        <v/>
      </c>
    </row>
    <row r="780" spans="1:24" s="147" customFormat="1">
      <c r="A780" s="170"/>
      <c r="B780" s="145"/>
      <c r="C780" s="145"/>
      <c r="D780" s="149"/>
      <c r="E780" s="145"/>
      <c r="F780" s="145"/>
      <c r="G780" s="145"/>
      <c r="H780" s="145"/>
      <c r="I780" s="145"/>
      <c r="J780" s="145"/>
      <c r="K780" s="145"/>
      <c r="L780" s="145"/>
      <c r="M780" s="145"/>
      <c r="N780" s="149"/>
      <c r="O780" s="145"/>
      <c r="P780" s="138"/>
      <c r="Q780" s="255" t="str">
        <f t="shared" si="91"/>
        <v/>
      </c>
      <c r="R780" s="139" t="str">
        <f t="shared" si="92"/>
        <v/>
      </c>
      <c r="S780" s="128" t="str">
        <f t="shared" si="86"/>
        <v/>
      </c>
      <c r="T780" s="140" t="str">
        <f t="shared" si="87"/>
        <v/>
      </c>
      <c r="U780" s="141" t="str">
        <f t="shared" si="88"/>
        <v/>
      </c>
      <c r="V780" s="141" t="str">
        <f t="shared" si="89"/>
        <v/>
      </c>
      <c r="W780" s="142"/>
      <c r="X780" s="186" t="str">
        <f t="shared" si="90"/>
        <v/>
      </c>
    </row>
    <row r="781" spans="1:24" s="147" customFormat="1">
      <c r="A781" s="170"/>
      <c r="B781" s="145"/>
      <c r="C781" s="145"/>
      <c r="D781" s="149"/>
      <c r="E781" s="145"/>
      <c r="F781" s="145"/>
      <c r="G781" s="145"/>
      <c r="H781" s="145"/>
      <c r="I781" s="145"/>
      <c r="J781" s="145"/>
      <c r="K781" s="145"/>
      <c r="L781" s="145"/>
      <c r="M781" s="145"/>
      <c r="N781" s="149"/>
      <c r="O781" s="145"/>
      <c r="P781" s="138"/>
      <c r="Q781" s="255" t="str">
        <f t="shared" si="91"/>
        <v/>
      </c>
      <c r="R781" s="139" t="str">
        <f t="shared" si="92"/>
        <v/>
      </c>
      <c r="S781" s="128" t="str">
        <f t="shared" si="86"/>
        <v/>
      </c>
      <c r="T781" s="140" t="str">
        <f t="shared" si="87"/>
        <v/>
      </c>
      <c r="U781" s="141" t="str">
        <f t="shared" si="88"/>
        <v/>
      </c>
      <c r="V781" s="141" t="str">
        <f t="shared" si="89"/>
        <v/>
      </c>
      <c r="W781" s="142"/>
      <c r="X781" s="186" t="str">
        <f t="shared" si="90"/>
        <v/>
      </c>
    </row>
    <row r="782" spans="1:24" s="147" customFormat="1">
      <c r="A782" s="170"/>
      <c r="B782" s="145"/>
      <c r="C782" s="145"/>
      <c r="D782" s="149"/>
      <c r="E782" s="145"/>
      <c r="F782" s="145"/>
      <c r="G782" s="145"/>
      <c r="H782" s="145"/>
      <c r="I782" s="145"/>
      <c r="J782" s="145"/>
      <c r="K782" s="145"/>
      <c r="L782" s="145"/>
      <c r="M782" s="145"/>
      <c r="N782" s="149"/>
      <c r="O782" s="145"/>
      <c r="P782" s="138"/>
      <c r="Q782" s="255" t="str">
        <f t="shared" si="91"/>
        <v/>
      </c>
      <c r="R782" s="139" t="str">
        <f t="shared" si="92"/>
        <v/>
      </c>
      <c r="S782" s="128" t="str">
        <f t="shared" si="86"/>
        <v/>
      </c>
      <c r="T782" s="140" t="str">
        <f t="shared" si="87"/>
        <v/>
      </c>
      <c r="U782" s="141" t="str">
        <f t="shared" si="88"/>
        <v/>
      </c>
      <c r="V782" s="141" t="str">
        <f t="shared" si="89"/>
        <v/>
      </c>
      <c r="W782" s="142"/>
      <c r="X782" s="186" t="str">
        <f t="shared" si="90"/>
        <v/>
      </c>
    </row>
    <row r="783" spans="1:24" s="147" customFormat="1">
      <c r="A783" s="170"/>
      <c r="B783" s="145"/>
      <c r="C783" s="145"/>
      <c r="D783" s="145"/>
      <c r="E783" s="150"/>
      <c r="F783" s="145"/>
      <c r="G783" s="145"/>
      <c r="H783" s="145"/>
      <c r="I783" s="145"/>
      <c r="J783" s="145"/>
      <c r="K783" s="145"/>
      <c r="L783" s="145"/>
      <c r="M783" s="145"/>
      <c r="N783" s="149"/>
      <c r="O783" s="145"/>
      <c r="P783" s="138"/>
      <c r="Q783" s="255" t="str">
        <f t="shared" si="91"/>
        <v/>
      </c>
      <c r="R783" s="139" t="str">
        <f t="shared" si="92"/>
        <v/>
      </c>
      <c r="S783" s="128" t="str">
        <f t="shared" si="86"/>
        <v/>
      </c>
      <c r="T783" s="140" t="str">
        <f t="shared" si="87"/>
        <v/>
      </c>
      <c r="U783" s="141" t="str">
        <f t="shared" si="88"/>
        <v/>
      </c>
      <c r="V783" s="141" t="str">
        <f t="shared" si="89"/>
        <v/>
      </c>
      <c r="W783" s="142"/>
      <c r="X783" s="186" t="str">
        <f t="shared" si="90"/>
        <v/>
      </c>
    </row>
    <row r="784" spans="1:24" s="147" customFormat="1">
      <c r="A784" s="172"/>
      <c r="B784" s="151"/>
      <c r="C784" s="151"/>
      <c r="D784" s="151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38"/>
      <c r="Q784" s="255" t="str">
        <f t="shared" si="91"/>
        <v/>
      </c>
      <c r="R784" s="139" t="str">
        <f t="shared" si="92"/>
        <v/>
      </c>
      <c r="S784" s="128" t="str">
        <f t="shared" si="86"/>
        <v/>
      </c>
      <c r="T784" s="140" t="str">
        <f t="shared" si="87"/>
        <v/>
      </c>
      <c r="U784" s="141" t="str">
        <f t="shared" si="88"/>
        <v/>
      </c>
      <c r="V784" s="141" t="str">
        <f t="shared" si="89"/>
        <v/>
      </c>
      <c r="W784" s="142"/>
      <c r="X784" s="186" t="str">
        <f t="shared" si="90"/>
        <v/>
      </c>
    </row>
    <row r="785" spans="1:24" s="147" customFormat="1">
      <c r="A785" s="170"/>
      <c r="B785" s="145"/>
      <c r="C785" s="145"/>
      <c r="D785" s="145"/>
      <c r="E785" s="150"/>
      <c r="F785" s="145"/>
      <c r="G785" s="145"/>
      <c r="H785" s="145"/>
      <c r="I785" s="145"/>
      <c r="J785" s="145"/>
      <c r="K785" s="145"/>
      <c r="L785" s="145"/>
      <c r="M785" s="145"/>
      <c r="N785" s="146"/>
      <c r="O785" s="145"/>
      <c r="P785" s="138"/>
      <c r="Q785" s="255" t="str">
        <f t="shared" si="91"/>
        <v/>
      </c>
      <c r="R785" s="139" t="str">
        <f t="shared" si="92"/>
        <v/>
      </c>
      <c r="S785" s="128" t="str">
        <f t="shared" si="86"/>
        <v/>
      </c>
      <c r="T785" s="140" t="str">
        <f t="shared" si="87"/>
        <v/>
      </c>
      <c r="U785" s="141" t="str">
        <f t="shared" si="88"/>
        <v/>
      </c>
      <c r="V785" s="141" t="str">
        <f t="shared" si="89"/>
        <v/>
      </c>
      <c r="W785" s="142"/>
      <c r="X785" s="186" t="str">
        <f t="shared" si="90"/>
        <v/>
      </c>
    </row>
    <row r="786" spans="1:24" s="147" customFormat="1">
      <c r="A786" s="170"/>
      <c r="B786" s="145"/>
      <c r="C786" s="145"/>
      <c r="D786" s="149"/>
      <c r="E786" s="150"/>
      <c r="F786" s="145"/>
      <c r="G786" s="145"/>
      <c r="H786" s="145"/>
      <c r="I786" s="145"/>
      <c r="J786" s="145"/>
      <c r="K786" s="145"/>
      <c r="L786" s="145"/>
      <c r="M786" s="145"/>
      <c r="N786" s="149"/>
      <c r="O786" s="145"/>
      <c r="P786" s="138"/>
      <c r="Q786" s="255" t="str">
        <f t="shared" si="91"/>
        <v/>
      </c>
      <c r="R786" s="139" t="str">
        <f t="shared" si="92"/>
        <v/>
      </c>
      <c r="S786" s="128" t="str">
        <f t="shared" si="86"/>
        <v/>
      </c>
      <c r="T786" s="140" t="str">
        <f t="shared" si="87"/>
        <v/>
      </c>
      <c r="U786" s="141" t="str">
        <f t="shared" si="88"/>
        <v/>
      </c>
      <c r="V786" s="141" t="str">
        <f t="shared" si="89"/>
        <v/>
      </c>
      <c r="W786" s="142"/>
      <c r="X786" s="186" t="str">
        <f t="shared" si="90"/>
        <v/>
      </c>
    </row>
    <row r="787" spans="1:24" s="147" customFormat="1">
      <c r="A787" s="170"/>
      <c r="B787" s="145"/>
      <c r="C787" s="145"/>
      <c r="D787" s="146"/>
      <c r="E787" s="150"/>
      <c r="F787" s="145"/>
      <c r="G787" s="145"/>
      <c r="H787" s="145"/>
      <c r="I787" s="145"/>
      <c r="J787" s="145"/>
      <c r="K787" s="145"/>
      <c r="L787" s="145"/>
      <c r="M787" s="145"/>
      <c r="N787" s="149"/>
      <c r="O787" s="145"/>
      <c r="P787" s="138"/>
      <c r="Q787" s="255" t="str">
        <f t="shared" si="91"/>
        <v/>
      </c>
      <c r="R787" s="139" t="str">
        <f t="shared" si="92"/>
        <v/>
      </c>
      <c r="S787" s="128" t="str">
        <f t="shared" si="86"/>
        <v/>
      </c>
      <c r="T787" s="140" t="str">
        <f t="shared" si="87"/>
        <v/>
      </c>
      <c r="U787" s="141" t="str">
        <f t="shared" si="88"/>
        <v/>
      </c>
      <c r="V787" s="141" t="str">
        <f t="shared" si="89"/>
        <v/>
      </c>
      <c r="W787" s="142"/>
      <c r="X787" s="186" t="str">
        <f t="shared" si="90"/>
        <v/>
      </c>
    </row>
    <row r="788" spans="1:24" s="147" customFormat="1">
      <c r="A788" s="170"/>
      <c r="B788" s="145"/>
      <c r="C788" s="145"/>
      <c r="D788" s="146"/>
      <c r="E788" s="150"/>
      <c r="F788" s="145"/>
      <c r="G788" s="145"/>
      <c r="H788" s="145"/>
      <c r="I788" s="145"/>
      <c r="J788" s="145"/>
      <c r="K788" s="145"/>
      <c r="L788" s="145"/>
      <c r="M788" s="145"/>
      <c r="N788" s="146"/>
      <c r="O788" s="145"/>
      <c r="P788" s="138"/>
      <c r="Q788" s="255" t="str">
        <f t="shared" si="91"/>
        <v/>
      </c>
      <c r="R788" s="139" t="str">
        <f t="shared" si="92"/>
        <v/>
      </c>
      <c r="S788" s="128" t="str">
        <f t="shared" si="86"/>
        <v/>
      </c>
      <c r="T788" s="140" t="str">
        <f t="shared" si="87"/>
        <v/>
      </c>
      <c r="U788" s="141" t="str">
        <f t="shared" si="88"/>
        <v/>
      </c>
      <c r="V788" s="141" t="str">
        <f t="shared" si="89"/>
        <v/>
      </c>
      <c r="W788" s="142"/>
      <c r="X788" s="186" t="str">
        <f t="shared" si="90"/>
        <v/>
      </c>
    </row>
    <row r="789" spans="1:24" s="147" customFormat="1">
      <c r="A789" s="172"/>
      <c r="B789" s="151"/>
      <c r="C789" s="151"/>
      <c r="D789" s="151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38"/>
      <c r="Q789" s="255" t="str">
        <f t="shared" si="91"/>
        <v/>
      </c>
      <c r="R789" s="139" t="str">
        <f t="shared" si="92"/>
        <v/>
      </c>
      <c r="S789" s="128" t="str">
        <f t="shared" si="86"/>
        <v/>
      </c>
      <c r="T789" s="140" t="str">
        <f t="shared" si="87"/>
        <v/>
      </c>
      <c r="U789" s="141" t="str">
        <f t="shared" si="88"/>
        <v/>
      </c>
      <c r="V789" s="141" t="str">
        <f t="shared" si="89"/>
        <v/>
      </c>
      <c r="W789" s="142"/>
      <c r="X789" s="186" t="str">
        <f t="shared" si="90"/>
        <v/>
      </c>
    </row>
    <row r="790" spans="1:24" s="147" customFormat="1">
      <c r="A790" s="170"/>
      <c r="B790" s="145"/>
      <c r="C790" s="145"/>
      <c r="D790" s="146"/>
      <c r="E790" s="150"/>
      <c r="F790" s="145"/>
      <c r="G790" s="145"/>
      <c r="H790" s="150"/>
      <c r="I790" s="145"/>
      <c r="J790" s="145"/>
      <c r="K790" s="145"/>
      <c r="L790" s="145"/>
      <c r="M790" s="145"/>
      <c r="N790" s="146"/>
      <c r="O790" s="145"/>
      <c r="P790" s="138"/>
      <c r="Q790" s="255" t="str">
        <f t="shared" si="91"/>
        <v/>
      </c>
      <c r="R790" s="139" t="str">
        <f t="shared" si="92"/>
        <v/>
      </c>
      <c r="S790" s="128" t="str">
        <f t="shared" si="86"/>
        <v/>
      </c>
      <c r="T790" s="140" t="str">
        <f t="shared" si="87"/>
        <v/>
      </c>
      <c r="U790" s="141" t="str">
        <f t="shared" si="88"/>
        <v/>
      </c>
      <c r="V790" s="141" t="str">
        <f t="shared" si="89"/>
        <v/>
      </c>
      <c r="W790" s="142"/>
      <c r="X790" s="186" t="str">
        <f t="shared" si="90"/>
        <v/>
      </c>
    </row>
    <row r="791" spans="1:24" s="147" customFormat="1">
      <c r="A791" s="171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38"/>
      <c r="Q791" s="255" t="str">
        <f t="shared" si="91"/>
        <v/>
      </c>
      <c r="R791" s="139" t="str">
        <f t="shared" si="92"/>
        <v/>
      </c>
      <c r="S791" s="128" t="str">
        <f t="shared" si="86"/>
        <v/>
      </c>
      <c r="T791" s="140" t="str">
        <f t="shared" si="87"/>
        <v/>
      </c>
      <c r="U791" s="141" t="str">
        <f t="shared" si="88"/>
        <v/>
      </c>
      <c r="V791" s="141" t="str">
        <f t="shared" si="89"/>
        <v/>
      </c>
      <c r="W791" s="142"/>
      <c r="X791" s="186" t="str">
        <f t="shared" si="90"/>
        <v/>
      </c>
    </row>
    <row r="792" spans="1:24" s="147" customFormat="1">
      <c r="A792" s="170"/>
      <c r="B792" s="145"/>
      <c r="C792" s="145"/>
      <c r="D792" s="146"/>
      <c r="E792" s="150"/>
      <c r="F792" s="145"/>
      <c r="G792" s="145"/>
      <c r="H792" s="145"/>
      <c r="I792" s="145"/>
      <c r="J792" s="145"/>
      <c r="K792" s="145"/>
      <c r="L792" s="145"/>
      <c r="M792" s="145"/>
      <c r="N792" s="149"/>
      <c r="O792" s="145"/>
      <c r="P792" s="138"/>
      <c r="Q792" s="255" t="str">
        <f t="shared" si="91"/>
        <v/>
      </c>
      <c r="R792" s="139" t="str">
        <f t="shared" si="92"/>
        <v/>
      </c>
      <c r="S792" s="128" t="str">
        <f t="shared" si="86"/>
        <v/>
      </c>
      <c r="T792" s="140" t="str">
        <f t="shared" si="87"/>
        <v/>
      </c>
      <c r="U792" s="141" t="str">
        <f t="shared" si="88"/>
        <v/>
      </c>
      <c r="V792" s="141" t="str">
        <f t="shared" si="89"/>
        <v/>
      </c>
      <c r="W792" s="142"/>
      <c r="X792" s="186" t="str">
        <f t="shared" si="90"/>
        <v/>
      </c>
    </row>
    <row r="793" spans="1:24" s="147" customFormat="1">
      <c r="A793" s="170"/>
      <c r="B793" s="145"/>
      <c r="C793" s="145"/>
      <c r="D793" s="146"/>
      <c r="E793" s="150"/>
      <c r="F793" s="145"/>
      <c r="G793" s="145"/>
      <c r="H793" s="145"/>
      <c r="I793" s="145"/>
      <c r="J793" s="145"/>
      <c r="K793" s="145"/>
      <c r="L793" s="145"/>
      <c r="M793" s="145"/>
      <c r="N793" s="146"/>
      <c r="O793" s="145"/>
      <c r="P793" s="138"/>
      <c r="Q793" s="255" t="str">
        <f t="shared" si="91"/>
        <v/>
      </c>
      <c r="R793" s="139" t="str">
        <f t="shared" si="92"/>
        <v/>
      </c>
      <c r="S793" s="128" t="str">
        <f t="shared" si="86"/>
        <v/>
      </c>
      <c r="T793" s="140" t="str">
        <f t="shared" si="87"/>
        <v/>
      </c>
      <c r="U793" s="141" t="str">
        <f t="shared" si="88"/>
        <v/>
      </c>
      <c r="V793" s="141" t="str">
        <f t="shared" si="89"/>
        <v/>
      </c>
      <c r="W793" s="142"/>
      <c r="X793" s="186" t="str">
        <f t="shared" si="90"/>
        <v/>
      </c>
    </row>
    <row r="794" spans="1:24" s="147" customFormat="1">
      <c r="A794" s="172"/>
      <c r="B794" s="151"/>
      <c r="C794" s="151"/>
      <c r="D794" s="151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38"/>
      <c r="Q794" s="255" t="str">
        <f t="shared" si="91"/>
        <v/>
      </c>
      <c r="R794" s="139" t="str">
        <f t="shared" si="92"/>
        <v/>
      </c>
      <c r="S794" s="128" t="str">
        <f t="shared" si="86"/>
        <v/>
      </c>
      <c r="T794" s="140" t="str">
        <f t="shared" si="87"/>
        <v/>
      </c>
      <c r="U794" s="141" t="str">
        <f t="shared" si="88"/>
        <v/>
      </c>
      <c r="V794" s="141" t="str">
        <f t="shared" si="89"/>
        <v/>
      </c>
      <c r="W794" s="142"/>
      <c r="X794" s="186" t="str">
        <f t="shared" si="90"/>
        <v/>
      </c>
    </row>
    <row r="795" spans="1:24" s="147" customFormat="1">
      <c r="A795" s="170"/>
      <c r="B795" s="145"/>
      <c r="C795" s="145"/>
      <c r="D795" s="146"/>
      <c r="E795" s="150"/>
      <c r="F795" s="145"/>
      <c r="G795" s="145"/>
      <c r="H795" s="145"/>
      <c r="I795" s="145"/>
      <c r="J795" s="145"/>
      <c r="K795" s="145"/>
      <c r="L795" s="145"/>
      <c r="M795" s="145"/>
      <c r="N795" s="149"/>
      <c r="O795" s="145"/>
      <c r="P795" s="138"/>
      <c r="Q795" s="255" t="str">
        <f t="shared" si="91"/>
        <v/>
      </c>
      <c r="R795" s="139" t="str">
        <f t="shared" si="92"/>
        <v/>
      </c>
      <c r="S795" s="128" t="str">
        <f t="shared" si="86"/>
        <v/>
      </c>
      <c r="T795" s="140" t="str">
        <f t="shared" si="87"/>
        <v/>
      </c>
      <c r="U795" s="141" t="str">
        <f t="shared" si="88"/>
        <v/>
      </c>
      <c r="V795" s="141" t="str">
        <f t="shared" si="89"/>
        <v/>
      </c>
      <c r="W795" s="142"/>
      <c r="X795" s="186" t="str">
        <f t="shared" si="90"/>
        <v/>
      </c>
    </row>
    <row r="796" spans="1:24" s="147" customFormat="1">
      <c r="A796" s="170"/>
      <c r="B796" s="145"/>
      <c r="C796" s="145"/>
      <c r="D796" s="146"/>
      <c r="E796" s="150"/>
      <c r="F796" s="145"/>
      <c r="G796" s="145"/>
      <c r="H796" s="145"/>
      <c r="I796" s="145"/>
      <c r="J796" s="145"/>
      <c r="K796" s="145"/>
      <c r="L796" s="145"/>
      <c r="M796" s="145"/>
      <c r="N796" s="146"/>
      <c r="O796" s="145"/>
      <c r="P796" s="138"/>
      <c r="Q796" s="255" t="str">
        <f t="shared" si="91"/>
        <v/>
      </c>
      <c r="R796" s="139" t="str">
        <f t="shared" si="92"/>
        <v/>
      </c>
      <c r="S796" s="128" t="str">
        <f t="shared" si="86"/>
        <v/>
      </c>
      <c r="T796" s="140" t="str">
        <f t="shared" si="87"/>
        <v/>
      </c>
      <c r="U796" s="141" t="str">
        <f t="shared" si="88"/>
        <v/>
      </c>
      <c r="V796" s="141" t="str">
        <f t="shared" si="89"/>
        <v/>
      </c>
      <c r="W796" s="142"/>
      <c r="X796" s="186" t="str">
        <f t="shared" si="90"/>
        <v/>
      </c>
    </row>
    <row r="797" spans="1:24" s="147" customFormat="1">
      <c r="A797" s="172"/>
      <c r="B797" s="151"/>
      <c r="C797" s="151"/>
      <c r="D797" s="151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38"/>
      <c r="Q797" s="255" t="str">
        <f t="shared" si="91"/>
        <v/>
      </c>
      <c r="R797" s="139" t="str">
        <f t="shared" si="92"/>
        <v/>
      </c>
      <c r="S797" s="128" t="str">
        <f t="shared" si="86"/>
        <v/>
      </c>
      <c r="T797" s="140" t="str">
        <f t="shared" si="87"/>
        <v/>
      </c>
      <c r="U797" s="141" t="str">
        <f t="shared" si="88"/>
        <v/>
      </c>
      <c r="V797" s="141" t="str">
        <f t="shared" si="89"/>
        <v/>
      </c>
      <c r="W797" s="142"/>
      <c r="X797" s="186" t="str">
        <f t="shared" si="90"/>
        <v/>
      </c>
    </row>
    <row r="798" spans="1:24" s="147" customFormat="1">
      <c r="A798" s="170"/>
      <c r="B798" s="145"/>
      <c r="C798" s="145"/>
      <c r="D798" s="146"/>
      <c r="E798" s="150"/>
      <c r="F798" s="145"/>
      <c r="G798" s="145"/>
      <c r="H798" s="145"/>
      <c r="I798" s="145"/>
      <c r="J798" s="145"/>
      <c r="K798" s="145"/>
      <c r="L798" s="145"/>
      <c r="M798" s="145"/>
      <c r="N798" s="146"/>
      <c r="O798" s="145"/>
      <c r="P798" s="138"/>
      <c r="Q798" s="255" t="str">
        <f t="shared" si="91"/>
        <v/>
      </c>
      <c r="R798" s="139" t="str">
        <f t="shared" si="92"/>
        <v/>
      </c>
      <c r="S798" s="128" t="str">
        <f t="shared" si="86"/>
        <v/>
      </c>
      <c r="T798" s="140" t="str">
        <f t="shared" si="87"/>
        <v/>
      </c>
      <c r="U798" s="141" t="str">
        <f t="shared" si="88"/>
        <v/>
      </c>
      <c r="V798" s="141" t="str">
        <f t="shared" si="89"/>
        <v/>
      </c>
      <c r="W798" s="142"/>
      <c r="X798" s="186" t="str">
        <f t="shared" si="90"/>
        <v/>
      </c>
    </row>
    <row r="799" spans="1:24" s="147" customFormat="1">
      <c r="A799" s="172"/>
      <c r="B799" s="151"/>
      <c r="C799" s="151"/>
      <c r="D799" s="151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38"/>
      <c r="Q799" s="255" t="str">
        <f t="shared" si="91"/>
        <v/>
      </c>
      <c r="R799" s="139" t="str">
        <f t="shared" si="92"/>
        <v/>
      </c>
      <c r="S799" s="128" t="str">
        <f t="shared" si="86"/>
        <v/>
      </c>
      <c r="T799" s="140" t="str">
        <f t="shared" si="87"/>
        <v/>
      </c>
      <c r="U799" s="141" t="str">
        <f t="shared" si="88"/>
        <v/>
      </c>
      <c r="V799" s="141" t="str">
        <f t="shared" si="89"/>
        <v/>
      </c>
      <c r="W799" s="142"/>
      <c r="X799" s="186" t="str">
        <f t="shared" si="90"/>
        <v/>
      </c>
    </row>
    <row r="800" spans="1:24" s="147" customFormat="1">
      <c r="A800" s="170"/>
      <c r="B800" s="145"/>
      <c r="C800" s="145"/>
      <c r="D800" s="146"/>
      <c r="E800" s="150"/>
      <c r="F800" s="145"/>
      <c r="G800" s="145"/>
      <c r="H800" s="145"/>
      <c r="I800" s="145"/>
      <c r="J800" s="145"/>
      <c r="K800" s="145"/>
      <c r="L800" s="145"/>
      <c r="M800" s="145"/>
      <c r="N800" s="149"/>
      <c r="O800" s="145"/>
      <c r="P800" s="138"/>
      <c r="Q800" s="255" t="str">
        <f t="shared" si="91"/>
        <v/>
      </c>
      <c r="R800" s="139" t="str">
        <f t="shared" si="92"/>
        <v/>
      </c>
      <c r="S800" s="128" t="str">
        <f t="shared" si="86"/>
        <v/>
      </c>
      <c r="T800" s="140" t="str">
        <f t="shared" si="87"/>
        <v/>
      </c>
      <c r="U800" s="141" t="str">
        <f t="shared" si="88"/>
        <v/>
      </c>
      <c r="V800" s="141" t="str">
        <f t="shared" si="89"/>
        <v/>
      </c>
      <c r="W800" s="142"/>
      <c r="X800" s="186" t="str">
        <f t="shared" si="90"/>
        <v/>
      </c>
    </row>
    <row r="801" spans="1:24" s="147" customFormat="1">
      <c r="A801" s="170"/>
      <c r="B801" s="145"/>
      <c r="C801" s="145"/>
      <c r="D801" s="146"/>
      <c r="E801" s="150"/>
      <c r="F801" s="145"/>
      <c r="G801" s="145"/>
      <c r="H801" s="145"/>
      <c r="I801" s="145"/>
      <c r="J801" s="145"/>
      <c r="K801" s="145"/>
      <c r="L801" s="145"/>
      <c r="M801" s="145"/>
      <c r="N801" s="146"/>
      <c r="O801" s="145"/>
      <c r="P801" s="138"/>
      <c r="Q801" s="255" t="str">
        <f t="shared" si="91"/>
        <v/>
      </c>
      <c r="R801" s="139" t="str">
        <f t="shared" si="92"/>
        <v/>
      </c>
      <c r="S801" s="128" t="str">
        <f t="shared" si="86"/>
        <v/>
      </c>
      <c r="T801" s="140" t="str">
        <f t="shared" si="87"/>
        <v/>
      </c>
      <c r="U801" s="141" t="str">
        <f t="shared" si="88"/>
        <v/>
      </c>
      <c r="V801" s="141" t="str">
        <f t="shared" si="89"/>
        <v/>
      </c>
      <c r="W801" s="142"/>
      <c r="X801" s="186" t="str">
        <f t="shared" si="90"/>
        <v/>
      </c>
    </row>
    <row r="802" spans="1:24" s="147" customFormat="1">
      <c r="A802" s="172"/>
      <c r="B802" s="151"/>
      <c r="C802" s="151"/>
      <c r="D802" s="151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38"/>
      <c r="Q802" s="255" t="str">
        <f t="shared" si="91"/>
        <v/>
      </c>
      <c r="R802" s="139" t="str">
        <f t="shared" si="92"/>
        <v/>
      </c>
      <c r="S802" s="128" t="str">
        <f t="shared" si="86"/>
        <v/>
      </c>
      <c r="T802" s="140" t="str">
        <f t="shared" si="87"/>
        <v/>
      </c>
      <c r="U802" s="141" t="str">
        <f t="shared" si="88"/>
        <v/>
      </c>
      <c r="V802" s="141" t="str">
        <f t="shared" si="89"/>
        <v/>
      </c>
      <c r="W802" s="142"/>
      <c r="X802" s="186" t="str">
        <f t="shared" si="90"/>
        <v/>
      </c>
    </row>
    <row r="803" spans="1:24" s="147" customFormat="1">
      <c r="A803" s="170"/>
      <c r="B803" s="145"/>
      <c r="C803" s="145"/>
      <c r="D803" s="145"/>
      <c r="E803" s="150"/>
      <c r="F803" s="145"/>
      <c r="G803" s="145"/>
      <c r="H803" s="145"/>
      <c r="I803" s="145"/>
      <c r="J803" s="145"/>
      <c r="K803" s="145"/>
      <c r="L803" s="145"/>
      <c r="M803" s="145"/>
      <c r="N803" s="149"/>
      <c r="O803" s="145"/>
      <c r="P803" s="138"/>
      <c r="Q803" s="255" t="str">
        <f t="shared" si="91"/>
        <v/>
      </c>
      <c r="R803" s="139" t="str">
        <f t="shared" si="92"/>
        <v/>
      </c>
      <c r="S803" s="128" t="str">
        <f t="shared" si="86"/>
        <v/>
      </c>
      <c r="T803" s="140" t="str">
        <f t="shared" si="87"/>
        <v/>
      </c>
      <c r="U803" s="141" t="str">
        <f t="shared" si="88"/>
        <v/>
      </c>
      <c r="V803" s="141" t="str">
        <f t="shared" si="89"/>
        <v/>
      </c>
      <c r="W803" s="142"/>
      <c r="X803" s="186" t="str">
        <f t="shared" si="90"/>
        <v/>
      </c>
    </row>
    <row r="804" spans="1:24" s="147" customFormat="1">
      <c r="A804" s="172"/>
      <c r="B804" s="151"/>
      <c r="C804" s="151"/>
      <c r="D804" s="151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38"/>
      <c r="Q804" s="255" t="str">
        <f t="shared" si="91"/>
        <v/>
      </c>
      <c r="R804" s="139" t="str">
        <f t="shared" si="92"/>
        <v/>
      </c>
      <c r="S804" s="128" t="str">
        <f t="shared" si="86"/>
        <v/>
      </c>
      <c r="T804" s="140" t="str">
        <f t="shared" si="87"/>
        <v/>
      </c>
      <c r="U804" s="141" t="str">
        <f t="shared" si="88"/>
        <v/>
      </c>
      <c r="V804" s="141" t="str">
        <f t="shared" si="89"/>
        <v/>
      </c>
      <c r="W804" s="142"/>
      <c r="X804" s="186" t="str">
        <f t="shared" si="90"/>
        <v/>
      </c>
    </row>
    <row r="805" spans="1:24" s="147" customFormat="1">
      <c r="A805" s="170"/>
      <c r="B805" s="145"/>
      <c r="C805" s="145"/>
      <c r="D805" s="145"/>
      <c r="E805" s="150"/>
      <c r="F805" s="145"/>
      <c r="G805" s="145"/>
      <c r="H805" s="145"/>
      <c r="I805" s="145"/>
      <c r="J805" s="145"/>
      <c r="K805" s="145"/>
      <c r="L805" s="145"/>
      <c r="M805" s="145"/>
      <c r="N805" s="146"/>
      <c r="O805" s="145"/>
      <c r="P805" s="138"/>
      <c r="Q805" s="255" t="str">
        <f t="shared" si="91"/>
        <v/>
      </c>
      <c r="R805" s="139" t="str">
        <f t="shared" si="92"/>
        <v/>
      </c>
      <c r="S805" s="128" t="str">
        <f t="shared" si="86"/>
        <v/>
      </c>
      <c r="T805" s="140" t="str">
        <f t="shared" si="87"/>
        <v/>
      </c>
      <c r="U805" s="141" t="str">
        <f t="shared" si="88"/>
        <v/>
      </c>
      <c r="V805" s="141" t="str">
        <f t="shared" si="89"/>
        <v/>
      </c>
      <c r="W805" s="142"/>
      <c r="X805" s="186" t="str">
        <f t="shared" si="90"/>
        <v/>
      </c>
    </row>
    <row r="806" spans="1:24" s="147" customFormat="1">
      <c r="A806" s="170"/>
      <c r="B806" s="145"/>
      <c r="C806" s="145"/>
      <c r="D806" s="145"/>
      <c r="E806" s="150"/>
      <c r="F806" s="145"/>
      <c r="G806" s="145"/>
      <c r="H806" s="145"/>
      <c r="I806" s="145"/>
      <c r="J806" s="145"/>
      <c r="K806" s="145"/>
      <c r="L806" s="145"/>
      <c r="M806" s="145"/>
      <c r="N806" s="149"/>
      <c r="O806" s="145"/>
      <c r="P806" s="138"/>
      <c r="Q806" s="255" t="str">
        <f t="shared" si="91"/>
        <v/>
      </c>
      <c r="R806" s="139" t="str">
        <f t="shared" si="92"/>
        <v/>
      </c>
      <c r="S806" s="128" t="str">
        <f t="shared" si="86"/>
        <v/>
      </c>
      <c r="T806" s="140" t="str">
        <f t="shared" si="87"/>
        <v/>
      </c>
      <c r="U806" s="141" t="str">
        <f t="shared" si="88"/>
        <v/>
      </c>
      <c r="V806" s="141" t="str">
        <f t="shared" si="89"/>
        <v/>
      </c>
      <c r="W806" s="142"/>
      <c r="X806" s="186" t="str">
        <f t="shared" si="90"/>
        <v/>
      </c>
    </row>
    <row r="807" spans="1:24" s="147" customFormat="1">
      <c r="A807" s="172"/>
      <c r="B807" s="151"/>
      <c r="C807" s="151"/>
      <c r="D807" s="151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38"/>
      <c r="Q807" s="255" t="str">
        <f t="shared" si="91"/>
        <v/>
      </c>
      <c r="R807" s="139" t="str">
        <f t="shared" si="92"/>
        <v/>
      </c>
      <c r="S807" s="128" t="str">
        <f t="shared" si="86"/>
        <v/>
      </c>
      <c r="T807" s="140" t="str">
        <f t="shared" si="87"/>
        <v/>
      </c>
      <c r="U807" s="141" t="str">
        <f t="shared" si="88"/>
        <v/>
      </c>
      <c r="V807" s="141" t="str">
        <f t="shared" si="89"/>
        <v/>
      </c>
      <c r="W807" s="142"/>
      <c r="X807" s="186" t="str">
        <f t="shared" si="90"/>
        <v/>
      </c>
    </row>
    <row r="808" spans="1:24" s="147" customFormat="1">
      <c r="A808" s="170"/>
      <c r="B808" s="145"/>
      <c r="C808" s="145"/>
      <c r="D808" s="145"/>
      <c r="E808" s="150"/>
      <c r="F808" s="145"/>
      <c r="G808" s="145"/>
      <c r="H808" s="145"/>
      <c r="I808" s="145"/>
      <c r="J808" s="145"/>
      <c r="K808" s="145"/>
      <c r="L808" s="145"/>
      <c r="M808" s="145"/>
      <c r="N808" s="146"/>
      <c r="O808" s="145"/>
      <c r="P808" s="138"/>
      <c r="Q808" s="255" t="str">
        <f t="shared" si="91"/>
        <v/>
      </c>
      <c r="R808" s="139" t="str">
        <f t="shared" si="92"/>
        <v/>
      </c>
      <c r="S808" s="128" t="str">
        <f t="shared" si="86"/>
        <v/>
      </c>
      <c r="T808" s="140" t="str">
        <f t="shared" si="87"/>
        <v/>
      </c>
      <c r="U808" s="141" t="str">
        <f t="shared" si="88"/>
        <v/>
      </c>
      <c r="V808" s="141" t="str">
        <f t="shared" si="89"/>
        <v/>
      </c>
      <c r="W808" s="142"/>
      <c r="X808" s="186" t="str">
        <f t="shared" si="90"/>
        <v/>
      </c>
    </row>
    <row r="809" spans="1:24" s="147" customFormat="1">
      <c r="A809" s="170"/>
      <c r="B809" s="145"/>
      <c r="C809" s="145"/>
      <c r="D809" s="146"/>
      <c r="E809" s="150"/>
      <c r="F809" s="145"/>
      <c r="G809" s="145"/>
      <c r="H809" s="145"/>
      <c r="I809" s="145"/>
      <c r="J809" s="145"/>
      <c r="K809" s="145"/>
      <c r="L809" s="145"/>
      <c r="M809" s="145"/>
      <c r="N809" s="146"/>
      <c r="O809" s="145"/>
      <c r="P809" s="138"/>
      <c r="Q809" s="255" t="str">
        <f t="shared" si="91"/>
        <v/>
      </c>
      <c r="R809" s="139" t="str">
        <f t="shared" si="92"/>
        <v/>
      </c>
      <c r="S809" s="128" t="str">
        <f t="shared" si="86"/>
        <v/>
      </c>
      <c r="T809" s="140" t="str">
        <f t="shared" si="87"/>
        <v/>
      </c>
      <c r="U809" s="141" t="str">
        <f t="shared" si="88"/>
        <v/>
      </c>
      <c r="V809" s="141" t="str">
        <f t="shared" si="89"/>
        <v/>
      </c>
      <c r="W809" s="142"/>
      <c r="X809" s="186" t="str">
        <f t="shared" si="90"/>
        <v/>
      </c>
    </row>
    <row r="810" spans="1:24" s="147" customFormat="1">
      <c r="A810" s="172"/>
      <c r="B810" s="151"/>
      <c r="C810" s="151"/>
      <c r="D810" s="151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38"/>
      <c r="Q810" s="255" t="str">
        <f t="shared" si="91"/>
        <v/>
      </c>
      <c r="R810" s="139" t="str">
        <f t="shared" si="92"/>
        <v/>
      </c>
      <c r="S810" s="128" t="str">
        <f t="shared" si="86"/>
        <v/>
      </c>
      <c r="T810" s="140" t="str">
        <f t="shared" si="87"/>
        <v/>
      </c>
      <c r="U810" s="141" t="str">
        <f t="shared" si="88"/>
        <v/>
      </c>
      <c r="V810" s="141" t="str">
        <f t="shared" si="89"/>
        <v/>
      </c>
      <c r="W810" s="142"/>
      <c r="X810" s="186" t="str">
        <f t="shared" si="90"/>
        <v/>
      </c>
    </row>
    <row r="811" spans="1:24" s="147" customFormat="1">
      <c r="A811" s="170"/>
      <c r="B811" s="145"/>
      <c r="C811" s="145"/>
      <c r="D811" s="149"/>
      <c r="E811" s="150"/>
      <c r="F811" s="145"/>
      <c r="G811" s="145"/>
      <c r="H811" s="145"/>
      <c r="I811" s="145"/>
      <c r="J811" s="145"/>
      <c r="K811" s="145"/>
      <c r="L811" s="145"/>
      <c r="M811" s="145"/>
      <c r="N811" s="149"/>
      <c r="O811" s="145"/>
      <c r="P811" s="138"/>
      <c r="Q811" s="255" t="str">
        <f t="shared" si="91"/>
        <v/>
      </c>
      <c r="R811" s="139" t="str">
        <f t="shared" si="92"/>
        <v/>
      </c>
      <c r="S811" s="128" t="str">
        <f t="shared" si="86"/>
        <v/>
      </c>
      <c r="T811" s="140" t="str">
        <f t="shared" si="87"/>
        <v/>
      </c>
      <c r="U811" s="141" t="str">
        <f t="shared" si="88"/>
        <v/>
      </c>
      <c r="V811" s="141" t="str">
        <f t="shared" si="89"/>
        <v/>
      </c>
      <c r="W811" s="142"/>
      <c r="X811" s="186" t="str">
        <f t="shared" si="90"/>
        <v/>
      </c>
    </row>
    <row r="812" spans="1:24" s="147" customFormat="1">
      <c r="A812" s="170"/>
      <c r="B812" s="145"/>
      <c r="C812" s="145"/>
      <c r="D812" s="149"/>
      <c r="E812" s="150"/>
      <c r="F812" s="145"/>
      <c r="G812" s="145"/>
      <c r="H812" s="145"/>
      <c r="I812" s="145"/>
      <c r="J812" s="145"/>
      <c r="K812" s="145"/>
      <c r="L812" s="145"/>
      <c r="M812" s="145"/>
      <c r="N812" s="146"/>
      <c r="O812" s="145"/>
      <c r="P812" s="138"/>
      <c r="Q812" s="255" t="str">
        <f t="shared" si="91"/>
        <v/>
      </c>
      <c r="R812" s="139" t="str">
        <f t="shared" si="92"/>
        <v/>
      </c>
      <c r="S812" s="128" t="str">
        <f t="shared" si="86"/>
        <v/>
      </c>
      <c r="T812" s="140" t="str">
        <f t="shared" si="87"/>
        <v/>
      </c>
      <c r="U812" s="141" t="str">
        <f t="shared" si="88"/>
        <v/>
      </c>
      <c r="V812" s="141" t="str">
        <f t="shared" si="89"/>
        <v/>
      </c>
      <c r="W812" s="142"/>
      <c r="X812" s="186" t="str">
        <f t="shared" si="90"/>
        <v/>
      </c>
    </row>
    <row r="813" spans="1:24" s="147" customFormat="1">
      <c r="A813" s="171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38"/>
      <c r="Q813" s="255" t="str">
        <f t="shared" si="91"/>
        <v/>
      </c>
      <c r="R813" s="139" t="str">
        <f t="shared" si="92"/>
        <v/>
      </c>
      <c r="S813" s="128" t="str">
        <f t="shared" si="86"/>
        <v/>
      </c>
      <c r="T813" s="140" t="str">
        <f t="shared" si="87"/>
        <v/>
      </c>
      <c r="U813" s="141" t="str">
        <f t="shared" si="88"/>
        <v/>
      </c>
      <c r="V813" s="141" t="str">
        <f t="shared" si="89"/>
        <v/>
      </c>
      <c r="W813" s="142"/>
      <c r="X813" s="186" t="str">
        <f t="shared" si="90"/>
        <v/>
      </c>
    </row>
    <row r="814" spans="1:24" s="147" customFormat="1">
      <c r="A814" s="170"/>
      <c r="B814" s="145"/>
      <c r="C814" s="145"/>
      <c r="D814" s="149"/>
      <c r="E814" s="150"/>
      <c r="F814" s="145"/>
      <c r="G814" s="145"/>
      <c r="H814" s="145"/>
      <c r="I814" s="145"/>
      <c r="J814" s="145"/>
      <c r="K814" s="145"/>
      <c r="L814" s="145"/>
      <c r="M814" s="145"/>
      <c r="N814" s="146"/>
      <c r="O814" s="145"/>
      <c r="P814" s="138"/>
      <c r="Q814" s="255" t="str">
        <f t="shared" si="91"/>
        <v/>
      </c>
      <c r="R814" s="139" t="str">
        <f t="shared" si="92"/>
        <v/>
      </c>
      <c r="S814" s="128" t="str">
        <f t="shared" si="86"/>
        <v/>
      </c>
      <c r="T814" s="140" t="str">
        <f t="shared" si="87"/>
        <v/>
      </c>
      <c r="U814" s="141" t="str">
        <f t="shared" si="88"/>
        <v/>
      </c>
      <c r="V814" s="141" t="str">
        <f t="shared" si="89"/>
        <v/>
      </c>
      <c r="W814" s="142"/>
      <c r="X814" s="186" t="str">
        <f t="shared" si="90"/>
        <v/>
      </c>
    </row>
    <row r="815" spans="1:24" s="147" customFormat="1">
      <c r="A815" s="171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38"/>
      <c r="Q815" s="255" t="str">
        <f t="shared" si="91"/>
        <v/>
      </c>
      <c r="R815" s="139" t="str">
        <f t="shared" si="92"/>
        <v/>
      </c>
      <c r="S815" s="128" t="str">
        <f t="shared" si="86"/>
        <v/>
      </c>
      <c r="T815" s="140" t="str">
        <f t="shared" si="87"/>
        <v/>
      </c>
      <c r="U815" s="141" t="str">
        <f t="shared" si="88"/>
        <v/>
      </c>
      <c r="V815" s="141" t="str">
        <f t="shared" si="89"/>
        <v/>
      </c>
      <c r="W815" s="142"/>
      <c r="X815" s="186" t="str">
        <f t="shared" si="90"/>
        <v/>
      </c>
    </row>
    <row r="816" spans="1:24" s="147" customFormat="1">
      <c r="A816" s="170"/>
      <c r="B816" s="145"/>
      <c r="C816" s="145"/>
      <c r="D816" s="149"/>
      <c r="E816" s="150"/>
      <c r="F816" s="145"/>
      <c r="G816" s="145"/>
      <c r="H816" s="145"/>
      <c r="I816" s="145"/>
      <c r="J816" s="145"/>
      <c r="K816" s="145"/>
      <c r="L816" s="145"/>
      <c r="M816" s="145"/>
      <c r="N816" s="146"/>
      <c r="O816" s="145"/>
      <c r="P816" s="138"/>
      <c r="Q816" s="255" t="str">
        <f t="shared" si="91"/>
        <v/>
      </c>
      <c r="R816" s="139" t="str">
        <f t="shared" si="92"/>
        <v/>
      </c>
      <c r="S816" s="128" t="str">
        <f t="shared" si="86"/>
        <v/>
      </c>
      <c r="T816" s="140" t="str">
        <f t="shared" si="87"/>
        <v/>
      </c>
      <c r="U816" s="141" t="str">
        <f t="shared" si="88"/>
        <v/>
      </c>
      <c r="V816" s="141" t="str">
        <f t="shared" si="89"/>
        <v/>
      </c>
      <c r="W816" s="142"/>
      <c r="X816" s="186" t="str">
        <f t="shared" si="90"/>
        <v/>
      </c>
    </row>
    <row r="817" spans="1:24" s="147" customFormat="1">
      <c r="A817" s="171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38"/>
      <c r="Q817" s="255" t="str">
        <f t="shared" si="91"/>
        <v/>
      </c>
      <c r="R817" s="139" t="str">
        <f t="shared" si="92"/>
        <v/>
      </c>
      <c r="S817" s="128" t="str">
        <f t="shared" si="86"/>
        <v/>
      </c>
      <c r="T817" s="140" t="str">
        <f t="shared" si="87"/>
        <v/>
      </c>
      <c r="U817" s="141" t="str">
        <f t="shared" si="88"/>
        <v/>
      </c>
      <c r="V817" s="141" t="str">
        <f t="shared" si="89"/>
        <v/>
      </c>
      <c r="W817" s="142"/>
      <c r="X817" s="186" t="str">
        <f t="shared" si="90"/>
        <v/>
      </c>
    </row>
    <row r="818" spans="1:24" s="147" customFormat="1">
      <c r="A818" s="170"/>
      <c r="B818" s="145"/>
      <c r="C818" s="145"/>
      <c r="D818" s="149"/>
      <c r="E818" s="150"/>
      <c r="F818" s="145"/>
      <c r="G818" s="145"/>
      <c r="H818" s="145"/>
      <c r="I818" s="145"/>
      <c r="J818" s="145"/>
      <c r="K818" s="145"/>
      <c r="L818" s="145"/>
      <c r="M818" s="145"/>
      <c r="N818" s="146"/>
      <c r="O818" s="145"/>
      <c r="P818" s="138"/>
      <c r="Q818" s="255" t="str">
        <f t="shared" si="91"/>
        <v/>
      </c>
      <c r="R818" s="139" t="str">
        <f t="shared" si="92"/>
        <v/>
      </c>
      <c r="S818" s="128" t="str">
        <f t="shared" si="86"/>
        <v/>
      </c>
      <c r="T818" s="140" t="str">
        <f t="shared" si="87"/>
        <v/>
      </c>
      <c r="U818" s="141" t="str">
        <f t="shared" si="88"/>
        <v/>
      </c>
      <c r="V818" s="141" t="str">
        <f t="shared" si="89"/>
        <v/>
      </c>
      <c r="W818" s="142"/>
      <c r="X818" s="186" t="str">
        <f t="shared" si="90"/>
        <v/>
      </c>
    </row>
    <row r="819" spans="1:24" s="147" customFormat="1">
      <c r="A819" s="171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38"/>
      <c r="Q819" s="255" t="str">
        <f t="shared" si="91"/>
        <v/>
      </c>
      <c r="R819" s="139" t="str">
        <f t="shared" si="92"/>
        <v/>
      </c>
      <c r="S819" s="128" t="str">
        <f t="shared" si="86"/>
        <v/>
      </c>
      <c r="T819" s="140" t="str">
        <f t="shared" si="87"/>
        <v/>
      </c>
      <c r="U819" s="141" t="str">
        <f t="shared" si="88"/>
        <v/>
      </c>
      <c r="V819" s="141" t="str">
        <f t="shared" si="89"/>
        <v/>
      </c>
      <c r="W819" s="142"/>
      <c r="X819" s="186" t="str">
        <f t="shared" si="90"/>
        <v/>
      </c>
    </row>
    <row r="820" spans="1:24" s="147" customFormat="1">
      <c r="A820" s="170"/>
      <c r="B820" s="145"/>
      <c r="C820" s="145"/>
      <c r="D820" s="146"/>
      <c r="E820" s="150"/>
      <c r="F820" s="145"/>
      <c r="G820" s="145"/>
      <c r="H820" s="145"/>
      <c r="I820" s="145"/>
      <c r="J820" s="145"/>
      <c r="K820" s="145"/>
      <c r="L820" s="145"/>
      <c r="M820" s="145"/>
      <c r="N820" s="149"/>
      <c r="O820" s="145"/>
      <c r="P820" s="138"/>
      <c r="Q820" s="255" t="str">
        <f t="shared" si="91"/>
        <v/>
      </c>
      <c r="R820" s="139" t="str">
        <f t="shared" si="92"/>
        <v/>
      </c>
      <c r="S820" s="128" t="str">
        <f t="shared" si="86"/>
        <v/>
      </c>
      <c r="T820" s="140" t="str">
        <f t="shared" si="87"/>
        <v/>
      </c>
      <c r="U820" s="141" t="str">
        <f t="shared" si="88"/>
        <v/>
      </c>
      <c r="V820" s="141" t="str">
        <f t="shared" si="89"/>
        <v/>
      </c>
      <c r="W820" s="142"/>
      <c r="X820" s="186" t="str">
        <f t="shared" si="90"/>
        <v/>
      </c>
    </row>
    <row r="821" spans="1:24" s="147" customFormat="1">
      <c r="A821" s="170"/>
      <c r="B821" s="145"/>
      <c r="C821" s="145"/>
      <c r="D821" s="145"/>
      <c r="E821" s="150"/>
      <c r="F821" s="145"/>
      <c r="G821" s="145"/>
      <c r="H821" s="145"/>
      <c r="I821" s="145"/>
      <c r="J821" s="145"/>
      <c r="K821" s="145"/>
      <c r="L821" s="145"/>
      <c r="M821" s="145"/>
      <c r="N821" s="146"/>
      <c r="O821" s="145"/>
      <c r="P821" s="138"/>
      <c r="Q821" s="255" t="str">
        <f t="shared" si="91"/>
        <v/>
      </c>
      <c r="R821" s="139" t="str">
        <f t="shared" si="92"/>
        <v/>
      </c>
      <c r="S821" s="128" t="str">
        <f t="shared" si="86"/>
        <v/>
      </c>
      <c r="T821" s="140" t="str">
        <f t="shared" si="87"/>
        <v/>
      </c>
      <c r="U821" s="141" t="str">
        <f t="shared" si="88"/>
        <v/>
      </c>
      <c r="V821" s="141" t="str">
        <f t="shared" si="89"/>
        <v/>
      </c>
      <c r="W821" s="142"/>
      <c r="X821" s="186" t="str">
        <f t="shared" si="90"/>
        <v/>
      </c>
    </row>
    <row r="822" spans="1:24" s="147" customFormat="1">
      <c r="A822" s="170"/>
      <c r="B822" s="145"/>
      <c r="C822" s="145"/>
      <c r="D822" s="145"/>
      <c r="E822" s="150"/>
      <c r="F822" s="145"/>
      <c r="G822" s="145"/>
      <c r="H822" s="145"/>
      <c r="I822" s="145"/>
      <c r="J822" s="145"/>
      <c r="K822" s="145"/>
      <c r="L822" s="145"/>
      <c r="M822" s="145"/>
      <c r="N822" s="146"/>
      <c r="O822" s="145"/>
      <c r="P822" s="138"/>
      <c r="Q822" s="255" t="str">
        <f t="shared" si="91"/>
        <v/>
      </c>
      <c r="R822" s="139" t="str">
        <f t="shared" si="92"/>
        <v/>
      </c>
      <c r="S822" s="128" t="str">
        <f t="shared" si="86"/>
        <v/>
      </c>
      <c r="T822" s="140" t="str">
        <f t="shared" si="87"/>
        <v/>
      </c>
      <c r="U822" s="141" t="str">
        <f t="shared" si="88"/>
        <v/>
      </c>
      <c r="V822" s="141" t="str">
        <f t="shared" si="89"/>
        <v/>
      </c>
      <c r="W822" s="142"/>
      <c r="X822" s="186" t="str">
        <f t="shared" si="90"/>
        <v/>
      </c>
    </row>
    <row r="823" spans="1:24" s="147" customFormat="1">
      <c r="A823" s="170"/>
      <c r="B823" s="145"/>
      <c r="C823" s="145"/>
      <c r="D823" s="145"/>
      <c r="E823" s="150"/>
      <c r="F823" s="145"/>
      <c r="G823" s="145"/>
      <c r="H823" s="145"/>
      <c r="I823" s="145"/>
      <c r="J823" s="145"/>
      <c r="K823" s="145"/>
      <c r="L823" s="145"/>
      <c r="M823" s="145"/>
      <c r="N823" s="146"/>
      <c r="O823" s="145"/>
      <c r="P823" s="138"/>
      <c r="Q823" s="255" t="str">
        <f t="shared" si="91"/>
        <v/>
      </c>
      <c r="R823" s="139" t="str">
        <f t="shared" si="92"/>
        <v/>
      </c>
      <c r="S823" s="128" t="str">
        <f t="shared" si="86"/>
        <v/>
      </c>
      <c r="T823" s="140" t="str">
        <f t="shared" si="87"/>
        <v/>
      </c>
      <c r="U823" s="141" t="str">
        <f t="shared" si="88"/>
        <v/>
      </c>
      <c r="V823" s="141" t="str">
        <f t="shared" si="89"/>
        <v/>
      </c>
      <c r="W823" s="142"/>
      <c r="X823" s="186" t="str">
        <f t="shared" si="90"/>
        <v/>
      </c>
    </row>
    <row r="824" spans="1:24" s="147" customFormat="1">
      <c r="A824" s="171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38"/>
      <c r="Q824" s="255" t="str">
        <f t="shared" si="91"/>
        <v/>
      </c>
      <c r="R824" s="139" t="str">
        <f t="shared" si="92"/>
        <v/>
      </c>
      <c r="S824" s="128" t="str">
        <f t="shared" si="86"/>
        <v/>
      </c>
      <c r="T824" s="140" t="str">
        <f t="shared" si="87"/>
        <v/>
      </c>
      <c r="U824" s="141" t="str">
        <f t="shared" si="88"/>
        <v/>
      </c>
      <c r="V824" s="141" t="str">
        <f t="shared" si="89"/>
        <v/>
      </c>
      <c r="W824" s="142"/>
      <c r="X824" s="186" t="str">
        <f t="shared" si="90"/>
        <v/>
      </c>
    </row>
    <row r="825" spans="1:24" s="147" customFormat="1">
      <c r="A825" s="170"/>
      <c r="B825" s="145"/>
      <c r="C825" s="145"/>
      <c r="D825" s="146"/>
      <c r="E825" s="150"/>
      <c r="F825" s="145"/>
      <c r="G825" s="145"/>
      <c r="H825" s="150"/>
      <c r="I825" s="145"/>
      <c r="J825" s="145"/>
      <c r="K825" s="145"/>
      <c r="L825" s="145"/>
      <c r="M825" s="145"/>
      <c r="N825" s="146"/>
      <c r="O825" s="145"/>
      <c r="P825" s="138"/>
      <c r="Q825" s="255" t="str">
        <f t="shared" si="91"/>
        <v/>
      </c>
      <c r="R825" s="139" t="str">
        <f t="shared" si="92"/>
        <v/>
      </c>
      <c r="S825" s="128" t="str">
        <f t="shared" si="86"/>
        <v/>
      </c>
      <c r="T825" s="140" t="str">
        <f t="shared" si="87"/>
        <v/>
      </c>
      <c r="U825" s="141" t="str">
        <f t="shared" si="88"/>
        <v/>
      </c>
      <c r="V825" s="141" t="str">
        <f t="shared" si="89"/>
        <v/>
      </c>
      <c r="W825" s="142"/>
      <c r="X825" s="186" t="str">
        <f t="shared" si="90"/>
        <v/>
      </c>
    </row>
    <row r="826" spans="1:24" s="147" customFormat="1">
      <c r="A826" s="171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38"/>
      <c r="Q826" s="255" t="str">
        <f t="shared" si="91"/>
        <v/>
      </c>
      <c r="R826" s="139" t="str">
        <f t="shared" si="92"/>
        <v/>
      </c>
      <c r="S826" s="128" t="str">
        <f t="shared" si="86"/>
        <v/>
      </c>
      <c r="T826" s="140" t="str">
        <f t="shared" si="87"/>
        <v/>
      </c>
      <c r="U826" s="141" t="str">
        <f t="shared" si="88"/>
        <v/>
      </c>
      <c r="V826" s="141" t="str">
        <f t="shared" si="89"/>
        <v/>
      </c>
      <c r="W826" s="142"/>
      <c r="X826" s="186" t="str">
        <f t="shared" si="90"/>
        <v/>
      </c>
    </row>
    <row r="827" spans="1:24" s="147" customFormat="1">
      <c r="A827" s="170"/>
      <c r="B827" s="145"/>
      <c r="C827" s="145"/>
      <c r="D827" s="146"/>
      <c r="E827" s="150"/>
      <c r="F827" s="145"/>
      <c r="G827" s="145"/>
      <c r="H827" s="150"/>
      <c r="I827" s="145"/>
      <c r="J827" s="145"/>
      <c r="K827" s="145"/>
      <c r="L827" s="145"/>
      <c r="M827" s="145"/>
      <c r="N827" s="146"/>
      <c r="O827" s="145"/>
      <c r="P827" s="138"/>
      <c r="Q827" s="255" t="str">
        <f t="shared" si="91"/>
        <v/>
      </c>
      <c r="R827" s="139" t="str">
        <f t="shared" si="92"/>
        <v/>
      </c>
      <c r="S827" s="128" t="str">
        <f t="shared" si="86"/>
        <v/>
      </c>
      <c r="T827" s="140" t="str">
        <f t="shared" si="87"/>
        <v/>
      </c>
      <c r="U827" s="141" t="str">
        <f t="shared" si="88"/>
        <v/>
      </c>
      <c r="V827" s="141" t="str">
        <f t="shared" si="89"/>
        <v/>
      </c>
      <c r="W827" s="142"/>
      <c r="X827" s="186" t="str">
        <f t="shared" si="90"/>
        <v/>
      </c>
    </row>
    <row r="828" spans="1:24" s="147" customFormat="1">
      <c r="A828" s="172"/>
      <c r="B828" s="151"/>
      <c r="C828" s="151"/>
      <c r="D828" s="151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38"/>
      <c r="Q828" s="255" t="str">
        <f t="shared" si="91"/>
        <v/>
      </c>
      <c r="R828" s="139" t="str">
        <f t="shared" si="92"/>
        <v/>
      </c>
      <c r="S828" s="128" t="str">
        <f t="shared" si="86"/>
        <v/>
      </c>
      <c r="T828" s="140" t="str">
        <f t="shared" si="87"/>
        <v/>
      </c>
      <c r="U828" s="141" t="str">
        <f t="shared" si="88"/>
        <v/>
      </c>
      <c r="V828" s="141" t="str">
        <f t="shared" si="89"/>
        <v/>
      </c>
      <c r="W828" s="142"/>
      <c r="X828" s="186" t="str">
        <f t="shared" si="90"/>
        <v/>
      </c>
    </row>
    <row r="829" spans="1:24" s="147" customFormat="1">
      <c r="A829" s="170"/>
      <c r="B829" s="145"/>
      <c r="C829" s="145"/>
      <c r="D829" s="149"/>
      <c r="E829" s="150"/>
      <c r="F829" s="145"/>
      <c r="G829" s="145"/>
      <c r="H829" s="145"/>
      <c r="I829" s="145"/>
      <c r="J829" s="145"/>
      <c r="K829" s="145"/>
      <c r="L829" s="145"/>
      <c r="M829" s="145"/>
      <c r="N829" s="146"/>
      <c r="O829" s="145"/>
      <c r="P829" s="138"/>
      <c r="Q829" s="255" t="str">
        <f t="shared" si="91"/>
        <v/>
      </c>
      <c r="R829" s="139" t="str">
        <f t="shared" si="92"/>
        <v/>
      </c>
      <c r="S829" s="128" t="str">
        <f t="shared" si="86"/>
        <v/>
      </c>
      <c r="T829" s="140" t="str">
        <f t="shared" si="87"/>
        <v/>
      </c>
      <c r="U829" s="141" t="str">
        <f t="shared" si="88"/>
        <v/>
      </c>
      <c r="V829" s="141" t="str">
        <f t="shared" si="89"/>
        <v/>
      </c>
      <c r="W829" s="142"/>
      <c r="X829" s="186" t="str">
        <f t="shared" si="90"/>
        <v/>
      </c>
    </row>
    <row r="830" spans="1:24" s="147" customFormat="1">
      <c r="A830" s="172"/>
      <c r="B830" s="151"/>
      <c r="C830" s="151"/>
      <c r="D830" s="151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38"/>
      <c r="Q830" s="255" t="str">
        <f t="shared" si="91"/>
        <v/>
      </c>
      <c r="R830" s="139" t="str">
        <f t="shared" si="92"/>
        <v/>
      </c>
      <c r="S830" s="128" t="str">
        <f t="shared" si="86"/>
        <v/>
      </c>
      <c r="T830" s="140" t="str">
        <f t="shared" si="87"/>
        <v/>
      </c>
      <c r="U830" s="141" t="str">
        <f t="shared" si="88"/>
        <v/>
      </c>
      <c r="V830" s="141" t="str">
        <f t="shared" si="89"/>
        <v/>
      </c>
      <c r="W830" s="142"/>
      <c r="X830" s="186" t="str">
        <f t="shared" si="90"/>
        <v/>
      </c>
    </row>
    <row r="831" spans="1:24" s="147" customFormat="1">
      <c r="A831" s="170"/>
      <c r="B831" s="145"/>
      <c r="C831" s="145"/>
      <c r="D831" s="149"/>
      <c r="E831" s="150"/>
      <c r="F831" s="145"/>
      <c r="G831" s="145"/>
      <c r="H831" s="145"/>
      <c r="I831" s="145"/>
      <c r="J831" s="145"/>
      <c r="K831" s="145"/>
      <c r="L831" s="145"/>
      <c r="M831" s="145"/>
      <c r="N831" s="149"/>
      <c r="O831" s="145"/>
      <c r="P831" s="138"/>
      <c r="Q831" s="255" t="str">
        <f t="shared" si="91"/>
        <v/>
      </c>
      <c r="R831" s="139" t="str">
        <f t="shared" si="92"/>
        <v/>
      </c>
      <c r="S831" s="128" t="str">
        <f t="shared" si="86"/>
        <v/>
      </c>
      <c r="T831" s="140" t="str">
        <f t="shared" si="87"/>
        <v/>
      </c>
      <c r="U831" s="141" t="str">
        <f t="shared" si="88"/>
        <v/>
      </c>
      <c r="V831" s="141" t="str">
        <f t="shared" si="89"/>
        <v/>
      </c>
      <c r="W831" s="142"/>
      <c r="X831" s="186" t="str">
        <f t="shared" si="90"/>
        <v/>
      </c>
    </row>
    <row r="832" spans="1:24" s="147" customFormat="1">
      <c r="A832" s="170"/>
      <c r="B832" s="145"/>
      <c r="C832" s="145"/>
      <c r="D832" s="149"/>
      <c r="E832" s="150"/>
      <c r="F832" s="145"/>
      <c r="G832" s="145"/>
      <c r="H832" s="145"/>
      <c r="I832" s="145"/>
      <c r="J832" s="145"/>
      <c r="K832" s="145"/>
      <c r="L832" s="145"/>
      <c r="M832" s="145"/>
      <c r="N832" s="149"/>
      <c r="O832" s="145"/>
      <c r="P832" s="138"/>
      <c r="Q832" s="255" t="str">
        <f t="shared" si="91"/>
        <v/>
      </c>
      <c r="R832" s="139" t="str">
        <f t="shared" si="92"/>
        <v/>
      </c>
      <c r="S832" s="128" t="str">
        <f t="shared" si="86"/>
        <v/>
      </c>
      <c r="T832" s="140" t="str">
        <f t="shared" si="87"/>
        <v/>
      </c>
      <c r="U832" s="141" t="str">
        <f t="shared" si="88"/>
        <v/>
      </c>
      <c r="V832" s="141" t="str">
        <f t="shared" si="89"/>
        <v/>
      </c>
      <c r="W832" s="142"/>
      <c r="X832" s="186" t="str">
        <f t="shared" si="90"/>
        <v/>
      </c>
    </row>
    <row r="833" spans="1:24" s="147" customFormat="1">
      <c r="A833" s="170"/>
      <c r="B833" s="145"/>
      <c r="C833" s="145"/>
      <c r="D833" s="146"/>
      <c r="E833" s="150"/>
      <c r="F833" s="145"/>
      <c r="G833" s="145"/>
      <c r="H833" s="145"/>
      <c r="I833" s="145"/>
      <c r="J833" s="145"/>
      <c r="K833" s="145"/>
      <c r="L833" s="145"/>
      <c r="M833" s="145"/>
      <c r="N833" s="149"/>
      <c r="O833" s="145"/>
      <c r="P833" s="138"/>
      <c r="Q833" s="255" t="str">
        <f t="shared" si="91"/>
        <v/>
      </c>
      <c r="R833" s="139" t="str">
        <f t="shared" si="92"/>
        <v/>
      </c>
      <c r="S833" s="128" t="str">
        <f t="shared" si="86"/>
        <v/>
      </c>
      <c r="T833" s="140" t="str">
        <f t="shared" si="87"/>
        <v/>
      </c>
      <c r="U833" s="141" t="str">
        <f t="shared" si="88"/>
        <v/>
      </c>
      <c r="V833" s="141" t="str">
        <f t="shared" si="89"/>
        <v/>
      </c>
      <c r="W833" s="142"/>
      <c r="X833" s="186" t="str">
        <f t="shared" si="90"/>
        <v/>
      </c>
    </row>
    <row r="834" spans="1:24" s="147" customFormat="1">
      <c r="A834" s="170"/>
      <c r="B834" s="145"/>
      <c r="C834" s="145"/>
      <c r="D834" s="146"/>
      <c r="E834" s="150"/>
      <c r="F834" s="145"/>
      <c r="G834" s="145"/>
      <c r="H834" s="145"/>
      <c r="I834" s="145"/>
      <c r="J834" s="145"/>
      <c r="K834" s="145"/>
      <c r="L834" s="145"/>
      <c r="M834" s="145"/>
      <c r="N834" s="146"/>
      <c r="O834" s="145"/>
      <c r="P834" s="138"/>
      <c r="Q834" s="255" t="str">
        <f t="shared" si="91"/>
        <v/>
      </c>
      <c r="R834" s="139" t="str">
        <f t="shared" si="92"/>
        <v/>
      </c>
      <c r="S834" s="128" t="str">
        <f t="shared" si="86"/>
        <v/>
      </c>
      <c r="T834" s="140" t="str">
        <f t="shared" si="87"/>
        <v/>
      </c>
      <c r="U834" s="141" t="str">
        <f t="shared" si="88"/>
        <v/>
      </c>
      <c r="V834" s="141" t="str">
        <f t="shared" si="89"/>
        <v/>
      </c>
      <c r="W834" s="142"/>
      <c r="X834" s="186" t="str">
        <f t="shared" si="90"/>
        <v/>
      </c>
    </row>
    <row r="835" spans="1:24" s="147" customFormat="1">
      <c r="A835" s="171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38"/>
      <c r="Q835" s="255" t="str">
        <f t="shared" si="91"/>
        <v/>
      </c>
      <c r="R835" s="139" t="str">
        <f t="shared" si="92"/>
        <v/>
      </c>
      <c r="S835" s="128" t="str">
        <f t="shared" si="86"/>
        <v/>
      </c>
      <c r="T835" s="140" t="str">
        <f t="shared" si="87"/>
        <v/>
      </c>
      <c r="U835" s="141" t="str">
        <f t="shared" si="88"/>
        <v/>
      </c>
      <c r="V835" s="141" t="str">
        <f t="shared" si="89"/>
        <v/>
      </c>
      <c r="W835" s="142"/>
      <c r="X835" s="186" t="str">
        <f t="shared" si="90"/>
        <v/>
      </c>
    </row>
    <row r="836" spans="1:24" s="147" customFormat="1">
      <c r="A836" s="170"/>
      <c r="B836" s="145"/>
      <c r="C836" s="145"/>
      <c r="D836" s="146"/>
      <c r="E836" s="150"/>
      <c r="F836" s="145"/>
      <c r="G836" s="145"/>
      <c r="H836" s="145"/>
      <c r="I836" s="145"/>
      <c r="J836" s="145"/>
      <c r="K836" s="145"/>
      <c r="L836" s="145"/>
      <c r="M836" s="145"/>
      <c r="N836" s="149"/>
      <c r="O836" s="145"/>
      <c r="P836" s="138"/>
      <c r="Q836" s="255" t="str">
        <f t="shared" si="91"/>
        <v/>
      </c>
      <c r="R836" s="139" t="str">
        <f t="shared" si="92"/>
        <v/>
      </c>
      <c r="S836" s="128" t="str">
        <f t="shared" si="86"/>
        <v/>
      </c>
      <c r="T836" s="140" t="str">
        <f t="shared" si="87"/>
        <v/>
      </c>
      <c r="U836" s="141" t="str">
        <f t="shared" si="88"/>
        <v/>
      </c>
      <c r="V836" s="141" t="str">
        <f t="shared" si="89"/>
        <v/>
      </c>
      <c r="W836" s="142"/>
      <c r="X836" s="186" t="str">
        <f t="shared" si="90"/>
        <v/>
      </c>
    </row>
    <row r="837" spans="1:24" s="147" customFormat="1">
      <c r="A837" s="170"/>
      <c r="B837" s="145"/>
      <c r="C837" s="145"/>
      <c r="D837" s="149"/>
      <c r="E837" s="150"/>
      <c r="F837" s="145"/>
      <c r="G837" s="145"/>
      <c r="H837" s="145"/>
      <c r="I837" s="145"/>
      <c r="J837" s="145"/>
      <c r="K837" s="145"/>
      <c r="L837" s="145"/>
      <c r="M837" s="145"/>
      <c r="N837" s="149"/>
      <c r="O837" s="145"/>
      <c r="P837" s="138"/>
      <c r="Q837" s="255" t="str">
        <f t="shared" si="91"/>
        <v/>
      </c>
      <c r="R837" s="139" t="str">
        <f t="shared" si="92"/>
        <v/>
      </c>
      <c r="S837" s="128" t="str">
        <f t="shared" si="86"/>
        <v/>
      </c>
      <c r="T837" s="140" t="str">
        <f t="shared" si="87"/>
        <v/>
      </c>
      <c r="U837" s="141" t="str">
        <f t="shared" si="88"/>
        <v/>
      </c>
      <c r="V837" s="141" t="str">
        <f t="shared" si="89"/>
        <v/>
      </c>
      <c r="W837" s="142"/>
      <c r="X837" s="186" t="str">
        <f t="shared" si="90"/>
        <v/>
      </c>
    </row>
    <row r="838" spans="1:24" s="147" customFormat="1">
      <c r="A838" s="170"/>
      <c r="B838" s="145"/>
      <c r="C838" s="145"/>
      <c r="D838" s="149"/>
      <c r="E838" s="150"/>
      <c r="F838" s="145"/>
      <c r="G838" s="145"/>
      <c r="H838" s="145"/>
      <c r="I838" s="145"/>
      <c r="J838" s="145"/>
      <c r="K838" s="145"/>
      <c r="L838" s="145"/>
      <c r="M838" s="145"/>
      <c r="N838" s="146"/>
      <c r="O838" s="145"/>
      <c r="P838" s="138"/>
      <c r="Q838" s="255" t="str">
        <f t="shared" si="91"/>
        <v/>
      </c>
      <c r="R838" s="139" t="str">
        <f t="shared" si="92"/>
        <v/>
      </c>
      <c r="S838" s="128" t="str">
        <f t="shared" si="86"/>
        <v/>
      </c>
      <c r="T838" s="140" t="str">
        <f t="shared" si="87"/>
        <v/>
      </c>
      <c r="U838" s="141" t="str">
        <f t="shared" si="88"/>
        <v/>
      </c>
      <c r="V838" s="141" t="str">
        <f t="shared" si="89"/>
        <v/>
      </c>
      <c r="W838" s="142"/>
      <c r="X838" s="186" t="str">
        <f t="shared" si="90"/>
        <v/>
      </c>
    </row>
    <row r="839" spans="1:24" s="147" customFormat="1">
      <c r="A839" s="172"/>
      <c r="B839" s="151"/>
      <c r="C839" s="151"/>
      <c r="D839" s="151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38"/>
      <c r="Q839" s="255" t="str">
        <f t="shared" si="91"/>
        <v/>
      </c>
      <c r="R839" s="139" t="str">
        <f t="shared" si="92"/>
        <v/>
      </c>
      <c r="S839" s="128" t="str">
        <f t="shared" ref="S839:S902" si="93">IF(D839="","",IF(IFERROR(FIND("資",D839)&gt;0,FALSE),"資券",IF(IFERROR(FIND("券",D839)&gt;0,FALSE),"資券","波段")))</f>
        <v/>
      </c>
      <c r="T839" s="140" t="str">
        <f t="shared" ref="T839:T902" si="94">IF(F839="","",F839)</f>
        <v/>
      </c>
      <c r="U839" s="141" t="str">
        <f t="shared" ref="U839:U902" si="95">IF(D839="","",IF(IFERROR(FIND("買",D839)&gt;0,FALSE),E839,IF(IFERROR(FIND("賣",D839)&gt;0,FALSE),-E839,IF(IFERROR(FIND("資",D839)&gt;0,FALSE),E839,-E839))))</f>
        <v/>
      </c>
      <c r="V839" s="141" t="str">
        <f t="shared" ref="V839:V902" si="96">IF(Q839="","",T839*U839*-1)</f>
        <v/>
      </c>
      <c r="W839" s="142"/>
      <c r="X839" s="186" t="str">
        <f t="shared" ref="X839:X902" si="97">IFERROR((-1)*LEFT(N839,FIND("扣",N839)-1),IFERROR(1*LEFT(N839,FIND("入",N839)-1),""))</f>
        <v/>
      </c>
    </row>
    <row r="840" spans="1:24" s="147" customFormat="1">
      <c r="A840" s="170"/>
      <c r="B840" s="145"/>
      <c r="C840" s="145"/>
      <c r="D840" s="149"/>
      <c r="E840" s="150"/>
      <c r="F840" s="145"/>
      <c r="G840" s="145"/>
      <c r="H840" s="145"/>
      <c r="I840" s="145"/>
      <c r="J840" s="145"/>
      <c r="K840" s="145"/>
      <c r="L840" s="145"/>
      <c r="M840" s="145"/>
      <c r="N840" s="149"/>
      <c r="O840" s="145"/>
      <c r="P840" s="138"/>
      <c r="Q840" s="255" t="str">
        <f t="shared" ref="Q840:Q903" si="98">IF(B840="","",DATE(LEFT(B840,3)+1911,MID(B840,4,2),RIGHT(B840,2)))</f>
        <v/>
      </c>
      <c r="R840" s="139" t="str">
        <f t="shared" ref="R840:R903" si="99">IF(C840="","",IFERROR(INDEX(代號1,MATCH($C840,股名1,0)),IFERROR(INDEX(代號2,MATCH($C840,股名2,0)),INDEX(代號3,MATCH($C840,股名3,0)))))</f>
        <v/>
      </c>
      <c r="S840" s="128" t="str">
        <f t="shared" si="93"/>
        <v/>
      </c>
      <c r="T840" s="140" t="str">
        <f t="shared" si="94"/>
        <v/>
      </c>
      <c r="U840" s="141" t="str">
        <f t="shared" si="95"/>
        <v/>
      </c>
      <c r="V840" s="141" t="str">
        <f t="shared" si="96"/>
        <v/>
      </c>
      <c r="W840" s="142"/>
      <c r="X840" s="186" t="str">
        <f t="shared" si="97"/>
        <v/>
      </c>
    </row>
    <row r="841" spans="1:24" s="147" customFormat="1">
      <c r="A841" s="170"/>
      <c r="B841" s="145"/>
      <c r="C841" s="145"/>
      <c r="D841" s="149"/>
      <c r="E841" s="150"/>
      <c r="F841" s="145"/>
      <c r="G841" s="145"/>
      <c r="H841" s="145"/>
      <c r="I841" s="145"/>
      <c r="J841" s="145"/>
      <c r="K841" s="145"/>
      <c r="L841" s="145"/>
      <c r="M841" s="145"/>
      <c r="N841" s="149"/>
      <c r="O841" s="145"/>
      <c r="P841" s="138"/>
      <c r="Q841" s="255" t="str">
        <f t="shared" si="98"/>
        <v/>
      </c>
      <c r="R841" s="139" t="str">
        <f t="shared" si="99"/>
        <v/>
      </c>
      <c r="S841" s="128" t="str">
        <f t="shared" si="93"/>
        <v/>
      </c>
      <c r="T841" s="140" t="str">
        <f t="shared" si="94"/>
        <v/>
      </c>
      <c r="U841" s="141" t="str">
        <f t="shared" si="95"/>
        <v/>
      </c>
      <c r="V841" s="141" t="str">
        <f t="shared" si="96"/>
        <v/>
      </c>
      <c r="W841" s="142"/>
      <c r="X841" s="186" t="str">
        <f t="shared" si="97"/>
        <v/>
      </c>
    </row>
    <row r="842" spans="1:24" s="147" customFormat="1">
      <c r="A842" s="170"/>
      <c r="B842" s="145"/>
      <c r="C842" s="145"/>
      <c r="D842" s="149"/>
      <c r="E842" s="150"/>
      <c r="F842" s="145"/>
      <c r="G842" s="145"/>
      <c r="H842" s="145"/>
      <c r="I842" s="145"/>
      <c r="J842" s="145"/>
      <c r="K842" s="145"/>
      <c r="L842" s="145"/>
      <c r="M842" s="145"/>
      <c r="N842" s="149"/>
      <c r="O842" s="145"/>
      <c r="P842" s="138"/>
      <c r="Q842" s="255" t="str">
        <f t="shared" si="98"/>
        <v/>
      </c>
      <c r="R842" s="139" t="str">
        <f t="shared" si="99"/>
        <v/>
      </c>
      <c r="S842" s="128" t="str">
        <f t="shared" si="93"/>
        <v/>
      </c>
      <c r="T842" s="140" t="str">
        <f t="shared" si="94"/>
        <v/>
      </c>
      <c r="U842" s="141" t="str">
        <f t="shared" si="95"/>
        <v/>
      </c>
      <c r="V842" s="141" t="str">
        <f t="shared" si="96"/>
        <v/>
      </c>
      <c r="W842" s="142"/>
      <c r="X842" s="186" t="str">
        <f t="shared" si="97"/>
        <v/>
      </c>
    </row>
    <row r="843" spans="1:24" s="147" customFormat="1">
      <c r="A843" s="170"/>
      <c r="B843" s="145"/>
      <c r="C843" s="145"/>
      <c r="D843" s="149"/>
      <c r="E843" s="150"/>
      <c r="F843" s="145"/>
      <c r="G843" s="145"/>
      <c r="H843" s="145"/>
      <c r="I843" s="145"/>
      <c r="J843" s="145"/>
      <c r="K843" s="145"/>
      <c r="L843" s="145"/>
      <c r="M843" s="145"/>
      <c r="N843" s="149"/>
      <c r="O843" s="145"/>
      <c r="P843" s="138"/>
      <c r="Q843" s="255" t="str">
        <f t="shared" si="98"/>
        <v/>
      </c>
      <c r="R843" s="139" t="str">
        <f t="shared" si="99"/>
        <v/>
      </c>
      <c r="S843" s="128" t="str">
        <f t="shared" si="93"/>
        <v/>
      </c>
      <c r="T843" s="140" t="str">
        <f t="shared" si="94"/>
        <v/>
      </c>
      <c r="U843" s="141" t="str">
        <f t="shared" si="95"/>
        <v/>
      </c>
      <c r="V843" s="141" t="str">
        <f t="shared" si="96"/>
        <v/>
      </c>
      <c r="W843" s="142"/>
      <c r="X843" s="186" t="str">
        <f t="shared" si="97"/>
        <v/>
      </c>
    </row>
    <row r="844" spans="1:24" s="147" customFormat="1">
      <c r="A844" s="170"/>
      <c r="B844" s="145"/>
      <c r="C844" s="145"/>
      <c r="D844" s="149"/>
      <c r="E844" s="150"/>
      <c r="F844" s="145"/>
      <c r="G844" s="145"/>
      <c r="H844" s="145"/>
      <c r="I844" s="145"/>
      <c r="J844" s="145"/>
      <c r="K844" s="145"/>
      <c r="L844" s="145"/>
      <c r="M844" s="145"/>
      <c r="N844" s="146"/>
      <c r="O844" s="145"/>
      <c r="P844" s="138"/>
      <c r="Q844" s="255" t="str">
        <f t="shared" si="98"/>
        <v/>
      </c>
      <c r="R844" s="139" t="str">
        <f t="shared" si="99"/>
        <v/>
      </c>
      <c r="S844" s="128" t="str">
        <f t="shared" si="93"/>
        <v/>
      </c>
      <c r="T844" s="140" t="str">
        <f t="shared" si="94"/>
        <v/>
      </c>
      <c r="U844" s="141" t="str">
        <f t="shared" si="95"/>
        <v/>
      </c>
      <c r="V844" s="141" t="str">
        <f t="shared" si="96"/>
        <v/>
      </c>
      <c r="W844" s="142"/>
      <c r="X844" s="186" t="str">
        <f t="shared" si="97"/>
        <v/>
      </c>
    </row>
    <row r="845" spans="1:24" s="147" customFormat="1">
      <c r="A845" s="171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38"/>
      <c r="Q845" s="255" t="str">
        <f t="shared" si="98"/>
        <v/>
      </c>
      <c r="R845" s="139" t="str">
        <f t="shared" si="99"/>
        <v/>
      </c>
      <c r="S845" s="128" t="str">
        <f t="shared" si="93"/>
        <v/>
      </c>
      <c r="T845" s="140" t="str">
        <f t="shared" si="94"/>
        <v/>
      </c>
      <c r="U845" s="141" t="str">
        <f t="shared" si="95"/>
        <v/>
      </c>
      <c r="V845" s="141" t="str">
        <f t="shared" si="96"/>
        <v/>
      </c>
      <c r="W845" s="142"/>
      <c r="X845" s="186" t="str">
        <f t="shared" si="97"/>
        <v/>
      </c>
    </row>
    <row r="846" spans="1:24" s="147" customFormat="1">
      <c r="A846" s="170"/>
      <c r="B846" s="145"/>
      <c r="C846" s="145"/>
      <c r="D846" s="149"/>
      <c r="E846" s="145"/>
      <c r="F846" s="145"/>
      <c r="G846" s="145"/>
      <c r="H846" s="145"/>
      <c r="I846" s="145"/>
      <c r="J846" s="145"/>
      <c r="K846" s="145"/>
      <c r="L846" s="145"/>
      <c r="M846" s="145"/>
      <c r="N846" s="149"/>
      <c r="O846" s="145"/>
      <c r="P846" s="138"/>
      <c r="Q846" s="255" t="str">
        <f t="shared" si="98"/>
        <v/>
      </c>
      <c r="R846" s="139" t="str">
        <f t="shared" si="99"/>
        <v/>
      </c>
      <c r="S846" s="128" t="str">
        <f t="shared" si="93"/>
        <v/>
      </c>
      <c r="T846" s="140" t="str">
        <f t="shared" si="94"/>
        <v/>
      </c>
      <c r="U846" s="141" t="str">
        <f t="shared" si="95"/>
        <v/>
      </c>
      <c r="V846" s="141" t="str">
        <f t="shared" si="96"/>
        <v/>
      </c>
      <c r="W846" s="142"/>
      <c r="X846" s="186" t="str">
        <f t="shared" si="97"/>
        <v/>
      </c>
    </row>
    <row r="847" spans="1:24" s="147" customFormat="1">
      <c r="A847" s="170"/>
      <c r="B847" s="145"/>
      <c r="C847" s="145"/>
      <c r="D847" s="149"/>
      <c r="E847" s="145"/>
      <c r="F847" s="145"/>
      <c r="G847" s="145"/>
      <c r="H847" s="145"/>
      <c r="I847" s="145"/>
      <c r="J847" s="145"/>
      <c r="K847" s="145"/>
      <c r="L847" s="145"/>
      <c r="M847" s="145"/>
      <c r="N847" s="149"/>
      <c r="O847" s="145"/>
      <c r="P847" s="138"/>
      <c r="Q847" s="255" t="str">
        <f t="shared" si="98"/>
        <v/>
      </c>
      <c r="R847" s="139" t="str">
        <f t="shared" si="99"/>
        <v/>
      </c>
      <c r="S847" s="128" t="str">
        <f t="shared" si="93"/>
        <v/>
      </c>
      <c r="T847" s="140" t="str">
        <f t="shared" si="94"/>
        <v/>
      </c>
      <c r="U847" s="141" t="str">
        <f t="shared" si="95"/>
        <v/>
      </c>
      <c r="V847" s="141" t="str">
        <f t="shared" si="96"/>
        <v/>
      </c>
      <c r="W847" s="142"/>
      <c r="X847" s="186" t="str">
        <f t="shared" si="97"/>
        <v/>
      </c>
    </row>
    <row r="848" spans="1:24" s="147" customFormat="1">
      <c r="A848" s="170"/>
      <c r="B848" s="145"/>
      <c r="C848" s="145"/>
      <c r="D848" s="149"/>
      <c r="E848" s="150"/>
      <c r="F848" s="145"/>
      <c r="G848" s="145"/>
      <c r="H848" s="145"/>
      <c r="I848" s="145"/>
      <c r="J848" s="145"/>
      <c r="K848" s="145"/>
      <c r="L848" s="145"/>
      <c r="M848" s="145"/>
      <c r="N848" s="149"/>
      <c r="O848" s="145"/>
      <c r="P848" s="138"/>
      <c r="Q848" s="255" t="str">
        <f t="shared" si="98"/>
        <v/>
      </c>
      <c r="R848" s="139" t="str">
        <f t="shared" si="99"/>
        <v/>
      </c>
      <c r="S848" s="128" t="str">
        <f t="shared" si="93"/>
        <v/>
      </c>
      <c r="T848" s="140" t="str">
        <f t="shared" si="94"/>
        <v/>
      </c>
      <c r="U848" s="141" t="str">
        <f t="shared" si="95"/>
        <v/>
      </c>
      <c r="V848" s="141" t="str">
        <f t="shared" si="96"/>
        <v/>
      </c>
      <c r="W848" s="142"/>
      <c r="X848" s="186" t="str">
        <f t="shared" si="97"/>
        <v/>
      </c>
    </row>
    <row r="849" spans="1:24" s="147" customFormat="1">
      <c r="A849" s="170"/>
      <c r="B849" s="145"/>
      <c r="C849" s="145"/>
      <c r="D849" s="146"/>
      <c r="E849" s="150"/>
      <c r="F849" s="145"/>
      <c r="G849" s="145"/>
      <c r="H849" s="145"/>
      <c r="I849" s="145"/>
      <c r="J849" s="145"/>
      <c r="K849" s="145"/>
      <c r="L849" s="145"/>
      <c r="M849" s="145"/>
      <c r="N849" s="149"/>
      <c r="O849" s="145"/>
      <c r="P849" s="138"/>
      <c r="Q849" s="255" t="str">
        <f t="shared" si="98"/>
        <v/>
      </c>
      <c r="R849" s="139" t="str">
        <f t="shared" si="99"/>
        <v/>
      </c>
      <c r="S849" s="128" t="str">
        <f t="shared" si="93"/>
        <v/>
      </c>
      <c r="T849" s="140" t="str">
        <f t="shared" si="94"/>
        <v/>
      </c>
      <c r="U849" s="141" t="str">
        <f t="shared" si="95"/>
        <v/>
      </c>
      <c r="V849" s="141" t="str">
        <f t="shared" si="96"/>
        <v/>
      </c>
      <c r="W849" s="142"/>
      <c r="X849" s="186" t="str">
        <f t="shared" si="97"/>
        <v/>
      </c>
    </row>
    <row r="850" spans="1:24" s="147" customFormat="1">
      <c r="A850" s="170"/>
      <c r="B850" s="145"/>
      <c r="C850" s="145"/>
      <c r="D850" s="146"/>
      <c r="E850" s="150"/>
      <c r="F850" s="145"/>
      <c r="G850" s="145"/>
      <c r="H850" s="145"/>
      <c r="I850" s="145"/>
      <c r="J850" s="145"/>
      <c r="K850" s="145"/>
      <c r="L850" s="145"/>
      <c r="M850" s="145"/>
      <c r="N850" s="149"/>
      <c r="O850" s="145"/>
      <c r="P850" s="138"/>
      <c r="Q850" s="255" t="str">
        <f t="shared" si="98"/>
        <v/>
      </c>
      <c r="R850" s="139" t="str">
        <f t="shared" si="99"/>
        <v/>
      </c>
      <c r="S850" s="128" t="str">
        <f t="shared" si="93"/>
        <v/>
      </c>
      <c r="T850" s="140" t="str">
        <f t="shared" si="94"/>
        <v/>
      </c>
      <c r="U850" s="141" t="str">
        <f t="shared" si="95"/>
        <v/>
      </c>
      <c r="V850" s="141" t="str">
        <f t="shared" si="96"/>
        <v/>
      </c>
      <c r="W850" s="142"/>
      <c r="X850" s="186" t="str">
        <f t="shared" si="97"/>
        <v/>
      </c>
    </row>
    <row r="851" spans="1:24" s="147" customFormat="1">
      <c r="A851" s="170"/>
      <c r="B851" s="145"/>
      <c r="C851" s="145"/>
      <c r="D851" s="145"/>
      <c r="E851" s="150"/>
      <c r="F851" s="145"/>
      <c r="G851" s="145"/>
      <c r="H851" s="145"/>
      <c r="I851" s="145"/>
      <c r="J851" s="145"/>
      <c r="K851" s="145"/>
      <c r="L851" s="145"/>
      <c r="M851" s="145"/>
      <c r="N851" s="149"/>
      <c r="O851" s="145"/>
      <c r="P851" s="138"/>
      <c r="Q851" s="255" t="str">
        <f t="shared" si="98"/>
        <v/>
      </c>
      <c r="R851" s="139" t="str">
        <f t="shared" si="99"/>
        <v/>
      </c>
      <c r="S851" s="128" t="str">
        <f t="shared" si="93"/>
        <v/>
      </c>
      <c r="T851" s="140" t="str">
        <f t="shared" si="94"/>
        <v/>
      </c>
      <c r="U851" s="141" t="str">
        <f t="shared" si="95"/>
        <v/>
      </c>
      <c r="V851" s="141" t="str">
        <f t="shared" si="96"/>
        <v/>
      </c>
      <c r="W851" s="142"/>
      <c r="X851" s="186" t="str">
        <f t="shared" si="97"/>
        <v/>
      </c>
    </row>
    <row r="852" spans="1:24" s="147" customFormat="1">
      <c r="A852" s="172"/>
      <c r="B852" s="151"/>
      <c r="C852" s="151"/>
      <c r="D852" s="151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38"/>
      <c r="Q852" s="255" t="str">
        <f t="shared" si="98"/>
        <v/>
      </c>
      <c r="R852" s="139" t="str">
        <f t="shared" si="99"/>
        <v/>
      </c>
      <c r="S852" s="128" t="str">
        <f t="shared" si="93"/>
        <v/>
      </c>
      <c r="T852" s="140" t="str">
        <f t="shared" si="94"/>
        <v/>
      </c>
      <c r="U852" s="141" t="str">
        <f t="shared" si="95"/>
        <v/>
      </c>
      <c r="V852" s="141" t="str">
        <f t="shared" si="96"/>
        <v/>
      </c>
      <c r="W852" s="142"/>
      <c r="X852" s="186" t="str">
        <f t="shared" si="97"/>
        <v/>
      </c>
    </row>
    <row r="853" spans="1:24" s="147" customFormat="1">
      <c r="A853" s="170"/>
      <c r="B853" s="145"/>
      <c r="C853" s="145"/>
      <c r="D853" s="145"/>
      <c r="E853" s="150"/>
      <c r="F853" s="145"/>
      <c r="G853" s="145"/>
      <c r="H853" s="145"/>
      <c r="I853" s="145"/>
      <c r="J853" s="145"/>
      <c r="K853" s="145"/>
      <c r="L853" s="145"/>
      <c r="M853" s="145"/>
      <c r="N853" s="146"/>
      <c r="O853" s="145"/>
      <c r="P853" s="138"/>
      <c r="Q853" s="255" t="str">
        <f t="shared" si="98"/>
        <v/>
      </c>
      <c r="R853" s="139" t="str">
        <f t="shared" si="99"/>
        <v/>
      </c>
      <c r="S853" s="128" t="str">
        <f t="shared" si="93"/>
        <v/>
      </c>
      <c r="T853" s="140" t="str">
        <f t="shared" si="94"/>
        <v/>
      </c>
      <c r="U853" s="141" t="str">
        <f t="shared" si="95"/>
        <v/>
      </c>
      <c r="V853" s="141" t="str">
        <f t="shared" si="96"/>
        <v/>
      </c>
      <c r="W853" s="142"/>
      <c r="X853" s="186" t="str">
        <f t="shared" si="97"/>
        <v/>
      </c>
    </row>
    <row r="854" spans="1:24" s="147" customFormat="1">
      <c r="A854" s="170"/>
      <c r="B854" s="145"/>
      <c r="C854" s="145"/>
      <c r="D854" s="149"/>
      <c r="E854" s="150"/>
      <c r="F854" s="145"/>
      <c r="G854" s="145"/>
      <c r="H854" s="145"/>
      <c r="I854" s="145"/>
      <c r="J854" s="145"/>
      <c r="K854" s="145"/>
      <c r="L854" s="145"/>
      <c r="M854" s="145"/>
      <c r="N854" s="149"/>
      <c r="O854" s="145"/>
      <c r="P854" s="138"/>
      <c r="Q854" s="255" t="str">
        <f t="shared" si="98"/>
        <v/>
      </c>
      <c r="R854" s="139" t="str">
        <f t="shared" si="99"/>
        <v/>
      </c>
      <c r="S854" s="128" t="str">
        <f t="shared" si="93"/>
        <v/>
      </c>
      <c r="T854" s="140" t="str">
        <f t="shared" si="94"/>
        <v/>
      </c>
      <c r="U854" s="141" t="str">
        <f t="shared" si="95"/>
        <v/>
      </c>
      <c r="V854" s="141" t="str">
        <f t="shared" si="96"/>
        <v/>
      </c>
      <c r="W854" s="142"/>
      <c r="X854" s="186" t="str">
        <f t="shared" si="97"/>
        <v/>
      </c>
    </row>
    <row r="855" spans="1:24" s="147" customFormat="1">
      <c r="A855" s="170"/>
      <c r="B855" s="145"/>
      <c r="C855" s="145"/>
      <c r="D855" s="146"/>
      <c r="E855" s="150"/>
      <c r="F855" s="145"/>
      <c r="G855" s="145"/>
      <c r="H855" s="150"/>
      <c r="I855" s="145"/>
      <c r="J855" s="145"/>
      <c r="K855" s="145"/>
      <c r="L855" s="145"/>
      <c r="M855" s="145"/>
      <c r="N855" s="149"/>
      <c r="O855" s="145"/>
      <c r="P855" s="138"/>
      <c r="Q855" s="255" t="str">
        <f t="shared" si="98"/>
        <v/>
      </c>
      <c r="R855" s="139" t="str">
        <f t="shared" si="99"/>
        <v/>
      </c>
      <c r="S855" s="128" t="str">
        <f t="shared" si="93"/>
        <v/>
      </c>
      <c r="T855" s="140" t="str">
        <f t="shared" si="94"/>
        <v/>
      </c>
      <c r="U855" s="141" t="str">
        <f t="shared" si="95"/>
        <v/>
      </c>
      <c r="V855" s="141" t="str">
        <f t="shared" si="96"/>
        <v/>
      </c>
      <c r="W855" s="142"/>
      <c r="X855" s="186" t="str">
        <f t="shared" si="97"/>
        <v/>
      </c>
    </row>
    <row r="856" spans="1:24" s="147" customFormat="1">
      <c r="A856" s="170"/>
      <c r="B856" s="145"/>
      <c r="C856" s="145"/>
      <c r="D856" s="149"/>
      <c r="E856" s="150"/>
      <c r="F856" s="145"/>
      <c r="G856" s="145"/>
      <c r="H856" s="145"/>
      <c r="I856" s="145"/>
      <c r="J856" s="145"/>
      <c r="K856" s="145"/>
      <c r="L856" s="145"/>
      <c r="M856" s="145"/>
      <c r="N856" s="149"/>
      <c r="O856" s="145"/>
      <c r="P856" s="138"/>
      <c r="Q856" s="255" t="str">
        <f t="shared" si="98"/>
        <v/>
      </c>
      <c r="R856" s="139" t="str">
        <f t="shared" si="99"/>
        <v/>
      </c>
      <c r="S856" s="128" t="str">
        <f t="shared" si="93"/>
        <v/>
      </c>
      <c r="T856" s="140" t="str">
        <f t="shared" si="94"/>
        <v/>
      </c>
      <c r="U856" s="141" t="str">
        <f t="shared" si="95"/>
        <v/>
      </c>
      <c r="V856" s="141" t="str">
        <f t="shared" si="96"/>
        <v/>
      </c>
      <c r="W856" s="142"/>
      <c r="X856" s="186" t="str">
        <f t="shared" si="97"/>
        <v/>
      </c>
    </row>
    <row r="857" spans="1:24" s="147" customFormat="1">
      <c r="A857" s="170"/>
      <c r="B857" s="145"/>
      <c r="C857" s="145"/>
      <c r="D857" s="145"/>
      <c r="E857" s="150"/>
      <c r="F857" s="145"/>
      <c r="G857" s="145"/>
      <c r="H857" s="145"/>
      <c r="I857" s="145"/>
      <c r="J857" s="145"/>
      <c r="K857" s="145"/>
      <c r="L857" s="145"/>
      <c r="M857" s="145"/>
      <c r="N857" s="149"/>
      <c r="O857" s="145"/>
      <c r="P857" s="138"/>
      <c r="Q857" s="255" t="str">
        <f t="shared" si="98"/>
        <v/>
      </c>
      <c r="R857" s="139" t="str">
        <f t="shared" si="99"/>
        <v/>
      </c>
      <c r="S857" s="128" t="str">
        <f t="shared" si="93"/>
        <v/>
      </c>
      <c r="T857" s="140" t="str">
        <f t="shared" si="94"/>
        <v/>
      </c>
      <c r="U857" s="141" t="str">
        <f t="shared" si="95"/>
        <v/>
      </c>
      <c r="V857" s="141" t="str">
        <f t="shared" si="96"/>
        <v/>
      </c>
      <c r="W857" s="142"/>
      <c r="X857" s="186" t="str">
        <f t="shared" si="97"/>
        <v/>
      </c>
    </row>
    <row r="858" spans="1:24" s="147" customFormat="1">
      <c r="A858" s="172"/>
      <c r="B858" s="151"/>
      <c r="C858" s="151"/>
      <c r="D858" s="151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38"/>
      <c r="Q858" s="255" t="str">
        <f t="shared" si="98"/>
        <v/>
      </c>
      <c r="R858" s="139" t="str">
        <f t="shared" si="99"/>
        <v/>
      </c>
      <c r="S858" s="128" t="str">
        <f t="shared" si="93"/>
        <v/>
      </c>
      <c r="T858" s="140" t="str">
        <f t="shared" si="94"/>
        <v/>
      </c>
      <c r="U858" s="141" t="str">
        <f t="shared" si="95"/>
        <v/>
      </c>
      <c r="V858" s="141" t="str">
        <f t="shared" si="96"/>
        <v/>
      </c>
      <c r="W858" s="142"/>
      <c r="X858" s="186" t="str">
        <f t="shared" si="97"/>
        <v/>
      </c>
    </row>
    <row r="859" spans="1:24" s="147" customFormat="1">
      <c r="A859" s="170"/>
      <c r="B859" s="145"/>
      <c r="C859" s="145"/>
      <c r="D859" s="145"/>
      <c r="E859" s="150"/>
      <c r="F859" s="145"/>
      <c r="G859" s="145"/>
      <c r="H859" s="145"/>
      <c r="I859" s="145"/>
      <c r="J859" s="145"/>
      <c r="K859" s="145"/>
      <c r="L859" s="145"/>
      <c r="M859" s="145"/>
      <c r="N859" s="146"/>
      <c r="O859" s="145"/>
      <c r="P859" s="138"/>
      <c r="Q859" s="255" t="str">
        <f t="shared" si="98"/>
        <v/>
      </c>
      <c r="R859" s="139" t="str">
        <f t="shared" si="99"/>
        <v/>
      </c>
      <c r="S859" s="128" t="str">
        <f t="shared" si="93"/>
        <v/>
      </c>
      <c r="T859" s="140" t="str">
        <f t="shared" si="94"/>
        <v/>
      </c>
      <c r="U859" s="141" t="str">
        <f t="shared" si="95"/>
        <v/>
      </c>
      <c r="V859" s="141" t="str">
        <f t="shared" si="96"/>
        <v/>
      </c>
      <c r="W859" s="142"/>
      <c r="X859" s="186" t="str">
        <f t="shared" si="97"/>
        <v/>
      </c>
    </row>
    <row r="860" spans="1:24" s="147" customFormat="1">
      <c r="A860" s="170"/>
      <c r="B860" s="145"/>
      <c r="C860" s="145"/>
      <c r="D860" s="149"/>
      <c r="E860" s="150"/>
      <c r="F860" s="145"/>
      <c r="G860" s="145"/>
      <c r="H860" s="145"/>
      <c r="I860" s="145"/>
      <c r="J860" s="145"/>
      <c r="K860" s="145"/>
      <c r="L860" s="145"/>
      <c r="M860" s="145"/>
      <c r="N860" s="149"/>
      <c r="O860" s="145"/>
      <c r="P860" s="138"/>
      <c r="Q860" s="255" t="str">
        <f t="shared" si="98"/>
        <v/>
      </c>
      <c r="R860" s="139" t="str">
        <f t="shared" si="99"/>
        <v/>
      </c>
      <c r="S860" s="128" t="str">
        <f t="shared" si="93"/>
        <v/>
      </c>
      <c r="T860" s="140" t="str">
        <f t="shared" si="94"/>
        <v/>
      </c>
      <c r="U860" s="141" t="str">
        <f t="shared" si="95"/>
        <v/>
      </c>
      <c r="V860" s="141" t="str">
        <f t="shared" si="96"/>
        <v/>
      </c>
      <c r="W860" s="142"/>
      <c r="X860" s="186" t="str">
        <f t="shared" si="97"/>
        <v/>
      </c>
    </row>
    <row r="861" spans="1:24" s="147" customFormat="1">
      <c r="A861" s="170"/>
      <c r="B861" s="145"/>
      <c r="C861" s="145"/>
      <c r="D861" s="149"/>
      <c r="E861" s="150"/>
      <c r="F861" s="145"/>
      <c r="G861" s="145"/>
      <c r="H861" s="145"/>
      <c r="I861" s="145"/>
      <c r="J861" s="145"/>
      <c r="K861" s="145"/>
      <c r="L861" s="145"/>
      <c r="M861" s="145"/>
      <c r="N861" s="149"/>
      <c r="O861" s="145"/>
      <c r="P861" s="138"/>
      <c r="Q861" s="255" t="str">
        <f t="shared" si="98"/>
        <v/>
      </c>
      <c r="R861" s="139" t="str">
        <f t="shared" si="99"/>
        <v/>
      </c>
      <c r="S861" s="128" t="str">
        <f t="shared" si="93"/>
        <v/>
      </c>
      <c r="T861" s="140" t="str">
        <f t="shared" si="94"/>
        <v/>
      </c>
      <c r="U861" s="141" t="str">
        <f t="shared" si="95"/>
        <v/>
      </c>
      <c r="V861" s="141" t="str">
        <f t="shared" si="96"/>
        <v/>
      </c>
      <c r="W861" s="142"/>
      <c r="X861" s="186" t="str">
        <f t="shared" si="97"/>
        <v/>
      </c>
    </row>
    <row r="862" spans="1:24" s="147" customFormat="1">
      <c r="A862" s="170"/>
      <c r="B862" s="145"/>
      <c r="C862" s="145"/>
      <c r="D862" s="145"/>
      <c r="E862" s="150"/>
      <c r="F862" s="145"/>
      <c r="G862" s="145"/>
      <c r="H862" s="145"/>
      <c r="I862" s="145"/>
      <c r="J862" s="145"/>
      <c r="K862" s="145"/>
      <c r="L862" s="145"/>
      <c r="M862" s="145"/>
      <c r="N862" s="149"/>
      <c r="O862" s="145"/>
      <c r="P862" s="138"/>
      <c r="Q862" s="255" t="str">
        <f t="shared" si="98"/>
        <v/>
      </c>
      <c r="R862" s="139" t="str">
        <f t="shared" si="99"/>
        <v/>
      </c>
      <c r="S862" s="128" t="str">
        <f t="shared" si="93"/>
        <v/>
      </c>
      <c r="T862" s="140" t="str">
        <f t="shared" si="94"/>
        <v/>
      </c>
      <c r="U862" s="141" t="str">
        <f t="shared" si="95"/>
        <v/>
      </c>
      <c r="V862" s="141" t="str">
        <f t="shared" si="96"/>
        <v/>
      </c>
      <c r="W862" s="142"/>
      <c r="X862" s="186" t="str">
        <f t="shared" si="97"/>
        <v/>
      </c>
    </row>
    <row r="863" spans="1:24" s="147" customFormat="1">
      <c r="A863" s="172"/>
      <c r="B863" s="151"/>
      <c r="C863" s="151"/>
      <c r="D863" s="151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38"/>
      <c r="Q863" s="255" t="str">
        <f t="shared" si="98"/>
        <v/>
      </c>
      <c r="R863" s="139" t="str">
        <f t="shared" si="99"/>
        <v/>
      </c>
      <c r="S863" s="128" t="str">
        <f t="shared" si="93"/>
        <v/>
      </c>
      <c r="T863" s="140" t="str">
        <f t="shared" si="94"/>
        <v/>
      </c>
      <c r="U863" s="141" t="str">
        <f t="shared" si="95"/>
        <v/>
      </c>
      <c r="V863" s="141" t="str">
        <f t="shared" si="96"/>
        <v/>
      </c>
      <c r="W863" s="142"/>
      <c r="X863" s="186" t="str">
        <f t="shared" si="97"/>
        <v/>
      </c>
    </row>
    <row r="864" spans="1:24" s="147" customFormat="1">
      <c r="A864" s="170"/>
      <c r="B864" s="145"/>
      <c r="C864" s="145"/>
      <c r="D864" s="145"/>
      <c r="E864" s="150"/>
      <c r="F864" s="145"/>
      <c r="G864" s="145"/>
      <c r="H864" s="145"/>
      <c r="I864" s="145"/>
      <c r="J864" s="145"/>
      <c r="K864" s="145"/>
      <c r="L864" s="145"/>
      <c r="M864" s="145"/>
      <c r="N864" s="146"/>
      <c r="O864" s="145"/>
      <c r="P864" s="138"/>
      <c r="Q864" s="255" t="str">
        <f t="shared" si="98"/>
        <v/>
      </c>
      <c r="R864" s="139" t="str">
        <f t="shared" si="99"/>
        <v/>
      </c>
      <c r="S864" s="128" t="str">
        <f t="shared" si="93"/>
        <v/>
      </c>
      <c r="T864" s="140" t="str">
        <f t="shared" si="94"/>
        <v/>
      </c>
      <c r="U864" s="141" t="str">
        <f t="shared" si="95"/>
        <v/>
      </c>
      <c r="V864" s="141" t="str">
        <f t="shared" si="96"/>
        <v/>
      </c>
      <c r="W864" s="142"/>
      <c r="X864" s="186" t="str">
        <f t="shared" si="97"/>
        <v/>
      </c>
    </row>
    <row r="865" spans="1:24" s="147" customFormat="1">
      <c r="A865" s="170"/>
      <c r="B865" s="145"/>
      <c r="C865" s="145"/>
      <c r="D865" s="146"/>
      <c r="E865" s="150"/>
      <c r="F865" s="145"/>
      <c r="G865" s="145"/>
      <c r="H865" s="145"/>
      <c r="I865" s="145"/>
      <c r="J865" s="145"/>
      <c r="K865" s="145"/>
      <c r="L865" s="145"/>
      <c r="M865" s="145"/>
      <c r="N865" s="146"/>
      <c r="O865" s="145"/>
      <c r="P865" s="138"/>
      <c r="Q865" s="255" t="str">
        <f t="shared" si="98"/>
        <v/>
      </c>
      <c r="R865" s="139" t="str">
        <f t="shared" si="99"/>
        <v/>
      </c>
      <c r="S865" s="128" t="str">
        <f t="shared" si="93"/>
        <v/>
      </c>
      <c r="T865" s="140" t="str">
        <f t="shared" si="94"/>
        <v/>
      </c>
      <c r="U865" s="141" t="str">
        <f t="shared" si="95"/>
        <v/>
      </c>
      <c r="V865" s="141" t="str">
        <f t="shared" si="96"/>
        <v/>
      </c>
      <c r="W865" s="142"/>
      <c r="X865" s="186" t="str">
        <f t="shared" si="97"/>
        <v/>
      </c>
    </row>
    <row r="866" spans="1:24" s="147" customFormat="1">
      <c r="A866" s="172"/>
      <c r="B866" s="151"/>
      <c r="C866" s="151"/>
      <c r="D866" s="151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38"/>
      <c r="Q866" s="255" t="str">
        <f t="shared" si="98"/>
        <v/>
      </c>
      <c r="R866" s="139" t="str">
        <f t="shared" si="99"/>
        <v/>
      </c>
      <c r="S866" s="128" t="str">
        <f t="shared" si="93"/>
        <v/>
      </c>
      <c r="T866" s="140" t="str">
        <f t="shared" si="94"/>
        <v/>
      </c>
      <c r="U866" s="141" t="str">
        <f t="shared" si="95"/>
        <v/>
      </c>
      <c r="V866" s="141" t="str">
        <f t="shared" si="96"/>
        <v/>
      </c>
      <c r="W866" s="142"/>
      <c r="X866" s="186" t="str">
        <f t="shared" si="97"/>
        <v/>
      </c>
    </row>
    <row r="867" spans="1:24" s="147" customFormat="1">
      <c r="A867" s="170"/>
      <c r="B867" s="145"/>
      <c r="C867" s="145"/>
      <c r="D867" s="146"/>
      <c r="E867" s="150"/>
      <c r="F867" s="145"/>
      <c r="G867" s="145"/>
      <c r="H867" s="145"/>
      <c r="I867" s="145"/>
      <c r="J867" s="145"/>
      <c r="K867" s="145"/>
      <c r="L867" s="145"/>
      <c r="M867" s="145"/>
      <c r="N867" s="146"/>
      <c r="O867" s="145"/>
      <c r="P867" s="138"/>
      <c r="Q867" s="255" t="str">
        <f t="shared" si="98"/>
        <v/>
      </c>
      <c r="R867" s="139" t="str">
        <f t="shared" si="99"/>
        <v/>
      </c>
      <c r="S867" s="128" t="str">
        <f t="shared" si="93"/>
        <v/>
      </c>
      <c r="T867" s="140" t="str">
        <f t="shared" si="94"/>
        <v/>
      </c>
      <c r="U867" s="141" t="str">
        <f t="shared" si="95"/>
        <v/>
      </c>
      <c r="V867" s="141" t="str">
        <f t="shared" si="96"/>
        <v/>
      </c>
      <c r="W867" s="142"/>
      <c r="X867" s="186" t="str">
        <f t="shared" si="97"/>
        <v/>
      </c>
    </row>
    <row r="868" spans="1:24" s="147" customFormat="1">
      <c r="A868" s="172"/>
      <c r="B868" s="151"/>
      <c r="C868" s="151"/>
      <c r="D868" s="151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38"/>
      <c r="Q868" s="255" t="str">
        <f t="shared" si="98"/>
        <v/>
      </c>
      <c r="R868" s="139" t="str">
        <f t="shared" si="99"/>
        <v/>
      </c>
      <c r="S868" s="128" t="str">
        <f t="shared" si="93"/>
        <v/>
      </c>
      <c r="T868" s="140" t="str">
        <f t="shared" si="94"/>
        <v/>
      </c>
      <c r="U868" s="141" t="str">
        <f t="shared" si="95"/>
        <v/>
      </c>
      <c r="V868" s="141" t="str">
        <f t="shared" si="96"/>
        <v/>
      </c>
      <c r="W868" s="142"/>
      <c r="X868" s="186" t="str">
        <f t="shared" si="97"/>
        <v/>
      </c>
    </row>
    <row r="869" spans="1:24" s="147" customFormat="1">
      <c r="A869" s="170"/>
      <c r="B869" s="145"/>
      <c r="C869" s="145"/>
      <c r="D869" s="146"/>
      <c r="E869" s="150"/>
      <c r="F869" s="145"/>
      <c r="G869" s="145"/>
      <c r="H869" s="145"/>
      <c r="I869" s="145"/>
      <c r="J869" s="145"/>
      <c r="K869" s="145"/>
      <c r="L869" s="145"/>
      <c r="M869" s="145"/>
      <c r="N869" s="146"/>
      <c r="O869" s="145"/>
      <c r="P869" s="138"/>
      <c r="Q869" s="255" t="str">
        <f t="shared" si="98"/>
        <v/>
      </c>
      <c r="R869" s="139" t="str">
        <f t="shared" si="99"/>
        <v/>
      </c>
      <c r="S869" s="128" t="str">
        <f t="shared" si="93"/>
        <v/>
      </c>
      <c r="T869" s="140" t="str">
        <f t="shared" si="94"/>
        <v/>
      </c>
      <c r="U869" s="141" t="str">
        <f t="shared" si="95"/>
        <v/>
      </c>
      <c r="V869" s="141" t="str">
        <f t="shared" si="96"/>
        <v/>
      </c>
      <c r="W869" s="142"/>
      <c r="X869" s="186" t="str">
        <f t="shared" si="97"/>
        <v/>
      </c>
    </row>
    <row r="870" spans="1:24" s="147" customFormat="1">
      <c r="A870" s="172"/>
      <c r="B870" s="151"/>
      <c r="C870" s="151"/>
      <c r="D870" s="151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38"/>
      <c r="Q870" s="255" t="str">
        <f t="shared" si="98"/>
        <v/>
      </c>
      <c r="R870" s="139" t="str">
        <f t="shared" si="99"/>
        <v/>
      </c>
      <c r="S870" s="128" t="str">
        <f t="shared" si="93"/>
        <v/>
      </c>
      <c r="T870" s="140" t="str">
        <f t="shared" si="94"/>
        <v/>
      </c>
      <c r="U870" s="141" t="str">
        <f t="shared" si="95"/>
        <v/>
      </c>
      <c r="V870" s="141" t="str">
        <f t="shared" si="96"/>
        <v/>
      </c>
      <c r="W870" s="142"/>
      <c r="X870" s="186" t="str">
        <f t="shared" si="97"/>
        <v/>
      </c>
    </row>
    <row r="871" spans="1:24" s="147" customFormat="1">
      <c r="A871" s="170"/>
      <c r="B871" s="145"/>
      <c r="C871" s="145"/>
      <c r="D871" s="146"/>
      <c r="E871" s="150"/>
      <c r="F871" s="145"/>
      <c r="G871" s="145"/>
      <c r="H871" s="145"/>
      <c r="I871" s="145"/>
      <c r="J871" s="145"/>
      <c r="K871" s="145"/>
      <c r="L871" s="145"/>
      <c r="M871" s="145"/>
      <c r="N871" s="146"/>
      <c r="O871" s="145"/>
      <c r="P871" s="138"/>
      <c r="Q871" s="255" t="str">
        <f t="shared" si="98"/>
        <v/>
      </c>
      <c r="R871" s="139" t="str">
        <f t="shared" si="99"/>
        <v/>
      </c>
      <c r="S871" s="128" t="str">
        <f t="shared" si="93"/>
        <v/>
      </c>
      <c r="T871" s="140" t="str">
        <f t="shared" si="94"/>
        <v/>
      </c>
      <c r="U871" s="141" t="str">
        <f t="shared" si="95"/>
        <v/>
      </c>
      <c r="V871" s="141" t="str">
        <f t="shared" si="96"/>
        <v/>
      </c>
      <c r="W871" s="142"/>
      <c r="X871" s="186" t="str">
        <f t="shared" si="97"/>
        <v/>
      </c>
    </row>
    <row r="872" spans="1:24" s="147" customFormat="1">
      <c r="A872" s="172"/>
      <c r="B872" s="151"/>
      <c r="C872" s="151"/>
      <c r="D872" s="151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38"/>
      <c r="Q872" s="255" t="str">
        <f t="shared" si="98"/>
        <v/>
      </c>
      <c r="R872" s="139" t="str">
        <f t="shared" si="99"/>
        <v/>
      </c>
      <c r="S872" s="128" t="str">
        <f t="shared" si="93"/>
        <v/>
      </c>
      <c r="T872" s="140" t="str">
        <f t="shared" si="94"/>
        <v/>
      </c>
      <c r="U872" s="141" t="str">
        <f t="shared" si="95"/>
        <v/>
      </c>
      <c r="V872" s="141" t="str">
        <f t="shared" si="96"/>
        <v/>
      </c>
      <c r="W872" s="142"/>
      <c r="X872" s="186" t="str">
        <f t="shared" si="97"/>
        <v/>
      </c>
    </row>
    <row r="873" spans="1:24" s="147" customFormat="1">
      <c r="A873" s="170"/>
      <c r="B873" s="145"/>
      <c r="C873" s="145"/>
      <c r="D873" s="146"/>
      <c r="E873" s="150"/>
      <c r="F873" s="145"/>
      <c r="G873" s="145"/>
      <c r="H873" s="145"/>
      <c r="I873" s="145"/>
      <c r="J873" s="145"/>
      <c r="K873" s="145"/>
      <c r="L873" s="145"/>
      <c r="M873" s="145"/>
      <c r="N873" s="146"/>
      <c r="O873" s="145"/>
      <c r="P873" s="138"/>
      <c r="Q873" s="255" t="str">
        <f t="shared" si="98"/>
        <v/>
      </c>
      <c r="R873" s="139" t="str">
        <f t="shared" si="99"/>
        <v/>
      </c>
      <c r="S873" s="128" t="str">
        <f t="shared" si="93"/>
        <v/>
      </c>
      <c r="T873" s="140" t="str">
        <f t="shared" si="94"/>
        <v/>
      </c>
      <c r="U873" s="141" t="str">
        <f t="shared" si="95"/>
        <v/>
      </c>
      <c r="V873" s="141" t="str">
        <f t="shared" si="96"/>
        <v/>
      </c>
      <c r="W873" s="142"/>
      <c r="X873" s="186" t="str">
        <f t="shared" si="97"/>
        <v/>
      </c>
    </row>
    <row r="874" spans="1:24" s="147" customFormat="1">
      <c r="A874" s="172"/>
      <c r="B874" s="151"/>
      <c r="C874" s="151"/>
      <c r="D874" s="151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38"/>
      <c r="Q874" s="255" t="str">
        <f t="shared" si="98"/>
        <v/>
      </c>
      <c r="R874" s="139" t="str">
        <f t="shared" si="99"/>
        <v/>
      </c>
      <c r="S874" s="128" t="str">
        <f t="shared" si="93"/>
        <v/>
      </c>
      <c r="T874" s="140" t="str">
        <f t="shared" si="94"/>
        <v/>
      </c>
      <c r="U874" s="141" t="str">
        <f t="shared" si="95"/>
        <v/>
      </c>
      <c r="V874" s="141" t="str">
        <f t="shared" si="96"/>
        <v/>
      </c>
      <c r="W874" s="142"/>
      <c r="X874" s="186" t="str">
        <f t="shared" si="97"/>
        <v/>
      </c>
    </row>
    <row r="875" spans="1:24" s="147" customFormat="1">
      <c r="A875" s="170"/>
      <c r="B875" s="145"/>
      <c r="C875" s="145"/>
      <c r="D875" s="146"/>
      <c r="E875" s="150"/>
      <c r="F875" s="145"/>
      <c r="G875" s="145"/>
      <c r="H875" s="145"/>
      <c r="I875" s="145"/>
      <c r="J875" s="145"/>
      <c r="K875" s="145"/>
      <c r="L875" s="145"/>
      <c r="M875" s="145"/>
      <c r="N875" s="146"/>
      <c r="O875" s="145"/>
      <c r="P875" s="138"/>
      <c r="Q875" s="255" t="str">
        <f t="shared" si="98"/>
        <v/>
      </c>
      <c r="R875" s="139" t="str">
        <f t="shared" si="99"/>
        <v/>
      </c>
      <c r="S875" s="128" t="str">
        <f t="shared" si="93"/>
        <v/>
      </c>
      <c r="T875" s="140" t="str">
        <f t="shared" si="94"/>
        <v/>
      </c>
      <c r="U875" s="141" t="str">
        <f t="shared" si="95"/>
        <v/>
      </c>
      <c r="V875" s="141" t="str">
        <f t="shared" si="96"/>
        <v/>
      </c>
      <c r="W875" s="142"/>
      <c r="X875" s="186" t="str">
        <f t="shared" si="97"/>
        <v/>
      </c>
    </row>
    <row r="876" spans="1:24" s="147" customFormat="1">
      <c r="A876" s="172"/>
      <c r="B876" s="151"/>
      <c r="C876" s="151"/>
      <c r="D876" s="151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38"/>
      <c r="Q876" s="255" t="str">
        <f t="shared" si="98"/>
        <v/>
      </c>
      <c r="R876" s="139" t="str">
        <f t="shared" si="99"/>
        <v/>
      </c>
      <c r="S876" s="128" t="str">
        <f t="shared" si="93"/>
        <v/>
      </c>
      <c r="T876" s="140" t="str">
        <f t="shared" si="94"/>
        <v/>
      </c>
      <c r="U876" s="141" t="str">
        <f t="shared" si="95"/>
        <v/>
      </c>
      <c r="V876" s="141" t="str">
        <f t="shared" si="96"/>
        <v/>
      </c>
      <c r="W876" s="142"/>
      <c r="X876" s="186" t="str">
        <f t="shared" si="97"/>
        <v/>
      </c>
    </row>
    <row r="877" spans="1:24" s="147" customFormat="1">
      <c r="A877" s="170"/>
      <c r="B877" s="145"/>
      <c r="C877" s="145"/>
      <c r="D877" s="146"/>
      <c r="E877" s="150"/>
      <c r="F877" s="145"/>
      <c r="G877" s="145"/>
      <c r="H877" s="145"/>
      <c r="I877" s="145"/>
      <c r="J877" s="145"/>
      <c r="K877" s="145"/>
      <c r="L877" s="145"/>
      <c r="M877" s="145"/>
      <c r="N877" s="146"/>
      <c r="O877" s="145"/>
      <c r="P877" s="138"/>
      <c r="Q877" s="255" t="str">
        <f t="shared" si="98"/>
        <v/>
      </c>
      <c r="R877" s="139" t="str">
        <f t="shared" si="99"/>
        <v/>
      </c>
      <c r="S877" s="128" t="str">
        <f t="shared" si="93"/>
        <v/>
      </c>
      <c r="T877" s="140" t="str">
        <f t="shared" si="94"/>
        <v/>
      </c>
      <c r="U877" s="141" t="str">
        <f t="shared" si="95"/>
        <v/>
      </c>
      <c r="V877" s="141" t="str">
        <f t="shared" si="96"/>
        <v/>
      </c>
      <c r="W877" s="142"/>
      <c r="X877" s="186" t="str">
        <f t="shared" si="97"/>
        <v/>
      </c>
    </row>
    <row r="878" spans="1:24" s="147" customFormat="1">
      <c r="A878" s="172"/>
      <c r="B878" s="151"/>
      <c r="C878" s="151"/>
      <c r="D878" s="151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38"/>
      <c r="Q878" s="255" t="str">
        <f t="shared" si="98"/>
        <v/>
      </c>
      <c r="R878" s="139" t="str">
        <f t="shared" si="99"/>
        <v/>
      </c>
      <c r="S878" s="128" t="str">
        <f t="shared" si="93"/>
        <v/>
      </c>
      <c r="T878" s="140" t="str">
        <f t="shared" si="94"/>
        <v/>
      </c>
      <c r="U878" s="141" t="str">
        <f t="shared" si="95"/>
        <v/>
      </c>
      <c r="V878" s="141" t="str">
        <f t="shared" si="96"/>
        <v/>
      </c>
      <c r="W878" s="142"/>
      <c r="X878" s="186" t="str">
        <f t="shared" si="97"/>
        <v/>
      </c>
    </row>
    <row r="879" spans="1:24" s="147" customFormat="1">
      <c r="A879" s="170"/>
      <c r="B879" s="145"/>
      <c r="C879" s="145"/>
      <c r="D879" s="146"/>
      <c r="E879" s="145"/>
      <c r="F879" s="145"/>
      <c r="G879" s="145"/>
      <c r="H879" s="145"/>
      <c r="I879" s="145"/>
      <c r="J879" s="145"/>
      <c r="K879" s="145"/>
      <c r="L879" s="145"/>
      <c r="M879" s="145"/>
      <c r="N879" s="146"/>
      <c r="O879" s="145"/>
      <c r="P879" s="138"/>
      <c r="Q879" s="255" t="str">
        <f t="shared" si="98"/>
        <v/>
      </c>
      <c r="R879" s="139" t="str">
        <f t="shared" si="99"/>
        <v/>
      </c>
      <c r="S879" s="128" t="str">
        <f t="shared" si="93"/>
        <v/>
      </c>
      <c r="T879" s="140" t="str">
        <f t="shared" si="94"/>
        <v/>
      </c>
      <c r="U879" s="141" t="str">
        <f t="shared" si="95"/>
        <v/>
      </c>
      <c r="V879" s="141" t="str">
        <f t="shared" si="96"/>
        <v/>
      </c>
      <c r="W879" s="142"/>
      <c r="X879" s="186" t="str">
        <f t="shared" si="97"/>
        <v/>
      </c>
    </row>
    <row r="880" spans="1:24" s="147" customFormat="1">
      <c r="A880" s="172"/>
      <c r="B880" s="151"/>
      <c r="C880" s="151"/>
      <c r="D880" s="151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38"/>
      <c r="Q880" s="255" t="str">
        <f t="shared" si="98"/>
        <v/>
      </c>
      <c r="R880" s="139" t="str">
        <f t="shared" si="99"/>
        <v/>
      </c>
      <c r="S880" s="128" t="str">
        <f t="shared" si="93"/>
        <v/>
      </c>
      <c r="T880" s="140" t="str">
        <f t="shared" si="94"/>
        <v/>
      </c>
      <c r="U880" s="141" t="str">
        <f t="shared" si="95"/>
        <v/>
      </c>
      <c r="V880" s="141" t="str">
        <f t="shared" si="96"/>
        <v/>
      </c>
      <c r="W880" s="142"/>
      <c r="X880" s="186" t="str">
        <f t="shared" si="97"/>
        <v/>
      </c>
    </row>
    <row r="881" spans="1:24" s="147" customFormat="1">
      <c r="A881" s="170"/>
      <c r="B881" s="145"/>
      <c r="C881" s="145"/>
      <c r="D881" s="146"/>
      <c r="E881" s="145"/>
      <c r="F881" s="145"/>
      <c r="G881" s="145"/>
      <c r="H881" s="145"/>
      <c r="I881" s="145"/>
      <c r="J881" s="145"/>
      <c r="K881" s="145"/>
      <c r="L881" s="145"/>
      <c r="M881" s="145"/>
      <c r="N881" s="146"/>
      <c r="O881" s="145"/>
      <c r="P881" s="138"/>
      <c r="Q881" s="255" t="str">
        <f t="shared" si="98"/>
        <v/>
      </c>
      <c r="R881" s="139" t="str">
        <f t="shared" si="99"/>
        <v/>
      </c>
      <c r="S881" s="128" t="str">
        <f t="shared" si="93"/>
        <v/>
      </c>
      <c r="T881" s="140" t="str">
        <f t="shared" si="94"/>
        <v/>
      </c>
      <c r="U881" s="141" t="str">
        <f t="shared" si="95"/>
        <v/>
      </c>
      <c r="V881" s="141" t="str">
        <f t="shared" si="96"/>
        <v/>
      </c>
      <c r="W881" s="142"/>
      <c r="X881" s="186" t="str">
        <f t="shared" si="97"/>
        <v/>
      </c>
    </row>
    <row r="882" spans="1:24" s="147" customFormat="1">
      <c r="A882" s="172"/>
      <c r="B882" s="151"/>
      <c r="C882" s="151"/>
      <c r="D882" s="151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38"/>
      <c r="Q882" s="255" t="str">
        <f t="shared" si="98"/>
        <v/>
      </c>
      <c r="R882" s="139" t="str">
        <f t="shared" si="99"/>
        <v/>
      </c>
      <c r="S882" s="128" t="str">
        <f t="shared" si="93"/>
        <v/>
      </c>
      <c r="T882" s="140" t="str">
        <f t="shared" si="94"/>
        <v/>
      </c>
      <c r="U882" s="141" t="str">
        <f t="shared" si="95"/>
        <v/>
      </c>
      <c r="V882" s="141" t="str">
        <f t="shared" si="96"/>
        <v/>
      </c>
      <c r="W882" s="142"/>
      <c r="X882" s="186" t="str">
        <f t="shared" si="97"/>
        <v/>
      </c>
    </row>
    <row r="883" spans="1:24" s="147" customFormat="1">
      <c r="A883" s="170"/>
      <c r="B883" s="145"/>
      <c r="C883" s="145"/>
      <c r="D883" s="146"/>
      <c r="E883" s="145"/>
      <c r="F883" s="145"/>
      <c r="G883" s="145"/>
      <c r="H883" s="145"/>
      <c r="I883" s="145"/>
      <c r="J883" s="145"/>
      <c r="K883" s="145"/>
      <c r="L883" s="145"/>
      <c r="M883" s="145"/>
      <c r="N883" s="146"/>
      <c r="O883" s="145"/>
      <c r="P883" s="138"/>
      <c r="Q883" s="255" t="str">
        <f t="shared" si="98"/>
        <v/>
      </c>
      <c r="R883" s="139" t="str">
        <f t="shared" si="99"/>
        <v/>
      </c>
      <c r="S883" s="128" t="str">
        <f t="shared" si="93"/>
        <v/>
      </c>
      <c r="T883" s="140" t="str">
        <f t="shared" si="94"/>
        <v/>
      </c>
      <c r="U883" s="141" t="str">
        <f t="shared" si="95"/>
        <v/>
      </c>
      <c r="V883" s="141" t="str">
        <f t="shared" si="96"/>
        <v/>
      </c>
      <c r="W883" s="142"/>
      <c r="X883" s="186" t="str">
        <f t="shared" si="97"/>
        <v/>
      </c>
    </row>
    <row r="884" spans="1:24" s="147" customFormat="1">
      <c r="A884" s="172"/>
      <c r="B884" s="151"/>
      <c r="C884" s="151"/>
      <c r="D884" s="151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38"/>
      <c r="Q884" s="255" t="str">
        <f t="shared" si="98"/>
        <v/>
      </c>
      <c r="R884" s="139" t="str">
        <f t="shared" si="99"/>
        <v/>
      </c>
      <c r="S884" s="128" t="str">
        <f t="shared" si="93"/>
        <v/>
      </c>
      <c r="T884" s="140" t="str">
        <f t="shared" si="94"/>
        <v/>
      </c>
      <c r="U884" s="141" t="str">
        <f t="shared" si="95"/>
        <v/>
      </c>
      <c r="V884" s="141" t="str">
        <f t="shared" si="96"/>
        <v/>
      </c>
      <c r="W884" s="142"/>
      <c r="X884" s="186" t="str">
        <f t="shared" si="97"/>
        <v/>
      </c>
    </row>
    <row r="885" spans="1:24" s="147" customFormat="1">
      <c r="A885" s="170"/>
      <c r="B885" s="145"/>
      <c r="C885" s="145"/>
      <c r="D885" s="146"/>
      <c r="E885" s="145"/>
      <c r="F885" s="145"/>
      <c r="G885" s="145"/>
      <c r="H885" s="145"/>
      <c r="I885" s="145"/>
      <c r="J885" s="145"/>
      <c r="K885" s="145"/>
      <c r="L885" s="145"/>
      <c r="M885" s="145"/>
      <c r="N885" s="146"/>
      <c r="O885" s="145"/>
      <c r="P885" s="138"/>
      <c r="Q885" s="255" t="str">
        <f t="shared" si="98"/>
        <v/>
      </c>
      <c r="R885" s="139" t="str">
        <f t="shared" si="99"/>
        <v/>
      </c>
      <c r="S885" s="128" t="str">
        <f t="shared" si="93"/>
        <v/>
      </c>
      <c r="T885" s="140" t="str">
        <f t="shared" si="94"/>
        <v/>
      </c>
      <c r="U885" s="141" t="str">
        <f t="shared" si="95"/>
        <v/>
      </c>
      <c r="V885" s="141" t="str">
        <f t="shared" si="96"/>
        <v/>
      </c>
      <c r="W885" s="142"/>
      <c r="X885" s="186" t="str">
        <f t="shared" si="97"/>
        <v/>
      </c>
    </row>
    <row r="886" spans="1:24" s="147" customFormat="1">
      <c r="A886" s="172"/>
      <c r="B886" s="151"/>
      <c r="C886" s="151"/>
      <c r="D886" s="151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38"/>
      <c r="Q886" s="255" t="str">
        <f t="shared" si="98"/>
        <v/>
      </c>
      <c r="R886" s="139" t="str">
        <f t="shared" si="99"/>
        <v/>
      </c>
      <c r="S886" s="128" t="str">
        <f t="shared" si="93"/>
        <v/>
      </c>
      <c r="T886" s="140" t="str">
        <f t="shared" si="94"/>
        <v/>
      </c>
      <c r="U886" s="141" t="str">
        <f t="shared" si="95"/>
        <v/>
      </c>
      <c r="V886" s="141" t="str">
        <f t="shared" si="96"/>
        <v/>
      </c>
      <c r="W886" s="142"/>
      <c r="X886" s="186" t="str">
        <f t="shared" si="97"/>
        <v/>
      </c>
    </row>
    <row r="887" spans="1:24" s="147" customFormat="1">
      <c r="A887" s="170"/>
      <c r="B887" s="145"/>
      <c r="C887" s="145"/>
      <c r="D887" s="146"/>
      <c r="E887" s="145"/>
      <c r="F887" s="145"/>
      <c r="G887" s="145"/>
      <c r="H887" s="145"/>
      <c r="I887" s="145"/>
      <c r="J887" s="145"/>
      <c r="K887" s="145"/>
      <c r="L887" s="145"/>
      <c r="M887" s="145"/>
      <c r="N887" s="146"/>
      <c r="O887" s="145"/>
      <c r="P887" s="138"/>
      <c r="Q887" s="255" t="str">
        <f t="shared" si="98"/>
        <v/>
      </c>
      <c r="R887" s="139" t="str">
        <f t="shared" si="99"/>
        <v/>
      </c>
      <c r="S887" s="128" t="str">
        <f t="shared" si="93"/>
        <v/>
      </c>
      <c r="T887" s="140" t="str">
        <f t="shared" si="94"/>
        <v/>
      </c>
      <c r="U887" s="141" t="str">
        <f t="shared" si="95"/>
        <v/>
      </c>
      <c r="V887" s="141" t="str">
        <f t="shared" si="96"/>
        <v/>
      </c>
      <c r="W887" s="142"/>
      <c r="X887" s="186" t="str">
        <f t="shared" si="97"/>
        <v/>
      </c>
    </row>
    <row r="888" spans="1:24" s="147" customFormat="1">
      <c r="A888" s="172"/>
      <c r="B888" s="151"/>
      <c r="C888" s="151"/>
      <c r="D888" s="151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38"/>
      <c r="Q888" s="255" t="str">
        <f t="shared" si="98"/>
        <v/>
      </c>
      <c r="R888" s="139" t="str">
        <f t="shared" si="99"/>
        <v/>
      </c>
      <c r="S888" s="128" t="str">
        <f t="shared" si="93"/>
        <v/>
      </c>
      <c r="T888" s="140" t="str">
        <f t="shared" si="94"/>
        <v/>
      </c>
      <c r="U888" s="141" t="str">
        <f t="shared" si="95"/>
        <v/>
      </c>
      <c r="V888" s="141" t="str">
        <f t="shared" si="96"/>
        <v/>
      </c>
      <c r="W888" s="142"/>
      <c r="X888" s="186" t="str">
        <f t="shared" si="97"/>
        <v/>
      </c>
    </row>
    <row r="889" spans="1:24" s="147" customFormat="1">
      <c r="A889" s="170"/>
      <c r="B889" s="145"/>
      <c r="C889" s="145"/>
      <c r="D889" s="146"/>
      <c r="E889" s="145"/>
      <c r="F889" s="145"/>
      <c r="G889" s="145"/>
      <c r="H889" s="145"/>
      <c r="I889" s="145"/>
      <c r="J889" s="145"/>
      <c r="K889" s="145"/>
      <c r="L889" s="145"/>
      <c r="M889" s="145"/>
      <c r="N889" s="146"/>
      <c r="O889" s="145"/>
      <c r="P889" s="138"/>
      <c r="Q889" s="255" t="str">
        <f t="shared" si="98"/>
        <v/>
      </c>
      <c r="R889" s="139" t="str">
        <f t="shared" si="99"/>
        <v/>
      </c>
      <c r="S889" s="128" t="str">
        <f t="shared" si="93"/>
        <v/>
      </c>
      <c r="T889" s="140" t="str">
        <f t="shared" si="94"/>
        <v/>
      </c>
      <c r="U889" s="141" t="str">
        <f t="shared" si="95"/>
        <v/>
      </c>
      <c r="V889" s="141" t="str">
        <f t="shared" si="96"/>
        <v/>
      </c>
      <c r="W889" s="142"/>
      <c r="X889" s="186" t="str">
        <f t="shared" si="97"/>
        <v/>
      </c>
    </row>
    <row r="890" spans="1:24" s="147" customFormat="1">
      <c r="A890" s="172"/>
      <c r="B890" s="151"/>
      <c r="C890" s="151"/>
      <c r="D890" s="151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38"/>
      <c r="Q890" s="255" t="str">
        <f t="shared" si="98"/>
        <v/>
      </c>
      <c r="R890" s="139" t="str">
        <f t="shared" si="99"/>
        <v/>
      </c>
      <c r="S890" s="128" t="str">
        <f t="shared" si="93"/>
        <v/>
      </c>
      <c r="T890" s="140" t="str">
        <f t="shared" si="94"/>
        <v/>
      </c>
      <c r="U890" s="141" t="str">
        <f t="shared" si="95"/>
        <v/>
      </c>
      <c r="V890" s="141" t="str">
        <f t="shared" si="96"/>
        <v/>
      </c>
      <c r="W890" s="142"/>
      <c r="X890" s="186" t="str">
        <f t="shared" si="97"/>
        <v/>
      </c>
    </row>
    <row r="891" spans="1:24" s="147" customFormat="1">
      <c r="A891" s="170"/>
      <c r="B891" s="145"/>
      <c r="C891" s="145"/>
      <c r="D891" s="146"/>
      <c r="E891" s="145"/>
      <c r="F891" s="145"/>
      <c r="G891" s="145"/>
      <c r="H891" s="145"/>
      <c r="I891" s="145"/>
      <c r="J891" s="145"/>
      <c r="K891" s="145"/>
      <c r="L891" s="145"/>
      <c r="M891" s="145"/>
      <c r="N891" s="146"/>
      <c r="O891" s="145"/>
      <c r="P891" s="138"/>
      <c r="Q891" s="255" t="str">
        <f t="shared" si="98"/>
        <v/>
      </c>
      <c r="R891" s="139" t="str">
        <f t="shared" si="99"/>
        <v/>
      </c>
      <c r="S891" s="128" t="str">
        <f t="shared" si="93"/>
        <v/>
      </c>
      <c r="T891" s="140" t="str">
        <f t="shared" si="94"/>
        <v/>
      </c>
      <c r="U891" s="141" t="str">
        <f t="shared" si="95"/>
        <v/>
      </c>
      <c r="V891" s="141" t="str">
        <f t="shared" si="96"/>
        <v/>
      </c>
      <c r="W891" s="142"/>
      <c r="X891" s="186" t="str">
        <f t="shared" si="97"/>
        <v/>
      </c>
    </row>
    <row r="892" spans="1:24" s="147" customFormat="1">
      <c r="A892" s="172"/>
      <c r="B892" s="151"/>
      <c r="C892" s="151"/>
      <c r="D892" s="151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38"/>
      <c r="Q892" s="255" t="str">
        <f t="shared" si="98"/>
        <v/>
      </c>
      <c r="R892" s="139" t="str">
        <f t="shared" si="99"/>
        <v/>
      </c>
      <c r="S892" s="128" t="str">
        <f t="shared" si="93"/>
        <v/>
      </c>
      <c r="T892" s="140" t="str">
        <f t="shared" si="94"/>
        <v/>
      </c>
      <c r="U892" s="141" t="str">
        <f t="shared" si="95"/>
        <v/>
      </c>
      <c r="V892" s="141" t="str">
        <f t="shared" si="96"/>
        <v/>
      </c>
      <c r="W892" s="142"/>
      <c r="X892" s="186" t="str">
        <f t="shared" si="97"/>
        <v/>
      </c>
    </row>
    <row r="893" spans="1:24" s="147" customFormat="1">
      <c r="A893" s="170"/>
      <c r="B893" s="145"/>
      <c r="C893" s="145"/>
      <c r="D893" s="146"/>
      <c r="E893" s="145"/>
      <c r="F893" s="145"/>
      <c r="G893" s="145"/>
      <c r="H893" s="145"/>
      <c r="I893" s="145"/>
      <c r="J893" s="145"/>
      <c r="K893" s="145"/>
      <c r="L893" s="145"/>
      <c r="M893" s="145"/>
      <c r="N893" s="146"/>
      <c r="O893" s="145"/>
      <c r="P893" s="138"/>
      <c r="Q893" s="255" t="str">
        <f t="shared" si="98"/>
        <v/>
      </c>
      <c r="R893" s="139" t="str">
        <f t="shared" si="99"/>
        <v/>
      </c>
      <c r="S893" s="128" t="str">
        <f t="shared" si="93"/>
        <v/>
      </c>
      <c r="T893" s="140" t="str">
        <f t="shared" si="94"/>
        <v/>
      </c>
      <c r="U893" s="141" t="str">
        <f t="shared" si="95"/>
        <v/>
      </c>
      <c r="V893" s="141" t="str">
        <f t="shared" si="96"/>
        <v/>
      </c>
      <c r="W893" s="142"/>
      <c r="X893" s="186" t="str">
        <f t="shared" si="97"/>
        <v/>
      </c>
    </row>
    <row r="894" spans="1:24" s="147" customFormat="1">
      <c r="A894" s="172"/>
      <c r="B894" s="151"/>
      <c r="C894" s="151"/>
      <c r="D894" s="151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38"/>
      <c r="Q894" s="255" t="str">
        <f t="shared" si="98"/>
        <v/>
      </c>
      <c r="R894" s="139" t="str">
        <f t="shared" si="99"/>
        <v/>
      </c>
      <c r="S894" s="128" t="str">
        <f t="shared" si="93"/>
        <v/>
      </c>
      <c r="T894" s="140" t="str">
        <f t="shared" si="94"/>
        <v/>
      </c>
      <c r="U894" s="141" t="str">
        <f t="shared" si="95"/>
        <v/>
      </c>
      <c r="V894" s="141" t="str">
        <f t="shared" si="96"/>
        <v/>
      </c>
      <c r="W894" s="142"/>
      <c r="X894" s="186" t="str">
        <f t="shared" si="97"/>
        <v/>
      </c>
    </row>
    <row r="895" spans="1:24" s="147" customFormat="1">
      <c r="A895" s="170"/>
      <c r="B895" s="145"/>
      <c r="C895" s="145"/>
      <c r="D895" s="146"/>
      <c r="E895" s="145"/>
      <c r="F895" s="145"/>
      <c r="G895" s="145"/>
      <c r="H895" s="145"/>
      <c r="I895" s="145"/>
      <c r="J895" s="145"/>
      <c r="K895" s="145"/>
      <c r="L895" s="145"/>
      <c r="M895" s="145"/>
      <c r="N895" s="146"/>
      <c r="O895" s="145"/>
      <c r="P895" s="138"/>
      <c r="Q895" s="255" t="str">
        <f t="shared" si="98"/>
        <v/>
      </c>
      <c r="R895" s="139" t="str">
        <f t="shared" si="99"/>
        <v/>
      </c>
      <c r="S895" s="128" t="str">
        <f t="shared" si="93"/>
        <v/>
      </c>
      <c r="T895" s="140" t="str">
        <f t="shared" si="94"/>
        <v/>
      </c>
      <c r="U895" s="141" t="str">
        <f t="shared" si="95"/>
        <v/>
      </c>
      <c r="V895" s="141" t="str">
        <f t="shared" si="96"/>
        <v/>
      </c>
      <c r="W895" s="142"/>
      <c r="X895" s="186" t="str">
        <f t="shared" si="97"/>
        <v/>
      </c>
    </row>
    <row r="896" spans="1:24" s="147" customFormat="1">
      <c r="A896" s="172"/>
      <c r="B896" s="151"/>
      <c r="C896" s="151"/>
      <c r="D896" s="151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38"/>
      <c r="Q896" s="255" t="str">
        <f t="shared" si="98"/>
        <v/>
      </c>
      <c r="R896" s="139" t="str">
        <f t="shared" si="99"/>
        <v/>
      </c>
      <c r="S896" s="128" t="str">
        <f t="shared" si="93"/>
        <v/>
      </c>
      <c r="T896" s="140" t="str">
        <f t="shared" si="94"/>
        <v/>
      </c>
      <c r="U896" s="141" t="str">
        <f t="shared" si="95"/>
        <v/>
      </c>
      <c r="V896" s="141" t="str">
        <f t="shared" si="96"/>
        <v/>
      </c>
      <c r="W896" s="142"/>
      <c r="X896" s="186" t="str">
        <f t="shared" si="97"/>
        <v/>
      </c>
    </row>
    <row r="897" spans="1:24" s="147" customFormat="1">
      <c r="A897" s="170"/>
      <c r="B897" s="145"/>
      <c r="C897" s="145"/>
      <c r="D897" s="146"/>
      <c r="E897" s="150"/>
      <c r="F897" s="145"/>
      <c r="G897" s="145"/>
      <c r="H897" s="145"/>
      <c r="I897" s="145"/>
      <c r="J897" s="145"/>
      <c r="K897" s="145"/>
      <c r="L897" s="145"/>
      <c r="M897" s="145"/>
      <c r="N897" s="149"/>
      <c r="O897" s="145"/>
      <c r="P897" s="138"/>
      <c r="Q897" s="255" t="str">
        <f t="shared" si="98"/>
        <v/>
      </c>
      <c r="R897" s="139" t="str">
        <f t="shared" si="99"/>
        <v/>
      </c>
      <c r="S897" s="128" t="str">
        <f t="shared" si="93"/>
        <v/>
      </c>
      <c r="T897" s="140" t="str">
        <f t="shared" si="94"/>
        <v/>
      </c>
      <c r="U897" s="141" t="str">
        <f t="shared" si="95"/>
        <v/>
      </c>
      <c r="V897" s="141" t="str">
        <f t="shared" si="96"/>
        <v/>
      </c>
      <c r="W897" s="142"/>
      <c r="X897" s="186" t="str">
        <f t="shared" si="97"/>
        <v/>
      </c>
    </row>
    <row r="898" spans="1:24" s="147" customFormat="1">
      <c r="A898" s="170"/>
      <c r="B898" s="145"/>
      <c r="C898" s="145"/>
      <c r="D898" s="146"/>
      <c r="E898" s="145"/>
      <c r="F898" s="145"/>
      <c r="G898" s="145"/>
      <c r="H898" s="145"/>
      <c r="I898" s="145"/>
      <c r="J898" s="145"/>
      <c r="K898" s="145"/>
      <c r="L898" s="145"/>
      <c r="M898" s="145"/>
      <c r="N898" s="146"/>
      <c r="O898" s="145"/>
      <c r="P898" s="138"/>
      <c r="Q898" s="255" t="str">
        <f t="shared" si="98"/>
        <v/>
      </c>
      <c r="R898" s="139" t="str">
        <f t="shared" si="99"/>
        <v/>
      </c>
      <c r="S898" s="128" t="str">
        <f t="shared" si="93"/>
        <v/>
      </c>
      <c r="T898" s="140" t="str">
        <f t="shared" si="94"/>
        <v/>
      </c>
      <c r="U898" s="141" t="str">
        <f t="shared" si="95"/>
        <v/>
      </c>
      <c r="V898" s="141" t="str">
        <f t="shared" si="96"/>
        <v/>
      </c>
      <c r="W898" s="142"/>
      <c r="X898" s="186" t="str">
        <f t="shared" si="97"/>
        <v/>
      </c>
    </row>
    <row r="899" spans="1:24" s="147" customFormat="1">
      <c r="A899" s="172"/>
      <c r="B899" s="151"/>
      <c r="C899" s="151"/>
      <c r="D899" s="151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38"/>
      <c r="Q899" s="255" t="str">
        <f t="shared" si="98"/>
        <v/>
      </c>
      <c r="R899" s="139" t="str">
        <f t="shared" si="99"/>
        <v/>
      </c>
      <c r="S899" s="128" t="str">
        <f t="shared" si="93"/>
        <v/>
      </c>
      <c r="T899" s="140" t="str">
        <f t="shared" si="94"/>
        <v/>
      </c>
      <c r="U899" s="141" t="str">
        <f t="shared" si="95"/>
        <v/>
      </c>
      <c r="V899" s="141" t="str">
        <f t="shared" si="96"/>
        <v/>
      </c>
      <c r="W899" s="142"/>
      <c r="X899" s="186" t="str">
        <f t="shared" si="97"/>
        <v/>
      </c>
    </row>
    <row r="900" spans="1:24" s="147" customFormat="1">
      <c r="A900" s="170"/>
      <c r="B900" s="145"/>
      <c r="C900" s="145"/>
      <c r="D900" s="146"/>
      <c r="E900" s="145"/>
      <c r="F900" s="145"/>
      <c r="G900" s="145"/>
      <c r="H900" s="145"/>
      <c r="I900" s="145"/>
      <c r="J900" s="145"/>
      <c r="K900" s="145"/>
      <c r="L900" s="145"/>
      <c r="M900" s="145"/>
      <c r="N900" s="146"/>
      <c r="O900" s="145"/>
      <c r="P900" s="138"/>
      <c r="Q900" s="255" t="str">
        <f t="shared" si="98"/>
        <v/>
      </c>
      <c r="R900" s="139" t="str">
        <f t="shared" si="99"/>
        <v/>
      </c>
      <c r="S900" s="128" t="str">
        <f t="shared" si="93"/>
        <v/>
      </c>
      <c r="T900" s="140" t="str">
        <f t="shared" si="94"/>
        <v/>
      </c>
      <c r="U900" s="141" t="str">
        <f t="shared" si="95"/>
        <v/>
      </c>
      <c r="V900" s="141" t="str">
        <f t="shared" si="96"/>
        <v/>
      </c>
      <c r="W900" s="142"/>
      <c r="X900" s="186" t="str">
        <f t="shared" si="97"/>
        <v/>
      </c>
    </row>
    <row r="901" spans="1:24" s="147" customFormat="1">
      <c r="A901" s="172"/>
      <c r="B901" s="151"/>
      <c r="C901" s="151"/>
      <c r="D901" s="151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38"/>
      <c r="Q901" s="255" t="str">
        <f t="shared" si="98"/>
        <v/>
      </c>
      <c r="R901" s="139" t="str">
        <f t="shared" si="99"/>
        <v/>
      </c>
      <c r="S901" s="128" t="str">
        <f t="shared" si="93"/>
        <v/>
      </c>
      <c r="T901" s="140" t="str">
        <f t="shared" si="94"/>
        <v/>
      </c>
      <c r="U901" s="141" t="str">
        <f t="shared" si="95"/>
        <v/>
      </c>
      <c r="V901" s="141" t="str">
        <f t="shared" si="96"/>
        <v/>
      </c>
      <c r="W901" s="142"/>
      <c r="X901" s="186" t="str">
        <f t="shared" si="97"/>
        <v/>
      </c>
    </row>
    <row r="902" spans="1:24" s="147" customFormat="1">
      <c r="A902" s="170"/>
      <c r="B902" s="145"/>
      <c r="C902" s="145"/>
      <c r="D902" s="146"/>
      <c r="E902" s="145"/>
      <c r="F902" s="145"/>
      <c r="G902" s="145"/>
      <c r="H902" s="145"/>
      <c r="I902" s="145"/>
      <c r="J902" s="145"/>
      <c r="K902" s="145"/>
      <c r="L902" s="145"/>
      <c r="M902" s="145"/>
      <c r="N902" s="146"/>
      <c r="O902" s="145"/>
      <c r="P902" s="138"/>
      <c r="Q902" s="255" t="str">
        <f t="shared" si="98"/>
        <v/>
      </c>
      <c r="R902" s="139" t="str">
        <f t="shared" si="99"/>
        <v/>
      </c>
      <c r="S902" s="128" t="str">
        <f t="shared" si="93"/>
        <v/>
      </c>
      <c r="T902" s="140" t="str">
        <f t="shared" si="94"/>
        <v/>
      </c>
      <c r="U902" s="141" t="str">
        <f t="shared" si="95"/>
        <v/>
      </c>
      <c r="V902" s="141" t="str">
        <f t="shared" si="96"/>
        <v/>
      </c>
      <c r="W902" s="142"/>
      <c r="X902" s="186" t="str">
        <f t="shared" si="97"/>
        <v/>
      </c>
    </row>
    <row r="903" spans="1:24" s="147" customFormat="1">
      <c r="A903" s="172"/>
      <c r="B903" s="151"/>
      <c r="C903" s="151"/>
      <c r="D903" s="151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38"/>
      <c r="Q903" s="255" t="str">
        <f t="shared" si="98"/>
        <v/>
      </c>
      <c r="R903" s="139" t="str">
        <f t="shared" si="99"/>
        <v/>
      </c>
      <c r="S903" s="128" t="str">
        <f t="shared" ref="S903:S966" si="100">IF(D903="","",IF(IFERROR(FIND("資",D903)&gt;0,FALSE),"資券",IF(IFERROR(FIND("券",D903)&gt;0,FALSE),"資券","波段")))</f>
        <v/>
      </c>
      <c r="T903" s="140" t="str">
        <f t="shared" ref="T903:T966" si="101">IF(F903="","",F903)</f>
        <v/>
      </c>
      <c r="U903" s="141" t="str">
        <f t="shared" ref="U903:U966" si="102">IF(D903="","",IF(IFERROR(FIND("買",D903)&gt;0,FALSE),E903,IF(IFERROR(FIND("賣",D903)&gt;0,FALSE),-E903,IF(IFERROR(FIND("資",D903)&gt;0,FALSE),E903,-E903))))</f>
        <v/>
      </c>
      <c r="V903" s="141" t="str">
        <f t="shared" ref="V903:V966" si="103">IF(Q903="","",T903*U903*-1)</f>
        <v/>
      </c>
      <c r="W903" s="142"/>
      <c r="X903" s="186" t="str">
        <f t="shared" ref="X903:X966" si="104">IFERROR((-1)*LEFT(N903,FIND("扣",N903)-1),IFERROR(1*LEFT(N903,FIND("入",N903)-1),""))</f>
        <v/>
      </c>
    </row>
    <row r="904" spans="1:24" s="147" customFormat="1">
      <c r="A904" s="170"/>
      <c r="B904" s="145"/>
      <c r="C904" s="145"/>
      <c r="D904" s="146"/>
      <c r="E904" s="145"/>
      <c r="F904" s="145"/>
      <c r="G904" s="145"/>
      <c r="H904" s="145"/>
      <c r="I904" s="145"/>
      <c r="J904" s="145"/>
      <c r="K904" s="145"/>
      <c r="L904" s="145"/>
      <c r="M904" s="145"/>
      <c r="N904" s="146"/>
      <c r="O904" s="145"/>
      <c r="P904" s="138"/>
      <c r="Q904" s="255" t="str">
        <f t="shared" ref="Q904:Q967" si="105">IF(B904="","",DATE(LEFT(B904,3)+1911,MID(B904,4,2),RIGHT(B904,2)))</f>
        <v/>
      </c>
      <c r="R904" s="139" t="str">
        <f t="shared" ref="R904:R967" si="106">IF(C904="","",IFERROR(INDEX(代號1,MATCH($C904,股名1,0)),IFERROR(INDEX(代號2,MATCH($C904,股名2,0)),INDEX(代號3,MATCH($C904,股名3,0)))))</f>
        <v/>
      </c>
      <c r="S904" s="128" t="str">
        <f t="shared" si="100"/>
        <v/>
      </c>
      <c r="T904" s="140" t="str">
        <f t="shared" si="101"/>
        <v/>
      </c>
      <c r="U904" s="141" t="str">
        <f t="shared" si="102"/>
        <v/>
      </c>
      <c r="V904" s="141" t="str">
        <f t="shared" si="103"/>
        <v/>
      </c>
      <c r="W904" s="142"/>
      <c r="X904" s="186" t="str">
        <f t="shared" si="104"/>
        <v/>
      </c>
    </row>
    <row r="905" spans="1:24" s="147" customFormat="1">
      <c r="A905" s="172"/>
      <c r="B905" s="151"/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38"/>
      <c r="Q905" s="255" t="str">
        <f t="shared" si="105"/>
        <v/>
      </c>
      <c r="R905" s="139" t="str">
        <f t="shared" si="106"/>
        <v/>
      </c>
      <c r="S905" s="128" t="str">
        <f t="shared" si="100"/>
        <v/>
      </c>
      <c r="T905" s="140" t="str">
        <f t="shared" si="101"/>
        <v/>
      </c>
      <c r="U905" s="141" t="str">
        <f t="shared" si="102"/>
        <v/>
      </c>
      <c r="V905" s="141" t="str">
        <f t="shared" si="103"/>
        <v/>
      </c>
      <c r="W905" s="142"/>
      <c r="X905" s="186" t="str">
        <f t="shared" si="104"/>
        <v/>
      </c>
    </row>
    <row r="906" spans="1:24" s="147" customFormat="1">
      <c r="A906" s="170"/>
      <c r="B906" s="145"/>
      <c r="C906" s="145"/>
      <c r="D906" s="146"/>
      <c r="E906" s="145"/>
      <c r="F906" s="145"/>
      <c r="G906" s="145"/>
      <c r="H906" s="145"/>
      <c r="I906" s="145"/>
      <c r="J906" s="145"/>
      <c r="K906" s="145"/>
      <c r="L906" s="145"/>
      <c r="M906" s="145"/>
      <c r="N906" s="146"/>
      <c r="O906" s="145"/>
      <c r="P906" s="138"/>
      <c r="Q906" s="255" t="str">
        <f t="shared" si="105"/>
        <v/>
      </c>
      <c r="R906" s="139" t="str">
        <f t="shared" si="106"/>
        <v/>
      </c>
      <c r="S906" s="128" t="str">
        <f t="shared" si="100"/>
        <v/>
      </c>
      <c r="T906" s="140" t="str">
        <f t="shared" si="101"/>
        <v/>
      </c>
      <c r="U906" s="141" t="str">
        <f t="shared" si="102"/>
        <v/>
      </c>
      <c r="V906" s="141" t="str">
        <f t="shared" si="103"/>
        <v/>
      </c>
      <c r="W906" s="142"/>
      <c r="X906" s="186" t="str">
        <f t="shared" si="104"/>
        <v/>
      </c>
    </row>
    <row r="907" spans="1:24" s="147" customFormat="1">
      <c r="A907" s="172"/>
      <c r="B907" s="151"/>
      <c r="C907" s="151"/>
      <c r="D907" s="151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38"/>
      <c r="Q907" s="255" t="str">
        <f t="shared" si="105"/>
        <v/>
      </c>
      <c r="R907" s="139" t="str">
        <f t="shared" si="106"/>
        <v/>
      </c>
      <c r="S907" s="128" t="str">
        <f t="shared" si="100"/>
        <v/>
      </c>
      <c r="T907" s="140" t="str">
        <f t="shared" si="101"/>
        <v/>
      </c>
      <c r="U907" s="141" t="str">
        <f t="shared" si="102"/>
        <v/>
      </c>
      <c r="V907" s="141" t="str">
        <f t="shared" si="103"/>
        <v/>
      </c>
      <c r="W907" s="142"/>
      <c r="X907" s="186" t="str">
        <f t="shared" si="104"/>
        <v/>
      </c>
    </row>
    <row r="908" spans="1:24" s="147" customFormat="1">
      <c r="A908" s="170"/>
      <c r="B908" s="145"/>
      <c r="C908" s="145"/>
      <c r="D908" s="146"/>
      <c r="E908" s="145"/>
      <c r="F908" s="145"/>
      <c r="G908" s="145"/>
      <c r="H908" s="145"/>
      <c r="I908" s="145"/>
      <c r="J908" s="145"/>
      <c r="K908" s="145"/>
      <c r="L908" s="145"/>
      <c r="M908" s="145"/>
      <c r="N908" s="146"/>
      <c r="O908" s="145"/>
      <c r="P908" s="138"/>
      <c r="Q908" s="255" t="str">
        <f t="shared" si="105"/>
        <v/>
      </c>
      <c r="R908" s="139" t="str">
        <f t="shared" si="106"/>
        <v/>
      </c>
      <c r="S908" s="128" t="str">
        <f t="shared" si="100"/>
        <v/>
      </c>
      <c r="T908" s="140" t="str">
        <f t="shared" si="101"/>
        <v/>
      </c>
      <c r="U908" s="141" t="str">
        <f t="shared" si="102"/>
        <v/>
      </c>
      <c r="V908" s="141" t="str">
        <f t="shared" si="103"/>
        <v/>
      </c>
      <c r="W908" s="142"/>
      <c r="X908" s="186" t="str">
        <f t="shared" si="104"/>
        <v/>
      </c>
    </row>
    <row r="909" spans="1:24" s="147" customFormat="1">
      <c r="A909" s="172"/>
      <c r="B909" s="151"/>
      <c r="C909" s="151"/>
      <c r="D909" s="151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38"/>
      <c r="Q909" s="255" t="str">
        <f t="shared" si="105"/>
        <v/>
      </c>
      <c r="R909" s="139" t="str">
        <f t="shared" si="106"/>
        <v/>
      </c>
      <c r="S909" s="128" t="str">
        <f t="shared" si="100"/>
        <v/>
      </c>
      <c r="T909" s="140" t="str">
        <f t="shared" si="101"/>
        <v/>
      </c>
      <c r="U909" s="141" t="str">
        <f t="shared" si="102"/>
        <v/>
      </c>
      <c r="V909" s="141" t="str">
        <f t="shared" si="103"/>
        <v/>
      </c>
      <c r="W909" s="142"/>
      <c r="X909" s="186" t="str">
        <f t="shared" si="104"/>
        <v/>
      </c>
    </row>
    <row r="910" spans="1:24" s="147" customFormat="1">
      <c r="A910" s="170"/>
      <c r="B910" s="145"/>
      <c r="C910" s="145"/>
      <c r="D910" s="146"/>
      <c r="E910" s="150"/>
      <c r="F910" s="145"/>
      <c r="G910" s="145"/>
      <c r="H910" s="145"/>
      <c r="I910" s="145"/>
      <c r="J910" s="145"/>
      <c r="K910" s="145"/>
      <c r="L910" s="145"/>
      <c r="M910" s="145"/>
      <c r="N910" s="146"/>
      <c r="O910" s="145"/>
      <c r="P910" s="138"/>
      <c r="Q910" s="255" t="str">
        <f t="shared" si="105"/>
        <v/>
      </c>
      <c r="R910" s="139" t="str">
        <f t="shared" si="106"/>
        <v/>
      </c>
      <c r="S910" s="128" t="str">
        <f t="shared" si="100"/>
        <v/>
      </c>
      <c r="T910" s="140" t="str">
        <f t="shared" si="101"/>
        <v/>
      </c>
      <c r="U910" s="141" t="str">
        <f t="shared" si="102"/>
        <v/>
      </c>
      <c r="V910" s="141" t="str">
        <f t="shared" si="103"/>
        <v/>
      </c>
      <c r="W910" s="142"/>
      <c r="X910" s="186" t="str">
        <f t="shared" si="104"/>
        <v/>
      </c>
    </row>
    <row r="911" spans="1:24" s="147" customFormat="1">
      <c r="A911" s="171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38"/>
      <c r="Q911" s="255" t="str">
        <f t="shared" si="105"/>
        <v/>
      </c>
      <c r="R911" s="139" t="str">
        <f t="shared" si="106"/>
        <v/>
      </c>
      <c r="S911" s="128" t="str">
        <f t="shared" si="100"/>
        <v/>
      </c>
      <c r="T911" s="140" t="str">
        <f t="shared" si="101"/>
        <v/>
      </c>
      <c r="U911" s="141" t="str">
        <f t="shared" si="102"/>
        <v/>
      </c>
      <c r="V911" s="141" t="str">
        <f t="shared" si="103"/>
        <v/>
      </c>
      <c r="W911" s="142"/>
      <c r="X911" s="186" t="str">
        <f t="shared" si="104"/>
        <v/>
      </c>
    </row>
    <row r="912" spans="1:24" s="147" customFormat="1">
      <c r="A912" s="170"/>
      <c r="B912" s="145"/>
      <c r="C912" s="145"/>
      <c r="D912" s="146"/>
      <c r="E912" s="145"/>
      <c r="F912" s="145"/>
      <c r="G912" s="145"/>
      <c r="H912" s="145"/>
      <c r="I912" s="145"/>
      <c r="J912" s="145"/>
      <c r="K912" s="145"/>
      <c r="L912" s="145"/>
      <c r="M912" s="145"/>
      <c r="N912" s="146"/>
      <c r="O912" s="145"/>
      <c r="P912" s="138"/>
      <c r="Q912" s="255" t="str">
        <f t="shared" si="105"/>
        <v/>
      </c>
      <c r="R912" s="139" t="str">
        <f t="shared" si="106"/>
        <v/>
      </c>
      <c r="S912" s="128" t="str">
        <f t="shared" si="100"/>
        <v/>
      </c>
      <c r="T912" s="140" t="str">
        <f t="shared" si="101"/>
        <v/>
      </c>
      <c r="U912" s="141" t="str">
        <f t="shared" si="102"/>
        <v/>
      </c>
      <c r="V912" s="141" t="str">
        <f t="shared" si="103"/>
        <v/>
      </c>
      <c r="W912" s="142"/>
      <c r="X912" s="186" t="str">
        <f t="shared" si="104"/>
        <v/>
      </c>
    </row>
    <row r="913" spans="1:24" s="147" customFormat="1">
      <c r="A913" s="172"/>
      <c r="B913" s="151"/>
      <c r="C913" s="151"/>
      <c r="D913" s="151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38"/>
      <c r="Q913" s="255" t="str">
        <f t="shared" si="105"/>
        <v/>
      </c>
      <c r="R913" s="139" t="str">
        <f t="shared" si="106"/>
        <v/>
      </c>
      <c r="S913" s="128" t="str">
        <f t="shared" si="100"/>
        <v/>
      </c>
      <c r="T913" s="140" t="str">
        <f t="shared" si="101"/>
        <v/>
      </c>
      <c r="U913" s="141" t="str">
        <f t="shared" si="102"/>
        <v/>
      </c>
      <c r="V913" s="141" t="str">
        <f t="shared" si="103"/>
        <v/>
      </c>
      <c r="W913" s="142"/>
      <c r="X913" s="186" t="str">
        <f t="shared" si="104"/>
        <v/>
      </c>
    </row>
    <row r="914" spans="1:24" s="147" customFormat="1">
      <c r="A914" s="170"/>
      <c r="B914" s="145"/>
      <c r="C914" s="145"/>
      <c r="D914" s="146"/>
      <c r="E914" s="145"/>
      <c r="F914" s="145"/>
      <c r="G914" s="145"/>
      <c r="H914" s="145"/>
      <c r="I914" s="145"/>
      <c r="J914" s="145"/>
      <c r="K914" s="145"/>
      <c r="L914" s="145"/>
      <c r="M914" s="145"/>
      <c r="N914" s="146"/>
      <c r="O914" s="145"/>
      <c r="P914" s="138"/>
      <c r="Q914" s="255" t="str">
        <f t="shared" si="105"/>
        <v/>
      </c>
      <c r="R914" s="139" t="str">
        <f t="shared" si="106"/>
        <v/>
      </c>
      <c r="S914" s="128" t="str">
        <f t="shared" si="100"/>
        <v/>
      </c>
      <c r="T914" s="140" t="str">
        <f t="shared" si="101"/>
        <v/>
      </c>
      <c r="U914" s="141" t="str">
        <f t="shared" si="102"/>
        <v/>
      </c>
      <c r="V914" s="141" t="str">
        <f t="shared" si="103"/>
        <v/>
      </c>
      <c r="W914" s="142"/>
      <c r="X914" s="186" t="str">
        <f t="shared" si="104"/>
        <v/>
      </c>
    </row>
    <row r="915" spans="1:24" s="147" customFormat="1">
      <c r="A915" s="172"/>
      <c r="B915" s="151"/>
      <c r="C915" s="151"/>
      <c r="D915" s="151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38"/>
      <c r="Q915" s="255" t="str">
        <f t="shared" si="105"/>
        <v/>
      </c>
      <c r="R915" s="139" t="str">
        <f t="shared" si="106"/>
        <v/>
      </c>
      <c r="S915" s="128" t="str">
        <f t="shared" si="100"/>
        <v/>
      </c>
      <c r="T915" s="140" t="str">
        <f t="shared" si="101"/>
        <v/>
      </c>
      <c r="U915" s="141" t="str">
        <f t="shared" si="102"/>
        <v/>
      </c>
      <c r="V915" s="141" t="str">
        <f t="shared" si="103"/>
        <v/>
      </c>
      <c r="W915" s="142"/>
      <c r="X915" s="186" t="str">
        <f t="shared" si="104"/>
        <v/>
      </c>
    </row>
    <row r="916" spans="1:24" s="147" customFormat="1">
      <c r="A916" s="170"/>
      <c r="B916" s="145"/>
      <c r="C916" s="145"/>
      <c r="D916" s="146"/>
      <c r="E916" s="145"/>
      <c r="F916" s="145"/>
      <c r="G916" s="145"/>
      <c r="H916" s="145"/>
      <c r="I916" s="145"/>
      <c r="J916" s="145"/>
      <c r="K916" s="145"/>
      <c r="L916" s="145"/>
      <c r="M916" s="145"/>
      <c r="N916" s="146"/>
      <c r="O916" s="145"/>
      <c r="P916" s="138"/>
      <c r="Q916" s="255" t="str">
        <f t="shared" si="105"/>
        <v/>
      </c>
      <c r="R916" s="139" t="str">
        <f t="shared" si="106"/>
        <v/>
      </c>
      <c r="S916" s="128" t="str">
        <f t="shared" si="100"/>
        <v/>
      </c>
      <c r="T916" s="140" t="str">
        <f t="shared" si="101"/>
        <v/>
      </c>
      <c r="U916" s="141" t="str">
        <f t="shared" si="102"/>
        <v/>
      </c>
      <c r="V916" s="141" t="str">
        <f t="shared" si="103"/>
        <v/>
      </c>
      <c r="W916" s="142"/>
      <c r="X916" s="186" t="str">
        <f t="shared" si="104"/>
        <v/>
      </c>
    </row>
    <row r="917" spans="1:24" s="147" customFormat="1">
      <c r="A917" s="172"/>
      <c r="B917" s="151"/>
      <c r="C917" s="151"/>
      <c r="D917" s="151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38"/>
      <c r="Q917" s="255" t="str">
        <f t="shared" si="105"/>
        <v/>
      </c>
      <c r="R917" s="139" t="str">
        <f t="shared" si="106"/>
        <v/>
      </c>
      <c r="S917" s="128" t="str">
        <f t="shared" si="100"/>
        <v/>
      </c>
      <c r="T917" s="140" t="str">
        <f t="shared" si="101"/>
        <v/>
      </c>
      <c r="U917" s="141" t="str">
        <f t="shared" si="102"/>
        <v/>
      </c>
      <c r="V917" s="141" t="str">
        <f t="shared" si="103"/>
        <v/>
      </c>
      <c r="W917" s="142"/>
      <c r="X917" s="186" t="str">
        <f t="shared" si="104"/>
        <v/>
      </c>
    </row>
    <row r="918" spans="1:24" s="147" customFormat="1">
      <c r="A918" s="170"/>
      <c r="B918" s="145"/>
      <c r="C918" s="145"/>
      <c r="D918" s="146"/>
      <c r="E918" s="145"/>
      <c r="F918" s="145"/>
      <c r="G918" s="145"/>
      <c r="H918" s="145"/>
      <c r="I918" s="145"/>
      <c r="J918" s="145"/>
      <c r="K918" s="145"/>
      <c r="L918" s="145"/>
      <c r="M918" s="145"/>
      <c r="N918" s="146"/>
      <c r="O918" s="145"/>
      <c r="P918" s="138"/>
      <c r="Q918" s="255" t="str">
        <f t="shared" si="105"/>
        <v/>
      </c>
      <c r="R918" s="139" t="str">
        <f t="shared" si="106"/>
        <v/>
      </c>
      <c r="S918" s="128" t="str">
        <f t="shared" si="100"/>
        <v/>
      </c>
      <c r="T918" s="140" t="str">
        <f t="shared" si="101"/>
        <v/>
      </c>
      <c r="U918" s="141" t="str">
        <f t="shared" si="102"/>
        <v/>
      </c>
      <c r="V918" s="141" t="str">
        <f t="shared" si="103"/>
        <v/>
      </c>
      <c r="W918" s="142"/>
      <c r="X918" s="186" t="str">
        <f t="shared" si="104"/>
        <v/>
      </c>
    </row>
    <row r="919" spans="1:24" s="147" customFormat="1">
      <c r="A919" s="172"/>
      <c r="B919" s="151"/>
      <c r="C919" s="151"/>
      <c r="D919" s="151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38"/>
      <c r="Q919" s="255" t="str">
        <f t="shared" si="105"/>
        <v/>
      </c>
      <c r="R919" s="139" t="str">
        <f t="shared" si="106"/>
        <v/>
      </c>
      <c r="S919" s="128" t="str">
        <f t="shared" si="100"/>
        <v/>
      </c>
      <c r="T919" s="140" t="str">
        <f t="shared" si="101"/>
        <v/>
      </c>
      <c r="U919" s="141" t="str">
        <f t="shared" si="102"/>
        <v/>
      </c>
      <c r="V919" s="141" t="str">
        <f t="shared" si="103"/>
        <v/>
      </c>
      <c r="W919" s="142"/>
      <c r="X919" s="186" t="str">
        <f t="shared" si="104"/>
        <v/>
      </c>
    </row>
    <row r="920" spans="1:24" s="147" customFormat="1">
      <c r="A920" s="170"/>
      <c r="B920" s="145"/>
      <c r="C920" s="145"/>
      <c r="D920" s="149"/>
      <c r="E920" s="150"/>
      <c r="F920" s="145"/>
      <c r="G920" s="145"/>
      <c r="H920" s="145"/>
      <c r="I920" s="145"/>
      <c r="J920" s="145"/>
      <c r="K920" s="145"/>
      <c r="L920" s="145"/>
      <c r="M920" s="145"/>
      <c r="N920" s="149"/>
      <c r="O920" s="145"/>
      <c r="P920" s="138"/>
      <c r="Q920" s="255" t="str">
        <f t="shared" si="105"/>
        <v/>
      </c>
      <c r="R920" s="139" t="str">
        <f t="shared" si="106"/>
        <v/>
      </c>
      <c r="S920" s="128" t="str">
        <f t="shared" si="100"/>
        <v/>
      </c>
      <c r="T920" s="140" t="str">
        <f t="shared" si="101"/>
        <v/>
      </c>
      <c r="U920" s="141" t="str">
        <f t="shared" si="102"/>
        <v/>
      </c>
      <c r="V920" s="141" t="str">
        <f t="shared" si="103"/>
        <v/>
      </c>
      <c r="W920" s="142"/>
      <c r="X920" s="186" t="str">
        <f t="shared" si="104"/>
        <v/>
      </c>
    </row>
    <row r="921" spans="1:24" s="147" customFormat="1">
      <c r="A921" s="170"/>
      <c r="B921" s="145"/>
      <c r="C921" s="145"/>
      <c r="D921" s="146"/>
      <c r="E921" s="150"/>
      <c r="F921" s="145"/>
      <c r="G921" s="145"/>
      <c r="H921" s="145"/>
      <c r="I921" s="145"/>
      <c r="J921" s="145"/>
      <c r="K921" s="145"/>
      <c r="L921" s="145"/>
      <c r="M921" s="145"/>
      <c r="N921" s="146"/>
      <c r="O921" s="145"/>
      <c r="P921" s="138"/>
      <c r="Q921" s="255" t="str">
        <f t="shared" si="105"/>
        <v/>
      </c>
      <c r="R921" s="139" t="str">
        <f t="shared" si="106"/>
        <v/>
      </c>
      <c r="S921" s="128" t="str">
        <f t="shared" si="100"/>
        <v/>
      </c>
      <c r="T921" s="140" t="str">
        <f t="shared" si="101"/>
        <v/>
      </c>
      <c r="U921" s="141" t="str">
        <f t="shared" si="102"/>
        <v/>
      </c>
      <c r="V921" s="141" t="str">
        <f t="shared" si="103"/>
        <v/>
      </c>
      <c r="W921" s="142"/>
      <c r="X921" s="186" t="str">
        <f t="shared" si="104"/>
        <v/>
      </c>
    </row>
    <row r="922" spans="1:24" s="147" customFormat="1">
      <c r="A922" s="172"/>
      <c r="B922" s="151"/>
      <c r="C922" s="151"/>
      <c r="D922" s="151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38"/>
      <c r="Q922" s="255" t="str">
        <f t="shared" si="105"/>
        <v/>
      </c>
      <c r="R922" s="139" t="str">
        <f t="shared" si="106"/>
        <v/>
      </c>
      <c r="S922" s="128" t="str">
        <f t="shared" si="100"/>
        <v/>
      </c>
      <c r="T922" s="140" t="str">
        <f t="shared" si="101"/>
        <v/>
      </c>
      <c r="U922" s="141" t="str">
        <f t="shared" si="102"/>
        <v/>
      </c>
      <c r="V922" s="141" t="str">
        <f t="shared" si="103"/>
        <v/>
      </c>
      <c r="W922" s="142"/>
      <c r="X922" s="186" t="str">
        <f t="shared" si="104"/>
        <v/>
      </c>
    </row>
    <row r="923" spans="1:24" s="147" customFormat="1">
      <c r="A923" s="170"/>
      <c r="B923" s="145"/>
      <c r="C923" s="145"/>
      <c r="D923" s="146"/>
      <c r="E923" s="145"/>
      <c r="F923" s="145"/>
      <c r="G923" s="145"/>
      <c r="H923" s="145"/>
      <c r="I923" s="145"/>
      <c r="J923" s="145"/>
      <c r="K923" s="145"/>
      <c r="L923" s="145"/>
      <c r="M923" s="145"/>
      <c r="N923" s="146"/>
      <c r="O923" s="145"/>
      <c r="P923" s="138"/>
      <c r="Q923" s="255" t="str">
        <f t="shared" si="105"/>
        <v/>
      </c>
      <c r="R923" s="139" t="str">
        <f t="shared" si="106"/>
        <v/>
      </c>
      <c r="S923" s="128" t="str">
        <f t="shared" si="100"/>
        <v/>
      </c>
      <c r="T923" s="140" t="str">
        <f t="shared" si="101"/>
        <v/>
      </c>
      <c r="U923" s="141" t="str">
        <f t="shared" si="102"/>
        <v/>
      </c>
      <c r="V923" s="141" t="str">
        <f t="shared" si="103"/>
        <v/>
      </c>
      <c r="W923" s="142"/>
      <c r="X923" s="186" t="str">
        <f t="shared" si="104"/>
        <v/>
      </c>
    </row>
    <row r="924" spans="1:24" s="147" customFormat="1">
      <c r="A924" s="172"/>
      <c r="B924" s="151"/>
      <c r="C924" s="151"/>
      <c r="D924" s="151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38"/>
      <c r="Q924" s="255" t="str">
        <f t="shared" si="105"/>
        <v/>
      </c>
      <c r="R924" s="139" t="str">
        <f t="shared" si="106"/>
        <v/>
      </c>
      <c r="S924" s="128" t="str">
        <f t="shared" si="100"/>
        <v/>
      </c>
      <c r="T924" s="140" t="str">
        <f t="shared" si="101"/>
        <v/>
      </c>
      <c r="U924" s="141" t="str">
        <f t="shared" si="102"/>
        <v/>
      </c>
      <c r="V924" s="141" t="str">
        <f t="shared" si="103"/>
        <v/>
      </c>
      <c r="W924" s="142"/>
      <c r="X924" s="186" t="str">
        <f t="shared" si="104"/>
        <v/>
      </c>
    </row>
    <row r="925" spans="1:24" s="147" customFormat="1">
      <c r="A925" s="170"/>
      <c r="B925" s="145"/>
      <c r="C925" s="145"/>
      <c r="D925" s="146"/>
      <c r="E925" s="145"/>
      <c r="F925" s="145"/>
      <c r="G925" s="145"/>
      <c r="H925" s="145"/>
      <c r="I925" s="145"/>
      <c r="J925" s="145"/>
      <c r="K925" s="145"/>
      <c r="L925" s="145"/>
      <c r="M925" s="145"/>
      <c r="N925" s="146"/>
      <c r="O925" s="145"/>
      <c r="P925" s="138"/>
      <c r="Q925" s="255" t="str">
        <f t="shared" si="105"/>
        <v/>
      </c>
      <c r="R925" s="139" t="str">
        <f t="shared" si="106"/>
        <v/>
      </c>
      <c r="S925" s="128" t="str">
        <f t="shared" si="100"/>
        <v/>
      </c>
      <c r="T925" s="140" t="str">
        <f t="shared" si="101"/>
        <v/>
      </c>
      <c r="U925" s="141" t="str">
        <f t="shared" si="102"/>
        <v/>
      </c>
      <c r="V925" s="141" t="str">
        <f t="shared" si="103"/>
        <v/>
      </c>
      <c r="W925" s="142"/>
      <c r="X925" s="186" t="str">
        <f t="shared" si="104"/>
        <v/>
      </c>
    </row>
    <row r="926" spans="1:24" s="147" customFormat="1">
      <c r="A926" s="172"/>
      <c r="B926" s="151"/>
      <c r="C926" s="151"/>
      <c r="D926" s="151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38"/>
      <c r="Q926" s="255" t="str">
        <f t="shared" si="105"/>
        <v/>
      </c>
      <c r="R926" s="139" t="str">
        <f t="shared" si="106"/>
        <v/>
      </c>
      <c r="S926" s="128" t="str">
        <f t="shared" si="100"/>
        <v/>
      </c>
      <c r="T926" s="140" t="str">
        <f t="shared" si="101"/>
        <v/>
      </c>
      <c r="U926" s="141" t="str">
        <f t="shared" si="102"/>
        <v/>
      </c>
      <c r="V926" s="141" t="str">
        <f t="shared" si="103"/>
        <v/>
      </c>
      <c r="W926" s="142"/>
      <c r="X926" s="186" t="str">
        <f t="shared" si="104"/>
        <v/>
      </c>
    </row>
    <row r="927" spans="1:24" s="147" customFormat="1">
      <c r="A927" s="170"/>
      <c r="B927" s="145"/>
      <c r="C927" s="145"/>
      <c r="D927" s="146"/>
      <c r="E927" s="145"/>
      <c r="F927" s="145"/>
      <c r="G927" s="145"/>
      <c r="H927" s="145"/>
      <c r="I927" s="145"/>
      <c r="J927" s="145"/>
      <c r="K927" s="145"/>
      <c r="L927" s="145"/>
      <c r="M927" s="145"/>
      <c r="N927" s="146"/>
      <c r="O927" s="145"/>
      <c r="P927" s="138"/>
      <c r="Q927" s="255" t="str">
        <f t="shared" si="105"/>
        <v/>
      </c>
      <c r="R927" s="139" t="str">
        <f t="shared" si="106"/>
        <v/>
      </c>
      <c r="S927" s="128" t="str">
        <f t="shared" si="100"/>
        <v/>
      </c>
      <c r="T927" s="140" t="str">
        <f t="shared" si="101"/>
        <v/>
      </c>
      <c r="U927" s="141" t="str">
        <f t="shared" si="102"/>
        <v/>
      </c>
      <c r="V927" s="141" t="str">
        <f t="shared" si="103"/>
        <v/>
      </c>
      <c r="W927" s="142"/>
      <c r="X927" s="186" t="str">
        <f t="shared" si="104"/>
        <v/>
      </c>
    </row>
    <row r="928" spans="1:24" s="147" customFormat="1">
      <c r="A928" s="172"/>
      <c r="B928" s="151"/>
      <c r="C928" s="151"/>
      <c r="D928" s="151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38"/>
      <c r="Q928" s="255" t="str">
        <f t="shared" si="105"/>
        <v/>
      </c>
      <c r="R928" s="139" t="str">
        <f t="shared" si="106"/>
        <v/>
      </c>
      <c r="S928" s="128" t="str">
        <f t="shared" si="100"/>
        <v/>
      </c>
      <c r="T928" s="140" t="str">
        <f t="shared" si="101"/>
        <v/>
      </c>
      <c r="U928" s="141" t="str">
        <f t="shared" si="102"/>
        <v/>
      </c>
      <c r="V928" s="141" t="str">
        <f t="shared" si="103"/>
        <v/>
      </c>
      <c r="W928" s="142"/>
      <c r="X928" s="186" t="str">
        <f t="shared" si="104"/>
        <v/>
      </c>
    </row>
    <row r="929" spans="1:24" s="147" customFormat="1">
      <c r="A929" s="170"/>
      <c r="B929" s="145"/>
      <c r="C929" s="145"/>
      <c r="D929" s="146"/>
      <c r="E929" s="145"/>
      <c r="F929" s="145"/>
      <c r="G929" s="145"/>
      <c r="H929" s="145"/>
      <c r="I929" s="145"/>
      <c r="J929" s="145"/>
      <c r="K929" s="145"/>
      <c r="L929" s="145"/>
      <c r="M929" s="145"/>
      <c r="N929" s="146"/>
      <c r="O929" s="145"/>
      <c r="P929" s="138"/>
      <c r="Q929" s="255" t="str">
        <f t="shared" si="105"/>
        <v/>
      </c>
      <c r="R929" s="139" t="str">
        <f t="shared" si="106"/>
        <v/>
      </c>
      <c r="S929" s="128" t="str">
        <f t="shared" si="100"/>
        <v/>
      </c>
      <c r="T929" s="140" t="str">
        <f t="shared" si="101"/>
        <v/>
      </c>
      <c r="U929" s="141" t="str">
        <f t="shared" si="102"/>
        <v/>
      </c>
      <c r="V929" s="141" t="str">
        <f t="shared" si="103"/>
        <v/>
      </c>
      <c r="W929" s="142"/>
      <c r="X929" s="186" t="str">
        <f t="shared" si="104"/>
        <v/>
      </c>
    </row>
    <row r="930" spans="1:24" s="147" customFormat="1">
      <c r="A930" s="172"/>
      <c r="B930" s="151"/>
      <c r="C930" s="151"/>
      <c r="D930" s="151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38"/>
      <c r="Q930" s="255" t="str">
        <f t="shared" si="105"/>
        <v/>
      </c>
      <c r="R930" s="139" t="str">
        <f t="shared" si="106"/>
        <v/>
      </c>
      <c r="S930" s="128" t="str">
        <f t="shared" si="100"/>
        <v/>
      </c>
      <c r="T930" s="140" t="str">
        <f t="shared" si="101"/>
        <v/>
      </c>
      <c r="U930" s="141" t="str">
        <f t="shared" si="102"/>
        <v/>
      </c>
      <c r="V930" s="141" t="str">
        <f t="shared" si="103"/>
        <v/>
      </c>
      <c r="W930" s="142"/>
      <c r="X930" s="186" t="str">
        <f t="shared" si="104"/>
        <v/>
      </c>
    </row>
    <row r="931" spans="1:24" s="147" customFormat="1">
      <c r="A931" s="170"/>
      <c r="B931" s="145"/>
      <c r="C931" s="145"/>
      <c r="D931" s="146"/>
      <c r="E931" s="145"/>
      <c r="F931" s="145"/>
      <c r="G931" s="145"/>
      <c r="H931" s="145"/>
      <c r="I931" s="145"/>
      <c r="J931" s="145"/>
      <c r="K931" s="145"/>
      <c r="L931" s="145"/>
      <c r="M931" s="145"/>
      <c r="N931" s="146"/>
      <c r="O931" s="145"/>
      <c r="P931" s="138"/>
      <c r="Q931" s="255" t="str">
        <f t="shared" si="105"/>
        <v/>
      </c>
      <c r="R931" s="139" t="str">
        <f t="shared" si="106"/>
        <v/>
      </c>
      <c r="S931" s="128" t="str">
        <f t="shared" si="100"/>
        <v/>
      </c>
      <c r="T931" s="140" t="str">
        <f t="shared" si="101"/>
        <v/>
      </c>
      <c r="U931" s="141" t="str">
        <f t="shared" si="102"/>
        <v/>
      </c>
      <c r="V931" s="141" t="str">
        <f t="shared" si="103"/>
        <v/>
      </c>
      <c r="W931" s="142"/>
      <c r="X931" s="186" t="str">
        <f t="shared" si="104"/>
        <v/>
      </c>
    </row>
    <row r="932" spans="1:24" s="147" customFormat="1">
      <c r="A932" s="172"/>
      <c r="B932" s="151"/>
      <c r="C932" s="151"/>
      <c r="D932" s="151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38"/>
      <c r="Q932" s="255" t="str">
        <f t="shared" si="105"/>
        <v/>
      </c>
      <c r="R932" s="139" t="str">
        <f t="shared" si="106"/>
        <v/>
      </c>
      <c r="S932" s="128" t="str">
        <f t="shared" si="100"/>
        <v/>
      </c>
      <c r="T932" s="140" t="str">
        <f t="shared" si="101"/>
        <v/>
      </c>
      <c r="U932" s="141" t="str">
        <f t="shared" si="102"/>
        <v/>
      </c>
      <c r="V932" s="141" t="str">
        <f t="shared" si="103"/>
        <v/>
      </c>
      <c r="W932" s="142"/>
      <c r="X932" s="186" t="str">
        <f t="shared" si="104"/>
        <v/>
      </c>
    </row>
    <row r="933" spans="1:24" s="147" customFormat="1">
      <c r="A933" s="170"/>
      <c r="B933" s="145"/>
      <c r="C933" s="145"/>
      <c r="D933" s="146"/>
      <c r="E933" s="145"/>
      <c r="F933" s="145"/>
      <c r="G933" s="145"/>
      <c r="H933" s="145"/>
      <c r="I933" s="145"/>
      <c r="J933" s="145"/>
      <c r="K933" s="145"/>
      <c r="L933" s="145"/>
      <c r="M933" s="145"/>
      <c r="N933" s="146"/>
      <c r="O933" s="145"/>
      <c r="P933" s="138"/>
      <c r="Q933" s="255" t="str">
        <f t="shared" si="105"/>
        <v/>
      </c>
      <c r="R933" s="139" t="str">
        <f t="shared" si="106"/>
        <v/>
      </c>
      <c r="S933" s="128" t="str">
        <f t="shared" si="100"/>
        <v/>
      </c>
      <c r="T933" s="140" t="str">
        <f t="shared" si="101"/>
        <v/>
      </c>
      <c r="U933" s="141" t="str">
        <f t="shared" si="102"/>
        <v/>
      </c>
      <c r="V933" s="141" t="str">
        <f t="shared" si="103"/>
        <v/>
      </c>
      <c r="W933" s="142"/>
      <c r="X933" s="186" t="str">
        <f t="shared" si="104"/>
        <v/>
      </c>
    </row>
    <row r="934" spans="1:24" s="147" customFormat="1">
      <c r="A934" s="172"/>
      <c r="B934" s="151"/>
      <c r="C934" s="151"/>
      <c r="D934" s="151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38"/>
      <c r="Q934" s="255" t="str">
        <f t="shared" si="105"/>
        <v/>
      </c>
      <c r="R934" s="139" t="str">
        <f t="shared" si="106"/>
        <v/>
      </c>
      <c r="S934" s="128" t="str">
        <f t="shared" si="100"/>
        <v/>
      </c>
      <c r="T934" s="140" t="str">
        <f t="shared" si="101"/>
        <v/>
      </c>
      <c r="U934" s="141" t="str">
        <f t="shared" si="102"/>
        <v/>
      </c>
      <c r="V934" s="141" t="str">
        <f t="shared" si="103"/>
        <v/>
      </c>
      <c r="W934" s="142"/>
      <c r="X934" s="186" t="str">
        <f t="shared" si="104"/>
        <v/>
      </c>
    </row>
    <row r="935" spans="1:24" s="147" customFormat="1">
      <c r="A935" s="170"/>
      <c r="B935" s="145"/>
      <c r="C935" s="145"/>
      <c r="D935" s="146"/>
      <c r="E935" s="145"/>
      <c r="F935" s="145"/>
      <c r="G935" s="145"/>
      <c r="H935" s="145"/>
      <c r="I935" s="145"/>
      <c r="J935" s="145"/>
      <c r="K935" s="145"/>
      <c r="L935" s="145"/>
      <c r="M935" s="145"/>
      <c r="N935" s="146"/>
      <c r="O935" s="145"/>
      <c r="P935" s="138"/>
      <c r="Q935" s="255" t="str">
        <f t="shared" si="105"/>
        <v/>
      </c>
      <c r="R935" s="139" t="str">
        <f t="shared" si="106"/>
        <v/>
      </c>
      <c r="S935" s="128" t="str">
        <f t="shared" si="100"/>
        <v/>
      </c>
      <c r="T935" s="140" t="str">
        <f t="shared" si="101"/>
        <v/>
      </c>
      <c r="U935" s="141" t="str">
        <f t="shared" si="102"/>
        <v/>
      </c>
      <c r="V935" s="141" t="str">
        <f t="shared" si="103"/>
        <v/>
      </c>
      <c r="W935" s="142"/>
      <c r="X935" s="186" t="str">
        <f t="shared" si="104"/>
        <v/>
      </c>
    </row>
    <row r="936" spans="1:24" s="147" customFormat="1">
      <c r="A936" s="172"/>
      <c r="B936" s="151"/>
      <c r="C936" s="151"/>
      <c r="D936" s="151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38"/>
      <c r="Q936" s="255" t="str">
        <f t="shared" si="105"/>
        <v/>
      </c>
      <c r="R936" s="139" t="str">
        <f t="shared" si="106"/>
        <v/>
      </c>
      <c r="S936" s="128" t="str">
        <f t="shared" si="100"/>
        <v/>
      </c>
      <c r="T936" s="140" t="str">
        <f t="shared" si="101"/>
        <v/>
      </c>
      <c r="U936" s="141" t="str">
        <f t="shared" si="102"/>
        <v/>
      </c>
      <c r="V936" s="141" t="str">
        <f t="shared" si="103"/>
        <v/>
      </c>
      <c r="W936" s="142"/>
      <c r="X936" s="186" t="str">
        <f t="shared" si="104"/>
        <v/>
      </c>
    </row>
    <row r="937" spans="1:24" s="147" customFormat="1">
      <c r="A937" s="170"/>
      <c r="B937" s="145"/>
      <c r="C937" s="145"/>
      <c r="D937" s="146"/>
      <c r="E937" s="145"/>
      <c r="F937" s="145"/>
      <c r="G937" s="145"/>
      <c r="H937" s="145"/>
      <c r="I937" s="145"/>
      <c r="J937" s="145"/>
      <c r="K937" s="145"/>
      <c r="L937" s="145"/>
      <c r="M937" s="145"/>
      <c r="N937" s="146"/>
      <c r="O937" s="145"/>
      <c r="P937" s="138"/>
      <c r="Q937" s="255" t="str">
        <f t="shared" si="105"/>
        <v/>
      </c>
      <c r="R937" s="139" t="str">
        <f t="shared" si="106"/>
        <v/>
      </c>
      <c r="S937" s="128" t="str">
        <f t="shared" si="100"/>
        <v/>
      </c>
      <c r="T937" s="140" t="str">
        <f t="shared" si="101"/>
        <v/>
      </c>
      <c r="U937" s="141" t="str">
        <f t="shared" si="102"/>
        <v/>
      </c>
      <c r="V937" s="141" t="str">
        <f t="shared" si="103"/>
        <v/>
      </c>
      <c r="W937" s="142"/>
      <c r="X937" s="186" t="str">
        <f t="shared" si="104"/>
        <v/>
      </c>
    </row>
    <row r="938" spans="1:24" s="147" customFormat="1">
      <c r="A938" s="172"/>
      <c r="B938" s="151"/>
      <c r="C938" s="151"/>
      <c r="D938" s="151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38"/>
      <c r="Q938" s="255" t="str">
        <f t="shared" si="105"/>
        <v/>
      </c>
      <c r="R938" s="139" t="str">
        <f t="shared" si="106"/>
        <v/>
      </c>
      <c r="S938" s="128" t="str">
        <f t="shared" si="100"/>
        <v/>
      </c>
      <c r="T938" s="140" t="str">
        <f t="shared" si="101"/>
        <v/>
      </c>
      <c r="U938" s="141" t="str">
        <f t="shared" si="102"/>
        <v/>
      </c>
      <c r="V938" s="141" t="str">
        <f t="shared" si="103"/>
        <v/>
      </c>
      <c r="W938" s="142"/>
      <c r="X938" s="186" t="str">
        <f t="shared" si="104"/>
        <v/>
      </c>
    </row>
    <row r="939" spans="1:24" s="147" customFormat="1">
      <c r="A939" s="170"/>
      <c r="B939" s="145"/>
      <c r="C939" s="145"/>
      <c r="D939" s="146"/>
      <c r="E939" s="145"/>
      <c r="F939" s="145"/>
      <c r="G939" s="145"/>
      <c r="H939" s="145"/>
      <c r="I939" s="145"/>
      <c r="J939" s="145"/>
      <c r="K939" s="145"/>
      <c r="L939" s="145"/>
      <c r="M939" s="145"/>
      <c r="N939" s="146"/>
      <c r="O939" s="145"/>
      <c r="P939" s="138"/>
      <c r="Q939" s="255" t="str">
        <f t="shared" si="105"/>
        <v/>
      </c>
      <c r="R939" s="139" t="str">
        <f t="shared" si="106"/>
        <v/>
      </c>
      <c r="S939" s="128" t="str">
        <f t="shared" si="100"/>
        <v/>
      </c>
      <c r="T939" s="140" t="str">
        <f t="shared" si="101"/>
        <v/>
      </c>
      <c r="U939" s="141" t="str">
        <f t="shared" si="102"/>
        <v/>
      </c>
      <c r="V939" s="141" t="str">
        <f t="shared" si="103"/>
        <v/>
      </c>
      <c r="W939" s="142"/>
      <c r="X939" s="186" t="str">
        <f t="shared" si="104"/>
        <v/>
      </c>
    </row>
    <row r="940" spans="1:24" s="147" customFormat="1">
      <c r="A940" s="172"/>
      <c r="B940" s="151"/>
      <c r="C940" s="151"/>
      <c r="D940" s="151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38"/>
      <c r="Q940" s="255" t="str">
        <f t="shared" si="105"/>
        <v/>
      </c>
      <c r="R940" s="139" t="str">
        <f t="shared" si="106"/>
        <v/>
      </c>
      <c r="S940" s="128" t="str">
        <f t="shared" si="100"/>
        <v/>
      </c>
      <c r="T940" s="140" t="str">
        <f t="shared" si="101"/>
        <v/>
      </c>
      <c r="U940" s="141" t="str">
        <f t="shared" si="102"/>
        <v/>
      </c>
      <c r="V940" s="141" t="str">
        <f t="shared" si="103"/>
        <v/>
      </c>
      <c r="W940" s="142"/>
      <c r="X940" s="186" t="str">
        <f t="shared" si="104"/>
        <v/>
      </c>
    </row>
    <row r="941" spans="1:24" s="147" customFormat="1">
      <c r="A941" s="170"/>
      <c r="B941" s="145"/>
      <c r="C941" s="145"/>
      <c r="D941" s="149"/>
      <c r="E941" s="150"/>
      <c r="F941" s="145"/>
      <c r="G941" s="145"/>
      <c r="H941" s="145"/>
      <c r="I941" s="145"/>
      <c r="J941" s="145"/>
      <c r="K941" s="145"/>
      <c r="L941" s="145"/>
      <c r="M941" s="145"/>
      <c r="N941" s="146"/>
      <c r="O941" s="145"/>
      <c r="P941" s="138"/>
      <c r="Q941" s="255" t="str">
        <f t="shared" si="105"/>
        <v/>
      </c>
      <c r="R941" s="139" t="str">
        <f t="shared" si="106"/>
        <v/>
      </c>
      <c r="S941" s="128" t="str">
        <f t="shared" si="100"/>
        <v/>
      </c>
      <c r="T941" s="140" t="str">
        <f t="shared" si="101"/>
        <v/>
      </c>
      <c r="U941" s="141" t="str">
        <f t="shared" si="102"/>
        <v/>
      </c>
      <c r="V941" s="141" t="str">
        <f t="shared" si="103"/>
        <v/>
      </c>
      <c r="W941" s="142"/>
      <c r="X941" s="186" t="str">
        <f t="shared" si="104"/>
        <v/>
      </c>
    </row>
    <row r="942" spans="1:24" s="147" customFormat="1">
      <c r="A942" s="172"/>
      <c r="B942" s="151"/>
      <c r="C942" s="151"/>
      <c r="D942" s="151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38"/>
      <c r="Q942" s="255" t="str">
        <f t="shared" si="105"/>
        <v/>
      </c>
      <c r="R942" s="139" t="str">
        <f t="shared" si="106"/>
        <v/>
      </c>
      <c r="S942" s="128" t="str">
        <f t="shared" si="100"/>
        <v/>
      </c>
      <c r="T942" s="140" t="str">
        <f t="shared" si="101"/>
        <v/>
      </c>
      <c r="U942" s="141" t="str">
        <f t="shared" si="102"/>
        <v/>
      </c>
      <c r="V942" s="141" t="str">
        <f t="shared" si="103"/>
        <v/>
      </c>
      <c r="W942" s="142"/>
      <c r="X942" s="186" t="str">
        <f t="shared" si="104"/>
        <v/>
      </c>
    </row>
    <row r="943" spans="1:24" s="147" customFormat="1">
      <c r="A943" s="170"/>
      <c r="B943" s="145"/>
      <c r="C943" s="145"/>
      <c r="D943" s="149"/>
      <c r="E943" s="150"/>
      <c r="F943" s="145"/>
      <c r="G943" s="145"/>
      <c r="H943" s="145"/>
      <c r="I943" s="145"/>
      <c r="J943" s="145"/>
      <c r="K943" s="145"/>
      <c r="L943" s="145"/>
      <c r="M943" s="145"/>
      <c r="N943" s="146"/>
      <c r="O943" s="145"/>
      <c r="P943" s="138"/>
      <c r="Q943" s="255" t="str">
        <f t="shared" si="105"/>
        <v/>
      </c>
      <c r="R943" s="139" t="str">
        <f t="shared" si="106"/>
        <v/>
      </c>
      <c r="S943" s="128" t="str">
        <f t="shared" si="100"/>
        <v/>
      </c>
      <c r="T943" s="140" t="str">
        <f t="shared" si="101"/>
        <v/>
      </c>
      <c r="U943" s="141" t="str">
        <f t="shared" si="102"/>
        <v/>
      </c>
      <c r="V943" s="141" t="str">
        <f t="shared" si="103"/>
        <v/>
      </c>
      <c r="W943" s="142"/>
      <c r="X943" s="186" t="str">
        <f t="shared" si="104"/>
        <v/>
      </c>
    </row>
    <row r="944" spans="1:24" s="147" customFormat="1">
      <c r="A944" s="172"/>
      <c r="B944" s="151"/>
      <c r="C944" s="151"/>
      <c r="D944" s="151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38"/>
      <c r="Q944" s="255" t="str">
        <f t="shared" si="105"/>
        <v/>
      </c>
      <c r="R944" s="139" t="str">
        <f t="shared" si="106"/>
        <v/>
      </c>
      <c r="S944" s="128" t="str">
        <f t="shared" si="100"/>
        <v/>
      </c>
      <c r="T944" s="140" t="str">
        <f t="shared" si="101"/>
        <v/>
      </c>
      <c r="U944" s="141" t="str">
        <f t="shared" si="102"/>
        <v/>
      </c>
      <c r="V944" s="141" t="str">
        <f t="shared" si="103"/>
        <v/>
      </c>
      <c r="W944" s="142"/>
      <c r="X944" s="186" t="str">
        <f t="shared" si="104"/>
        <v/>
      </c>
    </row>
    <row r="945" spans="1:24" s="147" customFormat="1">
      <c r="A945" s="170"/>
      <c r="B945" s="145"/>
      <c r="C945" s="145"/>
      <c r="D945" s="149"/>
      <c r="E945" s="150"/>
      <c r="F945" s="145"/>
      <c r="G945" s="145"/>
      <c r="H945" s="145"/>
      <c r="I945" s="145"/>
      <c r="J945" s="145"/>
      <c r="K945" s="145"/>
      <c r="L945" s="145"/>
      <c r="M945" s="145"/>
      <c r="N945" s="146"/>
      <c r="O945" s="145"/>
      <c r="P945" s="138"/>
      <c r="Q945" s="255" t="str">
        <f t="shared" si="105"/>
        <v/>
      </c>
      <c r="R945" s="139" t="str">
        <f t="shared" si="106"/>
        <v/>
      </c>
      <c r="S945" s="128" t="str">
        <f t="shared" si="100"/>
        <v/>
      </c>
      <c r="T945" s="140" t="str">
        <f t="shared" si="101"/>
        <v/>
      </c>
      <c r="U945" s="141" t="str">
        <f t="shared" si="102"/>
        <v/>
      </c>
      <c r="V945" s="141" t="str">
        <f t="shared" si="103"/>
        <v/>
      </c>
      <c r="W945" s="142"/>
      <c r="X945" s="186" t="str">
        <f t="shared" si="104"/>
        <v/>
      </c>
    </row>
    <row r="946" spans="1:24" s="147" customFormat="1">
      <c r="A946" s="171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38"/>
      <c r="Q946" s="255" t="str">
        <f t="shared" si="105"/>
        <v/>
      </c>
      <c r="R946" s="139" t="str">
        <f t="shared" si="106"/>
        <v/>
      </c>
      <c r="S946" s="128" t="str">
        <f t="shared" si="100"/>
        <v/>
      </c>
      <c r="T946" s="140" t="str">
        <f t="shared" si="101"/>
        <v/>
      </c>
      <c r="U946" s="141" t="str">
        <f t="shared" si="102"/>
        <v/>
      </c>
      <c r="V946" s="141" t="str">
        <f t="shared" si="103"/>
        <v/>
      </c>
      <c r="W946" s="142"/>
      <c r="X946" s="186" t="str">
        <f t="shared" si="104"/>
        <v/>
      </c>
    </row>
    <row r="947" spans="1:24" s="147" customFormat="1">
      <c r="A947" s="170"/>
      <c r="B947" s="145"/>
      <c r="C947" s="145"/>
      <c r="D947" s="149"/>
      <c r="E947" s="150"/>
      <c r="F947" s="145"/>
      <c r="G947" s="145"/>
      <c r="H947" s="145"/>
      <c r="I947" s="145"/>
      <c r="J947" s="145"/>
      <c r="K947" s="145"/>
      <c r="L947" s="145"/>
      <c r="M947" s="145"/>
      <c r="N947" s="146"/>
      <c r="O947" s="145"/>
      <c r="P947" s="138"/>
      <c r="Q947" s="255" t="str">
        <f t="shared" si="105"/>
        <v/>
      </c>
      <c r="R947" s="139" t="str">
        <f t="shared" si="106"/>
        <v/>
      </c>
      <c r="S947" s="128" t="str">
        <f t="shared" si="100"/>
        <v/>
      </c>
      <c r="T947" s="140" t="str">
        <f t="shared" si="101"/>
        <v/>
      </c>
      <c r="U947" s="141" t="str">
        <f t="shared" si="102"/>
        <v/>
      </c>
      <c r="V947" s="141" t="str">
        <f t="shared" si="103"/>
        <v/>
      </c>
      <c r="W947" s="142"/>
      <c r="X947" s="186" t="str">
        <f t="shared" si="104"/>
        <v/>
      </c>
    </row>
    <row r="948" spans="1:24" s="147" customFormat="1">
      <c r="A948" s="171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38"/>
      <c r="Q948" s="255" t="str">
        <f t="shared" si="105"/>
        <v/>
      </c>
      <c r="R948" s="139" t="str">
        <f t="shared" si="106"/>
        <v/>
      </c>
      <c r="S948" s="128" t="str">
        <f t="shared" si="100"/>
        <v/>
      </c>
      <c r="T948" s="140" t="str">
        <f t="shared" si="101"/>
        <v/>
      </c>
      <c r="U948" s="141" t="str">
        <f t="shared" si="102"/>
        <v/>
      </c>
      <c r="V948" s="141" t="str">
        <f t="shared" si="103"/>
        <v/>
      </c>
      <c r="W948" s="142"/>
      <c r="X948" s="186" t="str">
        <f t="shared" si="104"/>
        <v/>
      </c>
    </row>
    <row r="949" spans="1:24" s="147" customFormat="1">
      <c r="A949" s="170"/>
      <c r="B949" s="145"/>
      <c r="C949" s="145"/>
      <c r="D949" s="145"/>
      <c r="E949" s="150"/>
      <c r="F949" s="145"/>
      <c r="G949" s="145"/>
      <c r="H949" s="145"/>
      <c r="I949" s="145"/>
      <c r="J949" s="145"/>
      <c r="K949" s="145"/>
      <c r="L949" s="145"/>
      <c r="M949" s="145"/>
      <c r="N949" s="149"/>
      <c r="O949" s="145"/>
      <c r="P949" s="138"/>
      <c r="Q949" s="255" t="str">
        <f t="shared" si="105"/>
        <v/>
      </c>
      <c r="R949" s="139" t="str">
        <f t="shared" si="106"/>
        <v/>
      </c>
      <c r="S949" s="128" t="str">
        <f t="shared" si="100"/>
        <v/>
      </c>
      <c r="T949" s="140" t="str">
        <f t="shared" si="101"/>
        <v/>
      </c>
      <c r="U949" s="141" t="str">
        <f t="shared" si="102"/>
        <v/>
      </c>
      <c r="V949" s="141" t="str">
        <f t="shared" si="103"/>
        <v/>
      </c>
      <c r="W949" s="142"/>
      <c r="X949" s="186" t="str">
        <f t="shared" si="104"/>
        <v/>
      </c>
    </row>
    <row r="950" spans="1:24" s="147" customFormat="1">
      <c r="A950" s="172"/>
      <c r="B950" s="151"/>
      <c r="C950" s="151"/>
      <c r="D950" s="151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38"/>
      <c r="Q950" s="255" t="str">
        <f t="shared" si="105"/>
        <v/>
      </c>
      <c r="R950" s="139" t="str">
        <f t="shared" si="106"/>
        <v/>
      </c>
      <c r="S950" s="128" t="str">
        <f t="shared" si="100"/>
        <v/>
      </c>
      <c r="T950" s="140" t="str">
        <f t="shared" si="101"/>
        <v/>
      </c>
      <c r="U950" s="141" t="str">
        <f t="shared" si="102"/>
        <v/>
      </c>
      <c r="V950" s="141" t="str">
        <f t="shared" si="103"/>
        <v/>
      </c>
      <c r="W950" s="142"/>
      <c r="X950" s="186" t="str">
        <f t="shared" si="104"/>
        <v/>
      </c>
    </row>
    <row r="951" spans="1:24" s="147" customFormat="1">
      <c r="A951" s="170"/>
      <c r="B951" s="145"/>
      <c r="C951" s="145"/>
      <c r="D951" s="145"/>
      <c r="E951" s="150"/>
      <c r="F951" s="145"/>
      <c r="G951" s="145"/>
      <c r="H951" s="145"/>
      <c r="I951" s="145"/>
      <c r="J951" s="145"/>
      <c r="K951" s="145"/>
      <c r="L951" s="145"/>
      <c r="M951" s="145"/>
      <c r="N951" s="146"/>
      <c r="O951" s="145"/>
      <c r="P951" s="138"/>
      <c r="Q951" s="255" t="str">
        <f t="shared" si="105"/>
        <v/>
      </c>
      <c r="R951" s="139" t="str">
        <f t="shared" si="106"/>
        <v/>
      </c>
      <c r="S951" s="128" t="str">
        <f t="shared" si="100"/>
        <v/>
      </c>
      <c r="T951" s="140" t="str">
        <f t="shared" si="101"/>
        <v/>
      </c>
      <c r="U951" s="141" t="str">
        <f t="shared" si="102"/>
        <v/>
      </c>
      <c r="V951" s="141" t="str">
        <f t="shared" si="103"/>
        <v/>
      </c>
      <c r="W951" s="142"/>
      <c r="X951" s="186" t="str">
        <f t="shared" si="104"/>
        <v/>
      </c>
    </row>
    <row r="952" spans="1:24" s="147" customFormat="1">
      <c r="A952" s="170"/>
      <c r="B952" s="145"/>
      <c r="C952" s="145"/>
      <c r="D952" s="149"/>
      <c r="E952" s="145"/>
      <c r="F952" s="145"/>
      <c r="G952" s="145"/>
      <c r="H952" s="145"/>
      <c r="I952" s="145"/>
      <c r="J952" s="145"/>
      <c r="K952" s="145"/>
      <c r="L952" s="145"/>
      <c r="M952" s="145"/>
      <c r="N952" s="149"/>
      <c r="O952" s="145"/>
      <c r="P952" s="138"/>
      <c r="Q952" s="255" t="str">
        <f t="shared" si="105"/>
        <v/>
      </c>
      <c r="R952" s="139" t="str">
        <f t="shared" si="106"/>
        <v/>
      </c>
      <c r="S952" s="128" t="str">
        <f t="shared" si="100"/>
        <v/>
      </c>
      <c r="T952" s="140" t="str">
        <f t="shared" si="101"/>
        <v/>
      </c>
      <c r="U952" s="141" t="str">
        <f t="shared" si="102"/>
        <v/>
      </c>
      <c r="V952" s="141" t="str">
        <f t="shared" si="103"/>
        <v/>
      </c>
      <c r="W952" s="142"/>
      <c r="X952" s="186" t="str">
        <f t="shared" si="104"/>
        <v/>
      </c>
    </row>
    <row r="953" spans="1:24" s="147" customFormat="1">
      <c r="A953" s="170"/>
      <c r="B953" s="145"/>
      <c r="C953" s="145"/>
      <c r="D953" s="146"/>
      <c r="E953" s="150"/>
      <c r="F953" s="145"/>
      <c r="G953" s="145"/>
      <c r="H953" s="145"/>
      <c r="I953" s="145"/>
      <c r="J953" s="145"/>
      <c r="K953" s="145"/>
      <c r="L953" s="145"/>
      <c r="M953" s="145"/>
      <c r="N953" s="146"/>
      <c r="O953" s="145"/>
      <c r="P953" s="138"/>
      <c r="Q953" s="255" t="str">
        <f t="shared" si="105"/>
        <v/>
      </c>
      <c r="R953" s="139" t="str">
        <f t="shared" si="106"/>
        <v/>
      </c>
      <c r="S953" s="128" t="str">
        <f t="shared" si="100"/>
        <v/>
      </c>
      <c r="T953" s="140" t="str">
        <f t="shared" si="101"/>
        <v/>
      </c>
      <c r="U953" s="141" t="str">
        <f t="shared" si="102"/>
        <v/>
      </c>
      <c r="V953" s="141" t="str">
        <f t="shared" si="103"/>
        <v/>
      </c>
      <c r="W953" s="142"/>
      <c r="X953" s="186" t="str">
        <f t="shared" si="104"/>
        <v/>
      </c>
    </row>
    <row r="954" spans="1:24" s="147" customFormat="1">
      <c r="A954" s="171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38"/>
      <c r="Q954" s="255" t="str">
        <f t="shared" si="105"/>
        <v/>
      </c>
      <c r="R954" s="139" t="str">
        <f t="shared" si="106"/>
        <v/>
      </c>
      <c r="S954" s="128" t="str">
        <f t="shared" si="100"/>
        <v/>
      </c>
      <c r="T954" s="140" t="str">
        <f t="shared" si="101"/>
        <v/>
      </c>
      <c r="U954" s="141" t="str">
        <f t="shared" si="102"/>
        <v/>
      </c>
      <c r="V954" s="141" t="str">
        <f t="shared" si="103"/>
        <v/>
      </c>
      <c r="W954" s="142"/>
      <c r="X954" s="186" t="str">
        <f t="shared" si="104"/>
        <v/>
      </c>
    </row>
    <row r="955" spans="1:24" s="147" customFormat="1">
      <c r="A955" s="170"/>
      <c r="B955" s="145"/>
      <c r="C955" s="145"/>
      <c r="D955" s="149"/>
      <c r="E955" s="145"/>
      <c r="F955" s="145"/>
      <c r="G955" s="145"/>
      <c r="H955" s="145"/>
      <c r="I955" s="145"/>
      <c r="J955" s="145"/>
      <c r="K955" s="145"/>
      <c r="L955" s="145"/>
      <c r="M955" s="145"/>
      <c r="N955" s="149"/>
      <c r="O955" s="145"/>
      <c r="P955" s="138"/>
      <c r="Q955" s="255" t="str">
        <f t="shared" si="105"/>
        <v/>
      </c>
      <c r="R955" s="139" t="str">
        <f t="shared" si="106"/>
        <v/>
      </c>
      <c r="S955" s="128" t="str">
        <f t="shared" si="100"/>
        <v/>
      </c>
      <c r="T955" s="140" t="str">
        <f t="shared" si="101"/>
        <v/>
      </c>
      <c r="U955" s="141" t="str">
        <f t="shared" si="102"/>
        <v/>
      </c>
      <c r="V955" s="141" t="str">
        <f t="shared" si="103"/>
        <v/>
      </c>
      <c r="W955" s="142"/>
      <c r="X955" s="186" t="str">
        <f t="shared" si="104"/>
        <v/>
      </c>
    </row>
    <row r="956" spans="1:24" s="147" customFormat="1">
      <c r="A956" s="170"/>
      <c r="B956" s="145"/>
      <c r="C956" s="145"/>
      <c r="D956" s="149"/>
      <c r="E956" s="145"/>
      <c r="F956" s="145"/>
      <c r="G956" s="145"/>
      <c r="H956" s="145"/>
      <c r="I956" s="145"/>
      <c r="J956" s="145"/>
      <c r="K956" s="145"/>
      <c r="L956" s="145"/>
      <c r="M956" s="145"/>
      <c r="N956" s="149"/>
      <c r="O956" s="145"/>
      <c r="P956" s="138"/>
      <c r="Q956" s="255" t="str">
        <f t="shared" si="105"/>
        <v/>
      </c>
      <c r="R956" s="139" t="str">
        <f t="shared" si="106"/>
        <v/>
      </c>
      <c r="S956" s="128" t="str">
        <f t="shared" si="100"/>
        <v/>
      </c>
      <c r="T956" s="140" t="str">
        <f t="shared" si="101"/>
        <v/>
      </c>
      <c r="U956" s="141" t="str">
        <f t="shared" si="102"/>
        <v/>
      </c>
      <c r="V956" s="141" t="str">
        <f t="shared" si="103"/>
        <v/>
      </c>
      <c r="W956" s="142"/>
      <c r="X956" s="186" t="str">
        <f t="shared" si="104"/>
        <v/>
      </c>
    </row>
    <row r="957" spans="1:24" s="147" customFormat="1">
      <c r="A957" s="170"/>
      <c r="B957" s="145"/>
      <c r="C957" s="145"/>
      <c r="D957" s="149"/>
      <c r="E957" s="150"/>
      <c r="F957" s="145"/>
      <c r="G957" s="145"/>
      <c r="H957" s="145"/>
      <c r="I957" s="145"/>
      <c r="J957" s="145"/>
      <c r="K957" s="145"/>
      <c r="L957" s="145"/>
      <c r="M957" s="145"/>
      <c r="N957" s="146"/>
      <c r="O957" s="145"/>
      <c r="P957" s="138"/>
      <c r="Q957" s="255" t="str">
        <f t="shared" si="105"/>
        <v/>
      </c>
      <c r="R957" s="139" t="str">
        <f t="shared" si="106"/>
        <v/>
      </c>
      <c r="S957" s="128" t="str">
        <f t="shared" si="100"/>
        <v/>
      </c>
      <c r="T957" s="140" t="str">
        <f t="shared" si="101"/>
        <v/>
      </c>
      <c r="U957" s="141" t="str">
        <f t="shared" si="102"/>
        <v/>
      </c>
      <c r="V957" s="141" t="str">
        <f t="shared" si="103"/>
        <v/>
      </c>
      <c r="W957" s="142"/>
      <c r="X957" s="186" t="str">
        <f t="shared" si="104"/>
        <v/>
      </c>
    </row>
    <row r="958" spans="1:24" s="147" customFormat="1">
      <c r="A958" s="171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38"/>
      <c r="Q958" s="255" t="str">
        <f t="shared" si="105"/>
        <v/>
      </c>
      <c r="R958" s="139" t="str">
        <f t="shared" si="106"/>
        <v/>
      </c>
      <c r="S958" s="128" t="str">
        <f t="shared" si="100"/>
        <v/>
      </c>
      <c r="T958" s="140" t="str">
        <f t="shared" si="101"/>
        <v/>
      </c>
      <c r="U958" s="141" t="str">
        <f t="shared" si="102"/>
        <v/>
      </c>
      <c r="V958" s="141" t="str">
        <f t="shared" si="103"/>
        <v/>
      </c>
      <c r="W958" s="142"/>
      <c r="X958" s="186" t="str">
        <f t="shared" si="104"/>
        <v/>
      </c>
    </row>
    <row r="959" spans="1:24" s="147" customFormat="1">
      <c r="A959" s="170"/>
      <c r="B959" s="145"/>
      <c r="C959" s="145"/>
      <c r="D959" s="149"/>
      <c r="E959" s="150"/>
      <c r="F959" s="145"/>
      <c r="G959" s="145"/>
      <c r="H959" s="145"/>
      <c r="I959" s="145"/>
      <c r="J959" s="145"/>
      <c r="K959" s="145"/>
      <c r="L959" s="145"/>
      <c r="M959" s="145"/>
      <c r="N959" s="149"/>
      <c r="O959" s="145"/>
      <c r="P959" s="138"/>
      <c r="Q959" s="255" t="str">
        <f t="shared" si="105"/>
        <v/>
      </c>
      <c r="R959" s="139" t="str">
        <f t="shared" si="106"/>
        <v/>
      </c>
      <c r="S959" s="128" t="str">
        <f t="shared" si="100"/>
        <v/>
      </c>
      <c r="T959" s="140" t="str">
        <f t="shared" si="101"/>
        <v/>
      </c>
      <c r="U959" s="141" t="str">
        <f t="shared" si="102"/>
        <v/>
      </c>
      <c r="V959" s="141" t="str">
        <f t="shared" si="103"/>
        <v/>
      </c>
      <c r="W959" s="142"/>
      <c r="X959" s="186" t="str">
        <f t="shared" si="104"/>
        <v/>
      </c>
    </row>
    <row r="960" spans="1:24" s="147" customFormat="1">
      <c r="A960" s="170"/>
      <c r="B960" s="145"/>
      <c r="C960" s="145"/>
      <c r="D960" s="149"/>
      <c r="E960" s="150"/>
      <c r="F960" s="145"/>
      <c r="G960" s="145"/>
      <c r="H960" s="145"/>
      <c r="I960" s="145"/>
      <c r="J960" s="145"/>
      <c r="K960" s="145"/>
      <c r="L960" s="145"/>
      <c r="M960" s="145"/>
      <c r="N960" s="149"/>
      <c r="O960" s="145"/>
      <c r="P960" s="138"/>
      <c r="Q960" s="255" t="str">
        <f t="shared" si="105"/>
        <v/>
      </c>
      <c r="R960" s="139" t="str">
        <f t="shared" si="106"/>
        <v/>
      </c>
      <c r="S960" s="128" t="str">
        <f t="shared" si="100"/>
        <v/>
      </c>
      <c r="T960" s="140" t="str">
        <f t="shared" si="101"/>
        <v/>
      </c>
      <c r="U960" s="141" t="str">
        <f t="shared" si="102"/>
        <v/>
      </c>
      <c r="V960" s="141" t="str">
        <f t="shared" si="103"/>
        <v/>
      </c>
      <c r="W960" s="142"/>
      <c r="X960" s="186" t="str">
        <f t="shared" si="104"/>
        <v/>
      </c>
    </row>
    <row r="961" spans="1:24" s="147" customFormat="1">
      <c r="A961" s="170"/>
      <c r="B961" s="145"/>
      <c r="C961" s="145"/>
      <c r="D961" s="149"/>
      <c r="E961" s="145"/>
      <c r="F961" s="145"/>
      <c r="G961" s="145"/>
      <c r="H961" s="145"/>
      <c r="I961" s="145"/>
      <c r="J961" s="145"/>
      <c r="K961" s="145"/>
      <c r="L961" s="145"/>
      <c r="M961" s="145"/>
      <c r="N961" s="149"/>
      <c r="O961" s="145"/>
      <c r="P961" s="138"/>
      <c r="Q961" s="255" t="str">
        <f t="shared" si="105"/>
        <v/>
      </c>
      <c r="R961" s="139" t="str">
        <f t="shared" si="106"/>
        <v/>
      </c>
      <c r="S961" s="128" t="str">
        <f t="shared" si="100"/>
        <v/>
      </c>
      <c r="T961" s="140" t="str">
        <f t="shared" si="101"/>
        <v/>
      </c>
      <c r="U961" s="141" t="str">
        <f t="shared" si="102"/>
        <v/>
      </c>
      <c r="V961" s="141" t="str">
        <f t="shared" si="103"/>
        <v/>
      </c>
      <c r="W961" s="142"/>
      <c r="X961" s="186" t="str">
        <f t="shared" si="104"/>
        <v/>
      </c>
    </row>
    <row r="962" spans="1:24" s="147" customFormat="1">
      <c r="A962" s="170"/>
      <c r="B962" s="145"/>
      <c r="C962" s="145"/>
      <c r="D962" s="149"/>
      <c r="E962" s="145"/>
      <c r="F962" s="145"/>
      <c r="G962" s="145"/>
      <c r="H962" s="145"/>
      <c r="I962" s="145"/>
      <c r="J962" s="145"/>
      <c r="K962" s="145"/>
      <c r="L962" s="145"/>
      <c r="M962" s="145"/>
      <c r="N962" s="149"/>
      <c r="O962" s="145"/>
      <c r="P962" s="138"/>
      <c r="Q962" s="255" t="str">
        <f t="shared" si="105"/>
        <v/>
      </c>
      <c r="R962" s="139" t="str">
        <f t="shared" si="106"/>
        <v/>
      </c>
      <c r="S962" s="128" t="str">
        <f t="shared" si="100"/>
        <v/>
      </c>
      <c r="T962" s="140" t="str">
        <f t="shared" si="101"/>
        <v/>
      </c>
      <c r="U962" s="141" t="str">
        <f t="shared" si="102"/>
        <v/>
      </c>
      <c r="V962" s="141" t="str">
        <f t="shared" si="103"/>
        <v/>
      </c>
      <c r="W962" s="142"/>
      <c r="X962" s="186" t="str">
        <f t="shared" si="104"/>
        <v/>
      </c>
    </row>
    <row r="963" spans="1:24" s="147" customFormat="1">
      <c r="A963" s="170"/>
      <c r="B963" s="145"/>
      <c r="C963" s="145"/>
      <c r="D963" s="145"/>
      <c r="E963" s="150"/>
      <c r="F963" s="145"/>
      <c r="G963" s="145"/>
      <c r="H963" s="145"/>
      <c r="I963" s="145"/>
      <c r="J963" s="145"/>
      <c r="K963" s="145"/>
      <c r="L963" s="145"/>
      <c r="M963" s="145"/>
      <c r="N963" s="146"/>
      <c r="O963" s="145"/>
      <c r="P963" s="138"/>
      <c r="Q963" s="255" t="str">
        <f t="shared" si="105"/>
        <v/>
      </c>
      <c r="R963" s="139" t="str">
        <f t="shared" si="106"/>
        <v/>
      </c>
      <c r="S963" s="128" t="str">
        <f t="shared" si="100"/>
        <v/>
      </c>
      <c r="T963" s="140" t="str">
        <f t="shared" si="101"/>
        <v/>
      </c>
      <c r="U963" s="141" t="str">
        <f t="shared" si="102"/>
        <v/>
      </c>
      <c r="V963" s="141" t="str">
        <f t="shared" si="103"/>
        <v/>
      </c>
      <c r="W963" s="142"/>
      <c r="X963" s="186" t="str">
        <f t="shared" si="104"/>
        <v/>
      </c>
    </row>
    <row r="964" spans="1:24" s="147" customFormat="1">
      <c r="A964" s="170"/>
      <c r="B964" s="145"/>
      <c r="C964" s="145"/>
      <c r="D964" s="145"/>
      <c r="E964" s="150"/>
      <c r="F964" s="145"/>
      <c r="G964" s="145"/>
      <c r="H964" s="145"/>
      <c r="I964" s="145"/>
      <c r="J964" s="145"/>
      <c r="K964" s="145"/>
      <c r="L964" s="145"/>
      <c r="M964" s="145"/>
      <c r="N964" s="149"/>
      <c r="O964" s="145"/>
      <c r="P964" s="138"/>
      <c r="Q964" s="255" t="str">
        <f t="shared" si="105"/>
        <v/>
      </c>
      <c r="R964" s="139" t="str">
        <f t="shared" si="106"/>
        <v/>
      </c>
      <c r="S964" s="128" t="str">
        <f t="shared" si="100"/>
        <v/>
      </c>
      <c r="T964" s="140" t="str">
        <f t="shared" si="101"/>
        <v/>
      </c>
      <c r="U964" s="141" t="str">
        <f t="shared" si="102"/>
        <v/>
      </c>
      <c r="V964" s="141" t="str">
        <f t="shared" si="103"/>
        <v/>
      </c>
      <c r="W964" s="142"/>
      <c r="X964" s="186" t="str">
        <f t="shared" si="104"/>
        <v/>
      </c>
    </row>
    <row r="965" spans="1:24" s="147" customFormat="1">
      <c r="A965" s="172"/>
      <c r="B965" s="151"/>
      <c r="C965" s="151"/>
      <c r="D965" s="151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38"/>
      <c r="Q965" s="255" t="str">
        <f t="shared" si="105"/>
        <v/>
      </c>
      <c r="R965" s="139" t="str">
        <f t="shared" si="106"/>
        <v/>
      </c>
      <c r="S965" s="128" t="str">
        <f t="shared" si="100"/>
        <v/>
      </c>
      <c r="T965" s="140" t="str">
        <f t="shared" si="101"/>
        <v/>
      </c>
      <c r="U965" s="141" t="str">
        <f t="shared" si="102"/>
        <v/>
      </c>
      <c r="V965" s="141" t="str">
        <f t="shared" si="103"/>
        <v/>
      </c>
      <c r="W965" s="142"/>
      <c r="X965" s="186" t="str">
        <f t="shared" si="104"/>
        <v/>
      </c>
    </row>
    <row r="966" spans="1:24" s="147" customFormat="1">
      <c r="A966" s="170"/>
      <c r="B966" s="145"/>
      <c r="C966" s="145"/>
      <c r="D966" s="149"/>
      <c r="E966" s="145"/>
      <c r="F966" s="145"/>
      <c r="G966" s="145"/>
      <c r="H966" s="145"/>
      <c r="I966" s="145"/>
      <c r="J966" s="145"/>
      <c r="K966" s="145"/>
      <c r="L966" s="145"/>
      <c r="M966" s="145"/>
      <c r="N966" s="149"/>
      <c r="O966" s="145"/>
      <c r="P966" s="138"/>
      <c r="Q966" s="255" t="str">
        <f t="shared" si="105"/>
        <v/>
      </c>
      <c r="R966" s="139" t="str">
        <f t="shared" si="106"/>
        <v/>
      </c>
      <c r="S966" s="128" t="str">
        <f t="shared" si="100"/>
        <v/>
      </c>
      <c r="T966" s="140" t="str">
        <f t="shared" si="101"/>
        <v/>
      </c>
      <c r="U966" s="141" t="str">
        <f t="shared" si="102"/>
        <v/>
      </c>
      <c r="V966" s="141" t="str">
        <f t="shared" si="103"/>
        <v/>
      </c>
      <c r="W966" s="142"/>
      <c r="X966" s="186" t="str">
        <f t="shared" si="104"/>
        <v/>
      </c>
    </row>
    <row r="967" spans="1:24" s="147" customFormat="1">
      <c r="A967" s="170"/>
      <c r="B967" s="145"/>
      <c r="C967" s="145"/>
      <c r="D967" s="149"/>
      <c r="E967" s="145"/>
      <c r="F967" s="145"/>
      <c r="G967" s="145"/>
      <c r="H967" s="145"/>
      <c r="I967" s="145"/>
      <c r="J967" s="145"/>
      <c r="K967" s="145"/>
      <c r="L967" s="145"/>
      <c r="M967" s="145"/>
      <c r="N967" s="149"/>
      <c r="O967" s="145"/>
      <c r="P967" s="138"/>
      <c r="Q967" s="255" t="str">
        <f t="shared" si="105"/>
        <v/>
      </c>
      <c r="R967" s="139" t="str">
        <f t="shared" si="106"/>
        <v/>
      </c>
      <c r="S967" s="128" t="str">
        <f t="shared" ref="S967:S1030" si="107">IF(D967="","",IF(IFERROR(FIND("資",D967)&gt;0,FALSE),"資券",IF(IFERROR(FIND("券",D967)&gt;0,FALSE),"資券","波段")))</f>
        <v/>
      </c>
      <c r="T967" s="140" t="str">
        <f t="shared" ref="T967:T1030" si="108">IF(F967="","",F967)</f>
        <v/>
      </c>
      <c r="U967" s="141" t="str">
        <f t="shared" ref="U967:U1030" si="109">IF(D967="","",IF(IFERROR(FIND("買",D967)&gt;0,FALSE),E967,IF(IFERROR(FIND("賣",D967)&gt;0,FALSE),-E967,IF(IFERROR(FIND("資",D967)&gt;0,FALSE),E967,-E967))))</f>
        <v/>
      </c>
      <c r="V967" s="141" t="str">
        <f t="shared" ref="V967:V1030" si="110">IF(Q967="","",T967*U967*-1)</f>
        <v/>
      </c>
      <c r="W967" s="142"/>
      <c r="X967" s="186" t="str">
        <f t="shared" ref="X967:X1030" si="111">IFERROR((-1)*LEFT(N967,FIND("扣",N967)-1),IFERROR(1*LEFT(N967,FIND("入",N967)-1),""))</f>
        <v/>
      </c>
    </row>
    <row r="968" spans="1:24" s="147" customFormat="1">
      <c r="A968" s="170"/>
      <c r="B968" s="145"/>
      <c r="C968" s="145"/>
      <c r="D968" s="145"/>
      <c r="E968" s="150"/>
      <c r="F968" s="145"/>
      <c r="G968" s="145"/>
      <c r="H968" s="145"/>
      <c r="I968" s="145"/>
      <c r="J968" s="145"/>
      <c r="K968" s="145"/>
      <c r="L968" s="145"/>
      <c r="M968" s="145"/>
      <c r="N968" s="146"/>
      <c r="O968" s="145"/>
      <c r="P968" s="138"/>
      <c r="Q968" s="255" t="str">
        <f t="shared" ref="Q968:Q1031" si="112">IF(B968="","",DATE(LEFT(B968,3)+1911,MID(B968,4,2),RIGHT(B968,2)))</f>
        <v/>
      </c>
      <c r="R968" s="139" t="str">
        <f t="shared" ref="R968:R1031" si="113">IF(C968="","",IFERROR(INDEX(代號1,MATCH($C968,股名1,0)),IFERROR(INDEX(代號2,MATCH($C968,股名2,0)),INDEX(代號3,MATCH($C968,股名3,0)))))</f>
        <v/>
      </c>
      <c r="S968" s="128" t="str">
        <f t="shared" si="107"/>
        <v/>
      </c>
      <c r="T968" s="140" t="str">
        <f t="shared" si="108"/>
        <v/>
      </c>
      <c r="U968" s="141" t="str">
        <f t="shared" si="109"/>
        <v/>
      </c>
      <c r="V968" s="141" t="str">
        <f t="shared" si="110"/>
        <v/>
      </c>
      <c r="W968" s="142"/>
      <c r="X968" s="186" t="str">
        <f t="shared" si="111"/>
        <v/>
      </c>
    </row>
    <row r="969" spans="1:24" s="147" customFormat="1">
      <c r="A969" s="170"/>
      <c r="B969" s="145"/>
      <c r="C969" s="145"/>
      <c r="D969" s="145"/>
      <c r="E969" s="150"/>
      <c r="F969" s="145"/>
      <c r="G969" s="145"/>
      <c r="H969" s="145"/>
      <c r="I969" s="145"/>
      <c r="J969" s="145"/>
      <c r="K969" s="145"/>
      <c r="L969" s="145"/>
      <c r="M969" s="145"/>
      <c r="N969" s="149"/>
      <c r="O969" s="145"/>
      <c r="P969" s="138"/>
      <c r="Q969" s="255" t="str">
        <f t="shared" si="112"/>
        <v/>
      </c>
      <c r="R969" s="139" t="str">
        <f t="shared" si="113"/>
        <v/>
      </c>
      <c r="S969" s="128" t="str">
        <f t="shared" si="107"/>
        <v/>
      </c>
      <c r="T969" s="140" t="str">
        <f t="shared" si="108"/>
        <v/>
      </c>
      <c r="U969" s="141" t="str">
        <f t="shared" si="109"/>
        <v/>
      </c>
      <c r="V969" s="141" t="str">
        <f t="shared" si="110"/>
        <v/>
      </c>
      <c r="W969" s="142"/>
      <c r="X969" s="186" t="str">
        <f t="shared" si="111"/>
        <v/>
      </c>
    </row>
    <row r="970" spans="1:24" s="147" customFormat="1">
      <c r="A970" s="172"/>
      <c r="B970" s="151"/>
      <c r="C970" s="151"/>
      <c r="D970" s="151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38"/>
      <c r="Q970" s="255" t="str">
        <f t="shared" si="112"/>
        <v/>
      </c>
      <c r="R970" s="139" t="str">
        <f t="shared" si="113"/>
        <v/>
      </c>
      <c r="S970" s="128" t="str">
        <f t="shared" si="107"/>
        <v/>
      </c>
      <c r="T970" s="140" t="str">
        <f t="shared" si="108"/>
        <v/>
      </c>
      <c r="U970" s="141" t="str">
        <f t="shared" si="109"/>
        <v/>
      </c>
      <c r="V970" s="141" t="str">
        <f t="shared" si="110"/>
        <v/>
      </c>
      <c r="W970" s="142"/>
      <c r="X970" s="186" t="str">
        <f t="shared" si="111"/>
        <v/>
      </c>
    </row>
    <row r="971" spans="1:24" s="147" customFormat="1">
      <c r="A971" s="170"/>
      <c r="B971" s="145"/>
      <c r="C971" s="145"/>
      <c r="D971" s="149"/>
      <c r="E971" s="150"/>
      <c r="F971" s="145"/>
      <c r="G971" s="145"/>
      <c r="H971" s="145"/>
      <c r="I971" s="145"/>
      <c r="J971" s="145"/>
      <c r="K971" s="145"/>
      <c r="L971" s="145"/>
      <c r="M971" s="145"/>
      <c r="N971" s="149"/>
      <c r="O971" s="145"/>
      <c r="P971" s="138"/>
      <c r="Q971" s="255" t="str">
        <f t="shared" si="112"/>
        <v/>
      </c>
      <c r="R971" s="139" t="str">
        <f t="shared" si="113"/>
        <v/>
      </c>
      <c r="S971" s="128" t="str">
        <f t="shared" si="107"/>
        <v/>
      </c>
      <c r="T971" s="140" t="str">
        <f t="shared" si="108"/>
        <v/>
      </c>
      <c r="U971" s="141" t="str">
        <f t="shared" si="109"/>
        <v/>
      </c>
      <c r="V971" s="141" t="str">
        <f t="shared" si="110"/>
        <v/>
      </c>
      <c r="W971" s="142"/>
      <c r="X971" s="186" t="str">
        <f t="shared" si="111"/>
        <v/>
      </c>
    </row>
    <row r="972" spans="1:24" s="147" customFormat="1">
      <c r="A972" s="170"/>
      <c r="B972" s="145"/>
      <c r="C972" s="145"/>
      <c r="D972" s="149"/>
      <c r="E972" s="150"/>
      <c r="F972" s="145"/>
      <c r="G972" s="145"/>
      <c r="H972" s="145"/>
      <c r="I972" s="145"/>
      <c r="J972" s="145"/>
      <c r="K972" s="145"/>
      <c r="L972" s="145"/>
      <c r="M972" s="145"/>
      <c r="N972" s="149"/>
      <c r="O972" s="145"/>
      <c r="P972" s="138"/>
      <c r="Q972" s="255" t="str">
        <f t="shared" si="112"/>
        <v/>
      </c>
      <c r="R972" s="139" t="str">
        <f t="shared" si="113"/>
        <v/>
      </c>
      <c r="S972" s="128" t="str">
        <f t="shared" si="107"/>
        <v/>
      </c>
      <c r="T972" s="140" t="str">
        <f t="shared" si="108"/>
        <v/>
      </c>
      <c r="U972" s="141" t="str">
        <f t="shared" si="109"/>
        <v/>
      </c>
      <c r="V972" s="141" t="str">
        <f t="shared" si="110"/>
        <v/>
      </c>
      <c r="W972" s="142"/>
      <c r="X972" s="186" t="str">
        <f t="shared" si="111"/>
        <v/>
      </c>
    </row>
    <row r="973" spans="1:24" s="147" customFormat="1">
      <c r="A973" s="170"/>
      <c r="B973" s="145"/>
      <c r="C973" s="145"/>
      <c r="D973" s="146"/>
      <c r="E973" s="150"/>
      <c r="F973" s="145"/>
      <c r="G973" s="145"/>
      <c r="H973" s="145"/>
      <c r="I973" s="145"/>
      <c r="J973" s="145"/>
      <c r="K973" s="145"/>
      <c r="L973" s="145"/>
      <c r="M973" s="145"/>
      <c r="N973" s="149"/>
      <c r="O973" s="145"/>
      <c r="P973" s="138"/>
      <c r="Q973" s="255" t="str">
        <f t="shared" si="112"/>
        <v/>
      </c>
      <c r="R973" s="139" t="str">
        <f t="shared" si="113"/>
        <v/>
      </c>
      <c r="S973" s="128" t="str">
        <f t="shared" si="107"/>
        <v/>
      </c>
      <c r="T973" s="140" t="str">
        <f t="shared" si="108"/>
        <v/>
      </c>
      <c r="U973" s="141" t="str">
        <f t="shared" si="109"/>
        <v/>
      </c>
      <c r="V973" s="141" t="str">
        <f t="shared" si="110"/>
        <v/>
      </c>
      <c r="W973" s="142"/>
      <c r="X973" s="186" t="str">
        <f t="shared" si="111"/>
        <v/>
      </c>
    </row>
    <row r="974" spans="1:24" s="147" customFormat="1">
      <c r="A974" s="170"/>
      <c r="B974" s="145"/>
      <c r="C974" s="145"/>
      <c r="D974" s="146"/>
      <c r="E974" s="150"/>
      <c r="F974" s="145"/>
      <c r="G974" s="145"/>
      <c r="H974" s="145"/>
      <c r="I974" s="145"/>
      <c r="J974" s="145"/>
      <c r="K974" s="145"/>
      <c r="L974" s="145"/>
      <c r="M974" s="145"/>
      <c r="N974" s="146"/>
      <c r="O974" s="145"/>
      <c r="P974" s="138"/>
      <c r="Q974" s="255" t="str">
        <f t="shared" si="112"/>
        <v/>
      </c>
      <c r="R974" s="139" t="str">
        <f t="shared" si="113"/>
        <v/>
      </c>
      <c r="S974" s="128" t="str">
        <f t="shared" si="107"/>
        <v/>
      </c>
      <c r="T974" s="140" t="str">
        <f t="shared" si="108"/>
        <v/>
      </c>
      <c r="U974" s="141" t="str">
        <f t="shared" si="109"/>
        <v/>
      </c>
      <c r="V974" s="141" t="str">
        <f t="shared" si="110"/>
        <v/>
      </c>
      <c r="W974" s="142"/>
      <c r="X974" s="186" t="str">
        <f t="shared" si="111"/>
        <v/>
      </c>
    </row>
    <row r="975" spans="1:24" s="147" customFormat="1">
      <c r="A975" s="172"/>
      <c r="B975" s="151"/>
      <c r="C975" s="151"/>
      <c r="D975" s="151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38"/>
      <c r="Q975" s="255" t="str">
        <f t="shared" si="112"/>
        <v/>
      </c>
      <c r="R975" s="139" t="str">
        <f t="shared" si="113"/>
        <v/>
      </c>
      <c r="S975" s="128" t="str">
        <f t="shared" si="107"/>
        <v/>
      </c>
      <c r="T975" s="140" t="str">
        <f t="shared" si="108"/>
        <v/>
      </c>
      <c r="U975" s="141" t="str">
        <f t="shared" si="109"/>
        <v/>
      </c>
      <c r="V975" s="141" t="str">
        <f t="shared" si="110"/>
        <v/>
      </c>
      <c r="W975" s="142"/>
      <c r="X975" s="186" t="str">
        <f t="shared" si="111"/>
        <v/>
      </c>
    </row>
    <row r="976" spans="1:24" s="147" customFormat="1">
      <c r="A976" s="170"/>
      <c r="B976" s="145"/>
      <c r="C976" s="145"/>
      <c r="D976" s="149"/>
      <c r="E976" s="150"/>
      <c r="F976" s="145"/>
      <c r="G976" s="145"/>
      <c r="H976" s="145"/>
      <c r="I976" s="145"/>
      <c r="J976" s="145"/>
      <c r="K976" s="145"/>
      <c r="L976" s="145"/>
      <c r="M976" s="145"/>
      <c r="N976" s="149"/>
      <c r="O976" s="145"/>
      <c r="P976" s="138"/>
      <c r="Q976" s="255" t="str">
        <f t="shared" si="112"/>
        <v/>
      </c>
      <c r="R976" s="139" t="str">
        <f t="shared" si="113"/>
        <v/>
      </c>
      <c r="S976" s="128" t="str">
        <f t="shared" si="107"/>
        <v/>
      </c>
      <c r="T976" s="140" t="str">
        <f t="shared" si="108"/>
        <v/>
      </c>
      <c r="U976" s="141" t="str">
        <f t="shared" si="109"/>
        <v/>
      </c>
      <c r="V976" s="141" t="str">
        <f t="shared" si="110"/>
        <v/>
      </c>
      <c r="W976" s="142"/>
      <c r="X976" s="186" t="str">
        <f t="shared" si="111"/>
        <v/>
      </c>
    </row>
    <row r="977" spans="1:24" s="147" customFormat="1">
      <c r="A977" s="170"/>
      <c r="B977" s="145"/>
      <c r="C977" s="145"/>
      <c r="D977" s="146"/>
      <c r="E977" s="145"/>
      <c r="F977" s="145"/>
      <c r="G977" s="145"/>
      <c r="H977" s="145"/>
      <c r="I977" s="145"/>
      <c r="J977" s="145"/>
      <c r="K977" s="145"/>
      <c r="L977" s="145"/>
      <c r="M977" s="145"/>
      <c r="N977" s="146"/>
      <c r="O977" s="145"/>
      <c r="P977" s="138"/>
      <c r="Q977" s="255" t="str">
        <f t="shared" si="112"/>
        <v/>
      </c>
      <c r="R977" s="139" t="str">
        <f t="shared" si="113"/>
        <v/>
      </c>
      <c r="S977" s="128" t="str">
        <f t="shared" si="107"/>
        <v/>
      </c>
      <c r="T977" s="140" t="str">
        <f t="shared" si="108"/>
        <v/>
      </c>
      <c r="U977" s="141" t="str">
        <f t="shared" si="109"/>
        <v/>
      </c>
      <c r="V977" s="141" t="str">
        <f t="shared" si="110"/>
        <v/>
      </c>
      <c r="W977" s="142"/>
      <c r="X977" s="186" t="str">
        <f t="shared" si="111"/>
        <v/>
      </c>
    </row>
    <row r="978" spans="1:24" s="147" customFormat="1">
      <c r="A978" s="172"/>
      <c r="B978" s="151"/>
      <c r="C978" s="151"/>
      <c r="D978" s="151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38"/>
      <c r="Q978" s="255" t="str">
        <f t="shared" si="112"/>
        <v/>
      </c>
      <c r="R978" s="139" t="str">
        <f t="shared" si="113"/>
        <v/>
      </c>
      <c r="S978" s="128" t="str">
        <f t="shared" si="107"/>
        <v/>
      </c>
      <c r="T978" s="140" t="str">
        <f t="shared" si="108"/>
        <v/>
      </c>
      <c r="U978" s="141" t="str">
        <f t="shared" si="109"/>
        <v/>
      </c>
      <c r="V978" s="141" t="str">
        <f t="shared" si="110"/>
        <v/>
      </c>
      <c r="W978" s="142"/>
      <c r="X978" s="186" t="str">
        <f t="shared" si="111"/>
        <v/>
      </c>
    </row>
    <row r="979" spans="1:24" s="147" customFormat="1">
      <c r="A979" s="170"/>
      <c r="B979" s="145"/>
      <c r="C979" s="145"/>
      <c r="D979" s="149"/>
      <c r="E979" s="150"/>
      <c r="F979" s="145"/>
      <c r="G979" s="145"/>
      <c r="H979" s="145"/>
      <c r="I979" s="145"/>
      <c r="J979" s="145"/>
      <c r="K979" s="145"/>
      <c r="L979" s="145"/>
      <c r="M979" s="145"/>
      <c r="N979" s="149"/>
      <c r="O979" s="145"/>
      <c r="P979" s="138"/>
      <c r="Q979" s="255" t="str">
        <f t="shared" si="112"/>
        <v/>
      </c>
      <c r="R979" s="139" t="str">
        <f t="shared" si="113"/>
        <v/>
      </c>
      <c r="S979" s="128" t="str">
        <f t="shared" si="107"/>
        <v/>
      </c>
      <c r="T979" s="140" t="str">
        <f t="shared" si="108"/>
        <v/>
      </c>
      <c r="U979" s="141" t="str">
        <f t="shared" si="109"/>
        <v/>
      </c>
      <c r="V979" s="141" t="str">
        <f t="shared" si="110"/>
        <v/>
      </c>
      <c r="W979" s="142"/>
      <c r="X979" s="186" t="str">
        <f t="shared" si="111"/>
        <v/>
      </c>
    </row>
    <row r="980" spans="1:24" s="147" customFormat="1">
      <c r="A980" s="170"/>
      <c r="B980" s="145"/>
      <c r="C980" s="145"/>
      <c r="D980" s="149"/>
      <c r="E980" s="150"/>
      <c r="F980" s="145"/>
      <c r="G980" s="145"/>
      <c r="H980" s="145"/>
      <c r="I980" s="145"/>
      <c r="J980" s="145"/>
      <c r="K980" s="145"/>
      <c r="L980" s="145"/>
      <c r="M980" s="145"/>
      <c r="N980" s="149"/>
      <c r="O980" s="145"/>
      <c r="P980" s="138"/>
      <c r="Q980" s="255" t="str">
        <f t="shared" si="112"/>
        <v/>
      </c>
      <c r="R980" s="139" t="str">
        <f t="shared" si="113"/>
        <v/>
      </c>
      <c r="S980" s="128" t="str">
        <f t="shared" si="107"/>
        <v/>
      </c>
      <c r="T980" s="140" t="str">
        <f t="shared" si="108"/>
        <v/>
      </c>
      <c r="U980" s="141" t="str">
        <f t="shared" si="109"/>
        <v/>
      </c>
      <c r="V980" s="141" t="str">
        <f t="shared" si="110"/>
        <v/>
      </c>
      <c r="W980" s="142"/>
      <c r="X980" s="186" t="str">
        <f t="shared" si="111"/>
        <v/>
      </c>
    </row>
    <row r="981" spans="1:24" s="147" customFormat="1">
      <c r="A981" s="170"/>
      <c r="B981" s="145"/>
      <c r="C981" s="145"/>
      <c r="D981" s="149"/>
      <c r="E981" s="150"/>
      <c r="F981" s="145"/>
      <c r="G981" s="145"/>
      <c r="H981" s="145"/>
      <c r="I981" s="145"/>
      <c r="J981" s="145"/>
      <c r="K981" s="145"/>
      <c r="L981" s="145"/>
      <c r="M981" s="145"/>
      <c r="N981" s="149"/>
      <c r="O981" s="145"/>
      <c r="P981" s="138"/>
      <c r="Q981" s="255" t="str">
        <f t="shared" si="112"/>
        <v/>
      </c>
      <c r="R981" s="139" t="str">
        <f t="shared" si="113"/>
        <v/>
      </c>
      <c r="S981" s="128" t="str">
        <f t="shared" si="107"/>
        <v/>
      </c>
      <c r="T981" s="140" t="str">
        <f t="shared" si="108"/>
        <v/>
      </c>
      <c r="U981" s="141" t="str">
        <f t="shared" si="109"/>
        <v/>
      </c>
      <c r="V981" s="141" t="str">
        <f t="shared" si="110"/>
        <v/>
      </c>
      <c r="W981" s="142"/>
      <c r="X981" s="186" t="str">
        <f t="shared" si="111"/>
        <v/>
      </c>
    </row>
    <row r="982" spans="1:24" s="147" customFormat="1">
      <c r="A982" s="170"/>
      <c r="B982" s="145"/>
      <c r="C982" s="145"/>
      <c r="D982" s="149"/>
      <c r="E982" s="150"/>
      <c r="F982" s="145"/>
      <c r="G982" s="145"/>
      <c r="H982" s="145"/>
      <c r="I982" s="145"/>
      <c r="J982" s="145"/>
      <c r="K982" s="145"/>
      <c r="L982" s="145"/>
      <c r="M982" s="145"/>
      <c r="N982" s="149"/>
      <c r="O982" s="145"/>
      <c r="P982" s="138"/>
      <c r="Q982" s="255" t="str">
        <f t="shared" si="112"/>
        <v/>
      </c>
      <c r="R982" s="139" t="str">
        <f t="shared" si="113"/>
        <v/>
      </c>
      <c r="S982" s="128" t="str">
        <f t="shared" si="107"/>
        <v/>
      </c>
      <c r="T982" s="140" t="str">
        <f t="shared" si="108"/>
        <v/>
      </c>
      <c r="U982" s="141" t="str">
        <f t="shared" si="109"/>
        <v/>
      </c>
      <c r="V982" s="141" t="str">
        <f t="shared" si="110"/>
        <v/>
      </c>
      <c r="W982" s="142"/>
      <c r="X982" s="186" t="str">
        <f t="shared" si="111"/>
        <v/>
      </c>
    </row>
    <row r="983" spans="1:24" s="147" customFormat="1">
      <c r="A983" s="170"/>
      <c r="B983" s="145"/>
      <c r="C983" s="145"/>
      <c r="D983" s="145"/>
      <c r="E983" s="150"/>
      <c r="F983" s="145"/>
      <c r="G983" s="145"/>
      <c r="H983" s="145"/>
      <c r="I983" s="145"/>
      <c r="J983" s="145"/>
      <c r="K983" s="145"/>
      <c r="L983" s="145"/>
      <c r="M983" s="145"/>
      <c r="N983" s="146"/>
      <c r="O983" s="145"/>
      <c r="P983" s="138"/>
      <c r="Q983" s="255" t="str">
        <f t="shared" si="112"/>
        <v/>
      </c>
      <c r="R983" s="139" t="str">
        <f t="shared" si="113"/>
        <v/>
      </c>
      <c r="S983" s="128" t="str">
        <f t="shared" si="107"/>
        <v/>
      </c>
      <c r="T983" s="140" t="str">
        <f t="shared" si="108"/>
        <v/>
      </c>
      <c r="U983" s="141" t="str">
        <f t="shared" si="109"/>
        <v/>
      </c>
      <c r="V983" s="141" t="str">
        <f t="shared" si="110"/>
        <v/>
      </c>
      <c r="W983" s="142"/>
      <c r="X983" s="186" t="str">
        <f t="shared" si="111"/>
        <v/>
      </c>
    </row>
    <row r="984" spans="1:24" s="147" customFormat="1">
      <c r="A984" s="170"/>
      <c r="B984" s="145"/>
      <c r="C984" s="145"/>
      <c r="D984" s="145"/>
      <c r="E984" s="150"/>
      <c r="F984" s="145"/>
      <c r="G984" s="145"/>
      <c r="H984" s="145"/>
      <c r="I984" s="145"/>
      <c r="J984" s="145"/>
      <c r="K984" s="145"/>
      <c r="L984" s="145"/>
      <c r="M984" s="145"/>
      <c r="N984" s="146"/>
      <c r="O984" s="145"/>
      <c r="P984" s="138"/>
      <c r="Q984" s="255" t="str">
        <f t="shared" si="112"/>
        <v/>
      </c>
      <c r="R984" s="139" t="str">
        <f t="shared" si="113"/>
        <v/>
      </c>
      <c r="S984" s="128" t="str">
        <f t="shared" si="107"/>
        <v/>
      </c>
      <c r="T984" s="140" t="str">
        <f t="shared" si="108"/>
        <v/>
      </c>
      <c r="U984" s="141" t="str">
        <f t="shared" si="109"/>
        <v/>
      </c>
      <c r="V984" s="141" t="str">
        <f t="shared" si="110"/>
        <v/>
      </c>
      <c r="W984" s="142"/>
      <c r="X984" s="186" t="str">
        <f t="shared" si="111"/>
        <v/>
      </c>
    </row>
    <row r="985" spans="1:24" s="147" customFormat="1">
      <c r="A985" s="171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38"/>
      <c r="Q985" s="255" t="str">
        <f t="shared" si="112"/>
        <v/>
      </c>
      <c r="R985" s="139" t="str">
        <f t="shared" si="113"/>
        <v/>
      </c>
      <c r="S985" s="128" t="str">
        <f t="shared" si="107"/>
        <v/>
      </c>
      <c r="T985" s="140" t="str">
        <f t="shared" si="108"/>
        <v/>
      </c>
      <c r="U985" s="141" t="str">
        <f t="shared" si="109"/>
        <v/>
      </c>
      <c r="V985" s="141" t="str">
        <f t="shared" si="110"/>
        <v/>
      </c>
      <c r="W985" s="142"/>
      <c r="X985" s="186" t="str">
        <f t="shared" si="111"/>
        <v/>
      </c>
    </row>
    <row r="986" spans="1:24" s="147" customFormat="1">
      <c r="A986" s="170"/>
      <c r="B986" s="145"/>
      <c r="C986" s="145"/>
      <c r="D986" s="146"/>
      <c r="E986" s="150"/>
      <c r="F986" s="145"/>
      <c r="G986" s="145"/>
      <c r="H986" s="145"/>
      <c r="I986" s="145"/>
      <c r="J986" s="145"/>
      <c r="K986" s="145"/>
      <c r="L986" s="145"/>
      <c r="M986" s="145"/>
      <c r="N986" s="146"/>
      <c r="O986" s="145"/>
      <c r="P986" s="138"/>
      <c r="Q986" s="255" t="str">
        <f t="shared" si="112"/>
        <v/>
      </c>
      <c r="R986" s="139" t="str">
        <f t="shared" si="113"/>
        <v/>
      </c>
      <c r="S986" s="128" t="str">
        <f t="shared" si="107"/>
        <v/>
      </c>
      <c r="T986" s="140" t="str">
        <f t="shared" si="108"/>
        <v/>
      </c>
      <c r="U986" s="141" t="str">
        <f t="shared" si="109"/>
        <v/>
      </c>
      <c r="V986" s="141" t="str">
        <f t="shared" si="110"/>
        <v/>
      </c>
      <c r="W986" s="142"/>
      <c r="X986" s="186" t="str">
        <f t="shared" si="111"/>
        <v/>
      </c>
    </row>
    <row r="987" spans="1:24" s="147" customFormat="1">
      <c r="A987" s="172"/>
      <c r="B987" s="151"/>
      <c r="C987" s="151"/>
      <c r="D987" s="151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38"/>
      <c r="Q987" s="255" t="str">
        <f t="shared" si="112"/>
        <v/>
      </c>
      <c r="R987" s="139" t="str">
        <f t="shared" si="113"/>
        <v/>
      </c>
      <c r="S987" s="128" t="str">
        <f t="shared" si="107"/>
        <v/>
      </c>
      <c r="T987" s="140" t="str">
        <f t="shared" si="108"/>
        <v/>
      </c>
      <c r="U987" s="141" t="str">
        <f t="shared" si="109"/>
        <v/>
      </c>
      <c r="V987" s="141" t="str">
        <f t="shared" si="110"/>
        <v/>
      </c>
      <c r="W987" s="142"/>
      <c r="X987" s="186" t="str">
        <f t="shared" si="111"/>
        <v/>
      </c>
    </row>
    <row r="988" spans="1:24" s="147" customFormat="1">
      <c r="A988" s="170"/>
      <c r="B988" s="145"/>
      <c r="C988" s="145"/>
      <c r="D988" s="146"/>
      <c r="E988" s="150"/>
      <c r="F988" s="145"/>
      <c r="G988" s="145"/>
      <c r="H988" s="145"/>
      <c r="I988" s="145"/>
      <c r="J988" s="145"/>
      <c r="K988" s="145"/>
      <c r="L988" s="145"/>
      <c r="M988" s="145"/>
      <c r="N988" s="146"/>
      <c r="O988" s="145"/>
      <c r="P988" s="138"/>
      <c r="Q988" s="255" t="str">
        <f t="shared" si="112"/>
        <v/>
      </c>
      <c r="R988" s="139" t="str">
        <f t="shared" si="113"/>
        <v/>
      </c>
      <c r="S988" s="128" t="str">
        <f t="shared" si="107"/>
        <v/>
      </c>
      <c r="T988" s="140" t="str">
        <f t="shared" si="108"/>
        <v/>
      </c>
      <c r="U988" s="141" t="str">
        <f t="shared" si="109"/>
        <v/>
      </c>
      <c r="V988" s="141" t="str">
        <f t="shared" si="110"/>
        <v/>
      </c>
      <c r="W988" s="142"/>
      <c r="X988" s="186" t="str">
        <f t="shared" si="111"/>
        <v/>
      </c>
    </row>
    <row r="989" spans="1:24" s="147" customFormat="1">
      <c r="A989" s="172"/>
      <c r="B989" s="151"/>
      <c r="C989" s="151"/>
      <c r="D989" s="151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38"/>
      <c r="Q989" s="255" t="str">
        <f t="shared" si="112"/>
        <v/>
      </c>
      <c r="R989" s="139" t="str">
        <f t="shared" si="113"/>
        <v/>
      </c>
      <c r="S989" s="128" t="str">
        <f t="shared" si="107"/>
        <v/>
      </c>
      <c r="T989" s="140" t="str">
        <f t="shared" si="108"/>
        <v/>
      </c>
      <c r="U989" s="141" t="str">
        <f t="shared" si="109"/>
        <v/>
      </c>
      <c r="V989" s="141" t="str">
        <f t="shared" si="110"/>
        <v/>
      </c>
      <c r="W989" s="142"/>
      <c r="X989" s="186" t="str">
        <f t="shared" si="111"/>
        <v/>
      </c>
    </row>
    <row r="990" spans="1:24" s="147" customFormat="1">
      <c r="A990" s="170"/>
      <c r="B990" s="145"/>
      <c r="C990" s="145"/>
      <c r="D990" s="149"/>
      <c r="E990" s="150"/>
      <c r="F990" s="145"/>
      <c r="G990" s="145"/>
      <c r="H990" s="145"/>
      <c r="I990" s="145"/>
      <c r="J990" s="145"/>
      <c r="K990" s="145"/>
      <c r="L990" s="145"/>
      <c r="M990" s="145"/>
      <c r="N990" s="149"/>
      <c r="O990" s="145"/>
      <c r="P990" s="138"/>
      <c r="Q990" s="255" t="str">
        <f t="shared" si="112"/>
        <v/>
      </c>
      <c r="R990" s="139" t="str">
        <f t="shared" si="113"/>
        <v/>
      </c>
      <c r="S990" s="128" t="str">
        <f t="shared" si="107"/>
        <v/>
      </c>
      <c r="T990" s="140" t="str">
        <f t="shared" si="108"/>
        <v/>
      </c>
      <c r="U990" s="141" t="str">
        <f t="shared" si="109"/>
        <v/>
      </c>
      <c r="V990" s="141" t="str">
        <f t="shared" si="110"/>
        <v/>
      </c>
      <c r="W990" s="142"/>
      <c r="X990" s="186" t="str">
        <f t="shared" si="111"/>
        <v/>
      </c>
    </row>
    <row r="991" spans="1:24" s="147" customFormat="1">
      <c r="A991" s="170"/>
      <c r="B991" s="145"/>
      <c r="C991" s="145"/>
      <c r="D991" s="146"/>
      <c r="E991" s="150"/>
      <c r="F991" s="145"/>
      <c r="G991" s="145"/>
      <c r="H991" s="150"/>
      <c r="I991" s="145"/>
      <c r="J991" s="145"/>
      <c r="K991" s="145"/>
      <c r="L991" s="145"/>
      <c r="M991" s="145"/>
      <c r="N991" s="149"/>
      <c r="O991" s="145"/>
      <c r="P991" s="138"/>
      <c r="Q991" s="255" t="str">
        <f t="shared" si="112"/>
        <v/>
      </c>
      <c r="R991" s="139" t="str">
        <f t="shared" si="113"/>
        <v/>
      </c>
      <c r="S991" s="128" t="str">
        <f t="shared" si="107"/>
        <v/>
      </c>
      <c r="T991" s="140" t="str">
        <f t="shared" si="108"/>
        <v/>
      </c>
      <c r="U991" s="141" t="str">
        <f t="shared" si="109"/>
        <v/>
      </c>
      <c r="V991" s="141" t="str">
        <f t="shared" si="110"/>
        <v/>
      </c>
      <c r="W991" s="142"/>
      <c r="X991" s="186" t="str">
        <f t="shared" si="111"/>
        <v/>
      </c>
    </row>
    <row r="992" spans="1:24" s="147" customFormat="1">
      <c r="A992" s="170"/>
      <c r="B992" s="145"/>
      <c r="C992" s="145"/>
      <c r="D992" s="145"/>
      <c r="E992" s="150"/>
      <c r="F992" s="145"/>
      <c r="G992" s="145"/>
      <c r="H992" s="145"/>
      <c r="I992" s="145"/>
      <c r="J992" s="145"/>
      <c r="K992" s="145"/>
      <c r="L992" s="145"/>
      <c r="M992" s="145"/>
      <c r="N992" s="146"/>
      <c r="O992" s="145"/>
      <c r="P992" s="138"/>
      <c r="Q992" s="255" t="str">
        <f t="shared" si="112"/>
        <v/>
      </c>
      <c r="R992" s="139" t="str">
        <f t="shared" si="113"/>
        <v/>
      </c>
      <c r="S992" s="128" t="str">
        <f t="shared" si="107"/>
        <v/>
      </c>
      <c r="T992" s="140" t="str">
        <f t="shared" si="108"/>
        <v/>
      </c>
      <c r="U992" s="141" t="str">
        <f t="shared" si="109"/>
        <v/>
      </c>
      <c r="V992" s="141" t="str">
        <f t="shared" si="110"/>
        <v/>
      </c>
      <c r="W992" s="142"/>
      <c r="X992" s="186" t="str">
        <f t="shared" si="111"/>
        <v/>
      </c>
    </row>
    <row r="993" spans="1:24" s="147" customFormat="1">
      <c r="A993" s="170"/>
      <c r="B993" s="145"/>
      <c r="C993" s="145"/>
      <c r="D993" s="145"/>
      <c r="E993" s="150"/>
      <c r="F993" s="145"/>
      <c r="G993" s="145"/>
      <c r="H993" s="145"/>
      <c r="I993" s="145"/>
      <c r="J993" s="145"/>
      <c r="K993" s="145"/>
      <c r="L993" s="145"/>
      <c r="M993" s="145"/>
      <c r="N993" s="149"/>
      <c r="O993" s="145"/>
      <c r="P993" s="138"/>
      <c r="Q993" s="255" t="str">
        <f t="shared" si="112"/>
        <v/>
      </c>
      <c r="R993" s="139" t="str">
        <f t="shared" si="113"/>
        <v/>
      </c>
      <c r="S993" s="128" t="str">
        <f t="shared" si="107"/>
        <v/>
      </c>
      <c r="T993" s="140" t="str">
        <f t="shared" si="108"/>
        <v/>
      </c>
      <c r="U993" s="141" t="str">
        <f t="shared" si="109"/>
        <v/>
      </c>
      <c r="V993" s="141" t="str">
        <f t="shared" si="110"/>
        <v/>
      </c>
      <c r="W993" s="142"/>
      <c r="X993" s="186" t="str">
        <f t="shared" si="111"/>
        <v/>
      </c>
    </row>
    <row r="994" spans="1:24" s="147" customFormat="1">
      <c r="A994" s="172"/>
      <c r="B994" s="151"/>
      <c r="C994" s="151"/>
      <c r="D994" s="151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38"/>
      <c r="Q994" s="255" t="str">
        <f t="shared" si="112"/>
        <v/>
      </c>
      <c r="R994" s="139" t="str">
        <f t="shared" si="113"/>
        <v/>
      </c>
      <c r="S994" s="128" t="str">
        <f t="shared" si="107"/>
        <v/>
      </c>
      <c r="T994" s="140" t="str">
        <f t="shared" si="108"/>
        <v/>
      </c>
      <c r="U994" s="141" t="str">
        <f t="shared" si="109"/>
        <v/>
      </c>
      <c r="V994" s="141" t="str">
        <f t="shared" si="110"/>
        <v/>
      </c>
      <c r="W994" s="142"/>
      <c r="X994" s="186" t="str">
        <f t="shared" si="111"/>
        <v/>
      </c>
    </row>
    <row r="995" spans="1:24" s="147" customFormat="1">
      <c r="A995" s="170"/>
      <c r="B995" s="145"/>
      <c r="C995" s="145"/>
      <c r="D995" s="149"/>
      <c r="E995" s="150"/>
      <c r="F995" s="145"/>
      <c r="G995" s="145"/>
      <c r="H995" s="145"/>
      <c r="I995" s="145"/>
      <c r="J995" s="145"/>
      <c r="K995" s="145"/>
      <c r="L995" s="145"/>
      <c r="M995" s="145"/>
      <c r="N995" s="149"/>
      <c r="O995" s="145"/>
      <c r="P995" s="138"/>
      <c r="Q995" s="255" t="str">
        <f t="shared" si="112"/>
        <v/>
      </c>
      <c r="R995" s="139" t="str">
        <f t="shared" si="113"/>
        <v/>
      </c>
      <c r="S995" s="128" t="str">
        <f t="shared" si="107"/>
        <v/>
      </c>
      <c r="T995" s="140" t="str">
        <f t="shared" si="108"/>
        <v/>
      </c>
      <c r="U995" s="141" t="str">
        <f t="shared" si="109"/>
        <v/>
      </c>
      <c r="V995" s="141" t="str">
        <f t="shared" si="110"/>
        <v/>
      </c>
      <c r="W995" s="142"/>
      <c r="X995" s="186" t="str">
        <f t="shared" si="111"/>
        <v/>
      </c>
    </row>
    <row r="996" spans="1:24" s="147" customFormat="1">
      <c r="A996" s="170"/>
      <c r="B996" s="145"/>
      <c r="C996" s="145"/>
      <c r="D996" s="149"/>
      <c r="E996" s="150"/>
      <c r="F996" s="145"/>
      <c r="G996" s="145"/>
      <c r="H996" s="145"/>
      <c r="I996" s="145"/>
      <c r="J996" s="145"/>
      <c r="K996" s="145"/>
      <c r="L996" s="145"/>
      <c r="M996" s="145"/>
      <c r="N996" s="149"/>
      <c r="O996" s="145"/>
      <c r="P996" s="138"/>
      <c r="Q996" s="255" t="str">
        <f t="shared" si="112"/>
        <v/>
      </c>
      <c r="R996" s="139" t="str">
        <f t="shared" si="113"/>
        <v/>
      </c>
      <c r="S996" s="128" t="str">
        <f t="shared" si="107"/>
        <v/>
      </c>
      <c r="T996" s="140" t="str">
        <f t="shared" si="108"/>
        <v/>
      </c>
      <c r="U996" s="141" t="str">
        <f t="shared" si="109"/>
        <v/>
      </c>
      <c r="V996" s="141" t="str">
        <f t="shared" si="110"/>
        <v/>
      </c>
      <c r="W996" s="142"/>
      <c r="X996" s="186" t="str">
        <f t="shared" si="111"/>
        <v/>
      </c>
    </row>
    <row r="997" spans="1:24" s="147" customFormat="1">
      <c r="A997" s="170"/>
      <c r="B997" s="145"/>
      <c r="C997" s="145"/>
      <c r="D997" s="146"/>
      <c r="E997" s="150"/>
      <c r="F997" s="145"/>
      <c r="G997" s="145"/>
      <c r="H997" s="145"/>
      <c r="I997" s="145"/>
      <c r="J997" s="145"/>
      <c r="K997" s="145"/>
      <c r="L997" s="145"/>
      <c r="M997" s="145"/>
      <c r="N997" s="146"/>
      <c r="O997" s="145"/>
      <c r="P997" s="138"/>
      <c r="Q997" s="255" t="str">
        <f t="shared" si="112"/>
        <v/>
      </c>
      <c r="R997" s="139" t="str">
        <f t="shared" si="113"/>
        <v/>
      </c>
      <c r="S997" s="128" t="str">
        <f t="shared" si="107"/>
        <v/>
      </c>
      <c r="T997" s="140" t="str">
        <f t="shared" si="108"/>
        <v/>
      </c>
      <c r="U997" s="141" t="str">
        <f t="shared" si="109"/>
        <v/>
      </c>
      <c r="V997" s="141" t="str">
        <f t="shared" si="110"/>
        <v/>
      </c>
      <c r="W997" s="142"/>
      <c r="X997" s="186" t="str">
        <f t="shared" si="111"/>
        <v/>
      </c>
    </row>
    <row r="998" spans="1:24" s="147" customFormat="1">
      <c r="A998" s="171"/>
      <c r="B998" s="148"/>
      <c r="C998" s="148"/>
      <c r="D998" s="148"/>
      <c r="E998" s="148"/>
      <c r="F998" s="148"/>
      <c r="G998" s="148"/>
      <c r="H998" s="148"/>
      <c r="I998" s="148"/>
      <c r="J998" s="148"/>
      <c r="K998" s="148"/>
      <c r="L998" s="148"/>
      <c r="M998" s="148"/>
      <c r="N998" s="148"/>
      <c r="O998" s="148"/>
      <c r="P998" s="138"/>
      <c r="Q998" s="255" t="str">
        <f t="shared" si="112"/>
        <v/>
      </c>
      <c r="R998" s="139" t="str">
        <f t="shared" si="113"/>
        <v/>
      </c>
      <c r="S998" s="128" t="str">
        <f t="shared" si="107"/>
        <v/>
      </c>
      <c r="T998" s="140" t="str">
        <f t="shared" si="108"/>
        <v/>
      </c>
      <c r="U998" s="141" t="str">
        <f t="shared" si="109"/>
        <v/>
      </c>
      <c r="V998" s="141" t="str">
        <f t="shared" si="110"/>
        <v/>
      </c>
      <c r="W998" s="142"/>
      <c r="X998" s="186" t="str">
        <f t="shared" si="111"/>
        <v/>
      </c>
    </row>
    <row r="999" spans="1:24" s="147" customFormat="1">
      <c r="A999" s="170"/>
      <c r="B999" s="145"/>
      <c r="C999" s="145"/>
      <c r="D999" s="145"/>
      <c r="E999" s="150"/>
      <c r="F999" s="145"/>
      <c r="G999" s="145"/>
      <c r="H999" s="145"/>
      <c r="I999" s="145"/>
      <c r="J999" s="145"/>
      <c r="K999" s="145"/>
      <c r="L999" s="145"/>
      <c r="M999" s="145"/>
      <c r="N999" s="149"/>
      <c r="O999" s="145"/>
      <c r="P999" s="138"/>
      <c r="Q999" s="255" t="str">
        <f t="shared" si="112"/>
        <v/>
      </c>
      <c r="R999" s="139" t="str">
        <f t="shared" si="113"/>
        <v/>
      </c>
      <c r="S999" s="128" t="str">
        <f t="shared" si="107"/>
        <v/>
      </c>
      <c r="T999" s="140" t="str">
        <f t="shared" si="108"/>
        <v/>
      </c>
      <c r="U999" s="141" t="str">
        <f t="shared" si="109"/>
        <v/>
      </c>
      <c r="V999" s="141" t="str">
        <f t="shared" si="110"/>
        <v/>
      </c>
      <c r="W999" s="142"/>
      <c r="X999" s="186" t="str">
        <f t="shared" si="111"/>
        <v/>
      </c>
    </row>
    <row r="1000" spans="1:24" s="147" customFormat="1">
      <c r="A1000" s="172"/>
      <c r="B1000" s="151"/>
      <c r="C1000" s="151"/>
      <c r="D1000" s="151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38"/>
      <c r="Q1000" s="255" t="str">
        <f t="shared" si="112"/>
        <v/>
      </c>
      <c r="R1000" s="139" t="str">
        <f t="shared" si="113"/>
        <v/>
      </c>
      <c r="S1000" s="128" t="str">
        <f t="shared" si="107"/>
        <v/>
      </c>
      <c r="T1000" s="140" t="str">
        <f t="shared" si="108"/>
        <v/>
      </c>
      <c r="U1000" s="141" t="str">
        <f t="shared" si="109"/>
        <v/>
      </c>
      <c r="V1000" s="141" t="str">
        <f t="shared" si="110"/>
        <v/>
      </c>
      <c r="W1000" s="142"/>
      <c r="X1000" s="186" t="str">
        <f t="shared" si="111"/>
        <v/>
      </c>
    </row>
    <row r="1001" spans="1:24" s="147" customFormat="1">
      <c r="A1001" s="170"/>
      <c r="B1001" s="145"/>
      <c r="C1001" s="145"/>
      <c r="D1001" s="145"/>
      <c r="E1001" s="150"/>
      <c r="F1001" s="145"/>
      <c r="G1001" s="145"/>
      <c r="H1001" s="145"/>
      <c r="I1001" s="145"/>
      <c r="J1001" s="145"/>
      <c r="K1001" s="145"/>
      <c r="L1001" s="145"/>
      <c r="M1001" s="145"/>
      <c r="N1001" s="146"/>
      <c r="O1001" s="145"/>
      <c r="P1001" s="138"/>
      <c r="Q1001" s="255" t="str">
        <f t="shared" si="112"/>
        <v/>
      </c>
      <c r="R1001" s="139" t="str">
        <f t="shared" si="113"/>
        <v/>
      </c>
      <c r="S1001" s="128" t="str">
        <f t="shared" si="107"/>
        <v/>
      </c>
      <c r="T1001" s="140" t="str">
        <f t="shared" si="108"/>
        <v/>
      </c>
      <c r="U1001" s="141" t="str">
        <f t="shared" si="109"/>
        <v/>
      </c>
      <c r="V1001" s="141" t="str">
        <f t="shared" si="110"/>
        <v/>
      </c>
      <c r="W1001" s="142"/>
      <c r="X1001" s="186" t="str">
        <f t="shared" si="111"/>
        <v/>
      </c>
    </row>
    <row r="1002" spans="1:24" s="147" customFormat="1">
      <c r="A1002" s="170"/>
      <c r="B1002" s="145"/>
      <c r="C1002" s="145"/>
      <c r="D1002" s="149"/>
      <c r="E1002" s="150"/>
      <c r="F1002" s="145"/>
      <c r="G1002" s="145"/>
      <c r="H1002" s="145"/>
      <c r="I1002" s="145"/>
      <c r="J1002" s="145"/>
      <c r="K1002" s="145"/>
      <c r="L1002" s="145"/>
      <c r="M1002" s="145"/>
      <c r="N1002" s="149"/>
      <c r="O1002" s="145"/>
      <c r="P1002" s="138"/>
      <c r="Q1002" s="255" t="str">
        <f t="shared" si="112"/>
        <v/>
      </c>
      <c r="R1002" s="139" t="str">
        <f t="shared" si="113"/>
        <v/>
      </c>
      <c r="S1002" s="128" t="str">
        <f t="shared" si="107"/>
        <v/>
      </c>
      <c r="T1002" s="140" t="str">
        <f t="shared" si="108"/>
        <v/>
      </c>
      <c r="U1002" s="141" t="str">
        <f t="shared" si="109"/>
        <v/>
      </c>
      <c r="V1002" s="141" t="str">
        <f t="shared" si="110"/>
        <v/>
      </c>
      <c r="W1002" s="142"/>
      <c r="X1002" s="186" t="str">
        <f t="shared" si="111"/>
        <v/>
      </c>
    </row>
    <row r="1003" spans="1:24" s="147" customFormat="1">
      <c r="A1003" s="170"/>
      <c r="B1003" s="145"/>
      <c r="C1003" s="145"/>
      <c r="D1003" s="149"/>
      <c r="E1003" s="150"/>
      <c r="F1003" s="145"/>
      <c r="G1003" s="145"/>
      <c r="H1003" s="145"/>
      <c r="I1003" s="145"/>
      <c r="J1003" s="145"/>
      <c r="K1003" s="145"/>
      <c r="L1003" s="145"/>
      <c r="M1003" s="145"/>
      <c r="N1003" s="149"/>
      <c r="O1003" s="145"/>
      <c r="P1003" s="138"/>
      <c r="Q1003" s="255" t="str">
        <f t="shared" si="112"/>
        <v/>
      </c>
      <c r="R1003" s="139" t="str">
        <f t="shared" si="113"/>
        <v/>
      </c>
      <c r="S1003" s="128" t="str">
        <f t="shared" si="107"/>
        <v/>
      </c>
      <c r="T1003" s="140" t="str">
        <f t="shared" si="108"/>
        <v/>
      </c>
      <c r="U1003" s="141" t="str">
        <f t="shared" si="109"/>
        <v/>
      </c>
      <c r="V1003" s="141" t="str">
        <f t="shared" si="110"/>
        <v/>
      </c>
      <c r="W1003" s="142"/>
      <c r="X1003" s="186" t="str">
        <f t="shared" si="111"/>
        <v/>
      </c>
    </row>
    <row r="1004" spans="1:24" s="147" customFormat="1">
      <c r="A1004" s="170"/>
      <c r="B1004" s="145"/>
      <c r="C1004" s="145"/>
      <c r="D1004" s="149"/>
      <c r="E1004" s="150"/>
      <c r="F1004" s="145"/>
      <c r="G1004" s="145"/>
      <c r="H1004" s="145"/>
      <c r="I1004" s="145"/>
      <c r="J1004" s="145"/>
      <c r="K1004" s="145"/>
      <c r="L1004" s="145"/>
      <c r="M1004" s="145"/>
      <c r="N1004" s="149"/>
      <c r="O1004" s="145"/>
      <c r="P1004" s="138"/>
      <c r="Q1004" s="255" t="str">
        <f t="shared" si="112"/>
        <v/>
      </c>
      <c r="R1004" s="139" t="str">
        <f t="shared" si="113"/>
        <v/>
      </c>
      <c r="S1004" s="128" t="str">
        <f t="shared" si="107"/>
        <v/>
      </c>
      <c r="T1004" s="140" t="str">
        <f t="shared" si="108"/>
        <v/>
      </c>
      <c r="U1004" s="141" t="str">
        <f t="shared" si="109"/>
        <v/>
      </c>
      <c r="V1004" s="141" t="str">
        <f t="shared" si="110"/>
        <v/>
      </c>
      <c r="W1004" s="142"/>
      <c r="X1004" s="186" t="str">
        <f t="shared" si="111"/>
        <v/>
      </c>
    </row>
    <row r="1005" spans="1:24" s="147" customFormat="1">
      <c r="A1005" s="170"/>
      <c r="B1005" s="145"/>
      <c r="C1005" s="145"/>
      <c r="D1005" s="149"/>
      <c r="E1005" s="150"/>
      <c r="F1005" s="145"/>
      <c r="G1005" s="145"/>
      <c r="H1005" s="145"/>
      <c r="I1005" s="145"/>
      <c r="J1005" s="145"/>
      <c r="K1005" s="145"/>
      <c r="L1005" s="145"/>
      <c r="M1005" s="145"/>
      <c r="N1005" s="149"/>
      <c r="O1005" s="145"/>
      <c r="P1005" s="138"/>
      <c r="Q1005" s="255" t="str">
        <f t="shared" si="112"/>
        <v/>
      </c>
      <c r="R1005" s="139" t="str">
        <f t="shared" si="113"/>
        <v/>
      </c>
      <c r="S1005" s="128" t="str">
        <f t="shared" si="107"/>
        <v/>
      </c>
      <c r="T1005" s="140" t="str">
        <f t="shared" si="108"/>
        <v/>
      </c>
      <c r="U1005" s="141" t="str">
        <f t="shared" si="109"/>
        <v/>
      </c>
      <c r="V1005" s="141" t="str">
        <f t="shared" si="110"/>
        <v/>
      </c>
      <c r="W1005" s="142"/>
      <c r="X1005" s="186" t="str">
        <f t="shared" si="111"/>
        <v/>
      </c>
    </row>
    <row r="1006" spans="1:24" s="147" customFormat="1">
      <c r="A1006" s="170"/>
      <c r="B1006" s="145"/>
      <c r="C1006" s="145"/>
      <c r="D1006" s="149"/>
      <c r="E1006" s="150"/>
      <c r="F1006" s="145"/>
      <c r="G1006" s="145"/>
      <c r="H1006" s="145"/>
      <c r="I1006" s="145"/>
      <c r="J1006" s="145"/>
      <c r="K1006" s="145"/>
      <c r="L1006" s="145"/>
      <c r="M1006" s="145"/>
      <c r="N1006" s="146"/>
      <c r="O1006" s="145"/>
      <c r="P1006" s="138"/>
      <c r="Q1006" s="255" t="str">
        <f t="shared" si="112"/>
        <v/>
      </c>
      <c r="R1006" s="139" t="str">
        <f t="shared" si="113"/>
        <v/>
      </c>
      <c r="S1006" s="128" t="str">
        <f t="shared" si="107"/>
        <v/>
      </c>
      <c r="T1006" s="140" t="str">
        <f t="shared" si="108"/>
        <v/>
      </c>
      <c r="U1006" s="141" t="str">
        <f t="shared" si="109"/>
        <v/>
      </c>
      <c r="V1006" s="141" t="str">
        <f t="shared" si="110"/>
        <v/>
      </c>
      <c r="W1006" s="142"/>
      <c r="X1006" s="186" t="str">
        <f t="shared" si="111"/>
        <v/>
      </c>
    </row>
    <row r="1007" spans="1:24" s="147" customFormat="1">
      <c r="A1007" s="171"/>
      <c r="B1007" s="148"/>
      <c r="C1007" s="148"/>
      <c r="D1007" s="148"/>
      <c r="E1007" s="148"/>
      <c r="F1007" s="148"/>
      <c r="G1007" s="148"/>
      <c r="H1007" s="148"/>
      <c r="I1007" s="148"/>
      <c r="J1007" s="148"/>
      <c r="K1007" s="148"/>
      <c r="L1007" s="148"/>
      <c r="M1007" s="148"/>
      <c r="N1007" s="148"/>
      <c r="O1007" s="148"/>
      <c r="P1007" s="138"/>
      <c r="Q1007" s="255" t="str">
        <f t="shared" si="112"/>
        <v/>
      </c>
      <c r="R1007" s="139" t="str">
        <f t="shared" si="113"/>
        <v/>
      </c>
      <c r="S1007" s="128" t="str">
        <f t="shared" si="107"/>
        <v/>
      </c>
      <c r="T1007" s="140" t="str">
        <f t="shared" si="108"/>
        <v/>
      </c>
      <c r="U1007" s="141" t="str">
        <f t="shared" si="109"/>
        <v/>
      </c>
      <c r="V1007" s="141" t="str">
        <f t="shared" si="110"/>
        <v/>
      </c>
      <c r="W1007" s="142"/>
      <c r="X1007" s="186" t="str">
        <f t="shared" si="111"/>
        <v/>
      </c>
    </row>
    <row r="1008" spans="1:24" s="147" customFormat="1">
      <c r="A1008" s="170"/>
      <c r="B1008" s="145"/>
      <c r="C1008" s="145"/>
      <c r="D1008" s="149"/>
      <c r="E1008" s="150"/>
      <c r="F1008" s="145"/>
      <c r="G1008" s="145"/>
      <c r="H1008" s="145"/>
      <c r="I1008" s="145"/>
      <c r="J1008" s="145"/>
      <c r="K1008" s="145"/>
      <c r="L1008" s="145"/>
      <c r="M1008" s="145"/>
      <c r="N1008" s="149"/>
      <c r="O1008" s="145"/>
      <c r="P1008" s="138"/>
      <c r="Q1008" s="255" t="str">
        <f t="shared" si="112"/>
        <v/>
      </c>
      <c r="R1008" s="139" t="str">
        <f t="shared" si="113"/>
        <v/>
      </c>
      <c r="S1008" s="128" t="str">
        <f t="shared" si="107"/>
        <v/>
      </c>
      <c r="T1008" s="140" t="str">
        <f t="shared" si="108"/>
        <v/>
      </c>
      <c r="U1008" s="141" t="str">
        <f t="shared" si="109"/>
        <v/>
      </c>
      <c r="V1008" s="141" t="str">
        <f t="shared" si="110"/>
        <v/>
      </c>
      <c r="W1008" s="142"/>
      <c r="X1008" s="186" t="str">
        <f t="shared" si="111"/>
        <v/>
      </c>
    </row>
    <row r="1009" spans="1:24" s="147" customFormat="1">
      <c r="A1009" s="170"/>
      <c r="B1009" s="145"/>
      <c r="C1009" s="145"/>
      <c r="D1009" s="146"/>
      <c r="E1009" s="150"/>
      <c r="F1009" s="145"/>
      <c r="G1009" s="145"/>
      <c r="H1009" s="150"/>
      <c r="I1009" s="145"/>
      <c r="J1009" s="145"/>
      <c r="K1009" s="145"/>
      <c r="L1009" s="145"/>
      <c r="M1009" s="145"/>
      <c r="N1009" s="149"/>
      <c r="O1009" s="145"/>
      <c r="P1009" s="138"/>
      <c r="Q1009" s="255" t="str">
        <f t="shared" si="112"/>
        <v/>
      </c>
      <c r="R1009" s="139" t="str">
        <f t="shared" si="113"/>
        <v/>
      </c>
      <c r="S1009" s="128" t="str">
        <f t="shared" si="107"/>
        <v/>
      </c>
      <c r="T1009" s="140" t="str">
        <f t="shared" si="108"/>
        <v/>
      </c>
      <c r="U1009" s="141" t="str">
        <f t="shared" si="109"/>
        <v/>
      </c>
      <c r="V1009" s="141" t="str">
        <f t="shared" si="110"/>
        <v/>
      </c>
      <c r="W1009" s="142"/>
      <c r="X1009" s="186" t="str">
        <f t="shared" si="111"/>
        <v/>
      </c>
    </row>
    <row r="1010" spans="1:24" s="147" customFormat="1">
      <c r="A1010" s="170"/>
      <c r="B1010" s="145"/>
      <c r="C1010" s="145"/>
      <c r="D1010" s="146"/>
      <c r="E1010" s="145"/>
      <c r="F1010" s="145"/>
      <c r="G1010" s="145"/>
      <c r="H1010" s="145"/>
      <c r="I1010" s="145"/>
      <c r="J1010" s="145"/>
      <c r="K1010" s="145"/>
      <c r="L1010" s="145"/>
      <c r="M1010" s="145"/>
      <c r="N1010" s="146"/>
      <c r="O1010" s="145"/>
      <c r="P1010" s="138"/>
      <c r="Q1010" s="255" t="str">
        <f t="shared" si="112"/>
        <v/>
      </c>
      <c r="R1010" s="139" t="str">
        <f t="shared" si="113"/>
        <v/>
      </c>
      <c r="S1010" s="128" t="str">
        <f t="shared" si="107"/>
        <v/>
      </c>
      <c r="T1010" s="140" t="str">
        <f t="shared" si="108"/>
        <v/>
      </c>
      <c r="U1010" s="141" t="str">
        <f t="shared" si="109"/>
        <v/>
      </c>
      <c r="V1010" s="141" t="str">
        <f t="shared" si="110"/>
        <v/>
      </c>
      <c r="W1010" s="142"/>
      <c r="X1010" s="186" t="str">
        <f t="shared" si="111"/>
        <v/>
      </c>
    </row>
    <row r="1011" spans="1:24" s="147" customFormat="1">
      <c r="A1011" s="171"/>
      <c r="B1011" s="148"/>
      <c r="C1011" s="148"/>
      <c r="D1011" s="148"/>
      <c r="E1011" s="148"/>
      <c r="F1011" s="148"/>
      <c r="G1011" s="148"/>
      <c r="H1011" s="148"/>
      <c r="I1011" s="148"/>
      <c r="J1011" s="148"/>
      <c r="K1011" s="148"/>
      <c r="L1011" s="148"/>
      <c r="M1011" s="148"/>
      <c r="N1011" s="148"/>
      <c r="O1011" s="148"/>
      <c r="P1011" s="138"/>
      <c r="Q1011" s="255" t="str">
        <f t="shared" si="112"/>
        <v/>
      </c>
      <c r="R1011" s="139" t="str">
        <f t="shared" si="113"/>
        <v/>
      </c>
      <c r="S1011" s="128" t="str">
        <f t="shared" si="107"/>
        <v/>
      </c>
      <c r="T1011" s="140" t="str">
        <f t="shared" si="108"/>
        <v/>
      </c>
      <c r="U1011" s="141" t="str">
        <f t="shared" si="109"/>
        <v/>
      </c>
      <c r="V1011" s="141" t="str">
        <f t="shared" si="110"/>
        <v/>
      </c>
      <c r="W1011" s="142"/>
      <c r="X1011" s="186" t="str">
        <f t="shared" si="111"/>
        <v/>
      </c>
    </row>
    <row r="1012" spans="1:24" s="147" customFormat="1">
      <c r="A1012" s="170"/>
      <c r="B1012" s="145"/>
      <c r="C1012" s="145"/>
      <c r="D1012" s="146"/>
      <c r="E1012" s="150"/>
      <c r="F1012" s="145"/>
      <c r="G1012" s="145"/>
      <c r="H1012" s="145"/>
      <c r="I1012" s="145"/>
      <c r="J1012" s="145"/>
      <c r="K1012" s="145"/>
      <c r="L1012" s="145"/>
      <c r="M1012" s="145"/>
      <c r="N1012" s="146"/>
      <c r="O1012" s="145"/>
      <c r="P1012" s="138"/>
      <c r="Q1012" s="255" t="str">
        <f t="shared" si="112"/>
        <v/>
      </c>
      <c r="R1012" s="139" t="str">
        <f t="shared" si="113"/>
        <v/>
      </c>
      <c r="S1012" s="128" t="str">
        <f t="shared" si="107"/>
        <v/>
      </c>
      <c r="T1012" s="140" t="str">
        <f t="shared" si="108"/>
        <v/>
      </c>
      <c r="U1012" s="141" t="str">
        <f t="shared" si="109"/>
        <v/>
      </c>
      <c r="V1012" s="141" t="str">
        <f t="shared" si="110"/>
        <v/>
      </c>
      <c r="W1012" s="142"/>
      <c r="X1012" s="186" t="str">
        <f t="shared" si="111"/>
        <v/>
      </c>
    </row>
    <row r="1013" spans="1:24" s="147" customFormat="1">
      <c r="A1013" s="171"/>
      <c r="B1013" s="148"/>
      <c r="C1013" s="148"/>
      <c r="D1013" s="148"/>
      <c r="E1013" s="148"/>
      <c r="F1013" s="148"/>
      <c r="G1013" s="148"/>
      <c r="H1013" s="148"/>
      <c r="I1013" s="148"/>
      <c r="J1013" s="148"/>
      <c r="K1013" s="148"/>
      <c r="L1013" s="148"/>
      <c r="M1013" s="148"/>
      <c r="N1013" s="148"/>
      <c r="O1013" s="148"/>
      <c r="P1013" s="138"/>
      <c r="Q1013" s="255" t="str">
        <f t="shared" si="112"/>
        <v/>
      </c>
      <c r="R1013" s="139" t="str">
        <f t="shared" si="113"/>
        <v/>
      </c>
      <c r="S1013" s="128" t="str">
        <f t="shared" si="107"/>
        <v/>
      </c>
      <c r="T1013" s="140" t="str">
        <f t="shared" si="108"/>
        <v/>
      </c>
      <c r="U1013" s="141" t="str">
        <f t="shared" si="109"/>
        <v/>
      </c>
      <c r="V1013" s="141" t="str">
        <f t="shared" si="110"/>
        <v/>
      </c>
      <c r="W1013" s="142"/>
      <c r="X1013" s="186" t="str">
        <f t="shared" si="111"/>
        <v/>
      </c>
    </row>
    <row r="1014" spans="1:24" s="147" customFormat="1">
      <c r="A1014" s="170"/>
      <c r="B1014" s="145"/>
      <c r="C1014" s="145"/>
      <c r="D1014" s="149"/>
      <c r="E1014" s="150"/>
      <c r="F1014" s="145"/>
      <c r="G1014" s="145"/>
      <c r="H1014" s="145"/>
      <c r="I1014" s="145"/>
      <c r="J1014" s="145"/>
      <c r="K1014" s="145"/>
      <c r="L1014" s="145"/>
      <c r="M1014" s="145"/>
      <c r="N1014" s="149"/>
      <c r="O1014" s="145"/>
      <c r="P1014" s="138"/>
      <c r="Q1014" s="255" t="str">
        <f t="shared" si="112"/>
        <v/>
      </c>
      <c r="R1014" s="139" t="str">
        <f t="shared" si="113"/>
        <v/>
      </c>
      <c r="S1014" s="128" t="str">
        <f t="shared" si="107"/>
        <v/>
      </c>
      <c r="T1014" s="140" t="str">
        <f t="shared" si="108"/>
        <v/>
      </c>
      <c r="U1014" s="141" t="str">
        <f t="shared" si="109"/>
        <v/>
      </c>
      <c r="V1014" s="141" t="str">
        <f t="shared" si="110"/>
        <v/>
      </c>
      <c r="W1014" s="142"/>
      <c r="X1014" s="186" t="str">
        <f t="shared" si="111"/>
        <v/>
      </c>
    </row>
    <row r="1015" spans="1:24" s="147" customFormat="1">
      <c r="A1015" s="170"/>
      <c r="B1015" s="145"/>
      <c r="C1015" s="145"/>
      <c r="D1015" s="149"/>
      <c r="E1015" s="150"/>
      <c r="F1015" s="145"/>
      <c r="G1015" s="145"/>
      <c r="H1015" s="145"/>
      <c r="I1015" s="145"/>
      <c r="J1015" s="145"/>
      <c r="K1015" s="145"/>
      <c r="L1015" s="145"/>
      <c r="M1015" s="145"/>
      <c r="N1015" s="149"/>
      <c r="O1015" s="145"/>
      <c r="P1015" s="138"/>
      <c r="Q1015" s="255" t="str">
        <f t="shared" si="112"/>
        <v/>
      </c>
      <c r="R1015" s="139" t="str">
        <f t="shared" si="113"/>
        <v/>
      </c>
      <c r="S1015" s="128" t="str">
        <f t="shared" si="107"/>
        <v/>
      </c>
      <c r="T1015" s="140" t="str">
        <f t="shared" si="108"/>
        <v/>
      </c>
      <c r="U1015" s="141" t="str">
        <f t="shared" si="109"/>
        <v/>
      </c>
      <c r="V1015" s="141" t="str">
        <f t="shared" si="110"/>
        <v/>
      </c>
      <c r="W1015" s="142"/>
      <c r="X1015" s="186" t="str">
        <f t="shared" si="111"/>
        <v/>
      </c>
    </row>
    <row r="1016" spans="1:24" s="147" customFormat="1">
      <c r="A1016" s="170"/>
      <c r="B1016" s="145"/>
      <c r="C1016" s="145"/>
      <c r="D1016" s="149"/>
      <c r="E1016" s="150"/>
      <c r="F1016" s="145"/>
      <c r="G1016" s="145"/>
      <c r="H1016" s="145"/>
      <c r="I1016" s="145"/>
      <c r="J1016" s="145"/>
      <c r="K1016" s="145"/>
      <c r="L1016" s="145"/>
      <c r="M1016" s="145"/>
      <c r="N1016" s="146"/>
      <c r="O1016" s="145"/>
      <c r="P1016" s="138"/>
      <c r="Q1016" s="255" t="str">
        <f t="shared" si="112"/>
        <v/>
      </c>
      <c r="R1016" s="139" t="str">
        <f t="shared" si="113"/>
        <v/>
      </c>
      <c r="S1016" s="128" t="str">
        <f t="shared" si="107"/>
        <v/>
      </c>
      <c r="T1016" s="140" t="str">
        <f t="shared" si="108"/>
        <v/>
      </c>
      <c r="U1016" s="141" t="str">
        <f t="shared" si="109"/>
        <v/>
      </c>
      <c r="V1016" s="141" t="str">
        <f t="shared" si="110"/>
        <v/>
      </c>
      <c r="W1016" s="142"/>
      <c r="X1016" s="186" t="str">
        <f t="shared" si="111"/>
        <v/>
      </c>
    </row>
    <row r="1017" spans="1:24" s="147" customFormat="1">
      <c r="A1017" s="171"/>
      <c r="B1017" s="148"/>
      <c r="C1017" s="148"/>
      <c r="D1017" s="148"/>
      <c r="E1017" s="148"/>
      <c r="F1017" s="148"/>
      <c r="G1017" s="148"/>
      <c r="H1017" s="148"/>
      <c r="I1017" s="148"/>
      <c r="J1017" s="148"/>
      <c r="K1017" s="148"/>
      <c r="L1017" s="148"/>
      <c r="M1017" s="148"/>
      <c r="N1017" s="148"/>
      <c r="O1017" s="148"/>
      <c r="P1017" s="138"/>
      <c r="Q1017" s="255" t="str">
        <f t="shared" si="112"/>
        <v/>
      </c>
      <c r="R1017" s="139" t="str">
        <f t="shared" si="113"/>
        <v/>
      </c>
      <c r="S1017" s="128" t="str">
        <f t="shared" si="107"/>
        <v/>
      </c>
      <c r="T1017" s="140" t="str">
        <f t="shared" si="108"/>
        <v/>
      </c>
      <c r="U1017" s="141" t="str">
        <f t="shared" si="109"/>
        <v/>
      </c>
      <c r="V1017" s="141" t="str">
        <f t="shared" si="110"/>
        <v/>
      </c>
      <c r="W1017" s="142"/>
      <c r="X1017" s="186" t="str">
        <f t="shared" si="111"/>
        <v/>
      </c>
    </row>
    <row r="1018" spans="1:24" s="147" customFormat="1">
      <c r="A1018" s="170"/>
      <c r="B1018" s="145"/>
      <c r="C1018" s="145"/>
      <c r="D1018" s="149"/>
      <c r="E1018" s="150"/>
      <c r="F1018" s="145"/>
      <c r="G1018" s="145"/>
      <c r="H1018" s="145"/>
      <c r="I1018" s="145"/>
      <c r="J1018" s="145"/>
      <c r="K1018" s="145"/>
      <c r="L1018" s="145"/>
      <c r="M1018" s="145"/>
      <c r="N1018" s="149"/>
      <c r="O1018" s="145"/>
      <c r="P1018" s="138"/>
      <c r="Q1018" s="255" t="str">
        <f t="shared" si="112"/>
        <v/>
      </c>
      <c r="R1018" s="139" t="str">
        <f t="shared" si="113"/>
        <v/>
      </c>
      <c r="S1018" s="128" t="str">
        <f t="shared" si="107"/>
        <v/>
      </c>
      <c r="T1018" s="140" t="str">
        <f t="shared" si="108"/>
        <v/>
      </c>
      <c r="U1018" s="141" t="str">
        <f t="shared" si="109"/>
        <v/>
      </c>
      <c r="V1018" s="141" t="str">
        <f t="shared" si="110"/>
        <v/>
      </c>
      <c r="W1018" s="142"/>
      <c r="X1018" s="186" t="str">
        <f t="shared" si="111"/>
        <v/>
      </c>
    </row>
    <row r="1019" spans="1:24" s="147" customFormat="1">
      <c r="A1019" s="170"/>
      <c r="B1019" s="145"/>
      <c r="C1019" s="145"/>
      <c r="D1019" s="146"/>
      <c r="E1019" s="150"/>
      <c r="F1019" s="145"/>
      <c r="G1019" s="145"/>
      <c r="H1019" s="145"/>
      <c r="I1019" s="145"/>
      <c r="J1019" s="145"/>
      <c r="K1019" s="145"/>
      <c r="L1019" s="145"/>
      <c r="M1019" s="145"/>
      <c r="N1019" s="146"/>
      <c r="O1019" s="145"/>
      <c r="P1019" s="138"/>
      <c r="Q1019" s="255" t="str">
        <f t="shared" si="112"/>
        <v/>
      </c>
      <c r="R1019" s="139" t="str">
        <f t="shared" si="113"/>
        <v/>
      </c>
      <c r="S1019" s="128" t="str">
        <f t="shared" si="107"/>
        <v/>
      </c>
      <c r="T1019" s="140" t="str">
        <f t="shared" si="108"/>
        <v/>
      </c>
      <c r="U1019" s="141" t="str">
        <f t="shared" si="109"/>
        <v/>
      </c>
      <c r="V1019" s="141" t="str">
        <f t="shared" si="110"/>
        <v/>
      </c>
      <c r="W1019" s="142"/>
      <c r="X1019" s="186" t="str">
        <f t="shared" si="111"/>
        <v/>
      </c>
    </row>
    <row r="1020" spans="1:24" s="147" customFormat="1">
      <c r="A1020" s="171"/>
      <c r="B1020" s="148"/>
      <c r="C1020" s="148"/>
      <c r="D1020" s="148"/>
      <c r="E1020" s="148"/>
      <c r="F1020" s="148"/>
      <c r="G1020" s="148"/>
      <c r="H1020" s="148"/>
      <c r="I1020" s="148"/>
      <c r="J1020" s="148"/>
      <c r="K1020" s="148"/>
      <c r="L1020" s="148"/>
      <c r="M1020" s="148"/>
      <c r="N1020" s="148"/>
      <c r="O1020" s="148"/>
      <c r="P1020" s="138"/>
      <c r="Q1020" s="255" t="str">
        <f t="shared" si="112"/>
        <v/>
      </c>
      <c r="R1020" s="139" t="str">
        <f t="shared" si="113"/>
        <v/>
      </c>
      <c r="S1020" s="128" t="str">
        <f t="shared" si="107"/>
        <v/>
      </c>
      <c r="T1020" s="140" t="str">
        <f t="shared" si="108"/>
        <v/>
      </c>
      <c r="U1020" s="141" t="str">
        <f t="shared" si="109"/>
        <v/>
      </c>
      <c r="V1020" s="141" t="str">
        <f t="shared" si="110"/>
        <v/>
      </c>
      <c r="W1020" s="142"/>
      <c r="X1020" s="186" t="str">
        <f t="shared" si="111"/>
        <v/>
      </c>
    </row>
    <row r="1021" spans="1:24" s="147" customFormat="1">
      <c r="A1021" s="170"/>
      <c r="B1021" s="145"/>
      <c r="C1021" s="145"/>
      <c r="D1021" s="146"/>
      <c r="E1021" s="150"/>
      <c r="F1021" s="145"/>
      <c r="G1021" s="145"/>
      <c r="H1021" s="145"/>
      <c r="I1021" s="145"/>
      <c r="J1021" s="145"/>
      <c r="K1021" s="145"/>
      <c r="L1021" s="145"/>
      <c r="M1021" s="145"/>
      <c r="N1021" s="149"/>
      <c r="O1021" s="145"/>
      <c r="P1021" s="138"/>
      <c r="Q1021" s="255" t="str">
        <f t="shared" si="112"/>
        <v/>
      </c>
      <c r="R1021" s="139" t="str">
        <f t="shared" si="113"/>
        <v/>
      </c>
      <c r="S1021" s="128" t="str">
        <f t="shared" si="107"/>
        <v/>
      </c>
      <c r="T1021" s="140" t="str">
        <f t="shared" si="108"/>
        <v/>
      </c>
      <c r="U1021" s="141" t="str">
        <f t="shared" si="109"/>
        <v/>
      </c>
      <c r="V1021" s="141" t="str">
        <f t="shared" si="110"/>
        <v/>
      </c>
      <c r="W1021" s="142"/>
      <c r="X1021" s="186" t="str">
        <f t="shared" si="111"/>
        <v/>
      </c>
    </row>
    <row r="1022" spans="1:24" s="147" customFormat="1">
      <c r="A1022" s="170"/>
      <c r="B1022" s="145"/>
      <c r="C1022" s="145"/>
      <c r="D1022" s="145"/>
      <c r="E1022" s="150"/>
      <c r="F1022" s="145"/>
      <c r="G1022" s="145"/>
      <c r="H1022" s="145"/>
      <c r="I1022" s="145"/>
      <c r="J1022" s="145"/>
      <c r="K1022" s="145"/>
      <c r="L1022" s="145"/>
      <c r="M1022" s="145"/>
      <c r="N1022" s="146"/>
      <c r="O1022" s="145"/>
      <c r="P1022" s="138"/>
      <c r="Q1022" s="255" t="str">
        <f t="shared" si="112"/>
        <v/>
      </c>
      <c r="R1022" s="139" t="str">
        <f t="shared" si="113"/>
        <v/>
      </c>
      <c r="S1022" s="128" t="str">
        <f t="shared" si="107"/>
        <v/>
      </c>
      <c r="T1022" s="140" t="str">
        <f t="shared" si="108"/>
        <v/>
      </c>
      <c r="U1022" s="141" t="str">
        <f t="shared" si="109"/>
        <v/>
      </c>
      <c r="V1022" s="141" t="str">
        <f t="shared" si="110"/>
        <v/>
      </c>
      <c r="W1022" s="142"/>
      <c r="X1022" s="186" t="str">
        <f t="shared" si="111"/>
        <v/>
      </c>
    </row>
    <row r="1023" spans="1:24" s="147" customFormat="1">
      <c r="A1023" s="170"/>
      <c r="B1023" s="145"/>
      <c r="C1023" s="145"/>
      <c r="D1023" s="145"/>
      <c r="E1023" s="150"/>
      <c r="F1023" s="145"/>
      <c r="G1023" s="145"/>
      <c r="H1023" s="145"/>
      <c r="I1023" s="145"/>
      <c r="J1023" s="145"/>
      <c r="K1023" s="145"/>
      <c r="L1023" s="145"/>
      <c r="M1023" s="145"/>
      <c r="N1023" s="149"/>
      <c r="O1023" s="145"/>
      <c r="P1023" s="138"/>
      <c r="Q1023" s="255" t="str">
        <f t="shared" si="112"/>
        <v/>
      </c>
      <c r="R1023" s="139" t="str">
        <f t="shared" si="113"/>
        <v/>
      </c>
      <c r="S1023" s="128" t="str">
        <f t="shared" si="107"/>
        <v/>
      </c>
      <c r="T1023" s="140" t="str">
        <f t="shared" si="108"/>
        <v/>
      </c>
      <c r="U1023" s="141" t="str">
        <f t="shared" si="109"/>
        <v/>
      </c>
      <c r="V1023" s="141" t="str">
        <f t="shared" si="110"/>
        <v/>
      </c>
      <c r="W1023" s="142"/>
      <c r="X1023" s="186" t="str">
        <f t="shared" si="111"/>
        <v/>
      </c>
    </row>
    <row r="1024" spans="1:24" s="147" customFormat="1">
      <c r="A1024" s="172"/>
      <c r="B1024" s="151"/>
      <c r="C1024" s="151"/>
      <c r="D1024" s="151"/>
      <c r="E1024" s="151"/>
      <c r="F1024" s="151"/>
      <c r="G1024" s="151"/>
      <c r="H1024" s="151"/>
      <c r="I1024" s="151"/>
      <c r="J1024" s="151"/>
      <c r="K1024" s="151"/>
      <c r="L1024" s="151"/>
      <c r="M1024" s="151"/>
      <c r="N1024" s="151"/>
      <c r="O1024" s="151"/>
      <c r="P1024" s="138"/>
      <c r="Q1024" s="255" t="str">
        <f t="shared" si="112"/>
        <v/>
      </c>
      <c r="R1024" s="139" t="str">
        <f t="shared" si="113"/>
        <v/>
      </c>
      <c r="S1024" s="128" t="str">
        <f t="shared" si="107"/>
        <v/>
      </c>
      <c r="T1024" s="140" t="str">
        <f t="shared" si="108"/>
        <v/>
      </c>
      <c r="U1024" s="141" t="str">
        <f t="shared" si="109"/>
        <v/>
      </c>
      <c r="V1024" s="141" t="str">
        <f t="shared" si="110"/>
        <v/>
      </c>
      <c r="W1024" s="142"/>
      <c r="X1024" s="186" t="str">
        <f t="shared" si="111"/>
        <v/>
      </c>
    </row>
    <row r="1025" spans="1:24" s="147" customFormat="1">
      <c r="A1025" s="170"/>
      <c r="B1025" s="145"/>
      <c r="C1025" s="145"/>
      <c r="D1025" s="149"/>
      <c r="E1025" s="150"/>
      <c r="F1025" s="145"/>
      <c r="G1025" s="145"/>
      <c r="H1025" s="145"/>
      <c r="I1025" s="145"/>
      <c r="J1025" s="145"/>
      <c r="K1025" s="145"/>
      <c r="L1025" s="145"/>
      <c r="M1025" s="145"/>
      <c r="N1025" s="149"/>
      <c r="O1025" s="145"/>
      <c r="P1025" s="138"/>
      <c r="Q1025" s="255" t="str">
        <f t="shared" si="112"/>
        <v/>
      </c>
      <c r="R1025" s="139" t="str">
        <f t="shared" si="113"/>
        <v/>
      </c>
      <c r="S1025" s="128" t="str">
        <f t="shared" si="107"/>
        <v/>
      </c>
      <c r="T1025" s="140" t="str">
        <f t="shared" si="108"/>
        <v/>
      </c>
      <c r="U1025" s="141" t="str">
        <f t="shared" si="109"/>
        <v/>
      </c>
      <c r="V1025" s="141" t="str">
        <f t="shared" si="110"/>
        <v/>
      </c>
      <c r="W1025" s="142"/>
      <c r="X1025" s="186" t="str">
        <f t="shared" si="111"/>
        <v/>
      </c>
    </row>
    <row r="1026" spans="1:24" s="147" customFormat="1">
      <c r="A1026" s="170"/>
      <c r="B1026" s="145"/>
      <c r="C1026" s="145"/>
      <c r="D1026" s="149"/>
      <c r="E1026" s="150"/>
      <c r="F1026" s="145"/>
      <c r="G1026" s="145"/>
      <c r="H1026" s="145"/>
      <c r="I1026" s="145"/>
      <c r="J1026" s="145"/>
      <c r="K1026" s="145"/>
      <c r="L1026" s="145"/>
      <c r="M1026" s="145"/>
      <c r="N1026" s="149"/>
      <c r="O1026" s="145"/>
      <c r="P1026" s="138"/>
      <c r="Q1026" s="255" t="str">
        <f t="shared" si="112"/>
        <v/>
      </c>
      <c r="R1026" s="139" t="str">
        <f t="shared" si="113"/>
        <v/>
      </c>
      <c r="S1026" s="128" t="str">
        <f t="shared" si="107"/>
        <v/>
      </c>
      <c r="T1026" s="140" t="str">
        <f t="shared" si="108"/>
        <v/>
      </c>
      <c r="U1026" s="141" t="str">
        <f t="shared" si="109"/>
        <v/>
      </c>
      <c r="V1026" s="141" t="str">
        <f t="shared" si="110"/>
        <v/>
      </c>
      <c r="W1026" s="142"/>
      <c r="X1026" s="186" t="str">
        <f t="shared" si="111"/>
        <v/>
      </c>
    </row>
    <row r="1027" spans="1:24" s="147" customFormat="1">
      <c r="A1027" s="170"/>
      <c r="B1027" s="145"/>
      <c r="C1027" s="145"/>
      <c r="D1027" s="149"/>
      <c r="E1027" s="150"/>
      <c r="F1027" s="145"/>
      <c r="G1027" s="145"/>
      <c r="H1027" s="145"/>
      <c r="I1027" s="145"/>
      <c r="J1027" s="145"/>
      <c r="K1027" s="145"/>
      <c r="L1027" s="145"/>
      <c r="M1027" s="145"/>
      <c r="N1027" s="146"/>
      <c r="O1027" s="145"/>
      <c r="P1027" s="138"/>
      <c r="Q1027" s="255" t="str">
        <f t="shared" si="112"/>
        <v/>
      </c>
      <c r="R1027" s="139" t="str">
        <f t="shared" si="113"/>
        <v/>
      </c>
      <c r="S1027" s="128" t="str">
        <f t="shared" si="107"/>
        <v/>
      </c>
      <c r="T1027" s="140" t="str">
        <f t="shared" si="108"/>
        <v/>
      </c>
      <c r="U1027" s="141" t="str">
        <f t="shared" si="109"/>
        <v/>
      </c>
      <c r="V1027" s="141" t="str">
        <f t="shared" si="110"/>
        <v/>
      </c>
      <c r="W1027" s="142"/>
      <c r="X1027" s="186" t="str">
        <f t="shared" si="111"/>
        <v/>
      </c>
    </row>
    <row r="1028" spans="1:24" s="147" customFormat="1">
      <c r="A1028" s="172"/>
      <c r="B1028" s="151"/>
      <c r="C1028" s="151"/>
      <c r="D1028" s="151"/>
      <c r="E1028" s="151"/>
      <c r="F1028" s="151"/>
      <c r="G1028" s="151"/>
      <c r="H1028" s="151"/>
      <c r="I1028" s="151"/>
      <c r="J1028" s="151"/>
      <c r="K1028" s="151"/>
      <c r="L1028" s="151"/>
      <c r="M1028" s="151"/>
      <c r="N1028" s="151"/>
      <c r="O1028" s="151"/>
      <c r="P1028" s="138"/>
      <c r="Q1028" s="255" t="str">
        <f t="shared" si="112"/>
        <v/>
      </c>
      <c r="R1028" s="139" t="str">
        <f t="shared" si="113"/>
        <v/>
      </c>
      <c r="S1028" s="128" t="str">
        <f t="shared" si="107"/>
        <v/>
      </c>
      <c r="T1028" s="140" t="str">
        <f t="shared" si="108"/>
        <v/>
      </c>
      <c r="U1028" s="141" t="str">
        <f t="shared" si="109"/>
        <v/>
      </c>
      <c r="V1028" s="141" t="str">
        <f t="shared" si="110"/>
        <v/>
      </c>
      <c r="W1028" s="142"/>
      <c r="X1028" s="186" t="str">
        <f t="shared" si="111"/>
        <v/>
      </c>
    </row>
    <row r="1029" spans="1:24" s="147" customFormat="1">
      <c r="A1029" s="170"/>
      <c r="B1029" s="145"/>
      <c r="C1029" s="145"/>
      <c r="D1029" s="149"/>
      <c r="E1029" s="150"/>
      <c r="F1029" s="145"/>
      <c r="G1029" s="145"/>
      <c r="H1029" s="145"/>
      <c r="I1029" s="145"/>
      <c r="J1029" s="145"/>
      <c r="K1029" s="145"/>
      <c r="L1029" s="145"/>
      <c r="M1029" s="145"/>
      <c r="N1029" s="146"/>
      <c r="O1029" s="145"/>
      <c r="P1029" s="138"/>
      <c r="Q1029" s="255" t="str">
        <f t="shared" si="112"/>
        <v/>
      </c>
      <c r="R1029" s="139" t="str">
        <f t="shared" si="113"/>
        <v/>
      </c>
      <c r="S1029" s="128" t="str">
        <f t="shared" si="107"/>
        <v/>
      </c>
      <c r="T1029" s="140" t="str">
        <f t="shared" si="108"/>
        <v/>
      </c>
      <c r="U1029" s="141" t="str">
        <f t="shared" si="109"/>
        <v/>
      </c>
      <c r="V1029" s="141" t="str">
        <f t="shared" si="110"/>
        <v/>
      </c>
      <c r="W1029" s="142"/>
      <c r="X1029" s="186" t="str">
        <f t="shared" si="111"/>
        <v/>
      </c>
    </row>
    <row r="1030" spans="1:24" s="147" customFormat="1">
      <c r="A1030" s="172"/>
      <c r="B1030" s="151"/>
      <c r="C1030" s="151"/>
      <c r="D1030" s="151"/>
      <c r="E1030" s="151"/>
      <c r="F1030" s="151"/>
      <c r="G1030" s="151"/>
      <c r="H1030" s="151"/>
      <c r="I1030" s="151"/>
      <c r="J1030" s="151"/>
      <c r="K1030" s="151"/>
      <c r="L1030" s="151"/>
      <c r="M1030" s="151"/>
      <c r="N1030" s="151"/>
      <c r="O1030" s="151"/>
      <c r="P1030" s="138"/>
      <c r="Q1030" s="255" t="str">
        <f t="shared" si="112"/>
        <v/>
      </c>
      <c r="R1030" s="139" t="str">
        <f t="shared" si="113"/>
        <v/>
      </c>
      <c r="S1030" s="128" t="str">
        <f t="shared" si="107"/>
        <v/>
      </c>
      <c r="T1030" s="140" t="str">
        <f t="shared" si="108"/>
        <v/>
      </c>
      <c r="U1030" s="141" t="str">
        <f t="shared" si="109"/>
        <v/>
      </c>
      <c r="V1030" s="141" t="str">
        <f t="shared" si="110"/>
        <v/>
      </c>
      <c r="W1030" s="142"/>
      <c r="X1030" s="186" t="str">
        <f t="shared" si="111"/>
        <v/>
      </c>
    </row>
    <row r="1031" spans="1:24" s="147" customFormat="1">
      <c r="A1031" s="170"/>
      <c r="B1031" s="145"/>
      <c r="C1031" s="145"/>
      <c r="D1031" s="149"/>
      <c r="E1031" s="150"/>
      <c r="F1031" s="145"/>
      <c r="G1031" s="145"/>
      <c r="H1031" s="145"/>
      <c r="I1031" s="145"/>
      <c r="J1031" s="145"/>
      <c r="K1031" s="145"/>
      <c r="L1031" s="145"/>
      <c r="M1031" s="145"/>
      <c r="N1031" s="149"/>
      <c r="O1031" s="145"/>
      <c r="P1031" s="138"/>
      <c r="Q1031" s="255" t="str">
        <f t="shared" si="112"/>
        <v/>
      </c>
      <c r="R1031" s="139" t="str">
        <f t="shared" si="113"/>
        <v/>
      </c>
      <c r="S1031" s="128" t="str">
        <f t="shared" ref="S1031:S1094" si="114">IF(D1031="","",IF(IFERROR(FIND("資",D1031)&gt;0,FALSE),"資券",IF(IFERROR(FIND("券",D1031)&gt;0,FALSE),"資券","波段")))</f>
        <v/>
      </c>
      <c r="T1031" s="140" t="str">
        <f t="shared" ref="T1031:T1094" si="115">IF(F1031="","",F1031)</f>
        <v/>
      </c>
      <c r="U1031" s="141" t="str">
        <f t="shared" ref="U1031:U1094" si="116">IF(D1031="","",IF(IFERROR(FIND("買",D1031)&gt;0,FALSE),E1031,IF(IFERROR(FIND("賣",D1031)&gt;0,FALSE),-E1031,IF(IFERROR(FIND("資",D1031)&gt;0,FALSE),E1031,-E1031))))</f>
        <v/>
      </c>
      <c r="V1031" s="141" t="str">
        <f t="shared" ref="V1031:V1094" si="117">IF(Q1031="","",T1031*U1031*-1)</f>
        <v/>
      </c>
      <c r="W1031" s="142"/>
      <c r="X1031" s="186" t="str">
        <f t="shared" ref="X1031:X1094" si="118">IFERROR((-1)*LEFT(N1031,FIND("扣",N1031)-1),IFERROR(1*LEFT(N1031,FIND("入",N1031)-1),""))</f>
        <v/>
      </c>
    </row>
    <row r="1032" spans="1:24" s="147" customFormat="1">
      <c r="A1032" s="170"/>
      <c r="B1032" s="145"/>
      <c r="C1032" s="145"/>
      <c r="D1032" s="146"/>
      <c r="E1032" s="150"/>
      <c r="F1032" s="145"/>
      <c r="G1032" s="145"/>
      <c r="H1032" s="145"/>
      <c r="I1032" s="145"/>
      <c r="J1032" s="145"/>
      <c r="K1032" s="145"/>
      <c r="L1032" s="145"/>
      <c r="M1032" s="145"/>
      <c r="N1032" s="146"/>
      <c r="O1032" s="145"/>
      <c r="P1032" s="138"/>
      <c r="Q1032" s="255" t="str">
        <f t="shared" ref="Q1032:Q1095" si="119">IF(B1032="","",DATE(LEFT(B1032,3)+1911,MID(B1032,4,2),RIGHT(B1032,2)))</f>
        <v/>
      </c>
      <c r="R1032" s="139" t="str">
        <f t="shared" ref="R1032:R1095" si="120">IF(C1032="","",IFERROR(INDEX(代號1,MATCH($C1032,股名1,0)),IFERROR(INDEX(代號2,MATCH($C1032,股名2,0)),INDEX(代號3,MATCH($C1032,股名3,0)))))</f>
        <v/>
      </c>
      <c r="S1032" s="128" t="str">
        <f t="shared" si="114"/>
        <v/>
      </c>
      <c r="T1032" s="140" t="str">
        <f t="shared" si="115"/>
        <v/>
      </c>
      <c r="U1032" s="141" t="str">
        <f t="shared" si="116"/>
        <v/>
      </c>
      <c r="V1032" s="141" t="str">
        <f t="shared" si="117"/>
        <v/>
      </c>
      <c r="W1032" s="142"/>
      <c r="X1032" s="186" t="str">
        <f t="shared" si="118"/>
        <v/>
      </c>
    </row>
    <row r="1033" spans="1:24" s="147" customFormat="1">
      <c r="A1033" s="172"/>
      <c r="B1033" s="151"/>
      <c r="C1033" s="151"/>
      <c r="D1033" s="151"/>
      <c r="E1033" s="151"/>
      <c r="F1033" s="151"/>
      <c r="G1033" s="151"/>
      <c r="H1033" s="151"/>
      <c r="I1033" s="151"/>
      <c r="J1033" s="151"/>
      <c r="K1033" s="151"/>
      <c r="L1033" s="151"/>
      <c r="M1033" s="151"/>
      <c r="N1033" s="151"/>
      <c r="O1033" s="151"/>
      <c r="P1033" s="138"/>
      <c r="Q1033" s="255" t="str">
        <f t="shared" si="119"/>
        <v/>
      </c>
      <c r="R1033" s="139" t="str">
        <f t="shared" si="120"/>
        <v/>
      </c>
      <c r="S1033" s="128" t="str">
        <f t="shared" si="114"/>
        <v/>
      </c>
      <c r="T1033" s="140" t="str">
        <f t="shared" si="115"/>
        <v/>
      </c>
      <c r="U1033" s="141" t="str">
        <f t="shared" si="116"/>
        <v/>
      </c>
      <c r="V1033" s="141" t="str">
        <f t="shared" si="117"/>
        <v/>
      </c>
      <c r="W1033" s="142"/>
      <c r="X1033" s="186" t="str">
        <f t="shared" si="118"/>
        <v/>
      </c>
    </row>
    <row r="1034" spans="1:24" s="147" customFormat="1">
      <c r="A1034" s="170"/>
      <c r="B1034" s="145"/>
      <c r="C1034" s="145"/>
      <c r="D1034" s="146"/>
      <c r="E1034" s="145"/>
      <c r="F1034" s="145"/>
      <c r="G1034" s="145"/>
      <c r="H1034" s="145"/>
      <c r="I1034" s="145"/>
      <c r="J1034" s="145"/>
      <c r="K1034" s="145"/>
      <c r="L1034" s="145"/>
      <c r="M1034" s="145"/>
      <c r="N1034" s="146"/>
      <c r="O1034" s="145"/>
      <c r="P1034" s="138"/>
      <c r="Q1034" s="255" t="str">
        <f t="shared" si="119"/>
        <v/>
      </c>
      <c r="R1034" s="139" t="str">
        <f t="shared" si="120"/>
        <v/>
      </c>
      <c r="S1034" s="128" t="str">
        <f t="shared" si="114"/>
        <v/>
      </c>
      <c r="T1034" s="140" t="str">
        <f t="shared" si="115"/>
        <v/>
      </c>
      <c r="U1034" s="141" t="str">
        <f t="shared" si="116"/>
        <v/>
      </c>
      <c r="V1034" s="141" t="str">
        <f t="shared" si="117"/>
        <v/>
      </c>
      <c r="W1034" s="142"/>
      <c r="X1034" s="186" t="str">
        <f t="shared" si="118"/>
        <v/>
      </c>
    </row>
    <row r="1035" spans="1:24" s="147" customFormat="1">
      <c r="A1035" s="172"/>
      <c r="B1035" s="151"/>
      <c r="C1035" s="151"/>
      <c r="D1035" s="151"/>
      <c r="E1035" s="151"/>
      <c r="F1035" s="151"/>
      <c r="G1035" s="151"/>
      <c r="H1035" s="151"/>
      <c r="I1035" s="151"/>
      <c r="J1035" s="151"/>
      <c r="K1035" s="151"/>
      <c r="L1035" s="151"/>
      <c r="M1035" s="151"/>
      <c r="N1035" s="151"/>
      <c r="O1035" s="151"/>
      <c r="P1035" s="138"/>
      <c r="Q1035" s="255" t="str">
        <f t="shared" si="119"/>
        <v/>
      </c>
      <c r="R1035" s="139" t="str">
        <f t="shared" si="120"/>
        <v/>
      </c>
      <c r="S1035" s="128" t="str">
        <f t="shared" si="114"/>
        <v/>
      </c>
      <c r="T1035" s="140" t="str">
        <f t="shared" si="115"/>
        <v/>
      </c>
      <c r="U1035" s="141" t="str">
        <f t="shared" si="116"/>
        <v/>
      </c>
      <c r="V1035" s="141" t="str">
        <f t="shared" si="117"/>
        <v/>
      </c>
      <c r="W1035" s="142"/>
      <c r="X1035" s="186" t="str">
        <f t="shared" si="118"/>
        <v/>
      </c>
    </row>
    <row r="1036" spans="1:24" s="147" customFormat="1">
      <c r="A1036" s="170"/>
      <c r="B1036" s="145"/>
      <c r="C1036" s="145"/>
      <c r="D1036" s="146"/>
      <c r="E1036" s="145"/>
      <c r="F1036" s="145"/>
      <c r="G1036" s="145"/>
      <c r="H1036" s="145"/>
      <c r="I1036" s="145"/>
      <c r="J1036" s="145"/>
      <c r="K1036" s="145"/>
      <c r="L1036" s="145"/>
      <c r="M1036" s="145"/>
      <c r="N1036" s="146"/>
      <c r="O1036" s="145"/>
      <c r="P1036" s="138"/>
      <c r="Q1036" s="255" t="str">
        <f t="shared" si="119"/>
        <v/>
      </c>
      <c r="R1036" s="139" t="str">
        <f t="shared" si="120"/>
        <v/>
      </c>
      <c r="S1036" s="128" t="str">
        <f t="shared" si="114"/>
        <v/>
      </c>
      <c r="T1036" s="140" t="str">
        <f t="shared" si="115"/>
        <v/>
      </c>
      <c r="U1036" s="141" t="str">
        <f t="shared" si="116"/>
        <v/>
      </c>
      <c r="V1036" s="141" t="str">
        <f t="shared" si="117"/>
        <v/>
      </c>
      <c r="W1036" s="142"/>
      <c r="X1036" s="186" t="str">
        <f t="shared" si="118"/>
        <v/>
      </c>
    </row>
    <row r="1037" spans="1:24" s="147" customFormat="1">
      <c r="A1037" s="172"/>
      <c r="B1037" s="151"/>
      <c r="C1037" s="151"/>
      <c r="D1037" s="151"/>
      <c r="E1037" s="151"/>
      <c r="F1037" s="151"/>
      <c r="G1037" s="151"/>
      <c r="H1037" s="151"/>
      <c r="I1037" s="151"/>
      <c r="J1037" s="151"/>
      <c r="K1037" s="151"/>
      <c r="L1037" s="151"/>
      <c r="M1037" s="151"/>
      <c r="N1037" s="151"/>
      <c r="O1037" s="151"/>
      <c r="P1037" s="138"/>
      <c r="Q1037" s="255" t="str">
        <f t="shared" si="119"/>
        <v/>
      </c>
      <c r="R1037" s="139" t="str">
        <f t="shared" si="120"/>
        <v/>
      </c>
      <c r="S1037" s="128" t="str">
        <f t="shared" si="114"/>
        <v/>
      </c>
      <c r="T1037" s="140" t="str">
        <f t="shared" si="115"/>
        <v/>
      </c>
      <c r="U1037" s="141" t="str">
        <f t="shared" si="116"/>
        <v/>
      </c>
      <c r="V1037" s="141" t="str">
        <f t="shared" si="117"/>
        <v/>
      </c>
      <c r="W1037" s="142"/>
      <c r="X1037" s="186" t="str">
        <f t="shared" si="118"/>
        <v/>
      </c>
    </row>
    <row r="1038" spans="1:24" s="147" customFormat="1">
      <c r="A1038" s="170"/>
      <c r="B1038" s="145"/>
      <c r="C1038" s="145"/>
      <c r="D1038" s="146"/>
      <c r="E1038" s="145"/>
      <c r="F1038" s="145"/>
      <c r="G1038" s="145"/>
      <c r="H1038" s="145"/>
      <c r="I1038" s="145"/>
      <c r="J1038" s="145"/>
      <c r="K1038" s="145"/>
      <c r="L1038" s="145"/>
      <c r="M1038" s="145"/>
      <c r="N1038" s="146"/>
      <c r="O1038" s="145"/>
      <c r="P1038" s="138"/>
      <c r="Q1038" s="255" t="str">
        <f t="shared" si="119"/>
        <v/>
      </c>
      <c r="R1038" s="139" t="str">
        <f t="shared" si="120"/>
        <v/>
      </c>
      <c r="S1038" s="128" t="str">
        <f t="shared" si="114"/>
        <v/>
      </c>
      <c r="T1038" s="140" t="str">
        <f t="shared" si="115"/>
        <v/>
      </c>
      <c r="U1038" s="141" t="str">
        <f t="shared" si="116"/>
        <v/>
      </c>
      <c r="V1038" s="141" t="str">
        <f t="shared" si="117"/>
        <v/>
      </c>
      <c r="W1038" s="142"/>
      <c r="X1038" s="186" t="str">
        <f t="shared" si="118"/>
        <v/>
      </c>
    </row>
    <row r="1039" spans="1:24" s="147" customFormat="1">
      <c r="A1039" s="172"/>
      <c r="B1039" s="151"/>
      <c r="C1039" s="151"/>
      <c r="D1039" s="151"/>
      <c r="E1039" s="151"/>
      <c r="F1039" s="151"/>
      <c r="G1039" s="151"/>
      <c r="H1039" s="151"/>
      <c r="I1039" s="151"/>
      <c r="J1039" s="151"/>
      <c r="K1039" s="151"/>
      <c r="L1039" s="151"/>
      <c r="M1039" s="151"/>
      <c r="N1039" s="151"/>
      <c r="O1039" s="151"/>
      <c r="P1039" s="138"/>
      <c r="Q1039" s="255" t="str">
        <f t="shared" si="119"/>
        <v/>
      </c>
      <c r="R1039" s="139" t="str">
        <f t="shared" si="120"/>
        <v/>
      </c>
      <c r="S1039" s="128" t="str">
        <f t="shared" si="114"/>
        <v/>
      </c>
      <c r="T1039" s="140" t="str">
        <f t="shared" si="115"/>
        <v/>
      </c>
      <c r="U1039" s="141" t="str">
        <f t="shared" si="116"/>
        <v/>
      </c>
      <c r="V1039" s="141" t="str">
        <f t="shared" si="117"/>
        <v/>
      </c>
      <c r="W1039" s="142"/>
      <c r="X1039" s="186" t="str">
        <f t="shared" si="118"/>
        <v/>
      </c>
    </row>
    <row r="1040" spans="1:24" s="147" customFormat="1">
      <c r="A1040" s="173"/>
      <c r="B1040" s="152"/>
      <c r="C1040" s="152"/>
      <c r="D1040" s="153"/>
      <c r="E1040" s="154"/>
      <c r="F1040" s="152"/>
      <c r="G1040" s="152"/>
      <c r="H1040" s="152"/>
      <c r="I1040" s="152"/>
      <c r="J1040" s="152"/>
      <c r="K1040" s="152"/>
      <c r="L1040" s="152"/>
      <c r="M1040" s="152"/>
      <c r="N1040" s="153"/>
      <c r="O1040" s="152"/>
      <c r="P1040" s="69"/>
      <c r="Q1040" s="255" t="str">
        <f t="shared" si="119"/>
        <v/>
      </c>
      <c r="R1040" s="139" t="str">
        <f t="shared" si="120"/>
        <v/>
      </c>
      <c r="S1040" s="128" t="str">
        <f t="shared" si="114"/>
        <v/>
      </c>
      <c r="T1040" s="140" t="str">
        <f t="shared" si="115"/>
        <v/>
      </c>
      <c r="U1040" s="141" t="str">
        <f t="shared" si="116"/>
        <v/>
      </c>
      <c r="V1040" s="141" t="str">
        <f t="shared" si="117"/>
        <v/>
      </c>
      <c r="W1040" s="142"/>
      <c r="X1040" s="186" t="str">
        <f t="shared" si="118"/>
        <v/>
      </c>
    </row>
    <row r="1041" spans="1:24" s="147" customFormat="1">
      <c r="A1041" s="173"/>
      <c r="B1041" s="155"/>
      <c r="C1041" s="155"/>
      <c r="D1041" s="156"/>
      <c r="E1041" s="157"/>
      <c r="F1041" s="155"/>
      <c r="G1041" s="155"/>
      <c r="H1041" s="155"/>
      <c r="I1041" s="155"/>
      <c r="J1041" s="155"/>
      <c r="K1041" s="155"/>
      <c r="L1041" s="155"/>
      <c r="M1041" s="155"/>
      <c r="N1041" s="156"/>
      <c r="O1041" s="155"/>
      <c r="P1041" s="69"/>
      <c r="Q1041" s="255" t="str">
        <f t="shared" si="119"/>
        <v/>
      </c>
      <c r="R1041" s="139" t="str">
        <f t="shared" si="120"/>
        <v/>
      </c>
      <c r="S1041" s="128" t="str">
        <f t="shared" si="114"/>
        <v/>
      </c>
      <c r="T1041" s="140" t="str">
        <f t="shared" si="115"/>
        <v/>
      </c>
      <c r="U1041" s="141" t="str">
        <f t="shared" si="116"/>
        <v/>
      </c>
      <c r="V1041" s="141" t="str">
        <f t="shared" si="117"/>
        <v/>
      </c>
      <c r="W1041" s="142"/>
      <c r="X1041" s="186" t="str">
        <f t="shared" si="118"/>
        <v/>
      </c>
    </row>
    <row r="1042" spans="1:24" s="147" customFormat="1">
      <c r="A1042" s="174"/>
      <c r="B1042" s="153"/>
      <c r="C1042" s="153"/>
      <c r="D1042" s="153"/>
      <c r="E1042" s="153"/>
      <c r="F1042" s="153"/>
      <c r="G1042" s="153"/>
      <c r="H1042" s="153"/>
      <c r="I1042" s="153"/>
      <c r="J1042" s="153"/>
      <c r="K1042" s="153"/>
      <c r="L1042" s="153"/>
      <c r="M1042" s="153"/>
      <c r="N1042" s="153"/>
      <c r="O1042" s="153"/>
      <c r="P1042" s="69"/>
      <c r="Q1042" s="255" t="str">
        <f t="shared" si="119"/>
        <v/>
      </c>
      <c r="R1042" s="139" t="str">
        <f t="shared" si="120"/>
        <v/>
      </c>
      <c r="S1042" s="128" t="str">
        <f t="shared" si="114"/>
        <v/>
      </c>
      <c r="T1042" s="140" t="str">
        <f t="shared" si="115"/>
        <v/>
      </c>
      <c r="U1042" s="141" t="str">
        <f t="shared" si="116"/>
        <v/>
      </c>
      <c r="V1042" s="141" t="str">
        <f t="shared" si="117"/>
        <v/>
      </c>
      <c r="W1042" s="142"/>
      <c r="X1042" s="186" t="str">
        <f t="shared" si="118"/>
        <v/>
      </c>
    </row>
    <row r="1043" spans="1:24" s="147" customFormat="1">
      <c r="A1043" s="173"/>
      <c r="B1043" s="155"/>
      <c r="C1043" s="155"/>
      <c r="D1043" s="158"/>
      <c r="E1043" s="157"/>
      <c r="F1043" s="155"/>
      <c r="G1043" s="155"/>
      <c r="H1043" s="155"/>
      <c r="I1043" s="155"/>
      <c r="J1043" s="155"/>
      <c r="K1043" s="155"/>
      <c r="L1043" s="155"/>
      <c r="M1043" s="155"/>
      <c r="N1043" s="158"/>
      <c r="O1043" s="155"/>
      <c r="P1043" s="69"/>
      <c r="Q1043" s="255" t="str">
        <f t="shared" si="119"/>
        <v/>
      </c>
      <c r="R1043" s="139" t="str">
        <f t="shared" si="120"/>
        <v/>
      </c>
      <c r="S1043" s="128" t="str">
        <f t="shared" si="114"/>
        <v/>
      </c>
      <c r="T1043" s="140" t="str">
        <f t="shared" si="115"/>
        <v/>
      </c>
      <c r="U1043" s="141" t="str">
        <f t="shared" si="116"/>
        <v/>
      </c>
      <c r="V1043" s="141" t="str">
        <f t="shared" si="117"/>
        <v/>
      </c>
      <c r="W1043" s="142"/>
      <c r="X1043" s="186" t="str">
        <f t="shared" si="118"/>
        <v/>
      </c>
    </row>
    <row r="1044" spans="1:24" s="147" customFormat="1">
      <c r="A1044" s="173"/>
      <c r="B1044" s="152"/>
      <c r="C1044" s="152"/>
      <c r="D1044" s="159"/>
      <c r="E1044" s="154"/>
      <c r="F1044" s="152"/>
      <c r="G1044" s="152"/>
      <c r="H1044" s="152"/>
      <c r="I1044" s="152"/>
      <c r="J1044" s="152"/>
      <c r="K1044" s="152"/>
      <c r="L1044" s="152"/>
      <c r="M1044" s="152"/>
      <c r="N1044" s="159"/>
      <c r="O1044" s="152"/>
      <c r="P1044" s="69"/>
      <c r="Q1044" s="255" t="str">
        <f t="shared" si="119"/>
        <v/>
      </c>
      <c r="R1044" s="139" t="str">
        <f t="shared" si="120"/>
        <v/>
      </c>
      <c r="S1044" s="128" t="str">
        <f t="shared" si="114"/>
        <v/>
      </c>
      <c r="T1044" s="140" t="str">
        <f t="shared" si="115"/>
        <v/>
      </c>
      <c r="U1044" s="141" t="str">
        <f t="shared" si="116"/>
        <v/>
      </c>
      <c r="V1044" s="141" t="str">
        <f t="shared" si="117"/>
        <v/>
      </c>
      <c r="W1044" s="142"/>
      <c r="X1044" s="186" t="str">
        <f t="shared" si="118"/>
        <v/>
      </c>
    </row>
    <row r="1045" spans="1:24" s="147" customFormat="1">
      <c r="A1045" s="175"/>
      <c r="B1045" s="160"/>
      <c r="C1045" s="160"/>
      <c r="D1045" s="160"/>
      <c r="E1045" s="160"/>
      <c r="F1045" s="160"/>
      <c r="G1045" s="160"/>
      <c r="H1045" s="160"/>
      <c r="I1045" s="160"/>
      <c r="J1045" s="160"/>
      <c r="K1045" s="160"/>
      <c r="L1045" s="160"/>
      <c r="M1045" s="160"/>
      <c r="N1045" s="160"/>
      <c r="O1045" s="160"/>
      <c r="P1045" s="69"/>
      <c r="Q1045" s="255" t="str">
        <f t="shared" si="119"/>
        <v/>
      </c>
      <c r="R1045" s="139" t="str">
        <f t="shared" si="120"/>
        <v/>
      </c>
      <c r="S1045" s="128" t="str">
        <f t="shared" si="114"/>
        <v/>
      </c>
      <c r="T1045" s="140" t="str">
        <f t="shared" si="115"/>
        <v/>
      </c>
      <c r="U1045" s="141" t="str">
        <f t="shared" si="116"/>
        <v/>
      </c>
      <c r="V1045" s="141" t="str">
        <f t="shared" si="117"/>
        <v/>
      </c>
      <c r="W1045" s="142"/>
      <c r="X1045" s="186" t="str">
        <f t="shared" si="118"/>
        <v/>
      </c>
    </row>
    <row r="1046" spans="1:24" s="147" customFormat="1">
      <c r="A1046" s="173"/>
      <c r="B1046" s="152"/>
      <c r="C1046" s="152"/>
      <c r="D1046" s="152"/>
      <c r="E1046" s="154"/>
      <c r="F1046" s="152"/>
      <c r="G1046" s="152"/>
      <c r="H1046" s="152"/>
      <c r="I1046" s="152"/>
      <c r="J1046" s="152"/>
      <c r="K1046" s="152"/>
      <c r="L1046" s="152"/>
      <c r="M1046" s="152"/>
      <c r="N1046" s="153"/>
      <c r="O1046" s="152"/>
      <c r="P1046" s="69"/>
      <c r="Q1046" s="255" t="str">
        <f t="shared" si="119"/>
        <v/>
      </c>
      <c r="R1046" s="139" t="str">
        <f t="shared" si="120"/>
        <v/>
      </c>
      <c r="S1046" s="128" t="str">
        <f t="shared" si="114"/>
        <v/>
      </c>
      <c r="T1046" s="140" t="str">
        <f t="shared" si="115"/>
        <v/>
      </c>
      <c r="U1046" s="141" t="str">
        <f t="shared" si="116"/>
        <v/>
      </c>
      <c r="V1046" s="141" t="str">
        <f t="shared" si="117"/>
        <v/>
      </c>
      <c r="W1046" s="142"/>
      <c r="X1046" s="186" t="str">
        <f t="shared" si="118"/>
        <v/>
      </c>
    </row>
    <row r="1047" spans="1:24" s="147" customFormat="1">
      <c r="A1047" s="175"/>
      <c r="B1047" s="160"/>
      <c r="C1047" s="160"/>
      <c r="D1047" s="160"/>
      <c r="E1047" s="160"/>
      <c r="F1047" s="160"/>
      <c r="G1047" s="160"/>
      <c r="H1047" s="160"/>
      <c r="I1047" s="160"/>
      <c r="J1047" s="160"/>
      <c r="K1047" s="160"/>
      <c r="L1047" s="160"/>
      <c r="M1047" s="160"/>
      <c r="N1047" s="160"/>
      <c r="O1047" s="160"/>
      <c r="P1047" s="69"/>
      <c r="Q1047" s="255" t="str">
        <f t="shared" si="119"/>
        <v/>
      </c>
      <c r="R1047" s="139" t="str">
        <f t="shared" si="120"/>
        <v/>
      </c>
      <c r="S1047" s="128" t="str">
        <f t="shared" si="114"/>
        <v/>
      </c>
      <c r="T1047" s="140" t="str">
        <f t="shared" si="115"/>
        <v/>
      </c>
      <c r="U1047" s="141" t="str">
        <f t="shared" si="116"/>
        <v/>
      </c>
      <c r="V1047" s="141" t="str">
        <f t="shared" si="117"/>
        <v/>
      </c>
      <c r="W1047" s="142"/>
      <c r="X1047" s="186" t="str">
        <f t="shared" si="118"/>
        <v/>
      </c>
    </row>
    <row r="1048" spans="1:24" s="147" customFormat="1">
      <c r="A1048" s="173"/>
      <c r="B1048" s="152"/>
      <c r="C1048" s="152"/>
      <c r="D1048" s="152"/>
      <c r="E1048" s="154"/>
      <c r="F1048" s="152"/>
      <c r="G1048" s="152"/>
      <c r="H1048" s="152"/>
      <c r="I1048" s="152"/>
      <c r="J1048" s="152"/>
      <c r="K1048" s="152"/>
      <c r="L1048" s="152"/>
      <c r="M1048" s="152"/>
      <c r="N1048" s="159"/>
      <c r="O1048" s="152"/>
      <c r="P1048" s="69"/>
      <c r="Q1048" s="255" t="str">
        <f t="shared" si="119"/>
        <v/>
      </c>
      <c r="R1048" s="139" t="str">
        <f t="shared" si="120"/>
        <v/>
      </c>
      <c r="S1048" s="128" t="str">
        <f t="shared" si="114"/>
        <v/>
      </c>
      <c r="T1048" s="140" t="str">
        <f t="shared" si="115"/>
        <v/>
      </c>
      <c r="U1048" s="141" t="str">
        <f t="shared" si="116"/>
        <v/>
      </c>
      <c r="V1048" s="141" t="str">
        <f t="shared" si="117"/>
        <v/>
      </c>
      <c r="W1048" s="142"/>
      <c r="X1048" s="186" t="str">
        <f t="shared" si="118"/>
        <v/>
      </c>
    </row>
    <row r="1049" spans="1:24" s="147" customFormat="1">
      <c r="A1049" s="173"/>
      <c r="B1049" s="155"/>
      <c r="C1049" s="155"/>
      <c r="D1049" s="158"/>
      <c r="E1049" s="157"/>
      <c r="F1049" s="155"/>
      <c r="G1049" s="155"/>
      <c r="H1049" s="155"/>
      <c r="I1049" s="155"/>
      <c r="J1049" s="155"/>
      <c r="K1049" s="155"/>
      <c r="L1049" s="155"/>
      <c r="M1049" s="155"/>
      <c r="N1049" s="158"/>
      <c r="O1049" s="155"/>
      <c r="P1049" s="69"/>
      <c r="Q1049" s="255" t="str">
        <f t="shared" si="119"/>
        <v/>
      </c>
      <c r="R1049" s="139" t="str">
        <f t="shared" si="120"/>
        <v/>
      </c>
      <c r="S1049" s="128" t="str">
        <f t="shared" si="114"/>
        <v/>
      </c>
      <c r="T1049" s="140" t="str">
        <f t="shared" si="115"/>
        <v/>
      </c>
      <c r="U1049" s="141" t="str">
        <f t="shared" si="116"/>
        <v/>
      </c>
      <c r="V1049" s="141" t="str">
        <f t="shared" si="117"/>
        <v/>
      </c>
      <c r="W1049" s="142"/>
      <c r="X1049" s="186" t="str">
        <f t="shared" si="118"/>
        <v/>
      </c>
    </row>
    <row r="1050" spans="1:24" s="147" customFormat="1">
      <c r="A1050" s="173"/>
      <c r="B1050" s="152"/>
      <c r="C1050" s="152"/>
      <c r="D1050" s="159"/>
      <c r="E1050" s="154"/>
      <c r="F1050" s="152"/>
      <c r="G1050" s="152"/>
      <c r="H1050" s="152"/>
      <c r="I1050" s="152"/>
      <c r="J1050" s="152"/>
      <c r="K1050" s="152"/>
      <c r="L1050" s="152"/>
      <c r="M1050" s="152"/>
      <c r="N1050" s="159"/>
      <c r="O1050" s="152"/>
      <c r="P1050" s="69"/>
      <c r="Q1050" s="255" t="str">
        <f t="shared" si="119"/>
        <v/>
      </c>
      <c r="R1050" s="139" t="str">
        <f t="shared" si="120"/>
        <v/>
      </c>
      <c r="S1050" s="128" t="str">
        <f t="shared" si="114"/>
        <v/>
      </c>
      <c r="T1050" s="140" t="str">
        <f t="shared" si="115"/>
        <v/>
      </c>
      <c r="U1050" s="141" t="str">
        <f t="shared" si="116"/>
        <v/>
      </c>
      <c r="V1050" s="141" t="str">
        <f t="shared" si="117"/>
        <v/>
      </c>
      <c r="W1050" s="142"/>
      <c r="X1050" s="186" t="str">
        <f t="shared" si="118"/>
        <v/>
      </c>
    </row>
    <row r="1051" spans="1:24" s="147" customFormat="1">
      <c r="A1051" s="174"/>
      <c r="B1051" s="153"/>
      <c r="C1051" s="153"/>
      <c r="D1051" s="153"/>
      <c r="E1051" s="153"/>
      <c r="F1051" s="153"/>
      <c r="G1051" s="153"/>
      <c r="H1051" s="153"/>
      <c r="I1051" s="153"/>
      <c r="J1051" s="153"/>
      <c r="K1051" s="153"/>
      <c r="L1051" s="153"/>
      <c r="M1051" s="153"/>
      <c r="N1051" s="153"/>
      <c r="O1051" s="153"/>
      <c r="P1051" s="69"/>
      <c r="Q1051" s="255" t="str">
        <f t="shared" si="119"/>
        <v/>
      </c>
      <c r="R1051" s="139" t="str">
        <f t="shared" si="120"/>
        <v/>
      </c>
      <c r="S1051" s="128" t="str">
        <f t="shared" si="114"/>
        <v/>
      </c>
      <c r="T1051" s="140" t="str">
        <f t="shared" si="115"/>
        <v/>
      </c>
      <c r="U1051" s="141" t="str">
        <f t="shared" si="116"/>
        <v/>
      </c>
      <c r="V1051" s="141" t="str">
        <f t="shared" si="117"/>
        <v/>
      </c>
      <c r="W1051" s="142"/>
      <c r="X1051" s="186" t="str">
        <f t="shared" si="118"/>
        <v/>
      </c>
    </row>
    <row r="1052" spans="1:24" s="147" customFormat="1">
      <c r="A1052" s="173"/>
      <c r="B1052" s="152"/>
      <c r="C1052" s="152"/>
      <c r="D1052" s="153"/>
      <c r="E1052" s="154"/>
      <c r="F1052" s="152"/>
      <c r="G1052" s="152"/>
      <c r="H1052" s="152"/>
      <c r="I1052" s="152"/>
      <c r="J1052" s="152"/>
      <c r="K1052" s="152"/>
      <c r="L1052" s="152"/>
      <c r="M1052" s="152"/>
      <c r="N1052" s="153"/>
      <c r="O1052" s="152"/>
      <c r="P1052" s="69"/>
      <c r="Q1052" s="255" t="str">
        <f t="shared" si="119"/>
        <v/>
      </c>
      <c r="R1052" s="139" t="str">
        <f t="shared" si="120"/>
        <v/>
      </c>
      <c r="S1052" s="128" t="str">
        <f t="shared" si="114"/>
        <v/>
      </c>
      <c r="T1052" s="140" t="str">
        <f t="shared" si="115"/>
        <v/>
      </c>
      <c r="U1052" s="141" t="str">
        <f t="shared" si="116"/>
        <v/>
      </c>
      <c r="V1052" s="141" t="str">
        <f t="shared" si="117"/>
        <v/>
      </c>
      <c r="W1052" s="142"/>
      <c r="X1052" s="186" t="str">
        <f t="shared" si="118"/>
        <v/>
      </c>
    </row>
    <row r="1053" spans="1:24" s="147" customFormat="1">
      <c r="A1053" s="173"/>
      <c r="B1053" s="155"/>
      <c r="C1053" s="155"/>
      <c r="D1053" s="158"/>
      <c r="E1053" s="157"/>
      <c r="F1053" s="155"/>
      <c r="G1053" s="155"/>
      <c r="H1053" s="155"/>
      <c r="I1053" s="155"/>
      <c r="J1053" s="155"/>
      <c r="K1053" s="155"/>
      <c r="L1053" s="155"/>
      <c r="M1053" s="155"/>
      <c r="N1053" s="158"/>
      <c r="O1053" s="155"/>
      <c r="P1053" s="69"/>
      <c r="Q1053" s="255" t="str">
        <f t="shared" si="119"/>
        <v/>
      </c>
      <c r="R1053" s="139" t="str">
        <f t="shared" si="120"/>
        <v/>
      </c>
      <c r="S1053" s="128" t="str">
        <f t="shared" si="114"/>
        <v/>
      </c>
      <c r="T1053" s="140" t="str">
        <f t="shared" si="115"/>
        <v/>
      </c>
      <c r="U1053" s="141" t="str">
        <f t="shared" si="116"/>
        <v/>
      </c>
      <c r="V1053" s="141" t="str">
        <f t="shared" si="117"/>
        <v/>
      </c>
      <c r="W1053" s="142"/>
      <c r="X1053" s="186" t="str">
        <f t="shared" si="118"/>
        <v/>
      </c>
    </row>
    <row r="1054" spans="1:24" s="147" customFormat="1">
      <c r="A1054" s="173"/>
      <c r="B1054" s="152"/>
      <c r="C1054" s="152"/>
      <c r="D1054" s="159"/>
      <c r="E1054" s="154"/>
      <c r="F1054" s="152"/>
      <c r="G1054" s="152"/>
      <c r="H1054" s="152"/>
      <c r="I1054" s="152"/>
      <c r="J1054" s="152"/>
      <c r="K1054" s="152"/>
      <c r="L1054" s="152"/>
      <c r="M1054" s="152"/>
      <c r="N1054" s="159"/>
      <c r="O1054" s="152"/>
      <c r="P1054" s="69"/>
      <c r="Q1054" s="255" t="str">
        <f t="shared" si="119"/>
        <v/>
      </c>
      <c r="R1054" s="139" t="str">
        <f t="shared" si="120"/>
        <v/>
      </c>
      <c r="S1054" s="128" t="str">
        <f t="shared" si="114"/>
        <v/>
      </c>
      <c r="T1054" s="140" t="str">
        <f t="shared" si="115"/>
        <v/>
      </c>
      <c r="U1054" s="141" t="str">
        <f t="shared" si="116"/>
        <v/>
      </c>
      <c r="V1054" s="141" t="str">
        <f t="shared" si="117"/>
        <v/>
      </c>
      <c r="W1054" s="142"/>
      <c r="X1054" s="186" t="str">
        <f t="shared" si="118"/>
        <v/>
      </c>
    </row>
    <row r="1055" spans="1:24" s="147" customFormat="1">
      <c r="A1055" s="174"/>
      <c r="B1055" s="153"/>
      <c r="C1055" s="153"/>
      <c r="D1055" s="153"/>
      <c r="E1055" s="153"/>
      <c r="F1055" s="153"/>
      <c r="G1055" s="153"/>
      <c r="H1055" s="153"/>
      <c r="I1055" s="153"/>
      <c r="J1055" s="153"/>
      <c r="K1055" s="153"/>
      <c r="L1055" s="153"/>
      <c r="M1055" s="153"/>
      <c r="N1055" s="153"/>
      <c r="O1055" s="153"/>
      <c r="P1055" s="69"/>
      <c r="Q1055" s="255" t="str">
        <f t="shared" si="119"/>
        <v/>
      </c>
      <c r="R1055" s="139" t="str">
        <f t="shared" si="120"/>
        <v/>
      </c>
      <c r="S1055" s="128" t="str">
        <f t="shared" si="114"/>
        <v/>
      </c>
      <c r="T1055" s="140" t="str">
        <f t="shared" si="115"/>
        <v/>
      </c>
      <c r="U1055" s="141" t="str">
        <f t="shared" si="116"/>
        <v/>
      </c>
      <c r="V1055" s="141" t="str">
        <f t="shared" si="117"/>
        <v/>
      </c>
      <c r="W1055" s="142"/>
      <c r="X1055" s="186" t="str">
        <f t="shared" si="118"/>
        <v/>
      </c>
    </row>
    <row r="1056" spans="1:24" s="147" customFormat="1">
      <c r="A1056" s="173"/>
      <c r="B1056" s="152"/>
      <c r="C1056" s="152"/>
      <c r="D1056" s="159"/>
      <c r="E1056" s="154"/>
      <c r="F1056" s="152"/>
      <c r="G1056" s="152"/>
      <c r="H1056" s="152"/>
      <c r="I1056" s="152"/>
      <c r="J1056" s="152"/>
      <c r="K1056" s="152"/>
      <c r="L1056" s="152"/>
      <c r="M1056" s="152"/>
      <c r="N1056" s="153"/>
      <c r="O1056" s="152"/>
      <c r="P1056" s="69"/>
      <c r="Q1056" s="255" t="str">
        <f t="shared" si="119"/>
        <v/>
      </c>
      <c r="R1056" s="139" t="str">
        <f t="shared" si="120"/>
        <v/>
      </c>
      <c r="S1056" s="128" t="str">
        <f t="shared" si="114"/>
        <v/>
      </c>
      <c r="T1056" s="140" t="str">
        <f t="shared" si="115"/>
        <v/>
      </c>
      <c r="U1056" s="141" t="str">
        <f t="shared" si="116"/>
        <v/>
      </c>
      <c r="V1056" s="141" t="str">
        <f t="shared" si="117"/>
        <v/>
      </c>
      <c r="W1056" s="142"/>
      <c r="X1056" s="186" t="str">
        <f t="shared" si="118"/>
        <v/>
      </c>
    </row>
    <row r="1057" spans="1:24" s="147" customFormat="1">
      <c r="A1057" s="173"/>
      <c r="B1057" s="155"/>
      <c r="C1057" s="155"/>
      <c r="D1057" s="158"/>
      <c r="E1057" s="157"/>
      <c r="F1057" s="155"/>
      <c r="G1057" s="155"/>
      <c r="H1057" s="155"/>
      <c r="I1057" s="155"/>
      <c r="J1057" s="155"/>
      <c r="K1057" s="155"/>
      <c r="L1057" s="155"/>
      <c r="M1057" s="155"/>
      <c r="N1057" s="158"/>
      <c r="O1057" s="155"/>
      <c r="P1057" s="69"/>
      <c r="Q1057" s="255" t="str">
        <f t="shared" si="119"/>
        <v/>
      </c>
      <c r="R1057" s="139" t="str">
        <f t="shared" si="120"/>
        <v/>
      </c>
      <c r="S1057" s="128" t="str">
        <f t="shared" si="114"/>
        <v/>
      </c>
      <c r="T1057" s="140" t="str">
        <f t="shared" si="115"/>
        <v/>
      </c>
      <c r="U1057" s="141" t="str">
        <f t="shared" si="116"/>
        <v/>
      </c>
      <c r="V1057" s="141" t="str">
        <f t="shared" si="117"/>
        <v/>
      </c>
      <c r="W1057" s="142"/>
      <c r="X1057" s="186" t="str">
        <f t="shared" si="118"/>
        <v/>
      </c>
    </row>
    <row r="1058" spans="1:24" s="147" customFormat="1">
      <c r="A1058" s="173"/>
      <c r="B1058" s="152"/>
      <c r="C1058" s="152"/>
      <c r="D1058" s="153"/>
      <c r="E1058" s="154"/>
      <c r="F1058" s="152"/>
      <c r="G1058" s="152"/>
      <c r="H1058" s="152"/>
      <c r="I1058" s="152"/>
      <c r="J1058" s="152"/>
      <c r="K1058" s="152"/>
      <c r="L1058" s="152"/>
      <c r="M1058" s="152"/>
      <c r="N1058" s="159"/>
      <c r="O1058" s="152"/>
      <c r="P1058" s="69"/>
      <c r="Q1058" s="255" t="str">
        <f t="shared" si="119"/>
        <v/>
      </c>
      <c r="R1058" s="139" t="str">
        <f t="shared" si="120"/>
        <v/>
      </c>
      <c r="S1058" s="128" t="str">
        <f t="shared" si="114"/>
        <v/>
      </c>
      <c r="T1058" s="140" t="str">
        <f t="shared" si="115"/>
        <v/>
      </c>
      <c r="U1058" s="141" t="str">
        <f t="shared" si="116"/>
        <v/>
      </c>
      <c r="V1058" s="141" t="str">
        <f t="shared" si="117"/>
        <v/>
      </c>
      <c r="W1058" s="142"/>
      <c r="X1058" s="186" t="str">
        <f t="shared" si="118"/>
        <v/>
      </c>
    </row>
    <row r="1059" spans="1:24" s="147" customFormat="1">
      <c r="A1059" s="175"/>
      <c r="B1059" s="160"/>
      <c r="C1059" s="160"/>
      <c r="D1059" s="160"/>
      <c r="E1059" s="160"/>
      <c r="F1059" s="160"/>
      <c r="G1059" s="160"/>
      <c r="H1059" s="160"/>
      <c r="I1059" s="160"/>
      <c r="J1059" s="160"/>
      <c r="K1059" s="160"/>
      <c r="L1059" s="160"/>
      <c r="M1059" s="160"/>
      <c r="N1059" s="160"/>
      <c r="O1059" s="160"/>
      <c r="P1059" s="69"/>
      <c r="Q1059" s="255" t="str">
        <f t="shared" si="119"/>
        <v/>
      </c>
      <c r="R1059" s="139" t="str">
        <f t="shared" si="120"/>
        <v/>
      </c>
      <c r="S1059" s="128" t="str">
        <f t="shared" si="114"/>
        <v/>
      </c>
      <c r="T1059" s="140" t="str">
        <f t="shared" si="115"/>
        <v/>
      </c>
      <c r="U1059" s="141" t="str">
        <f t="shared" si="116"/>
        <v/>
      </c>
      <c r="V1059" s="141" t="str">
        <f t="shared" si="117"/>
        <v/>
      </c>
      <c r="W1059" s="142"/>
      <c r="X1059" s="186" t="str">
        <f t="shared" si="118"/>
        <v/>
      </c>
    </row>
    <row r="1060" spans="1:24" s="147" customFormat="1">
      <c r="A1060" s="173"/>
      <c r="B1060" s="152"/>
      <c r="C1060" s="152"/>
      <c r="D1060" s="153"/>
      <c r="E1060" s="154"/>
      <c r="F1060" s="152"/>
      <c r="G1060" s="152"/>
      <c r="H1060" s="152"/>
      <c r="I1060" s="152"/>
      <c r="J1060" s="152"/>
      <c r="K1060" s="152"/>
      <c r="L1060" s="152"/>
      <c r="M1060" s="152"/>
      <c r="N1060" s="153"/>
      <c r="O1060" s="152"/>
      <c r="P1060" s="69"/>
      <c r="Q1060" s="255" t="str">
        <f t="shared" si="119"/>
        <v/>
      </c>
      <c r="R1060" s="139" t="str">
        <f t="shared" si="120"/>
        <v/>
      </c>
      <c r="S1060" s="128" t="str">
        <f t="shared" si="114"/>
        <v/>
      </c>
      <c r="T1060" s="140" t="str">
        <f t="shared" si="115"/>
        <v/>
      </c>
      <c r="U1060" s="141" t="str">
        <f t="shared" si="116"/>
        <v/>
      </c>
      <c r="V1060" s="141" t="str">
        <f t="shared" si="117"/>
        <v/>
      </c>
      <c r="W1060" s="142"/>
      <c r="X1060" s="186" t="str">
        <f t="shared" si="118"/>
        <v/>
      </c>
    </row>
    <row r="1061" spans="1:24" s="147" customFormat="1">
      <c r="A1061" s="173"/>
      <c r="B1061" s="155"/>
      <c r="C1061" s="155"/>
      <c r="D1061" s="158"/>
      <c r="E1061" s="157"/>
      <c r="F1061" s="155"/>
      <c r="G1061" s="155"/>
      <c r="H1061" s="155"/>
      <c r="I1061" s="155"/>
      <c r="J1061" s="155"/>
      <c r="K1061" s="155"/>
      <c r="L1061" s="155"/>
      <c r="M1061" s="155"/>
      <c r="N1061" s="158"/>
      <c r="O1061" s="155"/>
      <c r="P1061" s="69"/>
      <c r="Q1061" s="255" t="str">
        <f t="shared" si="119"/>
        <v/>
      </c>
      <c r="R1061" s="139" t="str">
        <f t="shared" si="120"/>
        <v/>
      </c>
      <c r="S1061" s="128" t="str">
        <f t="shared" si="114"/>
        <v/>
      </c>
      <c r="T1061" s="140" t="str">
        <f t="shared" si="115"/>
        <v/>
      </c>
      <c r="U1061" s="141" t="str">
        <f t="shared" si="116"/>
        <v/>
      </c>
      <c r="V1061" s="141" t="str">
        <f t="shared" si="117"/>
        <v/>
      </c>
      <c r="W1061" s="142"/>
      <c r="X1061" s="186" t="str">
        <f t="shared" si="118"/>
        <v/>
      </c>
    </row>
    <row r="1062" spans="1:24" s="147" customFormat="1">
      <c r="A1062" s="173"/>
      <c r="B1062" s="152"/>
      <c r="C1062" s="152"/>
      <c r="D1062" s="159"/>
      <c r="E1062" s="154"/>
      <c r="F1062" s="152"/>
      <c r="G1062" s="152"/>
      <c r="H1062" s="152"/>
      <c r="I1062" s="152"/>
      <c r="J1062" s="152"/>
      <c r="K1062" s="152"/>
      <c r="L1062" s="152"/>
      <c r="M1062" s="152"/>
      <c r="N1062" s="159"/>
      <c r="O1062" s="152"/>
      <c r="P1062" s="69"/>
      <c r="Q1062" s="255" t="str">
        <f t="shared" si="119"/>
        <v/>
      </c>
      <c r="R1062" s="139" t="str">
        <f t="shared" si="120"/>
        <v/>
      </c>
      <c r="S1062" s="128" t="str">
        <f t="shared" si="114"/>
        <v/>
      </c>
      <c r="T1062" s="140" t="str">
        <f t="shared" si="115"/>
        <v/>
      </c>
      <c r="U1062" s="141" t="str">
        <f t="shared" si="116"/>
        <v/>
      </c>
      <c r="V1062" s="141" t="str">
        <f t="shared" si="117"/>
        <v/>
      </c>
      <c r="W1062" s="142"/>
      <c r="X1062" s="186" t="str">
        <f t="shared" si="118"/>
        <v/>
      </c>
    </row>
    <row r="1063" spans="1:24" s="147" customFormat="1">
      <c r="A1063" s="175"/>
      <c r="B1063" s="160"/>
      <c r="C1063" s="160"/>
      <c r="D1063" s="160"/>
      <c r="E1063" s="160"/>
      <c r="F1063" s="160"/>
      <c r="G1063" s="160"/>
      <c r="H1063" s="160"/>
      <c r="I1063" s="160"/>
      <c r="J1063" s="160"/>
      <c r="K1063" s="160"/>
      <c r="L1063" s="160"/>
      <c r="M1063" s="160"/>
      <c r="N1063" s="160"/>
      <c r="O1063" s="160"/>
      <c r="P1063" s="69"/>
      <c r="Q1063" s="255" t="str">
        <f t="shared" si="119"/>
        <v/>
      </c>
      <c r="R1063" s="139" t="str">
        <f t="shared" si="120"/>
        <v/>
      </c>
      <c r="S1063" s="128" t="str">
        <f t="shared" si="114"/>
        <v/>
      </c>
      <c r="T1063" s="140" t="str">
        <f t="shared" si="115"/>
        <v/>
      </c>
      <c r="U1063" s="141" t="str">
        <f t="shared" si="116"/>
        <v/>
      </c>
      <c r="V1063" s="141" t="str">
        <f t="shared" si="117"/>
        <v/>
      </c>
      <c r="W1063" s="142"/>
      <c r="X1063" s="186" t="str">
        <f t="shared" si="118"/>
        <v/>
      </c>
    </row>
    <row r="1064" spans="1:24" s="147" customFormat="1">
      <c r="A1064" s="173"/>
      <c r="B1064" s="152"/>
      <c r="C1064" s="152"/>
      <c r="D1064" s="159"/>
      <c r="E1064" s="154"/>
      <c r="F1064" s="152"/>
      <c r="G1064" s="152"/>
      <c r="H1064" s="152"/>
      <c r="I1064" s="152"/>
      <c r="J1064" s="152"/>
      <c r="K1064" s="152"/>
      <c r="L1064" s="152"/>
      <c r="M1064" s="152"/>
      <c r="N1064" s="159"/>
      <c r="O1064" s="152"/>
      <c r="P1064" s="69"/>
      <c r="Q1064" s="255" t="str">
        <f t="shared" si="119"/>
        <v/>
      </c>
      <c r="R1064" s="139" t="str">
        <f t="shared" si="120"/>
        <v/>
      </c>
      <c r="S1064" s="128" t="str">
        <f t="shared" si="114"/>
        <v/>
      </c>
      <c r="T1064" s="140" t="str">
        <f t="shared" si="115"/>
        <v/>
      </c>
      <c r="U1064" s="141" t="str">
        <f t="shared" si="116"/>
        <v/>
      </c>
      <c r="V1064" s="141" t="str">
        <f t="shared" si="117"/>
        <v/>
      </c>
      <c r="W1064" s="142"/>
      <c r="X1064" s="186" t="str">
        <f t="shared" si="118"/>
        <v/>
      </c>
    </row>
    <row r="1065" spans="1:24" s="147" customFormat="1">
      <c r="A1065" s="175"/>
      <c r="B1065" s="160"/>
      <c r="C1065" s="160"/>
      <c r="D1065" s="160"/>
      <c r="E1065" s="160"/>
      <c r="F1065" s="160"/>
      <c r="G1065" s="160"/>
      <c r="H1065" s="160"/>
      <c r="I1065" s="160"/>
      <c r="J1065" s="160"/>
      <c r="K1065" s="160"/>
      <c r="L1065" s="160"/>
      <c r="M1065" s="160"/>
      <c r="N1065" s="160"/>
      <c r="O1065" s="160"/>
      <c r="P1065" s="69"/>
      <c r="Q1065" s="255" t="str">
        <f t="shared" si="119"/>
        <v/>
      </c>
      <c r="R1065" s="139" t="str">
        <f t="shared" si="120"/>
        <v/>
      </c>
      <c r="S1065" s="128" t="str">
        <f t="shared" si="114"/>
        <v/>
      </c>
      <c r="T1065" s="140" t="str">
        <f t="shared" si="115"/>
        <v/>
      </c>
      <c r="U1065" s="141" t="str">
        <f t="shared" si="116"/>
        <v/>
      </c>
      <c r="V1065" s="141" t="str">
        <f t="shared" si="117"/>
        <v/>
      </c>
      <c r="W1065" s="142"/>
      <c r="X1065" s="186" t="str">
        <f t="shared" si="118"/>
        <v/>
      </c>
    </row>
    <row r="1066" spans="1:24" s="147" customFormat="1">
      <c r="A1066" s="173"/>
      <c r="B1066" s="152"/>
      <c r="C1066" s="152"/>
      <c r="D1066" s="159"/>
      <c r="E1066" s="154"/>
      <c r="F1066" s="152"/>
      <c r="G1066" s="152"/>
      <c r="H1066" s="152"/>
      <c r="I1066" s="152"/>
      <c r="J1066" s="152"/>
      <c r="K1066" s="152"/>
      <c r="L1066" s="152"/>
      <c r="M1066" s="152"/>
      <c r="N1066" s="159"/>
      <c r="O1066" s="152"/>
      <c r="P1066" s="69"/>
      <c r="Q1066" s="255" t="str">
        <f t="shared" si="119"/>
        <v/>
      </c>
      <c r="R1066" s="139" t="str">
        <f t="shared" si="120"/>
        <v/>
      </c>
      <c r="S1066" s="128" t="str">
        <f t="shared" si="114"/>
        <v/>
      </c>
      <c r="T1066" s="140" t="str">
        <f t="shared" si="115"/>
        <v/>
      </c>
      <c r="U1066" s="141" t="str">
        <f t="shared" si="116"/>
        <v/>
      </c>
      <c r="V1066" s="141" t="str">
        <f t="shared" si="117"/>
        <v/>
      </c>
      <c r="W1066" s="142"/>
      <c r="X1066" s="186" t="str">
        <f t="shared" si="118"/>
        <v/>
      </c>
    </row>
    <row r="1067" spans="1:24" s="147" customFormat="1">
      <c r="A1067" s="175"/>
      <c r="B1067" s="160"/>
      <c r="C1067" s="160"/>
      <c r="D1067" s="160"/>
      <c r="E1067" s="160"/>
      <c r="F1067" s="160"/>
      <c r="G1067" s="160"/>
      <c r="H1067" s="160"/>
      <c r="I1067" s="160"/>
      <c r="J1067" s="160"/>
      <c r="K1067" s="160"/>
      <c r="L1067" s="160"/>
      <c r="M1067" s="160"/>
      <c r="N1067" s="160"/>
      <c r="O1067" s="160"/>
      <c r="P1067" s="69"/>
      <c r="Q1067" s="255" t="str">
        <f t="shared" si="119"/>
        <v/>
      </c>
      <c r="R1067" s="139" t="str">
        <f t="shared" si="120"/>
        <v/>
      </c>
      <c r="S1067" s="128" t="str">
        <f t="shared" si="114"/>
        <v/>
      </c>
      <c r="T1067" s="140" t="str">
        <f t="shared" si="115"/>
        <v/>
      </c>
      <c r="U1067" s="141" t="str">
        <f t="shared" si="116"/>
        <v/>
      </c>
      <c r="V1067" s="141" t="str">
        <f t="shared" si="117"/>
        <v/>
      </c>
      <c r="W1067" s="142"/>
      <c r="X1067" s="186" t="str">
        <f t="shared" si="118"/>
        <v/>
      </c>
    </row>
    <row r="1068" spans="1:24" s="147" customFormat="1">
      <c r="A1068" s="173"/>
      <c r="B1068" s="152"/>
      <c r="C1068" s="152"/>
      <c r="D1068" s="153"/>
      <c r="E1068" s="154"/>
      <c r="F1068" s="152"/>
      <c r="G1068" s="152"/>
      <c r="H1068" s="152"/>
      <c r="I1068" s="152"/>
      <c r="J1068" s="152"/>
      <c r="K1068" s="152"/>
      <c r="L1068" s="152"/>
      <c r="M1068" s="152"/>
      <c r="N1068" s="159"/>
      <c r="O1068" s="152"/>
      <c r="P1068" s="69"/>
      <c r="Q1068" s="255" t="str">
        <f t="shared" si="119"/>
        <v/>
      </c>
      <c r="R1068" s="139" t="str">
        <f t="shared" si="120"/>
        <v/>
      </c>
      <c r="S1068" s="128" t="str">
        <f t="shared" si="114"/>
        <v/>
      </c>
      <c r="T1068" s="140" t="str">
        <f t="shared" si="115"/>
        <v/>
      </c>
      <c r="U1068" s="141" t="str">
        <f t="shared" si="116"/>
        <v/>
      </c>
      <c r="V1068" s="141" t="str">
        <f t="shared" si="117"/>
        <v/>
      </c>
      <c r="W1068" s="142"/>
      <c r="X1068" s="186" t="str">
        <f t="shared" si="118"/>
        <v/>
      </c>
    </row>
    <row r="1069" spans="1:24" s="147" customFormat="1">
      <c r="A1069" s="174"/>
      <c r="B1069" s="153"/>
      <c r="C1069" s="153"/>
      <c r="D1069" s="153"/>
      <c r="E1069" s="153"/>
      <c r="F1069" s="153"/>
      <c r="G1069" s="153"/>
      <c r="H1069" s="153"/>
      <c r="I1069" s="153"/>
      <c r="J1069" s="153"/>
      <c r="K1069" s="153"/>
      <c r="L1069" s="153"/>
      <c r="M1069" s="153"/>
      <c r="N1069" s="153"/>
      <c r="O1069" s="153"/>
      <c r="P1069" s="69"/>
      <c r="Q1069" s="255" t="str">
        <f t="shared" si="119"/>
        <v/>
      </c>
      <c r="R1069" s="139" t="str">
        <f t="shared" si="120"/>
        <v/>
      </c>
      <c r="S1069" s="128" t="str">
        <f t="shared" si="114"/>
        <v/>
      </c>
      <c r="T1069" s="140" t="str">
        <f t="shared" si="115"/>
        <v/>
      </c>
      <c r="U1069" s="141" t="str">
        <f t="shared" si="116"/>
        <v/>
      </c>
      <c r="V1069" s="141" t="str">
        <f t="shared" si="117"/>
        <v/>
      </c>
      <c r="W1069" s="142"/>
      <c r="X1069" s="186" t="str">
        <f t="shared" si="118"/>
        <v/>
      </c>
    </row>
    <row r="1070" spans="1:24" s="147" customFormat="1">
      <c r="A1070" s="173"/>
      <c r="B1070" s="152"/>
      <c r="C1070" s="152"/>
      <c r="D1070" s="153"/>
      <c r="E1070" s="154"/>
      <c r="F1070" s="152"/>
      <c r="G1070" s="152"/>
      <c r="H1070" s="152"/>
      <c r="I1070" s="152"/>
      <c r="J1070" s="152"/>
      <c r="K1070" s="152"/>
      <c r="L1070" s="152"/>
      <c r="M1070" s="152"/>
      <c r="N1070" s="159"/>
      <c r="O1070" s="152"/>
      <c r="P1070" s="69"/>
      <c r="Q1070" s="255" t="str">
        <f t="shared" si="119"/>
        <v/>
      </c>
      <c r="R1070" s="139" t="str">
        <f t="shared" si="120"/>
        <v/>
      </c>
      <c r="S1070" s="128" t="str">
        <f t="shared" si="114"/>
        <v/>
      </c>
      <c r="T1070" s="140" t="str">
        <f t="shared" si="115"/>
        <v/>
      </c>
      <c r="U1070" s="141" t="str">
        <f t="shared" si="116"/>
        <v/>
      </c>
      <c r="V1070" s="141" t="str">
        <f t="shared" si="117"/>
        <v/>
      </c>
      <c r="W1070" s="142"/>
      <c r="X1070" s="186" t="str">
        <f t="shared" si="118"/>
        <v/>
      </c>
    </row>
    <row r="1071" spans="1:24" s="147" customFormat="1">
      <c r="A1071" s="175"/>
      <c r="B1071" s="160"/>
      <c r="C1071" s="160"/>
      <c r="D1071" s="160"/>
      <c r="E1071" s="160"/>
      <c r="F1071" s="160"/>
      <c r="G1071" s="160"/>
      <c r="H1071" s="160"/>
      <c r="I1071" s="160"/>
      <c r="J1071" s="160"/>
      <c r="K1071" s="160"/>
      <c r="L1071" s="160"/>
      <c r="M1071" s="160"/>
      <c r="N1071" s="160"/>
      <c r="O1071" s="160"/>
      <c r="P1071" s="69"/>
      <c r="Q1071" s="255" t="str">
        <f t="shared" si="119"/>
        <v/>
      </c>
      <c r="R1071" s="139" t="str">
        <f t="shared" si="120"/>
        <v/>
      </c>
      <c r="S1071" s="128" t="str">
        <f t="shared" si="114"/>
        <v/>
      </c>
      <c r="T1071" s="140" t="str">
        <f t="shared" si="115"/>
        <v/>
      </c>
      <c r="U1071" s="141" t="str">
        <f t="shared" si="116"/>
        <v/>
      </c>
      <c r="V1071" s="141" t="str">
        <f t="shared" si="117"/>
        <v/>
      </c>
      <c r="W1071" s="142"/>
      <c r="X1071" s="186" t="str">
        <f t="shared" si="118"/>
        <v/>
      </c>
    </row>
    <row r="1072" spans="1:24" s="147" customFormat="1">
      <c r="A1072" s="173"/>
      <c r="B1072" s="152"/>
      <c r="C1072" s="152"/>
      <c r="D1072" s="153"/>
      <c r="E1072" s="154"/>
      <c r="F1072" s="152"/>
      <c r="G1072" s="152"/>
      <c r="H1072" s="152"/>
      <c r="I1072" s="152"/>
      <c r="J1072" s="152"/>
      <c r="K1072" s="152"/>
      <c r="L1072" s="152"/>
      <c r="M1072" s="152"/>
      <c r="N1072" s="153"/>
      <c r="O1072" s="152"/>
      <c r="P1072" s="69"/>
      <c r="Q1072" s="255" t="str">
        <f t="shared" si="119"/>
        <v/>
      </c>
      <c r="R1072" s="139" t="str">
        <f t="shared" si="120"/>
        <v/>
      </c>
      <c r="S1072" s="128" t="str">
        <f t="shared" si="114"/>
        <v/>
      </c>
      <c r="T1072" s="140" t="str">
        <f t="shared" si="115"/>
        <v/>
      </c>
      <c r="U1072" s="141" t="str">
        <f t="shared" si="116"/>
        <v/>
      </c>
      <c r="V1072" s="141" t="str">
        <f t="shared" si="117"/>
        <v/>
      </c>
      <c r="W1072" s="142"/>
      <c r="X1072" s="186" t="str">
        <f t="shared" si="118"/>
        <v/>
      </c>
    </row>
    <row r="1073" spans="1:24" s="147" customFormat="1">
      <c r="A1073" s="173"/>
      <c r="B1073" s="155"/>
      <c r="C1073" s="155"/>
      <c r="D1073" s="156"/>
      <c r="E1073" s="157"/>
      <c r="F1073" s="155"/>
      <c r="G1073" s="155"/>
      <c r="H1073" s="155"/>
      <c r="I1073" s="155"/>
      <c r="J1073" s="155"/>
      <c r="K1073" s="155"/>
      <c r="L1073" s="155"/>
      <c r="M1073" s="155"/>
      <c r="N1073" s="158"/>
      <c r="O1073" s="155"/>
      <c r="P1073" s="69"/>
      <c r="Q1073" s="255" t="str">
        <f t="shared" si="119"/>
        <v/>
      </c>
      <c r="R1073" s="139" t="str">
        <f t="shared" si="120"/>
        <v/>
      </c>
      <c r="S1073" s="128" t="str">
        <f t="shared" si="114"/>
        <v/>
      </c>
      <c r="T1073" s="140" t="str">
        <f t="shared" si="115"/>
        <v/>
      </c>
      <c r="U1073" s="141" t="str">
        <f t="shared" si="116"/>
        <v/>
      </c>
      <c r="V1073" s="141" t="str">
        <f t="shared" si="117"/>
        <v/>
      </c>
      <c r="W1073" s="142"/>
      <c r="X1073" s="186" t="str">
        <f t="shared" si="118"/>
        <v/>
      </c>
    </row>
    <row r="1074" spans="1:24" s="147" customFormat="1">
      <c r="A1074" s="173"/>
      <c r="B1074" s="152"/>
      <c r="C1074" s="152"/>
      <c r="D1074" s="159"/>
      <c r="E1074" s="154"/>
      <c r="F1074" s="152"/>
      <c r="G1074" s="152"/>
      <c r="H1074" s="152"/>
      <c r="I1074" s="152"/>
      <c r="J1074" s="152"/>
      <c r="K1074" s="152"/>
      <c r="L1074" s="152"/>
      <c r="M1074" s="152"/>
      <c r="N1074" s="153"/>
      <c r="O1074" s="152"/>
      <c r="P1074" s="69"/>
      <c r="Q1074" s="255" t="str">
        <f t="shared" si="119"/>
        <v/>
      </c>
      <c r="R1074" s="139" t="str">
        <f t="shared" si="120"/>
        <v/>
      </c>
      <c r="S1074" s="128" t="str">
        <f t="shared" si="114"/>
        <v/>
      </c>
      <c r="T1074" s="140" t="str">
        <f t="shared" si="115"/>
        <v/>
      </c>
      <c r="U1074" s="141" t="str">
        <f t="shared" si="116"/>
        <v/>
      </c>
      <c r="V1074" s="141" t="str">
        <f t="shared" si="117"/>
        <v/>
      </c>
      <c r="W1074" s="142"/>
      <c r="X1074" s="186" t="str">
        <f t="shared" si="118"/>
        <v/>
      </c>
    </row>
    <row r="1075" spans="1:24" s="147" customFormat="1">
      <c r="A1075" s="173"/>
      <c r="B1075" s="155"/>
      <c r="C1075" s="155"/>
      <c r="D1075" s="156"/>
      <c r="E1075" s="157"/>
      <c r="F1075" s="155"/>
      <c r="G1075" s="155"/>
      <c r="H1075" s="155"/>
      <c r="I1075" s="155"/>
      <c r="J1075" s="155"/>
      <c r="K1075" s="155"/>
      <c r="L1075" s="155"/>
      <c r="M1075" s="155"/>
      <c r="N1075" s="158"/>
      <c r="O1075" s="155"/>
      <c r="P1075" s="69"/>
      <c r="Q1075" s="255" t="str">
        <f t="shared" si="119"/>
        <v/>
      </c>
      <c r="R1075" s="139" t="str">
        <f t="shared" si="120"/>
        <v/>
      </c>
      <c r="S1075" s="128" t="str">
        <f t="shared" si="114"/>
        <v/>
      </c>
      <c r="T1075" s="140" t="str">
        <f t="shared" si="115"/>
        <v/>
      </c>
      <c r="U1075" s="141" t="str">
        <f t="shared" si="116"/>
        <v/>
      </c>
      <c r="V1075" s="141" t="str">
        <f t="shared" si="117"/>
        <v/>
      </c>
      <c r="W1075" s="142"/>
      <c r="X1075" s="186" t="str">
        <f t="shared" si="118"/>
        <v/>
      </c>
    </row>
    <row r="1076" spans="1:24" s="147" customFormat="1">
      <c r="A1076" s="173"/>
      <c r="B1076" s="152"/>
      <c r="C1076" s="152"/>
      <c r="D1076" s="153"/>
      <c r="E1076" s="154"/>
      <c r="F1076" s="152"/>
      <c r="G1076" s="152"/>
      <c r="H1076" s="152"/>
      <c r="I1076" s="152"/>
      <c r="J1076" s="152"/>
      <c r="K1076" s="152"/>
      <c r="L1076" s="152"/>
      <c r="M1076" s="152"/>
      <c r="N1076" s="153"/>
      <c r="O1076" s="152"/>
      <c r="P1076" s="69"/>
      <c r="Q1076" s="255" t="str">
        <f t="shared" si="119"/>
        <v/>
      </c>
      <c r="R1076" s="139" t="str">
        <f t="shared" si="120"/>
        <v/>
      </c>
      <c r="S1076" s="128" t="str">
        <f t="shared" si="114"/>
        <v/>
      </c>
      <c r="T1076" s="140" t="str">
        <f t="shared" si="115"/>
        <v/>
      </c>
      <c r="U1076" s="141" t="str">
        <f t="shared" si="116"/>
        <v/>
      </c>
      <c r="V1076" s="141" t="str">
        <f t="shared" si="117"/>
        <v/>
      </c>
      <c r="W1076" s="142"/>
      <c r="X1076" s="186" t="str">
        <f t="shared" si="118"/>
        <v/>
      </c>
    </row>
    <row r="1077" spans="1:24" s="147" customFormat="1">
      <c r="A1077" s="173"/>
      <c r="B1077" s="155"/>
      <c r="C1077" s="155"/>
      <c r="D1077" s="155"/>
      <c r="E1077" s="157"/>
      <c r="F1077" s="155"/>
      <c r="G1077" s="155"/>
      <c r="H1077" s="155"/>
      <c r="I1077" s="155"/>
      <c r="J1077" s="155"/>
      <c r="K1077" s="155"/>
      <c r="L1077" s="155"/>
      <c r="M1077" s="155"/>
      <c r="N1077" s="156"/>
      <c r="O1077" s="155"/>
      <c r="P1077" s="69"/>
      <c r="Q1077" s="255" t="str">
        <f t="shared" si="119"/>
        <v/>
      </c>
      <c r="R1077" s="139" t="str">
        <f t="shared" si="120"/>
        <v/>
      </c>
      <c r="S1077" s="128" t="str">
        <f t="shared" si="114"/>
        <v/>
      </c>
      <c r="T1077" s="140" t="str">
        <f t="shared" si="115"/>
        <v/>
      </c>
      <c r="U1077" s="141" t="str">
        <f t="shared" si="116"/>
        <v/>
      </c>
      <c r="V1077" s="141" t="str">
        <f t="shared" si="117"/>
        <v/>
      </c>
      <c r="W1077" s="142"/>
      <c r="X1077" s="186" t="str">
        <f t="shared" si="118"/>
        <v/>
      </c>
    </row>
    <row r="1078" spans="1:24" s="147" customFormat="1">
      <c r="A1078" s="173"/>
      <c r="B1078" s="152"/>
      <c r="C1078" s="152"/>
      <c r="D1078" s="152"/>
      <c r="E1078" s="154"/>
      <c r="F1078" s="152"/>
      <c r="G1078" s="152"/>
      <c r="H1078" s="152"/>
      <c r="I1078" s="152"/>
      <c r="J1078" s="152"/>
      <c r="K1078" s="152"/>
      <c r="L1078" s="152"/>
      <c r="M1078" s="152"/>
      <c r="N1078" s="159"/>
      <c r="O1078" s="152"/>
      <c r="P1078" s="69"/>
      <c r="Q1078" s="255" t="str">
        <f t="shared" si="119"/>
        <v/>
      </c>
      <c r="R1078" s="139" t="str">
        <f t="shared" si="120"/>
        <v/>
      </c>
      <c r="S1078" s="128" t="str">
        <f t="shared" si="114"/>
        <v/>
      </c>
      <c r="T1078" s="140" t="str">
        <f t="shared" si="115"/>
        <v/>
      </c>
      <c r="U1078" s="141" t="str">
        <f t="shared" si="116"/>
        <v/>
      </c>
      <c r="V1078" s="141" t="str">
        <f t="shared" si="117"/>
        <v/>
      </c>
      <c r="W1078" s="142"/>
      <c r="X1078" s="186" t="str">
        <f t="shared" si="118"/>
        <v/>
      </c>
    </row>
    <row r="1079" spans="1:24" s="147" customFormat="1">
      <c r="A1079" s="173"/>
      <c r="B1079" s="155"/>
      <c r="C1079" s="155"/>
      <c r="D1079" s="155"/>
      <c r="E1079" s="157"/>
      <c r="F1079" s="155"/>
      <c r="G1079" s="155"/>
      <c r="H1079" s="157"/>
      <c r="I1079" s="155"/>
      <c r="J1079" s="155"/>
      <c r="K1079" s="155"/>
      <c r="L1079" s="155"/>
      <c r="M1079" s="155"/>
      <c r="N1079" s="156"/>
      <c r="O1079" s="155"/>
      <c r="P1079" s="69"/>
      <c r="Q1079" s="255" t="str">
        <f t="shared" si="119"/>
        <v/>
      </c>
      <c r="R1079" s="139" t="str">
        <f t="shared" si="120"/>
        <v/>
      </c>
      <c r="S1079" s="128" t="str">
        <f t="shared" si="114"/>
        <v/>
      </c>
      <c r="T1079" s="140" t="str">
        <f t="shared" si="115"/>
        <v/>
      </c>
      <c r="U1079" s="141" t="str">
        <f t="shared" si="116"/>
        <v/>
      </c>
      <c r="V1079" s="141" t="str">
        <f t="shared" si="117"/>
        <v/>
      </c>
      <c r="W1079" s="142"/>
      <c r="X1079" s="186" t="str">
        <f t="shared" si="118"/>
        <v/>
      </c>
    </row>
    <row r="1080" spans="1:24" s="147" customFormat="1">
      <c r="A1080" s="173"/>
      <c r="B1080" s="152"/>
      <c r="C1080" s="152"/>
      <c r="D1080" s="152"/>
      <c r="E1080" s="154"/>
      <c r="F1080" s="152"/>
      <c r="G1080" s="152"/>
      <c r="H1080" s="152"/>
      <c r="I1080" s="152"/>
      <c r="J1080" s="152"/>
      <c r="K1080" s="152"/>
      <c r="L1080" s="152"/>
      <c r="M1080" s="152"/>
      <c r="N1080" s="159"/>
      <c r="O1080" s="152"/>
      <c r="P1080" s="69"/>
      <c r="Q1080" s="255" t="str">
        <f t="shared" si="119"/>
        <v/>
      </c>
      <c r="R1080" s="139" t="str">
        <f t="shared" si="120"/>
        <v/>
      </c>
      <c r="S1080" s="128" t="str">
        <f t="shared" si="114"/>
        <v/>
      </c>
      <c r="T1080" s="140" t="str">
        <f t="shared" si="115"/>
        <v/>
      </c>
      <c r="U1080" s="141" t="str">
        <f t="shared" si="116"/>
        <v/>
      </c>
      <c r="V1080" s="141" t="str">
        <f t="shared" si="117"/>
        <v/>
      </c>
      <c r="W1080" s="142"/>
      <c r="X1080" s="186" t="str">
        <f t="shared" si="118"/>
        <v/>
      </c>
    </row>
    <row r="1081" spans="1:24" s="147" customFormat="1">
      <c r="A1081" s="173"/>
      <c r="B1081" s="155"/>
      <c r="C1081" s="155"/>
      <c r="D1081" s="155"/>
      <c r="E1081" s="157"/>
      <c r="F1081" s="155"/>
      <c r="G1081" s="155"/>
      <c r="H1081" s="155"/>
      <c r="I1081" s="155"/>
      <c r="J1081" s="155"/>
      <c r="K1081" s="155"/>
      <c r="L1081" s="155"/>
      <c r="M1081" s="155"/>
      <c r="N1081" s="158"/>
      <c r="O1081" s="155"/>
      <c r="P1081" s="69"/>
      <c r="Q1081" s="255" t="str">
        <f t="shared" si="119"/>
        <v/>
      </c>
      <c r="R1081" s="139" t="str">
        <f t="shared" si="120"/>
        <v/>
      </c>
      <c r="S1081" s="128" t="str">
        <f t="shared" si="114"/>
        <v/>
      </c>
      <c r="T1081" s="140" t="str">
        <f t="shared" si="115"/>
        <v/>
      </c>
      <c r="U1081" s="141" t="str">
        <f t="shared" si="116"/>
        <v/>
      </c>
      <c r="V1081" s="141" t="str">
        <f t="shared" si="117"/>
        <v/>
      </c>
      <c r="W1081" s="142"/>
      <c r="X1081" s="186" t="str">
        <f t="shared" si="118"/>
        <v/>
      </c>
    </row>
    <row r="1082" spans="1:24" s="147" customFormat="1">
      <c r="A1082" s="175"/>
      <c r="B1082" s="160"/>
      <c r="C1082" s="160"/>
      <c r="D1082" s="160"/>
      <c r="E1082" s="160"/>
      <c r="F1082" s="160"/>
      <c r="G1082" s="160"/>
      <c r="H1082" s="160"/>
      <c r="I1082" s="160"/>
      <c r="J1082" s="160"/>
      <c r="K1082" s="160"/>
      <c r="L1082" s="160"/>
      <c r="M1082" s="160"/>
      <c r="N1082" s="160"/>
      <c r="O1082" s="160"/>
      <c r="P1082" s="69"/>
      <c r="Q1082" s="255" t="str">
        <f t="shared" si="119"/>
        <v/>
      </c>
      <c r="R1082" s="139" t="str">
        <f t="shared" si="120"/>
        <v/>
      </c>
      <c r="S1082" s="128" t="str">
        <f t="shared" si="114"/>
        <v/>
      </c>
      <c r="T1082" s="140" t="str">
        <f t="shared" si="115"/>
        <v/>
      </c>
      <c r="U1082" s="141" t="str">
        <f t="shared" si="116"/>
        <v/>
      </c>
      <c r="V1082" s="141" t="str">
        <f t="shared" si="117"/>
        <v/>
      </c>
      <c r="W1082" s="142"/>
      <c r="X1082" s="186" t="str">
        <f t="shared" si="118"/>
        <v/>
      </c>
    </row>
    <row r="1083" spans="1:24" s="147" customFormat="1">
      <c r="A1083" s="173"/>
      <c r="B1083" s="155"/>
      <c r="C1083" s="155"/>
      <c r="D1083" s="156"/>
      <c r="E1083" s="157"/>
      <c r="F1083" s="155"/>
      <c r="G1083" s="155"/>
      <c r="H1083" s="155"/>
      <c r="I1083" s="155"/>
      <c r="J1083" s="155"/>
      <c r="K1083" s="155"/>
      <c r="L1083" s="155"/>
      <c r="M1083" s="155"/>
      <c r="N1083" s="156"/>
      <c r="O1083" s="155"/>
      <c r="P1083" s="69"/>
      <c r="Q1083" s="255" t="str">
        <f t="shared" si="119"/>
        <v/>
      </c>
      <c r="R1083" s="139" t="str">
        <f t="shared" si="120"/>
        <v/>
      </c>
      <c r="S1083" s="128" t="str">
        <f t="shared" si="114"/>
        <v/>
      </c>
      <c r="T1083" s="140" t="str">
        <f t="shared" si="115"/>
        <v/>
      </c>
      <c r="U1083" s="141" t="str">
        <f t="shared" si="116"/>
        <v/>
      </c>
      <c r="V1083" s="141" t="str">
        <f t="shared" si="117"/>
        <v/>
      </c>
      <c r="W1083" s="142"/>
      <c r="X1083" s="186" t="str">
        <f t="shared" si="118"/>
        <v/>
      </c>
    </row>
    <row r="1084" spans="1:24" s="147" customFormat="1">
      <c r="A1084" s="175"/>
      <c r="B1084" s="160"/>
      <c r="C1084" s="160"/>
      <c r="D1084" s="160"/>
      <c r="E1084" s="160"/>
      <c r="F1084" s="160"/>
      <c r="G1084" s="160"/>
      <c r="H1084" s="160"/>
      <c r="I1084" s="160"/>
      <c r="J1084" s="160"/>
      <c r="K1084" s="160"/>
      <c r="L1084" s="160"/>
      <c r="M1084" s="160"/>
      <c r="N1084" s="160"/>
      <c r="O1084" s="160"/>
      <c r="P1084" s="69"/>
      <c r="Q1084" s="255" t="str">
        <f t="shared" si="119"/>
        <v/>
      </c>
      <c r="R1084" s="139" t="str">
        <f t="shared" si="120"/>
        <v/>
      </c>
      <c r="S1084" s="128" t="str">
        <f t="shared" si="114"/>
        <v/>
      </c>
      <c r="T1084" s="140" t="str">
        <f t="shared" si="115"/>
        <v/>
      </c>
      <c r="U1084" s="141" t="str">
        <f t="shared" si="116"/>
        <v/>
      </c>
      <c r="V1084" s="141" t="str">
        <f t="shared" si="117"/>
        <v/>
      </c>
      <c r="W1084" s="142"/>
      <c r="X1084" s="186" t="str">
        <f t="shared" si="118"/>
        <v/>
      </c>
    </row>
    <row r="1085" spans="1:24" s="147" customFormat="1">
      <c r="A1085" s="173"/>
      <c r="B1085" s="155"/>
      <c r="C1085" s="155"/>
      <c r="D1085" s="156"/>
      <c r="E1085" s="157"/>
      <c r="F1085" s="155"/>
      <c r="G1085" s="155"/>
      <c r="H1085" s="155"/>
      <c r="I1085" s="155"/>
      <c r="J1085" s="155"/>
      <c r="K1085" s="155"/>
      <c r="L1085" s="155"/>
      <c r="M1085" s="155"/>
      <c r="N1085" s="158"/>
      <c r="O1085" s="155"/>
      <c r="P1085" s="69"/>
      <c r="Q1085" s="255" t="str">
        <f t="shared" si="119"/>
        <v/>
      </c>
      <c r="R1085" s="139" t="str">
        <f t="shared" si="120"/>
        <v/>
      </c>
      <c r="S1085" s="128" t="str">
        <f t="shared" si="114"/>
        <v/>
      </c>
      <c r="T1085" s="140" t="str">
        <f t="shared" si="115"/>
        <v/>
      </c>
      <c r="U1085" s="141" t="str">
        <f t="shared" si="116"/>
        <v/>
      </c>
      <c r="V1085" s="141" t="str">
        <f t="shared" si="117"/>
        <v/>
      </c>
      <c r="W1085" s="142"/>
      <c r="X1085" s="186" t="str">
        <f t="shared" si="118"/>
        <v/>
      </c>
    </row>
    <row r="1086" spans="1:24" s="147" customFormat="1">
      <c r="A1086" s="173"/>
      <c r="B1086" s="152"/>
      <c r="C1086" s="152"/>
      <c r="D1086" s="159"/>
      <c r="E1086" s="154"/>
      <c r="F1086" s="152"/>
      <c r="G1086" s="152"/>
      <c r="H1086" s="152"/>
      <c r="I1086" s="152"/>
      <c r="J1086" s="152"/>
      <c r="K1086" s="152"/>
      <c r="L1086" s="152"/>
      <c r="M1086" s="152"/>
      <c r="N1086" s="159"/>
      <c r="O1086" s="152"/>
      <c r="P1086" s="69"/>
      <c r="Q1086" s="255" t="str">
        <f t="shared" si="119"/>
        <v/>
      </c>
      <c r="R1086" s="139" t="str">
        <f t="shared" si="120"/>
        <v/>
      </c>
      <c r="S1086" s="128" t="str">
        <f t="shared" si="114"/>
        <v/>
      </c>
      <c r="T1086" s="140" t="str">
        <f t="shared" si="115"/>
        <v/>
      </c>
      <c r="U1086" s="141" t="str">
        <f t="shared" si="116"/>
        <v/>
      </c>
      <c r="V1086" s="141" t="str">
        <f t="shared" si="117"/>
        <v/>
      </c>
      <c r="W1086" s="142"/>
      <c r="X1086" s="186" t="str">
        <f t="shared" si="118"/>
        <v/>
      </c>
    </row>
    <row r="1087" spans="1:24" s="147" customFormat="1">
      <c r="A1087" s="174"/>
      <c r="B1087" s="153"/>
      <c r="C1087" s="153"/>
      <c r="D1087" s="153"/>
      <c r="E1087" s="153"/>
      <c r="F1087" s="153"/>
      <c r="G1087" s="153"/>
      <c r="H1087" s="153"/>
      <c r="I1087" s="153"/>
      <c r="J1087" s="153"/>
      <c r="K1087" s="153"/>
      <c r="L1087" s="153"/>
      <c r="M1087" s="153"/>
      <c r="N1087" s="153"/>
      <c r="O1087" s="153"/>
      <c r="P1087" s="69"/>
      <c r="Q1087" s="255" t="str">
        <f t="shared" si="119"/>
        <v/>
      </c>
      <c r="R1087" s="139" t="str">
        <f t="shared" si="120"/>
        <v/>
      </c>
      <c r="S1087" s="128" t="str">
        <f t="shared" si="114"/>
        <v/>
      </c>
      <c r="T1087" s="140" t="str">
        <f t="shared" si="115"/>
        <v/>
      </c>
      <c r="U1087" s="141" t="str">
        <f t="shared" si="116"/>
        <v/>
      </c>
      <c r="V1087" s="141" t="str">
        <f t="shared" si="117"/>
        <v/>
      </c>
      <c r="W1087" s="142"/>
      <c r="X1087" s="186" t="str">
        <f t="shared" si="118"/>
        <v/>
      </c>
    </row>
    <row r="1088" spans="1:24" s="147" customFormat="1">
      <c r="A1088" s="173"/>
      <c r="B1088" s="152"/>
      <c r="C1088" s="152"/>
      <c r="D1088" s="159"/>
      <c r="E1088" s="154"/>
      <c r="F1088" s="152"/>
      <c r="G1088" s="152"/>
      <c r="H1088" s="152"/>
      <c r="I1088" s="152"/>
      <c r="J1088" s="152"/>
      <c r="K1088" s="152"/>
      <c r="L1088" s="152"/>
      <c r="M1088" s="152"/>
      <c r="N1088" s="159"/>
      <c r="O1088" s="152"/>
      <c r="P1088" s="69"/>
      <c r="Q1088" s="255" t="str">
        <f t="shared" si="119"/>
        <v/>
      </c>
      <c r="R1088" s="139" t="str">
        <f t="shared" si="120"/>
        <v/>
      </c>
      <c r="S1088" s="128" t="str">
        <f t="shared" si="114"/>
        <v/>
      </c>
      <c r="T1088" s="140" t="str">
        <f t="shared" si="115"/>
        <v/>
      </c>
      <c r="U1088" s="141" t="str">
        <f t="shared" si="116"/>
        <v/>
      </c>
      <c r="V1088" s="141" t="str">
        <f t="shared" si="117"/>
        <v/>
      </c>
      <c r="W1088" s="142"/>
      <c r="X1088" s="186" t="str">
        <f t="shared" si="118"/>
        <v/>
      </c>
    </row>
    <row r="1089" spans="1:24" s="147" customFormat="1">
      <c r="A1089" s="174"/>
      <c r="B1089" s="153"/>
      <c r="C1089" s="153"/>
      <c r="D1089" s="153"/>
      <c r="E1089" s="153"/>
      <c r="F1089" s="153"/>
      <c r="G1089" s="153"/>
      <c r="H1089" s="153"/>
      <c r="I1089" s="153"/>
      <c r="J1089" s="153"/>
      <c r="K1089" s="153"/>
      <c r="L1089" s="153"/>
      <c r="M1089" s="153"/>
      <c r="N1089" s="153"/>
      <c r="O1089" s="153"/>
      <c r="P1089" s="69"/>
      <c r="Q1089" s="255" t="str">
        <f t="shared" si="119"/>
        <v/>
      </c>
      <c r="R1089" s="139" t="str">
        <f t="shared" si="120"/>
        <v/>
      </c>
      <c r="S1089" s="128" t="str">
        <f t="shared" si="114"/>
        <v/>
      </c>
      <c r="T1089" s="140" t="str">
        <f t="shared" si="115"/>
        <v/>
      </c>
      <c r="U1089" s="141" t="str">
        <f t="shared" si="116"/>
        <v/>
      </c>
      <c r="V1089" s="141" t="str">
        <f t="shared" si="117"/>
        <v/>
      </c>
      <c r="W1089" s="142"/>
      <c r="X1089" s="186" t="str">
        <f t="shared" si="118"/>
        <v/>
      </c>
    </row>
    <row r="1090" spans="1:24" s="147" customFormat="1">
      <c r="A1090" s="173"/>
      <c r="B1090" s="152"/>
      <c r="C1090" s="152"/>
      <c r="D1090" s="152"/>
      <c r="E1090" s="154"/>
      <c r="F1090" s="152"/>
      <c r="G1090" s="152"/>
      <c r="H1090" s="152"/>
      <c r="I1090" s="152"/>
      <c r="J1090" s="152"/>
      <c r="K1090" s="152"/>
      <c r="L1090" s="152"/>
      <c r="M1090" s="152"/>
      <c r="N1090" s="159"/>
      <c r="O1090" s="152"/>
      <c r="P1090" s="69"/>
      <c r="Q1090" s="255" t="str">
        <f t="shared" si="119"/>
        <v/>
      </c>
      <c r="R1090" s="139" t="str">
        <f t="shared" si="120"/>
        <v/>
      </c>
      <c r="S1090" s="128" t="str">
        <f t="shared" si="114"/>
        <v/>
      </c>
      <c r="T1090" s="140" t="str">
        <f t="shared" si="115"/>
        <v/>
      </c>
      <c r="U1090" s="141" t="str">
        <f t="shared" si="116"/>
        <v/>
      </c>
      <c r="V1090" s="141" t="str">
        <f t="shared" si="117"/>
        <v/>
      </c>
      <c r="W1090" s="142"/>
      <c r="X1090" s="186" t="str">
        <f t="shared" si="118"/>
        <v/>
      </c>
    </row>
    <row r="1091" spans="1:24" s="147" customFormat="1">
      <c r="A1091" s="173"/>
      <c r="B1091" s="155"/>
      <c r="C1091" s="155"/>
      <c r="D1091" s="155"/>
      <c r="E1091" s="157"/>
      <c r="F1091" s="155"/>
      <c r="G1091" s="155"/>
      <c r="H1091" s="155"/>
      <c r="I1091" s="155"/>
      <c r="J1091" s="155"/>
      <c r="K1091" s="155"/>
      <c r="L1091" s="155"/>
      <c r="M1091" s="155"/>
      <c r="N1091" s="156"/>
      <c r="O1091" s="155"/>
      <c r="P1091" s="69"/>
      <c r="Q1091" s="255" t="str">
        <f t="shared" si="119"/>
        <v/>
      </c>
      <c r="R1091" s="139" t="str">
        <f t="shared" si="120"/>
        <v/>
      </c>
      <c r="S1091" s="128" t="str">
        <f t="shared" si="114"/>
        <v/>
      </c>
      <c r="T1091" s="140" t="str">
        <f t="shared" si="115"/>
        <v/>
      </c>
      <c r="U1091" s="141" t="str">
        <f t="shared" si="116"/>
        <v/>
      </c>
      <c r="V1091" s="141" t="str">
        <f t="shared" si="117"/>
        <v/>
      </c>
      <c r="W1091" s="142"/>
      <c r="X1091" s="186" t="str">
        <f t="shared" si="118"/>
        <v/>
      </c>
    </row>
    <row r="1092" spans="1:24" s="147" customFormat="1">
      <c r="A1092" s="174"/>
      <c r="B1092" s="153"/>
      <c r="C1092" s="153"/>
      <c r="D1092" s="153"/>
      <c r="E1092" s="153"/>
      <c r="F1092" s="153"/>
      <c r="G1092" s="153"/>
      <c r="H1092" s="153"/>
      <c r="I1092" s="153"/>
      <c r="J1092" s="153"/>
      <c r="K1092" s="153"/>
      <c r="L1092" s="153"/>
      <c r="M1092" s="153"/>
      <c r="N1092" s="153"/>
      <c r="O1092" s="153"/>
      <c r="P1092" s="69"/>
      <c r="Q1092" s="255" t="str">
        <f t="shared" si="119"/>
        <v/>
      </c>
      <c r="R1092" s="139" t="str">
        <f t="shared" si="120"/>
        <v/>
      </c>
      <c r="S1092" s="128" t="str">
        <f t="shared" si="114"/>
        <v/>
      </c>
      <c r="T1092" s="140" t="str">
        <f t="shared" si="115"/>
        <v/>
      </c>
      <c r="U1092" s="141" t="str">
        <f t="shared" si="116"/>
        <v/>
      </c>
      <c r="V1092" s="141" t="str">
        <f t="shared" si="117"/>
        <v/>
      </c>
      <c r="W1092" s="142"/>
      <c r="X1092" s="186" t="str">
        <f t="shared" si="118"/>
        <v/>
      </c>
    </row>
    <row r="1093" spans="1:24" s="147" customFormat="1">
      <c r="A1093" s="173"/>
      <c r="B1093" s="155"/>
      <c r="C1093" s="155"/>
      <c r="D1093" s="158"/>
      <c r="E1093" s="157"/>
      <c r="F1093" s="155"/>
      <c r="G1093" s="155"/>
      <c r="H1093" s="155"/>
      <c r="I1093" s="155"/>
      <c r="J1093" s="155"/>
      <c r="K1093" s="155"/>
      <c r="L1093" s="155"/>
      <c r="M1093" s="155"/>
      <c r="N1093" s="156"/>
      <c r="O1093" s="155"/>
      <c r="P1093" s="69"/>
      <c r="Q1093" s="255" t="str">
        <f t="shared" si="119"/>
        <v/>
      </c>
      <c r="R1093" s="139" t="str">
        <f t="shared" si="120"/>
        <v/>
      </c>
      <c r="S1093" s="128" t="str">
        <f t="shared" si="114"/>
        <v/>
      </c>
      <c r="T1093" s="140" t="str">
        <f t="shared" si="115"/>
        <v/>
      </c>
      <c r="U1093" s="141" t="str">
        <f t="shared" si="116"/>
        <v/>
      </c>
      <c r="V1093" s="141" t="str">
        <f t="shared" si="117"/>
        <v/>
      </c>
      <c r="W1093" s="142"/>
      <c r="X1093" s="186" t="str">
        <f t="shared" si="118"/>
        <v/>
      </c>
    </row>
    <row r="1094" spans="1:24" s="147" customFormat="1">
      <c r="A1094" s="175"/>
      <c r="B1094" s="160"/>
      <c r="C1094" s="160"/>
      <c r="D1094" s="160"/>
      <c r="E1094" s="160"/>
      <c r="F1094" s="160"/>
      <c r="G1094" s="160"/>
      <c r="H1094" s="160"/>
      <c r="I1094" s="160"/>
      <c r="J1094" s="160"/>
      <c r="K1094" s="160"/>
      <c r="L1094" s="160"/>
      <c r="M1094" s="160"/>
      <c r="N1094" s="160"/>
      <c r="O1094" s="160"/>
      <c r="P1094" s="69"/>
      <c r="Q1094" s="255" t="str">
        <f t="shared" si="119"/>
        <v/>
      </c>
      <c r="R1094" s="139" t="str">
        <f t="shared" si="120"/>
        <v/>
      </c>
      <c r="S1094" s="128" t="str">
        <f t="shared" si="114"/>
        <v/>
      </c>
      <c r="T1094" s="140" t="str">
        <f t="shared" si="115"/>
        <v/>
      </c>
      <c r="U1094" s="141" t="str">
        <f t="shared" si="116"/>
        <v/>
      </c>
      <c r="V1094" s="141" t="str">
        <f t="shared" si="117"/>
        <v/>
      </c>
      <c r="W1094" s="142"/>
      <c r="X1094" s="186" t="str">
        <f t="shared" si="118"/>
        <v/>
      </c>
    </row>
    <row r="1095" spans="1:24" s="147" customFormat="1">
      <c r="A1095" s="173"/>
      <c r="B1095" s="155"/>
      <c r="C1095" s="155"/>
      <c r="D1095" s="156"/>
      <c r="E1095" s="157"/>
      <c r="F1095" s="155"/>
      <c r="G1095" s="155"/>
      <c r="H1095" s="155"/>
      <c r="I1095" s="155"/>
      <c r="J1095" s="155"/>
      <c r="K1095" s="155"/>
      <c r="L1095" s="155"/>
      <c r="M1095" s="155"/>
      <c r="N1095" s="156"/>
      <c r="O1095" s="155"/>
      <c r="P1095" s="69"/>
      <c r="Q1095" s="255" t="str">
        <f t="shared" si="119"/>
        <v/>
      </c>
      <c r="R1095" s="139" t="str">
        <f t="shared" si="120"/>
        <v/>
      </c>
      <c r="S1095" s="128" t="str">
        <f t="shared" ref="S1095:S1161" si="121">IF(D1095="","",IF(IFERROR(FIND("資",D1095)&gt;0,FALSE),"資券",IF(IFERROR(FIND("券",D1095)&gt;0,FALSE),"資券","波段")))</f>
        <v/>
      </c>
      <c r="T1095" s="140" t="str">
        <f t="shared" ref="T1095:T1161" si="122">IF(F1095="","",F1095)</f>
        <v/>
      </c>
      <c r="U1095" s="141" t="str">
        <f t="shared" ref="U1095:U1161" si="123">IF(D1095="","",IF(IFERROR(FIND("買",D1095)&gt;0,FALSE),E1095,IF(IFERROR(FIND("賣",D1095)&gt;0,FALSE),-E1095,IF(IFERROR(FIND("資",D1095)&gt;0,FALSE),E1095,-E1095))))</f>
        <v/>
      </c>
      <c r="V1095" s="141" t="str">
        <f t="shared" ref="V1095:V1158" si="124">IF(Q1095="","",T1095*U1095*-1)</f>
        <v/>
      </c>
      <c r="W1095" s="142"/>
      <c r="X1095" s="186" t="str">
        <f t="shared" ref="X1095:X1161" si="125">IFERROR((-1)*LEFT(N1095,FIND("扣",N1095)-1),IFERROR(1*LEFT(N1095,FIND("入",N1095)-1),""))</f>
        <v/>
      </c>
    </row>
    <row r="1096" spans="1:24" s="147" customFormat="1">
      <c r="A1096" s="174"/>
      <c r="B1096" s="153"/>
      <c r="C1096" s="153"/>
      <c r="D1096" s="153"/>
      <c r="E1096" s="153"/>
      <c r="F1096" s="153"/>
      <c r="G1096" s="153"/>
      <c r="H1096" s="153"/>
      <c r="I1096" s="153"/>
      <c r="J1096" s="153"/>
      <c r="K1096" s="153"/>
      <c r="L1096" s="153"/>
      <c r="M1096" s="153"/>
      <c r="N1096" s="153"/>
      <c r="O1096" s="153"/>
      <c r="P1096" s="69"/>
      <c r="Q1096" s="255" t="str">
        <f t="shared" ref="Q1096:Q1159" si="126">IF(B1096="","",DATE(LEFT(B1096,3)+1911,MID(B1096,4,2),RIGHT(B1096,2)))</f>
        <v/>
      </c>
      <c r="R1096" s="139" t="str">
        <f t="shared" ref="R1096:R1159" si="127">IF(C1096="","",IFERROR(INDEX(代號1,MATCH($C1096,股名1,0)),IFERROR(INDEX(代號2,MATCH($C1096,股名2,0)),INDEX(代號3,MATCH($C1096,股名3,0)))))</f>
        <v/>
      </c>
      <c r="S1096" s="128" t="str">
        <f t="shared" si="121"/>
        <v/>
      </c>
      <c r="T1096" s="140" t="str">
        <f t="shared" si="122"/>
        <v/>
      </c>
      <c r="U1096" s="141" t="str">
        <f t="shared" si="123"/>
        <v/>
      </c>
      <c r="V1096" s="141" t="str">
        <f t="shared" si="124"/>
        <v/>
      </c>
      <c r="W1096" s="142"/>
      <c r="X1096" s="186" t="str">
        <f t="shared" si="125"/>
        <v/>
      </c>
    </row>
    <row r="1097" spans="1:24" s="147" customFormat="1">
      <c r="A1097" s="173"/>
      <c r="B1097" s="155"/>
      <c r="C1097" s="155"/>
      <c r="D1097" s="156"/>
      <c r="E1097" s="157"/>
      <c r="F1097" s="155"/>
      <c r="G1097" s="155"/>
      <c r="H1097" s="155"/>
      <c r="I1097" s="155"/>
      <c r="J1097" s="155"/>
      <c r="K1097" s="155"/>
      <c r="L1097" s="155"/>
      <c r="M1097" s="155"/>
      <c r="N1097" s="156"/>
      <c r="O1097" s="155"/>
      <c r="P1097" s="69"/>
      <c r="Q1097" s="255" t="str">
        <f t="shared" si="126"/>
        <v/>
      </c>
      <c r="R1097" s="139" t="str">
        <f t="shared" si="127"/>
        <v/>
      </c>
      <c r="S1097" s="128" t="str">
        <f t="shared" si="121"/>
        <v/>
      </c>
      <c r="T1097" s="140" t="str">
        <f t="shared" si="122"/>
        <v/>
      </c>
      <c r="U1097" s="141" t="str">
        <f t="shared" si="123"/>
        <v/>
      </c>
      <c r="V1097" s="141" t="str">
        <f t="shared" si="124"/>
        <v/>
      </c>
      <c r="W1097" s="142"/>
      <c r="X1097" s="186" t="str">
        <f t="shared" si="125"/>
        <v/>
      </c>
    </row>
    <row r="1098" spans="1:24" s="147" customFormat="1">
      <c r="A1098" s="174"/>
      <c r="B1098" s="153"/>
      <c r="C1098" s="153"/>
      <c r="D1098" s="153"/>
      <c r="E1098" s="153"/>
      <c r="F1098" s="153"/>
      <c r="G1098" s="153"/>
      <c r="H1098" s="153"/>
      <c r="I1098" s="153"/>
      <c r="J1098" s="153"/>
      <c r="K1098" s="153"/>
      <c r="L1098" s="153"/>
      <c r="M1098" s="153"/>
      <c r="N1098" s="153"/>
      <c r="O1098" s="153"/>
      <c r="P1098" s="69"/>
      <c r="Q1098" s="255" t="str">
        <f t="shared" si="126"/>
        <v/>
      </c>
      <c r="R1098" s="139" t="str">
        <f t="shared" si="127"/>
        <v/>
      </c>
      <c r="S1098" s="128" t="str">
        <f t="shared" si="121"/>
        <v/>
      </c>
      <c r="T1098" s="140" t="str">
        <f t="shared" si="122"/>
        <v/>
      </c>
      <c r="U1098" s="141" t="str">
        <f t="shared" si="123"/>
        <v/>
      </c>
      <c r="V1098" s="141" t="str">
        <f t="shared" si="124"/>
        <v/>
      </c>
      <c r="W1098" s="142"/>
      <c r="X1098" s="186" t="str">
        <f t="shared" si="125"/>
        <v/>
      </c>
    </row>
    <row r="1099" spans="1:24" s="147" customFormat="1">
      <c r="A1099" s="173"/>
      <c r="B1099" s="155"/>
      <c r="C1099" s="155"/>
      <c r="D1099" s="155"/>
      <c r="E1099" s="157"/>
      <c r="F1099" s="155"/>
      <c r="G1099" s="155"/>
      <c r="H1099" s="155"/>
      <c r="I1099" s="155"/>
      <c r="J1099" s="155"/>
      <c r="K1099" s="155"/>
      <c r="L1099" s="155"/>
      <c r="M1099" s="155"/>
      <c r="N1099" s="158"/>
      <c r="O1099" s="155"/>
      <c r="P1099" s="69"/>
      <c r="Q1099" s="255" t="str">
        <f t="shared" si="126"/>
        <v/>
      </c>
      <c r="R1099" s="139" t="str">
        <f t="shared" si="127"/>
        <v/>
      </c>
      <c r="S1099" s="128" t="str">
        <f t="shared" si="121"/>
        <v/>
      </c>
      <c r="T1099" s="140" t="str">
        <f t="shared" si="122"/>
        <v/>
      </c>
      <c r="U1099" s="141" t="str">
        <f t="shared" si="123"/>
        <v/>
      </c>
      <c r="V1099" s="141" t="str">
        <f t="shared" si="124"/>
        <v/>
      </c>
      <c r="W1099" s="142"/>
      <c r="X1099" s="186" t="str">
        <f t="shared" si="125"/>
        <v/>
      </c>
    </row>
    <row r="1100" spans="1:24" s="147" customFormat="1">
      <c r="A1100" s="175"/>
      <c r="B1100" s="160"/>
      <c r="C1100" s="160"/>
      <c r="D1100" s="160"/>
      <c r="E1100" s="160"/>
      <c r="F1100" s="160"/>
      <c r="G1100" s="160"/>
      <c r="H1100" s="160"/>
      <c r="I1100" s="160"/>
      <c r="J1100" s="160"/>
      <c r="K1100" s="160"/>
      <c r="L1100" s="160"/>
      <c r="M1100" s="160"/>
      <c r="N1100" s="160"/>
      <c r="O1100" s="160"/>
      <c r="P1100" s="69"/>
      <c r="Q1100" s="255" t="str">
        <f t="shared" si="126"/>
        <v/>
      </c>
      <c r="R1100" s="139" t="str">
        <f t="shared" si="127"/>
        <v/>
      </c>
      <c r="S1100" s="128" t="str">
        <f t="shared" si="121"/>
        <v/>
      </c>
      <c r="T1100" s="140" t="str">
        <f t="shared" si="122"/>
        <v/>
      </c>
      <c r="U1100" s="141" t="str">
        <f t="shared" si="123"/>
        <v/>
      </c>
      <c r="V1100" s="141" t="str">
        <f t="shared" si="124"/>
        <v/>
      </c>
      <c r="W1100" s="142"/>
      <c r="X1100" s="186" t="str">
        <f t="shared" si="125"/>
        <v/>
      </c>
    </row>
    <row r="1101" spans="1:24" s="147" customFormat="1">
      <c r="A1101" s="173"/>
      <c r="B1101" s="155"/>
      <c r="C1101" s="155"/>
      <c r="D1101" s="155"/>
      <c r="E1101" s="157"/>
      <c r="F1101" s="155"/>
      <c r="G1101" s="155"/>
      <c r="H1101" s="155"/>
      <c r="I1101" s="155"/>
      <c r="J1101" s="155"/>
      <c r="K1101" s="155"/>
      <c r="L1101" s="155"/>
      <c r="M1101" s="155"/>
      <c r="N1101" s="156"/>
      <c r="O1101" s="155"/>
      <c r="P1101" s="69"/>
      <c r="Q1101" s="255" t="str">
        <f t="shared" si="126"/>
        <v/>
      </c>
      <c r="R1101" s="139" t="str">
        <f t="shared" si="127"/>
        <v/>
      </c>
      <c r="S1101" s="128" t="str">
        <f t="shared" si="121"/>
        <v/>
      </c>
      <c r="T1101" s="140" t="str">
        <f t="shared" si="122"/>
        <v/>
      </c>
      <c r="U1101" s="141" t="str">
        <f t="shared" si="123"/>
        <v/>
      </c>
      <c r="V1101" s="141" t="str">
        <f t="shared" si="124"/>
        <v/>
      </c>
      <c r="W1101" s="142"/>
      <c r="X1101" s="186" t="str">
        <f t="shared" si="125"/>
        <v/>
      </c>
    </row>
    <row r="1102" spans="1:24" s="147" customFormat="1">
      <c r="A1102" s="173"/>
      <c r="B1102" s="152"/>
      <c r="C1102" s="152"/>
      <c r="D1102" s="152"/>
      <c r="E1102" s="154"/>
      <c r="F1102" s="152"/>
      <c r="G1102" s="152"/>
      <c r="H1102" s="152"/>
      <c r="I1102" s="152"/>
      <c r="J1102" s="152"/>
      <c r="K1102" s="152"/>
      <c r="L1102" s="152"/>
      <c r="M1102" s="152"/>
      <c r="N1102" s="159"/>
      <c r="O1102" s="152"/>
      <c r="P1102" s="69"/>
      <c r="Q1102" s="255" t="str">
        <f t="shared" si="126"/>
        <v/>
      </c>
      <c r="R1102" s="139" t="str">
        <f t="shared" si="127"/>
        <v/>
      </c>
      <c r="S1102" s="128" t="str">
        <f t="shared" si="121"/>
        <v/>
      </c>
      <c r="T1102" s="140" t="str">
        <f t="shared" si="122"/>
        <v/>
      </c>
      <c r="U1102" s="141" t="str">
        <f t="shared" si="123"/>
        <v/>
      </c>
      <c r="V1102" s="141" t="str">
        <f t="shared" si="124"/>
        <v/>
      </c>
      <c r="W1102" s="142"/>
      <c r="X1102" s="186" t="str">
        <f t="shared" si="125"/>
        <v/>
      </c>
    </row>
    <row r="1103" spans="1:24" s="147" customFormat="1">
      <c r="A1103" s="173"/>
      <c r="B1103" s="155"/>
      <c r="C1103" s="155"/>
      <c r="D1103" s="155"/>
      <c r="E1103" s="157"/>
      <c r="F1103" s="155"/>
      <c r="G1103" s="155"/>
      <c r="H1103" s="155"/>
      <c r="I1103" s="155"/>
      <c r="J1103" s="155"/>
      <c r="K1103" s="155"/>
      <c r="L1103" s="155"/>
      <c r="M1103" s="155"/>
      <c r="N1103" s="158"/>
      <c r="O1103" s="155"/>
      <c r="P1103" s="69"/>
      <c r="Q1103" s="255" t="str">
        <f t="shared" si="126"/>
        <v/>
      </c>
      <c r="R1103" s="139" t="str">
        <f t="shared" si="127"/>
        <v/>
      </c>
      <c r="S1103" s="128" t="str">
        <f t="shared" si="121"/>
        <v/>
      </c>
      <c r="T1103" s="140" t="str">
        <f t="shared" si="122"/>
        <v/>
      </c>
      <c r="U1103" s="141" t="str">
        <f t="shared" si="123"/>
        <v/>
      </c>
      <c r="V1103" s="141" t="str">
        <f t="shared" si="124"/>
        <v/>
      </c>
      <c r="W1103" s="142"/>
      <c r="X1103" s="186" t="str">
        <f t="shared" si="125"/>
        <v/>
      </c>
    </row>
    <row r="1104" spans="1:24" s="147" customFormat="1">
      <c r="A1104" s="175"/>
      <c r="B1104" s="160"/>
      <c r="C1104" s="160"/>
      <c r="D1104" s="160"/>
      <c r="E1104" s="160"/>
      <c r="F1104" s="160"/>
      <c r="G1104" s="160"/>
      <c r="H1104" s="160"/>
      <c r="I1104" s="160"/>
      <c r="J1104" s="160"/>
      <c r="K1104" s="160"/>
      <c r="L1104" s="160"/>
      <c r="M1104" s="160"/>
      <c r="N1104" s="160"/>
      <c r="O1104" s="160"/>
      <c r="P1104" s="69"/>
      <c r="Q1104" s="255" t="str">
        <f t="shared" si="126"/>
        <v/>
      </c>
      <c r="R1104" s="139" t="str">
        <f t="shared" si="127"/>
        <v/>
      </c>
      <c r="S1104" s="128" t="str">
        <f t="shared" si="121"/>
        <v/>
      </c>
      <c r="T1104" s="140" t="str">
        <f t="shared" si="122"/>
        <v/>
      </c>
      <c r="U1104" s="141" t="str">
        <f t="shared" si="123"/>
        <v/>
      </c>
      <c r="V1104" s="141" t="str">
        <f t="shared" si="124"/>
        <v/>
      </c>
      <c r="W1104" s="142"/>
      <c r="X1104" s="186" t="str">
        <f t="shared" si="125"/>
        <v/>
      </c>
    </row>
    <row r="1105" spans="1:24" s="147" customFormat="1">
      <c r="A1105" s="173"/>
      <c r="B1105" s="155"/>
      <c r="C1105" s="155"/>
      <c r="D1105" s="158"/>
      <c r="E1105" s="157"/>
      <c r="F1105" s="155"/>
      <c r="G1105" s="155"/>
      <c r="H1105" s="155"/>
      <c r="I1105" s="155"/>
      <c r="J1105" s="155"/>
      <c r="K1105" s="155"/>
      <c r="L1105" s="155"/>
      <c r="M1105" s="155"/>
      <c r="N1105" s="158"/>
      <c r="O1105" s="155"/>
      <c r="P1105" s="69"/>
      <c r="Q1105" s="255" t="str">
        <f t="shared" si="126"/>
        <v/>
      </c>
      <c r="R1105" s="139" t="str">
        <f t="shared" si="127"/>
        <v/>
      </c>
      <c r="S1105" s="128" t="str">
        <f t="shared" si="121"/>
        <v/>
      </c>
      <c r="T1105" s="140" t="str">
        <f t="shared" si="122"/>
        <v/>
      </c>
      <c r="U1105" s="141" t="str">
        <f t="shared" si="123"/>
        <v/>
      </c>
      <c r="V1105" s="141" t="str">
        <f t="shared" si="124"/>
        <v/>
      </c>
      <c r="W1105" s="142"/>
      <c r="X1105" s="186" t="str">
        <f t="shared" si="125"/>
        <v/>
      </c>
    </row>
    <row r="1106" spans="1:24" s="147" customFormat="1">
      <c r="A1106" s="173"/>
      <c r="B1106" s="152"/>
      <c r="C1106" s="152"/>
      <c r="D1106" s="159"/>
      <c r="E1106" s="154"/>
      <c r="F1106" s="152"/>
      <c r="G1106" s="152"/>
      <c r="H1106" s="152"/>
      <c r="I1106" s="152"/>
      <c r="J1106" s="152"/>
      <c r="K1106" s="152"/>
      <c r="L1106" s="152"/>
      <c r="M1106" s="152"/>
      <c r="N1106" s="153"/>
      <c r="O1106" s="152"/>
      <c r="P1106" s="69"/>
      <c r="Q1106" s="255" t="str">
        <f t="shared" si="126"/>
        <v/>
      </c>
      <c r="R1106" s="139" t="str">
        <f t="shared" si="127"/>
        <v/>
      </c>
      <c r="S1106" s="128" t="str">
        <f t="shared" si="121"/>
        <v/>
      </c>
      <c r="T1106" s="140" t="str">
        <f t="shared" si="122"/>
        <v/>
      </c>
      <c r="U1106" s="141" t="str">
        <f t="shared" si="123"/>
        <v/>
      </c>
      <c r="V1106" s="141" t="str">
        <f t="shared" si="124"/>
        <v/>
      </c>
      <c r="W1106" s="142"/>
      <c r="X1106" s="186" t="str">
        <f t="shared" si="125"/>
        <v/>
      </c>
    </row>
    <row r="1107" spans="1:24" s="147" customFormat="1">
      <c r="A1107" s="173"/>
      <c r="B1107" s="155"/>
      <c r="C1107" s="155"/>
      <c r="D1107" s="155"/>
      <c r="E1107" s="157"/>
      <c r="F1107" s="155"/>
      <c r="G1107" s="155"/>
      <c r="H1107" s="155"/>
      <c r="I1107" s="155"/>
      <c r="J1107" s="155"/>
      <c r="K1107" s="155"/>
      <c r="L1107" s="155"/>
      <c r="M1107" s="155"/>
      <c r="N1107" s="158"/>
      <c r="O1107" s="155"/>
      <c r="P1107" s="69"/>
      <c r="Q1107" s="255" t="str">
        <f t="shared" si="126"/>
        <v/>
      </c>
      <c r="R1107" s="139" t="str">
        <f t="shared" si="127"/>
        <v/>
      </c>
      <c r="S1107" s="128" t="str">
        <f t="shared" si="121"/>
        <v/>
      </c>
      <c r="T1107" s="140" t="str">
        <f t="shared" si="122"/>
        <v/>
      </c>
      <c r="U1107" s="141" t="str">
        <f t="shared" si="123"/>
        <v/>
      </c>
      <c r="V1107" s="141" t="str">
        <f t="shared" si="124"/>
        <v/>
      </c>
      <c r="W1107" s="142"/>
      <c r="X1107" s="186" t="str">
        <f t="shared" si="125"/>
        <v/>
      </c>
    </row>
    <row r="1108" spans="1:24" s="147" customFormat="1">
      <c r="A1108" s="175"/>
      <c r="B1108" s="160"/>
      <c r="C1108" s="160"/>
      <c r="D1108" s="160"/>
      <c r="E1108" s="160"/>
      <c r="F1108" s="160"/>
      <c r="G1108" s="160"/>
      <c r="H1108" s="160"/>
      <c r="I1108" s="160"/>
      <c r="J1108" s="160"/>
      <c r="K1108" s="160"/>
      <c r="L1108" s="160"/>
      <c r="M1108" s="160"/>
      <c r="N1108" s="160"/>
      <c r="O1108" s="160"/>
      <c r="P1108" s="69"/>
      <c r="Q1108" s="255" t="str">
        <f t="shared" si="126"/>
        <v/>
      </c>
      <c r="R1108" s="139" t="str">
        <f t="shared" si="127"/>
        <v/>
      </c>
      <c r="S1108" s="128" t="str">
        <f t="shared" si="121"/>
        <v/>
      </c>
      <c r="T1108" s="140" t="str">
        <f t="shared" si="122"/>
        <v/>
      </c>
      <c r="U1108" s="141" t="str">
        <f t="shared" si="123"/>
        <v/>
      </c>
      <c r="V1108" s="141" t="str">
        <f t="shared" si="124"/>
        <v/>
      </c>
      <c r="W1108" s="142"/>
      <c r="X1108" s="186" t="str">
        <f t="shared" si="125"/>
        <v/>
      </c>
    </row>
    <row r="1109" spans="1:24" s="147" customFormat="1">
      <c r="A1109" s="173"/>
      <c r="B1109" s="155"/>
      <c r="C1109" s="155"/>
      <c r="D1109" s="155"/>
      <c r="E1109" s="157"/>
      <c r="F1109" s="155"/>
      <c r="G1109" s="155"/>
      <c r="H1109" s="155"/>
      <c r="I1109" s="155"/>
      <c r="J1109" s="155"/>
      <c r="K1109" s="155"/>
      <c r="L1109" s="155"/>
      <c r="M1109" s="155"/>
      <c r="N1109" s="156"/>
      <c r="O1109" s="155"/>
      <c r="P1109" s="69"/>
      <c r="Q1109" s="255" t="str">
        <f t="shared" si="126"/>
        <v/>
      </c>
      <c r="R1109" s="139" t="str">
        <f t="shared" si="127"/>
        <v/>
      </c>
      <c r="S1109" s="128" t="str">
        <f t="shared" si="121"/>
        <v/>
      </c>
      <c r="T1109" s="140" t="str">
        <f t="shared" si="122"/>
        <v/>
      </c>
      <c r="U1109" s="141" t="str">
        <f t="shared" si="123"/>
        <v/>
      </c>
      <c r="V1109" s="141" t="str">
        <f t="shared" si="124"/>
        <v/>
      </c>
      <c r="W1109" s="142"/>
      <c r="X1109" s="186" t="str">
        <f t="shared" si="125"/>
        <v/>
      </c>
    </row>
    <row r="1110" spans="1:24" s="147" customFormat="1">
      <c r="A1110" s="173"/>
      <c r="B1110" s="152"/>
      <c r="C1110" s="152"/>
      <c r="D1110" s="159"/>
      <c r="E1110" s="154"/>
      <c r="F1110" s="152"/>
      <c r="G1110" s="152"/>
      <c r="H1110" s="152"/>
      <c r="I1110" s="152"/>
      <c r="J1110" s="152"/>
      <c r="K1110" s="152"/>
      <c r="L1110" s="152"/>
      <c r="M1110" s="152"/>
      <c r="N1110" s="153"/>
      <c r="O1110" s="152"/>
      <c r="P1110" s="69"/>
      <c r="Q1110" s="255" t="str">
        <f t="shared" si="126"/>
        <v/>
      </c>
      <c r="R1110" s="139" t="str">
        <f t="shared" si="127"/>
        <v/>
      </c>
      <c r="S1110" s="128" t="str">
        <f t="shared" si="121"/>
        <v/>
      </c>
      <c r="T1110" s="140" t="str">
        <f t="shared" si="122"/>
        <v/>
      </c>
      <c r="U1110" s="141" t="str">
        <f t="shared" si="123"/>
        <v/>
      </c>
      <c r="V1110" s="141" t="str">
        <f t="shared" si="124"/>
        <v/>
      </c>
      <c r="W1110" s="142"/>
      <c r="X1110" s="186" t="str">
        <f t="shared" si="125"/>
        <v/>
      </c>
    </row>
    <row r="1111" spans="1:24" s="147" customFormat="1">
      <c r="A1111" s="173"/>
      <c r="B1111" s="155"/>
      <c r="C1111" s="155"/>
      <c r="D1111" s="156"/>
      <c r="E1111" s="157"/>
      <c r="F1111" s="155"/>
      <c r="G1111" s="155"/>
      <c r="H1111" s="157"/>
      <c r="I1111" s="155"/>
      <c r="J1111" s="155"/>
      <c r="K1111" s="155"/>
      <c r="L1111" s="155"/>
      <c r="M1111" s="155"/>
      <c r="N1111" s="156"/>
      <c r="O1111" s="155"/>
      <c r="P1111" s="69"/>
      <c r="Q1111" s="255" t="str">
        <f t="shared" si="126"/>
        <v/>
      </c>
      <c r="R1111" s="139" t="str">
        <f t="shared" si="127"/>
        <v/>
      </c>
      <c r="S1111" s="128" t="str">
        <f t="shared" si="121"/>
        <v/>
      </c>
      <c r="T1111" s="140" t="str">
        <f t="shared" si="122"/>
        <v/>
      </c>
      <c r="U1111" s="141" t="str">
        <f t="shared" si="123"/>
        <v/>
      </c>
      <c r="V1111" s="141" t="str">
        <f t="shared" si="124"/>
        <v/>
      </c>
      <c r="W1111" s="142"/>
      <c r="X1111" s="186" t="str">
        <f t="shared" si="125"/>
        <v/>
      </c>
    </row>
    <row r="1112" spans="1:24" s="147" customFormat="1">
      <c r="A1112" s="174"/>
      <c r="B1112" s="153"/>
      <c r="C1112" s="153"/>
      <c r="D1112" s="153"/>
      <c r="E1112" s="153"/>
      <c r="F1112" s="153"/>
      <c r="G1112" s="153"/>
      <c r="H1112" s="153"/>
      <c r="I1112" s="153"/>
      <c r="J1112" s="153"/>
      <c r="K1112" s="153"/>
      <c r="L1112" s="153"/>
      <c r="M1112" s="153"/>
      <c r="N1112" s="153"/>
      <c r="O1112" s="153"/>
      <c r="P1112" s="69"/>
      <c r="Q1112" s="255" t="str">
        <f t="shared" si="126"/>
        <v/>
      </c>
      <c r="R1112" s="139" t="str">
        <f t="shared" si="127"/>
        <v/>
      </c>
      <c r="S1112" s="128" t="str">
        <f t="shared" si="121"/>
        <v/>
      </c>
      <c r="T1112" s="140" t="str">
        <f t="shared" si="122"/>
        <v/>
      </c>
      <c r="U1112" s="141" t="str">
        <f t="shared" si="123"/>
        <v/>
      </c>
      <c r="V1112" s="141" t="str">
        <f t="shared" si="124"/>
        <v/>
      </c>
      <c r="W1112" s="142"/>
      <c r="X1112" s="186" t="str">
        <f t="shared" si="125"/>
        <v/>
      </c>
    </row>
    <row r="1113" spans="1:24" s="147" customFormat="1">
      <c r="A1113" s="173"/>
      <c r="B1113" s="155"/>
      <c r="C1113" s="155"/>
      <c r="D1113" s="156"/>
      <c r="E1113" s="157"/>
      <c r="F1113" s="155"/>
      <c r="G1113" s="155"/>
      <c r="H1113" s="155"/>
      <c r="I1113" s="155"/>
      <c r="J1113" s="155"/>
      <c r="K1113" s="155"/>
      <c r="L1113" s="155"/>
      <c r="M1113" s="155"/>
      <c r="N1113" s="156"/>
      <c r="O1113" s="155"/>
      <c r="P1113" s="69"/>
      <c r="Q1113" s="255" t="str">
        <f t="shared" si="126"/>
        <v/>
      </c>
      <c r="R1113" s="139" t="str">
        <f t="shared" si="127"/>
        <v/>
      </c>
      <c r="S1113" s="128" t="str">
        <f t="shared" si="121"/>
        <v/>
      </c>
      <c r="T1113" s="140" t="str">
        <f t="shared" si="122"/>
        <v/>
      </c>
      <c r="U1113" s="141" t="str">
        <f t="shared" si="123"/>
        <v/>
      </c>
      <c r="V1113" s="141" t="str">
        <f t="shared" si="124"/>
        <v/>
      </c>
      <c r="W1113" s="142"/>
      <c r="X1113" s="186" t="str">
        <f t="shared" si="125"/>
        <v/>
      </c>
    </row>
    <row r="1114" spans="1:24" s="147" customFormat="1">
      <c r="A1114" s="174"/>
      <c r="B1114" s="153"/>
      <c r="C1114" s="153"/>
      <c r="D1114" s="153"/>
      <c r="E1114" s="153"/>
      <c r="F1114" s="153"/>
      <c r="G1114" s="153"/>
      <c r="H1114" s="153"/>
      <c r="I1114" s="153"/>
      <c r="J1114" s="153"/>
      <c r="K1114" s="153"/>
      <c r="L1114" s="153"/>
      <c r="M1114" s="153"/>
      <c r="N1114" s="153"/>
      <c r="O1114" s="153"/>
      <c r="P1114" s="69"/>
      <c r="Q1114" s="255" t="str">
        <f t="shared" si="126"/>
        <v/>
      </c>
      <c r="R1114" s="139" t="str">
        <f t="shared" si="127"/>
        <v/>
      </c>
      <c r="S1114" s="128" t="str">
        <f t="shared" si="121"/>
        <v/>
      </c>
      <c r="T1114" s="140" t="str">
        <f t="shared" si="122"/>
        <v/>
      </c>
      <c r="U1114" s="141" t="str">
        <f t="shared" si="123"/>
        <v/>
      </c>
      <c r="V1114" s="141" t="str">
        <f t="shared" si="124"/>
        <v/>
      </c>
      <c r="W1114" s="142"/>
      <c r="X1114" s="186" t="str">
        <f t="shared" si="125"/>
        <v/>
      </c>
    </row>
    <row r="1115" spans="1:24" s="147" customFormat="1">
      <c r="A1115" s="173"/>
      <c r="B1115" s="155"/>
      <c r="C1115" s="155"/>
      <c r="D1115" s="156"/>
      <c r="E1115" s="157"/>
      <c r="F1115" s="155"/>
      <c r="G1115" s="155"/>
      <c r="H1115" s="155"/>
      <c r="I1115" s="155"/>
      <c r="J1115" s="155"/>
      <c r="K1115" s="155"/>
      <c r="L1115" s="155"/>
      <c r="M1115" s="155"/>
      <c r="N1115" s="156"/>
      <c r="O1115" s="155"/>
      <c r="P1115" s="69"/>
      <c r="Q1115" s="255" t="str">
        <f t="shared" si="126"/>
        <v/>
      </c>
      <c r="R1115" s="139" t="str">
        <f t="shared" si="127"/>
        <v/>
      </c>
      <c r="S1115" s="128" t="str">
        <f t="shared" si="121"/>
        <v/>
      </c>
      <c r="T1115" s="140" t="str">
        <f t="shared" si="122"/>
        <v/>
      </c>
      <c r="U1115" s="141" t="str">
        <f t="shared" si="123"/>
        <v/>
      </c>
      <c r="V1115" s="141" t="str">
        <f t="shared" si="124"/>
        <v/>
      </c>
      <c r="W1115" s="142"/>
      <c r="X1115" s="186" t="str">
        <f t="shared" si="125"/>
        <v/>
      </c>
    </row>
    <row r="1116" spans="1:24" s="147" customFormat="1">
      <c r="A1116" s="175"/>
      <c r="B1116" s="160"/>
      <c r="C1116" s="160"/>
      <c r="D1116" s="160"/>
      <c r="E1116" s="160"/>
      <c r="F1116" s="160"/>
      <c r="G1116" s="160"/>
      <c r="H1116" s="160"/>
      <c r="I1116" s="160"/>
      <c r="J1116" s="160"/>
      <c r="K1116" s="160"/>
      <c r="L1116" s="160"/>
      <c r="M1116" s="160"/>
      <c r="N1116" s="160"/>
      <c r="O1116" s="160"/>
      <c r="P1116" s="69"/>
      <c r="Q1116" s="255" t="str">
        <f t="shared" si="126"/>
        <v/>
      </c>
      <c r="R1116" s="139" t="str">
        <f t="shared" si="127"/>
        <v/>
      </c>
      <c r="S1116" s="128" t="str">
        <f t="shared" si="121"/>
        <v/>
      </c>
      <c r="T1116" s="140" t="str">
        <f t="shared" si="122"/>
        <v/>
      </c>
      <c r="U1116" s="141" t="str">
        <f t="shared" si="123"/>
        <v/>
      </c>
      <c r="V1116" s="141" t="str">
        <f t="shared" si="124"/>
        <v/>
      </c>
      <c r="W1116" s="142"/>
      <c r="X1116" s="186" t="str">
        <f t="shared" si="125"/>
        <v/>
      </c>
    </row>
    <row r="1117" spans="1:24" s="147" customFormat="1">
      <c r="A1117" s="173"/>
      <c r="B1117" s="155"/>
      <c r="C1117" s="155"/>
      <c r="D1117" s="156"/>
      <c r="E1117" s="157"/>
      <c r="F1117" s="155"/>
      <c r="G1117" s="155"/>
      <c r="H1117" s="155"/>
      <c r="I1117" s="155"/>
      <c r="J1117" s="155"/>
      <c r="K1117" s="155"/>
      <c r="L1117" s="155"/>
      <c r="M1117" s="155"/>
      <c r="N1117" s="156"/>
      <c r="O1117" s="155"/>
      <c r="P1117" s="69"/>
      <c r="Q1117" s="255" t="str">
        <f t="shared" si="126"/>
        <v/>
      </c>
      <c r="R1117" s="139" t="str">
        <f t="shared" si="127"/>
        <v/>
      </c>
      <c r="S1117" s="128" t="str">
        <f t="shared" si="121"/>
        <v/>
      </c>
      <c r="T1117" s="140" t="str">
        <f t="shared" si="122"/>
        <v/>
      </c>
      <c r="U1117" s="141" t="str">
        <f t="shared" si="123"/>
        <v/>
      </c>
      <c r="V1117" s="141" t="str">
        <f t="shared" si="124"/>
        <v/>
      </c>
      <c r="W1117" s="142"/>
      <c r="X1117" s="186" t="str">
        <f t="shared" si="125"/>
        <v/>
      </c>
    </row>
    <row r="1118" spans="1:24" s="147" customFormat="1">
      <c r="A1118" s="175"/>
      <c r="B1118" s="160"/>
      <c r="C1118" s="160"/>
      <c r="D1118" s="160"/>
      <c r="E1118" s="160"/>
      <c r="F1118" s="160"/>
      <c r="G1118" s="160"/>
      <c r="H1118" s="160"/>
      <c r="I1118" s="160"/>
      <c r="J1118" s="160"/>
      <c r="K1118" s="160"/>
      <c r="L1118" s="160"/>
      <c r="M1118" s="160"/>
      <c r="N1118" s="160"/>
      <c r="O1118" s="160"/>
      <c r="P1118" s="69"/>
      <c r="Q1118" s="255" t="str">
        <f t="shared" si="126"/>
        <v/>
      </c>
      <c r="R1118" s="139" t="str">
        <f t="shared" si="127"/>
        <v/>
      </c>
      <c r="S1118" s="128" t="str">
        <f t="shared" si="121"/>
        <v/>
      </c>
      <c r="T1118" s="140" t="str">
        <f t="shared" si="122"/>
        <v/>
      </c>
      <c r="U1118" s="141" t="str">
        <f t="shared" si="123"/>
        <v/>
      </c>
      <c r="V1118" s="141" t="str">
        <f t="shared" si="124"/>
        <v/>
      </c>
      <c r="W1118" s="142"/>
      <c r="X1118" s="186" t="str">
        <f t="shared" si="125"/>
        <v/>
      </c>
    </row>
    <row r="1119" spans="1:24" s="147" customFormat="1">
      <c r="A1119" s="173"/>
      <c r="B1119" s="155"/>
      <c r="C1119" s="155"/>
      <c r="D1119" s="156"/>
      <c r="E1119" s="157"/>
      <c r="F1119" s="155"/>
      <c r="G1119" s="155"/>
      <c r="H1119" s="155"/>
      <c r="I1119" s="155"/>
      <c r="J1119" s="155"/>
      <c r="K1119" s="155"/>
      <c r="L1119" s="155"/>
      <c r="M1119" s="155"/>
      <c r="N1119" s="156"/>
      <c r="O1119" s="155"/>
      <c r="P1119" s="69"/>
      <c r="Q1119" s="255" t="str">
        <f t="shared" si="126"/>
        <v/>
      </c>
      <c r="R1119" s="139" t="str">
        <f t="shared" si="127"/>
        <v/>
      </c>
      <c r="S1119" s="128" t="str">
        <f t="shared" si="121"/>
        <v/>
      </c>
      <c r="T1119" s="140" t="str">
        <f t="shared" si="122"/>
        <v/>
      </c>
      <c r="U1119" s="141" t="str">
        <f t="shared" si="123"/>
        <v/>
      </c>
      <c r="V1119" s="141" t="str">
        <f t="shared" si="124"/>
        <v/>
      </c>
      <c r="W1119" s="142"/>
      <c r="X1119" s="186" t="str">
        <f t="shared" si="125"/>
        <v/>
      </c>
    </row>
    <row r="1120" spans="1:24" s="147" customFormat="1">
      <c r="A1120" s="175"/>
      <c r="B1120" s="160"/>
      <c r="C1120" s="160"/>
      <c r="D1120" s="160"/>
      <c r="E1120" s="160"/>
      <c r="F1120" s="160"/>
      <c r="G1120" s="160"/>
      <c r="H1120" s="160"/>
      <c r="I1120" s="160"/>
      <c r="J1120" s="160"/>
      <c r="K1120" s="160"/>
      <c r="L1120" s="160"/>
      <c r="M1120" s="160"/>
      <c r="N1120" s="160"/>
      <c r="O1120" s="160"/>
      <c r="P1120" s="69"/>
      <c r="Q1120" s="255" t="str">
        <f t="shared" si="126"/>
        <v/>
      </c>
      <c r="R1120" s="139" t="str">
        <f t="shared" si="127"/>
        <v/>
      </c>
      <c r="S1120" s="128" t="str">
        <f t="shared" si="121"/>
        <v/>
      </c>
      <c r="T1120" s="140" t="str">
        <f t="shared" si="122"/>
        <v/>
      </c>
      <c r="U1120" s="141" t="str">
        <f t="shared" si="123"/>
        <v/>
      </c>
      <c r="V1120" s="141" t="str">
        <f t="shared" si="124"/>
        <v/>
      </c>
      <c r="W1120" s="142"/>
      <c r="X1120" s="186" t="str">
        <f t="shared" si="125"/>
        <v/>
      </c>
    </row>
    <row r="1121" spans="1:24" s="147" customFormat="1">
      <c r="A1121" s="173"/>
      <c r="B1121" s="155"/>
      <c r="C1121" s="155"/>
      <c r="D1121" s="158"/>
      <c r="E1121" s="157"/>
      <c r="F1121" s="155"/>
      <c r="G1121" s="155"/>
      <c r="H1121" s="155"/>
      <c r="I1121" s="155"/>
      <c r="J1121" s="155"/>
      <c r="K1121" s="155"/>
      <c r="L1121" s="155"/>
      <c r="M1121" s="155"/>
      <c r="N1121" s="156"/>
      <c r="O1121" s="155"/>
      <c r="P1121" s="69"/>
      <c r="Q1121" s="255" t="str">
        <f t="shared" si="126"/>
        <v/>
      </c>
      <c r="R1121" s="139" t="str">
        <f t="shared" si="127"/>
        <v/>
      </c>
      <c r="S1121" s="128" t="str">
        <f t="shared" si="121"/>
        <v/>
      </c>
      <c r="T1121" s="140" t="str">
        <f t="shared" si="122"/>
        <v/>
      </c>
      <c r="U1121" s="141" t="str">
        <f t="shared" si="123"/>
        <v/>
      </c>
      <c r="V1121" s="141" t="str">
        <f t="shared" si="124"/>
        <v/>
      </c>
      <c r="W1121" s="142"/>
      <c r="X1121" s="186" t="str">
        <f t="shared" si="125"/>
        <v/>
      </c>
    </row>
    <row r="1122" spans="1:24" s="147" customFormat="1">
      <c r="A1122" s="175"/>
      <c r="B1122" s="160"/>
      <c r="C1122" s="160"/>
      <c r="D1122" s="160"/>
      <c r="E1122" s="160"/>
      <c r="F1122" s="160"/>
      <c r="G1122" s="160"/>
      <c r="H1122" s="160"/>
      <c r="I1122" s="160"/>
      <c r="J1122" s="160"/>
      <c r="K1122" s="160"/>
      <c r="L1122" s="160"/>
      <c r="M1122" s="160"/>
      <c r="N1122" s="160"/>
      <c r="O1122" s="160"/>
      <c r="P1122" s="69"/>
      <c r="Q1122" s="255" t="str">
        <f t="shared" si="126"/>
        <v/>
      </c>
      <c r="R1122" s="139" t="str">
        <f t="shared" si="127"/>
        <v/>
      </c>
      <c r="S1122" s="128" t="str">
        <f t="shared" si="121"/>
        <v/>
      </c>
      <c r="T1122" s="140" t="str">
        <f t="shared" si="122"/>
        <v/>
      </c>
      <c r="U1122" s="141" t="str">
        <f t="shared" si="123"/>
        <v/>
      </c>
      <c r="V1122" s="141" t="str">
        <f t="shared" si="124"/>
        <v/>
      </c>
      <c r="W1122" s="142"/>
      <c r="X1122" s="186" t="str">
        <f t="shared" si="125"/>
        <v/>
      </c>
    </row>
    <row r="1123" spans="1:24" s="147" customFormat="1">
      <c r="A1123" s="173"/>
      <c r="B1123" s="155"/>
      <c r="C1123" s="155"/>
      <c r="D1123" s="158"/>
      <c r="E1123" s="157"/>
      <c r="F1123" s="155"/>
      <c r="G1123" s="155"/>
      <c r="H1123" s="155"/>
      <c r="I1123" s="155"/>
      <c r="J1123" s="155"/>
      <c r="K1123" s="155"/>
      <c r="L1123" s="155"/>
      <c r="M1123" s="155"/>
      <c r="N1123" s="158"/>
      <c r="O1123" s="155"/>
      <c r="P1123" s="69"/>
      <c r="Q1123" s="255" t="str">
        <f t="shared" si="126"/>
        <v/>
      </c>
      <c r="R1123" s="139" t="str">
        <f t="shared" si="127"/>
        <v/>
      </c>
      <c r="S1123" s="128" t="str">
        <f t="shared" si="121"/>
        <v/>
      </c>
      <c r="T1123" s="140" t="str">
        <f t="shared" si="122"/>
        <v/>
      </c>
      <c r="U1123" s="141" t="str">
        <f t="shared" si="123"/>
        <v/>
      </c>
      <c r="V1123" s="141" t="str">
        <f t="shared" si="124"/>
        <v/>
      </c>
      <c r="W1123" s="142"/>
      <c r="X1123" s="186" t="str">
        <f t="shared" si="125"/>
        <v/>
      </c>
    </row>
    <row r="1124" spans="1:24" s="147" customFormat="1">
      <c r="A1124" s="176"/>
      <c r="B1124" s="138"/>
      <c r="C1124" s="138"/>
      <c r="D1124" s="138"/>
      <c r="E1124" s="138"/>
      <c r="F1124" s="138"/>
      <c r="G1124" s="138"/>
      <c r="H1124" s="138"/>
      <c r="I1124" s="138"/>
      <c r="J1124" s="138"/>
      <c r="K1124" s="138"/>
      <c r="L1124" s="138"/>
      <c r="M1124" s="138"/>
      <c r="N1124" s="138"/>
      <c r="O1124" s="138"/>
      <c r="P1124" s="138"/>
      <c r="Q1124" s="255" t="str">
        <f t="shared" si="126"/>
        <v/>
      </c>
      <c r="R1124" s="139" t="str">
        <f t="shared" si="127"/>
        <v/>
      </c>
      <c r="S1124" s="128" t="str">
        <f t="shared" si="121"/>
        <v/>
      </c>
      <c r="T1124" s="140" t="str">
        <f t="shared" si="122"/>
        <v/>
      </c>
      <c r="U1124" s="141" t="str">
        <f t="shared" si="123"/>
        <v/>
      </c>
      <c r="V1124" s="141" t="str">
        <f t="shared" si="124"/>
        <v/>
      </c>
      <c r="W1124" s="142"/>
      <c r="X1124" s="186" t="str">
        <f t="shared" si="125"/>
        <v/>
      </c>
    </row>
    <row r="1125" spans="1:24" s="147" customFormat="1">
      <c r="A1125" s="176"/>
      <c r="B1125" s="138"/>
      <c r="C1125" s="138"/>
      <c r="D1125" s="138"/>
      <c r="E1125" s="138"/>
      <c r="F1125" s="138"/>
      <c r="G1125" s="138"/>
      <c r="H1125" s="138"/>
      <c r="I1125" s="138"/>
      <c r="J1125" s="138"/>
      <c r="K1125" s="138"/>
      <c r="L1125" s="138"/>
      <c r="M1125" s="138"/>
      <c r="N1125" s="138"/>
      <c r="O1125" s="138"/>
      <c r="P1125" s="138"/>
      <c r="Q1125" s="255" t="str">
        <f t="shared" si="126"/>
        <v/>
      </c>
      <c r="R1125" s="139" t="str">
        <f t="shared" si="127"/>
        <v/>
      </c>
      <c r="S1125" s="128" t="str">
        <f t="shared" si="121"/>
        <v/>
      </c>
      <c r="T1125" s="140" t="str">
        <f t="shared" si="122"/>
        <v/>
      </c>
      <c r="U1125" s="141" t="str">
        <f t="shared" si="123"/>
        <v/>
      </c>
      <c r="V1125" s="141" t="str">
        <f t="shared" si="124"/>
        <v/>
      </c>
      <c r="W1125" s="142"/>
      <c r="X1125" s="186" t="str">
        <f t="shared" si="125"/>
        <v/>
      </c>
    </row>
    <row r="1126" spans="1:24" s="147" customFormat="1">
      <c r="A1126" s="176"/>
      <c r="B1126" s="138"/>
      <c r="C1126" s="138"/>
      <c r="D1126" s="138"/>
      <c r="E1126" s="138"/>
      <c r="F1126" s="138"/>
      <c r="G1126" s="138"/>
      <c r="H1126" s="138"/>
      <c r="I1126" s="138"/>
      <c r="J1126" s="138"/>
      <c r="K1126" s="138"/>
      <c r="L1126" s="138"/>
      <c r="M1126" s="138"/>
      <c r="N1126" s="138"/>
      <c r="O1126" s="138"/>
      <c r="P1126" s="138"/>
      <c r="Q1126" s="255" t="str">
        <f t="shared" si="126"/>
        <v/>
      </c>
      <c r="R1126" s="139" t="str">
        <f t="shared" si="127"/>
        <v/>
      </c>
      <c r="S1126" s="128" t="str">
        <f t="shared" si="121"/>
        <v/>
      </c>
      <c r="T1126" s="140" t="str">
        <f t="shared" si="122"/>
        <v/>
      </c>
      <c r="U1126" s="141" t="str">
        <f t="shared" si="123"/>
        <v/>
      </c>
      <c r="V1126" s="141" t="str">
        <f t="shared" si="124"/>
        <v/>
      </c>
      <c r="W1126" s="142"/>
      <c r="X1126" s="186" t="str">
        <f t="shared" si="125"/>
        <v/>
      </c>
    </row>
    <row r="1127" spans="1:24" s="147" customFormat="1">
      <c r="A1127" s="176"/>
      <c r="B1127" s="138"/>
      <c r="C1127" s="138"/>
      <c r="D1127" s="138"/>
      <c r="E1127" s="138"/>
      <c r="F1127" s="138"/>
      <c r="G1127" s="138"/>
      <c r="H1127" s="138"/>
      <c r="I1127" s="138"/>
      <c r="J1127" s="138"/>
      <c r="K1127" s="138"/>
      <c r="L1127" s="138"/>
      <c r="M1127" s="138"/>
      <c r="N1127" s="138"/>
      <c r="O1127" s="138"/>
      <c r="P1127" s="138"/>
      <c r="Q1127" s="255" t="str">
        <f t="shared" si="126"/>
        <v/>
      </c>
      <c r="R1127" s="139" t="str">
        <f t="shared" si="127"/>
        <v/>
      </c>
      <c r="S1127" s="128" t="str">
        <f t="shared" si="121"/>
        <v/>
      </c>
      <c r="T1127" s="140" t="str">
        <f t="shared" si="122"/>
        <v/>
      </c>
      <c r="U1127" s="141" t="str">
        <f t="shared" si="123"/>
        <v/>
      </c>
      <c r="V1127" s="141" t="str">
        <f t="shared" si="124"/>
        <v/>
      </c>
      <c r="W1127" s="142"/>
      <c r="X1127" s="186" t="str">
        <f t="shared" si="125"/>
        <v/>
      </c>
    </row>
    <row r="1128" spans="1:24" s="147" customFormat="1">
      <c r="A1128" s="176"/>
      <c r="B1128" s="138"/>
      <c r="C1128" s="138"/>
      <c r="D1128" s="138"/>
      <c r="E1128" s="138"/>
      <c r="F1128" s="138"/>
      <c r="G1128" s="138"/>
      <c r="H1128" s="138"/>
      <c r="I1128" s="138"/>
      <c r="J1128" s="138"/>
      <c r="K1128" s="138"/>
      <c r="L1128" s="138"/>
      <c r="M1128" s="138"/>
      <c r="N1128" s="138"/>
      <c r="O1128" s="138"/>
      <c r="P1128" s="138"/>
      <c r="Q1128" s="255" t="str">
        <f t="shared" si="126"/>
        <v/>
      </c>
      <c r="R1128" s="139" t="str">
        <f t="shared" si="127"/>
        <v/>
      </c>
      <c r="S1128" s="128" t="str">
        <f t="shared" si="121"/>
        <v/>
      </c>
      <c r="T1128" s="140" t="str">
        <f t="shared" si="122"/>
        <v/>
      </c>
      <c r="U1128" s="141" t="str">
        <f t="shared" si="123"/>
        <v/>
      </c>
      <c r="V1128" s="141" t="str">
        <f t="shared" si="124"/>
        <v/>
      </c>
      <c r="W1128" s="142"/>
      <c r="X1128" s="186" t="str">
        <f t="shared" si="125"/>
        <v/>
      </c>
    </row>
    <row r="1129" spans="1:24" s="147" customFormat="1">
      <c r="A1129" s="176"/>
      <c r="B1129" s="138"/>
      <c r="C1129" s="138"/>
      <c r="D1129" s="138"/>
      <c r="E1129" s="138"/>
      <c r="F1129" s="138"/>
      <c r="G1129" s="138"/>
      <c r="H1129" s="138"/>
      <c r="I1129" s="138"/>
      <c r="J1129" s="138"/>
      <c r="K1129" s="138"/>
      <c r="L1129" s="138"/>
      <c r="M1129" s="138"/>
      <c r="N1129" s="138"/>
      <c r="O1129" s="138"/>
      <c r="P1129" s="138"/>
      <c r="Q1129" s="255" t="str">
        <f t="shared" si="126"/>
        <v/>
      </c>
      <c r="R1129" s="139" t="str">
        <f t="shared" si="127"/>
        <v/>
      </c>
      <c r="S1129" s="128" t="str">
        <f t="shared" si="121"/>
        <v/>
      </c>
      <c r="T1129" s="140" t="str">
        <f t="shared" si="122"/>
        <v/>
      </c>
      <c r="U1129" s="141" t="str">
        <f t="shared" si="123"/>
        <v/>
      </c>
      <c r="V1129" s="141" t="str">
        <f t="shared" si="124"/>
        <v/>
      </c>
      <c r="W1129" s="142"/>
      <c r="X1129" s="186" t="str">
        <f t="shared" si="125"/>
        <v/>
      </c>
    </row>
    <row r="1130" spans="1:24" s="147" customFormat="1">
      <c r="A1130" s="176"/>
      <c r="B1130" s="138"/>
      <c r="C1130" s="138"/>
      <c r="D1130" s="138"/>
      <c r="E1130" s="138"/>
      <c r="F1130" s="138"/>
      <c r="G1130" s="138"/>
      <c r="H1130" s="138"/>
      <c r="I1130" s="138"/>
      <c r="J1130" s="138"/>
      <c r="K1130" s="138"/>
      <c r="L1130" s="138"/>
      <c r="M1130" s="138"/>
      <c r="N1130" s="138"/>
      <c r="O1130" s="138"/>
      <c r="P1130" s="138"/>
      <c r="Q1130" s="255" t="str">
        <f t="shared" si="126"/>
        <v/>
      </c>
      <c r="R1130" s="139" t="str">
        <f t="shared" si="127"/>
        <v/>
      </c>
      <c r="S1130" s="128" t="str">
        <f t="shared" si="121"/>
        <v/>
      </c>
      <c r="T1130" s="140" t="str">
        <f t="shared" si="122"/>
        <v/>
      </c>
      <c r="U1130" s="141" t="str">
        <f t="shared" si="123"/>
        <v/>
      </c>
      <c r="V1130" s="141" t="str">
        <f t="shared" si="124"/>
        <v/>
      </c>
      <c r="W1130" s="142"/>
      <c r="X1130" s="186" t="str">
        <f t="shared" si="125"/>
        <v/>
      </c>
    </row>
    <row r="1131" spans="1:24" s="147" customFormat="1">
      <c r="A1131" s="176"/>
      <c r="B1131" s="138"/>
      <c r="C1131" s="138"/>
      <c r="D1131" s="138"/>
      <c r="E1131" s="138"/>
      <c r="F1131" s="138"/>
      <c r="G1131" s="138"/>
      <c r="H1131" s="138"/>
      <c r="I1131" s="138"/>
      <c r="J1131" s="138"/>
      <c r="K1131" s="138"/>
      <c r="L1131" s="138"/>
      <c r="M1131" s="138"/>
      <c r="N1131" s="138"/>
      <c r="O1131" s="138"/>
      <c r="P1131" s="138"/>
      <c r="Q1131" s="255" t="str">
        <f t="shared" si="126"/>
        <v/>
      </c>
      <c r="R1131" s="139" t="str">
        <f t="shared" si="127"/>
        <v/>
      </c>
      <c r="S1131" s="128" t="str">
        <f t="shared" si="121"/>
        <v/>
      </c>
      <c r="T1131" s="140" t="str">
        <f t="shared" si="122"/>
        <v/>
      </c>
      <c r="U1131" s="141" t="str">
        <f t="shared" si="123"/>
        <v/>
      </c>
      <c r="V1131" s="141" t="str">
        <f t="shared" si="124"/>
        <v/>
      </c>
      <c r="W1131" s="142"/>
      <c r="X1131" s="186" t="str">
        <f t="shared" si="125"/>
        <v/>
      </c>
    </row>
    <row r="1132" spans="1:24" s="147" customFormat="1">
      <c r="A1132" s="176"/>
      <c r="B1132" s="138"/>
      <c r="C1132" s="138"/>
      <c r="D1132" s="138"/>
      <c r="E1132" s="138"/>
      <c r="F1132" s="138"/>
      <c r="G1132" s="138"/>
      <c r="H1132" s="138"/>
      <c r="I1132" s="138"/>
      <c r="J1132" s="138"/>
      <c r="K1132" s="138"/>
      <c r="L1132" s="138"/>
      <c r="M1132" s="138"/>
      <c r="N1132" s="138"/>
      <c r="O1132" s="138"/>
      <c r="P1132" s="138"/>
      <c r="Q1132" s="255" t="str">
        <f t="shared" si="126"/>
        <v/>
      </c>
      <c r="R1132" s="139" t="str">
        <f t="shared" si="127"/>
        <v/>
      </c>
      <c r="S1132" s="128" t="str">
        <f t="shared" si="121"/>
        <v/>
      </c>
      <c r="T1132" s="140" t="str">
        <f t="shared" si="122"/>
        <v/>
      </c>
      <c r="U1132" s="141" t="str">
        <f t="shared" si="123"/>
        <v/>
      </c>
      <c r="V1132" s="141" t="str">
        <f t="shared" si="124"/>
        <v/>
      </c>
      <c r="W1132" s="142"/>
      <c r="X1132" s="186" t="str">
        <f t="shared" si="125"/>
        <v/>
      </c>
    </row>
    <row r="1133" spans="1:24" s="147" customFormat="1">
      <c r="A1133" s="176"/>
      <c r="B1133" s="138"/>
      <c r="C1133" s="138"/>
      <c r="D1133" s="138"/>
      <c r="E1133" s="138"/>
      <c r="F1133" s="138"/>
      <c r="G1133" s="138"/>
      <c r="H1133" s="138"/>
      <c r="I1133" s="138"/>
      <c r="J1133" s="138"/>
      <c r="K1133" s="138"/>
      <c r="L1133" s="138"/>
      <c r="M1133" s="138"/>
      <c r="N1133" s="138"/>
      <c r="O1133" s="138"/>
      <c r="P1133" s="138"/>
      <c r="Q1133" s="255" t="str">
        <f t="shared" si="126"/>
        <v/>
      </c>
      <c r="R1133" s="139" t="str">
        <f t="shared" si="127"/>
        <v/>
      </c>
      <c r="S1133" s="128" t="str">
        <f t="shared" si="121"/>
        <v/>
      </c>
      <c r="T1133" s="140" t="str">
        <f t="shared" si="122"/>
        <v/>
      </c>
      <c r="U1133" s="141" t="str">
        <f t="shared" si="123"/>
        <v/>
      </c>
      <c r="V1133" s="141" t="str">
        <f t="shared" si="124"/>
        <v/>
      </c>
      <c r="W1133" s="142"/>
      <c r="X1133" s="186" t="str">
        <f t="shared" si="125"/>
        <v/>
      </c>
    </row>
    <row r="1134" spans="1:24" s="147" customFormat="1">
      <c r="A1134" s="176"/>
      <c r="B1134" s="138"/>
      <c r="C1134" s="138"/>
      <c r="D1134" s="138"/>
      <c r="E1134" s="138"/>
      <c r="F1134" s="138"/>
      <c r="G1134" s="138"/>
      <c r="H1134" s="138"/>
      <c r="I1134" s="138"/>
      <c r="J1134" s="138"/>
      <c r="K1134" s="138"/>
      <c r="L1134" s="138"/>
      <c r="M1134" s="138"/>
      <c r="N1134" s="138"/>
      <c r="O1134" s="138"/>
      <c r="P1134" s="138"/>
      <c r="Q1134" s="255" t="str">
        <f t="shared" si="126"/>
        <v/>
      </c>
      <c r="R1134" s="139" t="str">
        <f t="shared" si="127"/>
        <v/>
      </c>
      <c r="S1134" s="128" t="str">
        <f t="shared" si="121"/>
        <v/>
      </c>
      <c r="T1134" s="140" t="str">
        <f t="shared" si="122"/>
        <v/>
      </c>
      <c r="U1134" s="141" t="str">
        <f t="shared" si="123"/>
        <v/>
      </c>
      <c r="V1134" s="141" t="str">
        <f t="shared" si="124"/>
        <v/>
      </c>
      <c r="W1134" s="142"/>
      <c r="X1134" s="186" t="str">
        <f t="shared" si="125"/>
        <v/>
      </c>
    </row>
    <row r="1135" spans="1:24" s="147" customFormat="1">
      <c r="A1135" s="176"/>
      <c r="B1135" s="138"/>
      <c r="C1135" s="138"/>
      <c r="D1135" s="138"/>
      <c r="E1135" s="138"/>
      <c r="F1135" s="138"/>
      <c r="G1135" s="138"/>
      <c r="H1135" s="138"/>
      <c r="I1135" s="138"/>
      <c r="J1135" s="138"/>
      <c r="K1135" s="138"/>
      <c r="L1135" s="138"/>
      <c r="M1135" s="138"/>
      <c r="N1135" s="138"/>
      <c r="O1135" s="138"/>
      <c r="P1135" s="138"/>
      <c r="Q1135" s="255" t="str">
        <f t="shared" si="126"/>
        <v/>
      </c>
      <c r="R1135" s="139" t="str">
        <f t="shared" si="127"/>
        <v/>
      </c>
      <c r="S1135" s="128" t="str">
        <f t="shared" si="121"/>
        <v/>
      </c>
      <c r="T1135" s="140" t="str">
        <f t="shared" si="122"/>
        <v/>
      </c>
      <c r="U1135" s="141" t="str">
        <f t="shared" si="123"/>
        <v/>
      </c>
      <c r="V1135" s="141" t="str">
        <f t="shared" si="124"/>
        <v/>
      </c>
      <c r="W1135" s="142"/>
      <c r="X1135" s="186" t="str">
        <f t="shared" si="125"/>
        <v/>
      </c>
    </row>
    <row r="1136" spans="1:24" s="147" customFormat="1">
      <c r="A1136" s="176"/>
      <c r="B1136" s="138"/>
      <c r="C1136" s="138"/>
      <c r="D1136" s="138"/>
      <c r="E1136" s="138"/>
      <c r="F1136" s="138"/>
      <c r="G1136" s="138"/>
      <c r="H1136" s="138"/>
      <c r="I1136" s="138"/>
      <c r="J1136" s="138"/>
      <c r="K1136" s="138"/>
      <c r="L1136" s="138"/>
      <c r="M1136" s="138"/>
      <c r="N1136" s="138"/>
      <c r="O1136" s="138"/>
      <c r="P1136" s="138"/>
      <c r="Q1136" s="255" t="str">
        <f t="shared" si="126"/>
        <v/>
      </c>
      <c r="R1136" s="139" t="str">
        <f t="shared" si="127"/>
        <v/>
      </c>
      <c r="S1136" s="128" t="str">
        <f t="shared" si="121"/>
        <v/>
      </c>
      <c r="T1136" s="140" t="str">
        <f t="shared" si="122"/>
        <v/>
      </c>
      <c r="U1136" s="141" t="str">
        <f t="shared" si="123"/>
        <v/>
      </c>
      <c r="V1136" s="141" t="str">
        <f t="shared" si="124"/>
        <v/>
      </c>
      <c r="W1136" s="142"/>
      <c r="X1136" s="186" t="str">
        <f t="shared" si="125"/>
        <v/>
      </c>
    </row>
    <row r="1137" spans="1:24" s="147" customFormat="1">
      <c r="A1137" s="176"/>
      <c r="B1137" s="138"/>
      <c r="C1137" s="138"/>
      <c r="D1137" s="138"/>
      <c r="E1137" s="138"/>
      <c r="F1137" s="138"/>
      <c r="G1137" s="138"/>
      <c r="H1137" s="138"/>
      <c r="I1137" s="138"/>
      <c r="J1137" s="138"/>
      <c r="K1137" s="138"/>
      <c r="L1137" s="138"/>
      <c r="M1137" s="138"/>
      <c r="N1137" s="138"/>
      <c r="O1137" s="138"/>
      <c r="P1137" s="138"/>
      <c r="Q1137" s="255" t="str">
        <f t="shared" si="126"/>
        <v/>
      </c>
      <c r="R1137" s="139" t="str">
        <f t="shared" si="127"/>
        <v/>
      </c>
      <c r="S1137" s="128" t="str">
        <f t="shared" si="121"/>
        <v/>
      </c>
      <c r="T1137" s="140" t="str">
        <f t="shared" si="122"/>
        <v/>
      </c>
      <c r="U1137" s="141" t="str">
        <f t="shared" si="123"/>
        <v/>
      </c>
      <c r="V1137" s="141" t="str">
        <f t="shared" si="124"/>
        <v/>
      </c>
      <c r="W1137" s="142"/>
      <c r="X1137" s="186" t="str">
        <f t="shared" si="125"/>
        <v/>
      </c>
    </row>
    <row r="1138" spans="1:24" s="147" customFormat="1">
      <c r="A1138" s="176"/>
      <c r="B1138" s="138"/>
      <c r="C1138" s="138"/>
      <c r="D1138" s="138"/>
      <c r="E1138" s="138"/>
      <c r="F1138" s="138"/>
      <c r="G1138" s="138"/>
      <c r="H1138" s="138"/>
      <c r="I1138" s="138"/>
      <c r="J1138" s="138"/>
      <c r="K1138" s="138"/>
      <c r="L1138" s="138"/>
      <c r="M1138" s="138"/>
      <c r="N1138" s="138"/>
      <c r="O1138" s="138"/>
      <c r="P1138" s="138"/>
      <c r="Q1138" s="255" t="str">
        <f t="shared" si="126"/>
        <v/>
      </c>
      <c r="R1138" s="139" t="str">
        <f t="shared" si="127"/>
        <v/>
      </c>
      <c r="S1138" s="128" t="str">
        <f t="shared" si="121"/>
        <v/>
      </c>
      <c r="T1138" s="140" t="str">
        <f t="shared" si="122"/>
        <v/>
      </c>
      <c r="U1138" s="141" t="str">
        <f t="shared" si="123"/>
        <v/>
      </c>
      <c r="V1138" s="141" t="str">
        <f t="shared" si="124"/>
        <v/>
      </c>
      <c r="W1138" s="142"/>
      <c r="X1138" s="186" t="str">
        <f t="shared" si="125"/>
        <v/>
      </c>
    </row>
    <row r="1139" spans="1:24" s="147" customFormat="1">
      <c r="A1139" s="176"/>
      <c r="B1139" s="138"/>
      <c r="C1139" s="138"/>
      <c r="D1139" s="138"/>
      <c r="E1139" s="138"/>
      <c r="F1139" s="138"/>
      <c r="G1139" s="138"/>
      <c r="H1139" s="138"/>
      <c r="I1139" s="138"/>
      <c r="J1139" s="138"/>
      <c r="K1139" s="138"/>
      <c r="L1139" s="138"/>
      <c r="M1139" s="138"/>
      <c r="N1139" s="138"/>
      <c r="O1139" s="138"/>
      <c r="P1139" s="138"/>
      <c r="Q1139" s="255" t="str">
        <f t="shared" si="126"/>
        <v/>
      </c>
      <c r="R1139" s="139" t="str">
        <f t="shared" si="127"/>
        <v/>
      </c>
      <c r="S1139" s="128" t="str">
        <f t="shared" si="121"/>
        <v/>
      </c>
      <c r="T1139" s="140" t="str">
        <f t="shared" si="122"/>
        <v/>
      </c>
      <c r="U1139" s="141" t="str">
        <f t="shared" si="123"/>
        <v/>
      </c>
      <c r="V1139" s="141" t="str">
        <f t="shared" si="124"/>
        <v/>
      </c>
      <c r="W1139" s="142"/>
      <c r="X1139" s="186" t="str">
        <f t="shared" si="125"/>
        <v/>
      </c>
    </row>
    <row r="1140" spans="1:24" s="147" customFormat="1">
      <c r="A1140" s="176"/>
      <c r="B1140" s="138"/>
      <c r="C1140" s="138"/>
      <c r="D1140" s="138"/>
      <c r="E1140" s="138"/>
      <c r="F1140" s="138"/>
      <c r="G1140" s="138"/>
      <c r="H1140" s="138"/>
      <c r="I1140" s="138"/>
      <c r="J1140" s="138"/>
      <c r="K1140" s="138"/>
      <c r="L1140" s="138"/>
      <c r="M1140" s="138"/>
      <c r="N1140" s="138"/>
      <c r="O1140" s="138"/>
      <c r="P1140" s="138"/>
      <c r="Q1140" s="255" t="str">
        <f t="shared" si="126"/>
        <v/>
      </c>
      <c r="R1140" s="139" t="str">
        <f t="shared" si="127"/>
        <v/>
      </c>
      <c r="S1140" s="128" t="str">
        <f t="shared" si="121"/>
        <v/>
      </c>
      <c r="T1140" s="140" t="str">
        <f t="shared" si="122"/>
        <v/>
      </c>
      <c r="U1140" s="141" t="str">
        <f t="shared" si="123"/>
        <v/>
      </c>
      <c r="V1140" s="141" t="str">
        <f t="shared" si="124"/>
        <v/>
      </c>
      <c r="W1140" s="142"/>
      <c r="X1140" s="186" t="str">
        <f t="shared" si="125"/>
        <v/>
      </c>
    </row>
    <row r="1141" spans="1:24" s="147" customFormat="1">
      <c r="A1141" s="176"/>
      <c r="B1141" s="138"/>
      <c r="C1141" s="138"/>
      <c r="D1141" s="138"/>
      <c r="E1141" s="138"/>
      <c r="F1141" s="138"/>
      <c r="G1141" s="138"/>
      <c r="H1141" s="138"/>
      <c r="I1141" s="138"/>
      <c r="J1141" s="138"/>
      <c r="K1141" s="138"/>
      <c r="L1141" s="138"/>
      <c r="M1141" s="138"/>
      <c r="N1141" s="138"/>
      <c r="O1141" s="138"/>
      <c r="P1141" s="138"/>
      <c r="Q1141" s="255" t="str">
        <f t="shared" si="126"/>
        <v/>
      </c>
      <c r="R1141" s="139" t="str">
        <f t="shared" si="127"/>
        <v/>
      </c>
      <c r="S1141" s="128" t="str">
        <f t="shared" si="121"/>
        <v/>
      </c>
      <c r="T1141" s="140" t="str">
        <f t="shared" si="122"/>
        <v/>
      </c>
      <c r="U1141" s="141" t="str">
        <f t="shared" si="123"/>
        <v/>
      </c>
      <c r="V1141" s="141" t="str">
        <f t="shared" si="124"/>
        <v/>
      </c>
      <c r="W1141" s="142"/>
      <c r="X1141" s="186" t="str">
        <f t="shared" si="125"/>
        <v/>
      </c>
    </row>
    <row r="1142" spans="1:24" s="147" customFormat="1">
      <c r="A1142" s="176"/>
      <c r="B1142" s="138"/>
      <c r="C1142" s="138"/>
      <c r="D1142" s="138"/>
      <c r="E1142" s="138"/>
      <c r="F1142" s="138"/>
      <c r="G1142" s="138"/>
      <c r="H1142" s="138"/>
      <c r="I1142" s="138"/>
      <c r="J1142" s="138"/>
      <c r="K1142" s="138"/>
      <c r="L1142" s="138"/>
      <c r="M1142" s="138"/>
      <c r="N1142" s="138"/>
      <c r="O1142" s="138"/>
      <c r="P1142" s="138"/>
      <c r="Q1142" s="255" t="str">
        <f t="shared" si="126"/>
        <v/>
      </c>
      <c r="R1142" s="139" t="str">
        <f t="shared" si="127"/>
        <v/>
      </c>
      <c r="S1142" s="128" t="str">
        <f t="shared" si="121"/>
        <v/>
      </c>
      <c r="T1142" s="140" t="str">
        <f t="shared" si="122"/>
        <v/>
      </c>
      <c r="U1142" s="141" t="str">
        <f t="shared" si="123"/>
        <v/>
      </c>
      <c r="V1142" s="141" t="str">
        <f t="shared" si="124"/>
        <v/>
      </c>
      <c r="W1142" s="142"/>
      <c r="X1142" s="186" t="str">
        <f t="shared" si="125"/>
        <v/>
      </c>
    </row>
    <row r="1143" spans="1:24" s="147" customFormat="1">
      <c r="A1143" s="176"/>
      <c r="B1143" s="138"/>
      <c r="C1143" s="138"/>
      <c r="D1143" s="138"/>
      <c r="E1143" s="138"/>
      <c r="F1143" s="138"/>
      <c r="G1143" s="138"/>
      <c r="H1143" s="138"/>
      <c r="I1143" s="138"/>
      <c r="J1143" s="138"/>
      <c r="K1143" s="138"/>
      <c r="L1143" s="138"/>
      <c r="M1143" s="138"/>
      <c r="N1143" s="138"/>
      <c r="O1143" s="138"/>
      <c r="P1143" s="138"/>
      <c r="Q1143" s="255" t="str">
        <f t="shared" si="126"/>
        <v/>
      </c>
      <c r="R1143" s="139" t="str">
        <f t="shared" si="127"/>
        <v/>
      </c>
      <c r="S1143" s="128" t="str">
        <f t="shared" si="121"/>
        <v/>
      </c>
      <c r="T1143" s="140" t="str">
        <f t="shared" si="122"/>
        <v/>
      </c>
      <c r="U1143" s="141" t="str">
        <f t="shared" si="123"/>
        <v/>
      </c>
      <c r="V1143" s="141" t="str">
        <f t="shared" si="124"/>
        <v/>
      </c>
      <c r="W1143" s="142"/>
      <c r="X1143" s="186" t="str">
        <f t="shared" si="125"/>
        <v/>
      </c>
    </row>
    <row r="1144" spans="1:24" s="147" customFormat="1">
      <c r="A1144" s="176"/>
      <c r="B1144" s="138"/>
      <c r="C1144" s="138"/>
      <c r="D1144" s="138"/>
      <c r="E1144" s="138"/>
      <c r="F1144" s="138"/>
      <c r="G1144" s="138"/>
      <c r="H1144" s="138"/>
      <c r="I1144" s="138"/>
      <c r="J1144" s="138"/>
      <c r="K1144" s="138"/>
      <c r="L1144" s="138"/>
      <c r="M1144" s="138"/>
      <c r="N1144" s="138"/>
      <c r="O1144" s="138"/>
      <c r="P1144" s="138"/>
      <c r="Q1144" s="255" t="str">
        <f t="shared" si="126"/>
        <v/>
      </c>
      <c r="R1144" s="139" t="str">
        <f t="shared" si="127"/>
        <v/>
      </c>
      <c r="S1144" s="128" t="str">
        <f t="shared" si="121"/>
        <v/>
      </c>
      <c r="T1144" s="140" t="str">
        <f t="shared" si="122"/>
        <v/>
      </c>
      <c r="U1144" s="141" t="str">
        <f t="shared" si="123"/>
        <v/>
      </c>
      <c r="V1144" s="141" t="str">
        <f t="shared" si="124"/>
        <v/>
      </c>
      <c r="W1144" s="142"/>
      <c r="X1144" s="186" t="str">
        <f t="shared" si="125"/>
        <v/>
      </c>
    </row>
    <row r="1145" spans="1:24" s="147" customFormat="1">
      <c r="A1145" s="176"/>
      <c r="B1145" s="138"/>
      <c r="C1145" s="138"/>
      <c r="D1145" s="138"/>
      <c r="E1145" s="138"/>
      <c r="F1145" s="138"/>
      <c r="G1145" s="138"/>
      <c r="H1145" s="138"/>
      <c r="I1145" s="138"/>
      <c r="J1145" s="138"/>
      <c r="K1145" s="138"/>
      <c r="L1145" s="138"/>
      <c r="M1145" s="138"/>
      <c r="N1145" s="138"/>
      <c r="O1145" s="138"/>
      <c r="P1145" s="138"/>
      <c r="Q1145" s="255" t="str">
        <f t="shared" si="126"/>
        <v/>
      </c>
      <c r="R1145" s="139" t="str">
        <f t="shared" si="127"/>
        <v/>
      </c>
      <c r="S1145" s="128" t="str">
        <f t="shared" si="121"/>
        <v/>
      </c>
      <c r="T1145" s="140" t="str">
        <f t="shared" si="122"/>
        <v/>
      </c>
      <c r="U1145" s="141" t="str">
        <f t="shared" si="123"/>
        <v/>
      </c>
      <c r="V1145" s="141" t="str">
        <f t="shared" si="124"/>
        <v/>
      </c>
      <c r="W1145" s="142"/>
      <c r="X1145" s="186" t="str">
        <f t="shared" si="125"/>
        <v/>
      </c>
    </row>
    <row r="1146" spans="1:24" s="147" customFormat="1">
      <c r="A1146" s="176"/>
      <c r="B1146" s="138"/>
      <c r="C1146" s="138"/>
      <c r="D1146" s="138"/>
      <c r="E1146" s="138"/>
      <c r="F1146" s="138"/>
      <c r="G1146" s="138"/>
      <c r="H1146" s="138"/>
      <c r="I1146" s="138"/>
      <c r="J1146" s="138"/>
      <c r="K1146" s="138"/>
      <c r="L1146" s="138"/>
      <c r="M1146" s="138"/>
      <c r="N1146" s="138"/>
      <c r="O1146" s="138"/>
      <c r="P1146" s="138"/>
      <c r="Q1146" s="255" t="str">
        <f t="shared" si="126"/>
        <v/>
      </c>
      <c r="R1146" s="139" t="str">
        <f t="shared" si="127"/>
        <v/>
      </c>
      <c r="S1146" s="128" t="str">
        <f t="shared" si="121"/>
        <v/>
      </c>
      <c r="T1146" s="140" t="str">
        <f t="shared" si="122"/>
        <v/>
      </c>
      <c r="U1146" s="141" t="str">
        <f t="shared" si="123"/>
        <v/>
      </c>
      <c r="V1146" s="141" t="str">
        <f t="shared" si="124"/>
        <v/>
      </c>
      <c r="W1146" s="142"/>
      <c r="X1146" s="186" t="str">
        <f t="shared" si="125"/>
        <v/>
      </c>
    </row>
    <row r="1147" spans="1:24" s="147" customFormat="1">
      <c r="A1147" s="176"/>
      <c r="B1147" s="138"/>
      <c r="C1147" s="138"/>
      <c r="D1147" s="138"/>
      <c r="E1147" s="138"/>
      <c r="F1147" s="138"/>
      <c r="G1147" s="138"/>
      <c r="H1147" s="138"/>
      <c r="I1147" s="138"/>
      <c r="J1147" s="138"/>
      <c r="K1147" s="138"/>
      <c r="L1147" s="138"/>
      <c r="M1147" s="138"/>
      <c r="N1147" s="138"/>
      <c r="O1147" s="138"/>
      <c r="P1147" s="138"/>
      <c r="Q1147" s="255" t="str">
        <f t="shared" si="126"/>
        <v/>
      </c>
      <c r="R1147" s="139" t="str">
        <f t="shared" si="127"/>
        <v/>
      </c>
      <c r="S1147" s="128" t="str">
        <f t="shared" si="121"/>
        <v/>
      </c>
      <c r="T1147" s="140" t="str">
        <f t="shared" si="122"/>
        <v/>
      </c>
      <c r="U1147" s="141" t="str">
        <f t="shared" si="123"/>
        <v/>
      </c>
      <c r="V1147" s="141" t="str">
        <f t="shared" si="124"/>
        <v/>
      </c>
      <c r="W1147" s="142"/>
      <c r="X1147" s="186" t="str">
        <f t="shared" si="125"/>
        <v/>
      </c>
    </row>
    <row r="1148" spans="1:24" s="147" customFormat="1">
      <c r="A1148" s="176"/>
      <c r="B1148" s="138"/>
      <c r="C1148" s="138"/>
      <c r="D1148" s="138"/>
      <c r="E1148" s="138"/>
      <c r="F1148" s="138"/>
      <c r="G1148" s="138"/>
      <c r="H1148" s="138"/>
      <c r="I1148" s="138"/>
      <c r="J1148" s="138"/>
      <c r="K1148" s="138"/>
      <c r="L1148" s="138"/>
      <c r="M1148" s="138"/>
      <c r="N1148" s="138"/>
      <c r="O1148" s="138"/>
      <c r="P1148" s="138"/>
      <c r="Q1148" s="255" t="str">
        <f t="shared" si="126"/>
        <v/>
      </c>
      <c r="R1148" s="139" t="str">
        <f t="shared" si="127"/>
        <v/>
      </c>
      <c r="S1148" s="128" t="str">
        <f t="shared" si="121"/>
        <v/>
      </c>
      <c r="T1148" s="140" t="str">
        <f t="shared" si="122"/>
        <v/>
      </c>
      <c r="U1148" s="141" t="str">
        <f t="shared" si="123"/>
        <v/>
      </c>
      <c r="V1148" s="141" t="str">
        <f t="shared" si="124"/>
        <v/>
      </c>
      <c r="W1148" s="142"/>
      <c r="X1148" s="186" t="str">
        <f t="shared" si="125"/>
        <v/>
      </c>
    </row>
    <row r="1149" spans="1:24" s="147" customFormat="1">
      <c r="A1149" s="176"/>
      <c r="B1149" s="138"/>
      <c r="C1149" s="138"/>
      <c r="D1149" s="138"/>
      <c r="E1149" s="138"/>
      <c r="F1149" s="138"/>
      <c r="G1149" s="138"/>
      <c r="H1149" s="138"/>
      <c r="I1149" s="138"/>
      <c r="J1149" s="138"/>
      <c r="K1149" s="138"/>
      <c r="L1149" s="138"/>
      <c r="M1149" s="138"/>
      <c r="N1149" s="138"/>
      <c r="O1149" s="138"/>
      <c r="P1149" s="138"/>
      <c r="Q1149" s="255" t="str">
        <f t="shared" si="126"/>
        <v/>
      </c>
      <c r="R1149" s="139" t="str">
        <f t="shared" si="127"/>
        <v/>
      </c>
      <c r="S1149" s="128" t="str">
        <f t="shared" si="121"/>
        <v/>
      </c>
      <c r="T1149" s="140" t="str">
        <f t="shared" si="122"/>
        <v/>
      </c>
      <c r="U1149" s="141" t="str">
        <f t="shared" si="123"/>
        <v/>
      </c>
      <c r="V1149" s="141" t="str">
        <f t="shared" si="124"/>
        <v/>
      </c>
      <c r="W1149" s="142"/>
      <c r="X1149" s="186" t="str">
        <f t="shared" si="125"/>
        <v/>
      </c>
    </row>
    <row r="1150" spans="1:24" s="147" customFormat="1">
      <c r="A1150" s="176"/>
      <c r="B1150" s="138"/>
      <c r="C1150" s="138"/>
      <c r="D1150" s="138"/>
      <c r="E1150" s="138"/>
      <c r="F1150" s="138"/>
      <c r="G1150" s="138"/>
      <c r="H1150" s="138"/>
      <c r="I1150" s="138"/>
      <c r="J1150" s="138"/>
      <c r="K1150" s="138"/>
      <c r="L1150" s="138"/>
      <c r="M1150" s="138"/>
      <c r="N1150" s="138"/>
      <c r="O1150" s="138"/>
      <c r="P1150" s="138"/>
      <c r="Q1150" s="255" t="str">
        <f t="shared" si="126"/>
        <v/>
      </c>
      <c r="R1150" s="139" t="str">
        <f t="shared" si="127"/>
        <v/>
      </c>
      <c r="S1150" s="128" t="str">
        <f t="shared" si="121"/>
        <v/>
      </c>
      <c r="T1150" s="140" t="str">
        <f t="shared" si="122"/>
        <v/>
      </c>
      <c r="U1150" s="141" t="str">
        <f t="shared" si="123"/>
        <v/>
      </c>
      <c r="V1150" s="141" t="str">
        <f t="shared" si="124"/>
        <v/>
      </c>
      <c r="W1150" s="142"/>
      <c r="X1150" s="186" t="str">
        <f t="shared" si="125"/>
        <v/>
      </c>
    </row>
    <row r="1151" spans="1:24" s="147" customFormat="1">
      <c r="A1151" s="176"/>
      <c r="B1151" s="138"/>
      <c r="C1151" s="138"/>
      <c r="D1151" s="138"/>
      <c r="E1151" s="138"/>
      <c r="F1151" s="138"/>
      <c r="G1151" s="138"/>
      <c r="H1151" s="138"/>
      <c r="I1151" s="138"/>
      <c r="J1151" s="138"/>
      <c r="K1151" s="138"/>
      <c r="L1151" s="138"/>
      <c r="M1151" s="138"/>
      <c r="N1151" s="138"/>
      <c r="O1151" s="138"/>
      <c r="P1151" s="138"/>
      <c r="Q1151" s="255" t="str">
        <f t="shared" si="126"/>
        <v/>
      </c>
      <c r="R1151" s="139" t="str">
        <f t="shared" si="127"/>
        <v/>
      </c>
      <c r="S1151" s="128" t="str">
        <f t="shared" si="121"/>
        <v/>
      </c>
      <c r="T1151" s="140" t="str">
        <f t="shared" si="122"/>
        <v/>
      </c>
      <c r="U1151" s="141" t="str">
        <f t="shared" si="123"/>
        <v/>
      </c>
      <c r="V1151" s="141" t="str">
        <f t="shared" si="124"/>
        <v/>
      </c>
      <c r="W1151" s="142"/>
      <c r="X1151" s="186" t="str">
        <f t="shared" si="125"/>
        <v/>
      </c>
    </row>
    <row r="1152" spans="1:24" s="147" customFormat="1">
      <c r="A1152" s="176"/>
      <c r="B1152" s="138"/>
      <c r="C1152" s="138"/>
      <c r="D1152" s="138"/>
      <c r="E1152" s="138"/>
      <c r="F1152" s="138"/>
      <c r="G1152" s="138"/>
      <c r="H1152" s="138"/>
      <c r="I1152" s="138"/>
      <c r="J1152" s="138"/>
      <c r="K1152" s="138"/>
      <c r="L1152" s="138"/>
      <c r="M1152" s="138"/>
      <c r="N1152" s="138"/>
      <c r="O1152" s="138"/>
      <c r="P1152" s="138"/>
      <c r="Q1152" s="255" t="str">
        <f t="shared" si="126"/>
        <v/>
      </c>
      <c r="R1152" s="139" t="str">
        <f t="shared" si="127"/>
        <v/>
      </c>
      <c r="S1152" s="128" t="str">
        <f t="shared" si="121"/>
        <v/>
      </c>
      <c r="T1152" s="140" t="str">
        <f t="shared" si="122"/>
        <v/>
      </c>
      <c r="U1152" s="141" t="str">
        <f t="shared" si="123"/>
        <v/>
      </c>
      <c r="V1152" s="141" t="str">
        <f t="shared" si="124"/>
        <v/>
      </c>
      <c r="W1152" s="142"/>
      <c r="X1152" s="186" t="str">
        <f t="shared" si="125"/>
        <v/>
      </c>
    </row>
    <row r="1153" spans="1:24" s="147" customFormat="1">
      <c r="A1153" s="176"/>
      <c r="B1153" s="138"/>
      <c r="C1153" s="138"/>
      <c r="D1153" s="138"/>
      <c r="E1153" s="138"/>
      <c r="F1153" s="138"/>
      <c r="G1153" s="138"/>
      <c r="H1153" s="138"/>
      <c r="I1153" s="138"/>
      <c r="J1153" s="138"/>
      <c r="K1153" s="138"/>
      <c r="L1153" s="138"/>
      <c r="M1153" s="138"/>
      <c r="N1153" s="138"/>
      <c r="O1153" s="138"/>
      <c r="P1153" s="138"/>
      <c r="Q1153" s="255" t="str">
        <f t="shared" si="126"/>
        <v/>
      </c>
      <c r="R1153" s="139" t="str">
        <f t="shared" si="127"/>
        <v/>
      </c>
      <c r="S1153" s="128" t="str">
        <f t="shared" si="121"/>
        <v/>
      </c>
      <c r="T1153" s="140" t="str">
        <f t="shared" si="122"/>
        <v/>
      </c>
      <c r="U1153" s="141" t="str">
        <f t="shared" si="123"/>
        <v/>
      </c>
      <c r="V1153" s="141" t="str">
        <f t="shared" si="124"/>
        <v/>
      </c>
      <c r="W1153" s="142"/>
      <c r="X1153" s="186" t="str">
        <f t="shared" si="125"/>
        <v/>
      </c>
    </row>
    <row r="1154" spans="1:24" s="147" customFormat="1">
      <c r="A1154" s="176"/>
      <c r="B1154" s="138"/>
      <c r="C1154" s="138"/>
      <c r="D1154" s="138"/>
      <c r="E1154" s="138"/>
      <c r="F1154" s="138"/>
      <c r="G1154" s="138"/>
      <c r="H1154" s="138"/>
      <c r="I1154" s="138"/>
      <c r="J1154" s="138"/>
      <c r="K1154" s="138"/>
      <c r="L1154" s="138"/>
      <c r="M1154" s="138"/>
      <c r="N1154" s="138"/>
      <c r="O1154" s="138"/>
      <c r="P1154" s="138"/>
      <c r="Q1154" s="255" t="str">
        <f t="shared" si="126"/>
        <v/>
      </c>
      <c r="R1154" s="139" t="str">
        <f t="shared" si="127"/>
        <v/>
      </c>
      <c r="S1154" s="128" t="str">
        <f t="shared" si="121"/>
        <v/>
      </c>
      <c r="T1154" s="140" t="str">
        <f t="shared" si="122"/>
        <v/>
      </c>
      <c r="U1154" s="141" t="str">
        <f t="shared" si="123"/>
        <v/>
      </c>
      <c r="V1154" s="141" t="str">
        <f t="shared" si="124"/>
        <v/>
      </c>
      <c r="W1154" s="142"/>
      <c r="X1154" s="186" t="str">
        <f t="shared" si="125"/>
        <v/>
      </c>
    </row>
    <row r="1155" spans="1:24" s="147" customFormat="1">
      <c r="A1155" s="176"/>
      <c r="B1155" s="138"/>
      <c r="C1155" s="138"/>
      <c r="D1155" s="138"/>
      <c r="E1155" s="138"/>
      <c r="F1155" s="138"/>
      <c r="G1155" s="138"/>
      <c r="H1155" s="138"/>
      <c r="I1155" s="138"/>
      <c r="J1155" s="138"/>
      <c r="K1155" s="138"/>
      <c r="L1155" s="138"/>
      <c r="M1155" s="138"/>
      <c r="N1155" s="138"/>
      <c r="O1155" s="138"/>
      <c r="P1155" s="138"/>
      <c r="Q1155" s="255" t="str">
        <f t="shared" si="126"/>
        <v/>
      </c>
      <c r="R1155" s="139" t="str">
        <f t="shared" si="127"/>
        <v/>
      </c>
      <c r="S1155" s="128" t="str">
        <f t="shared" si="121"/>
        <v/>
      </c>
      <c r="T1155" s="140" t="str">
        <f t="shared" si="122"/>
        <v/>
      </c>
      <c r="U1155" s="141" t="str">
        <f t="shared" si="123"/>
        <v/>
      </c>
      <c r="V1155" s="141" t="str">
        <f t="shared" si="124"/>
        <v/>
      </c>
      <c r="W1155" s="142"/>
      <c r="X1155" s="186" t="str">
        <f t="shared" si="125"/>
        <v/>
      </c>
    </row>
    <row r="1156" spans="1:24" s="147" customFormat="1">
      <c r="A1156" s="176"/>
      <c r="B1156" s="138"/>
      <c r="C1156" s="138"/>
      <c r="D1156" s="138"/>
      <c r="E1156" s="138"/>
      <c r="F1156" s="138"/>
      <c r="G1156" s="138"/>
      <c r="H1156" s="138"/>
      <c r="I1156" s="138"/>
      <c r="J1156" s="138"/>
      <c r="K1156" s="138"/>
      <c r="L1156" s="138"/>
      <c r="M1156" s="138"/>
      <c r="N1156" s="138"/>
      <c r="O1156" s="138"/>
      <c r="P1156" s="138"/>
      <c r="Q1156" s="255" t="str">
        <f t="shared" si="126"/>
        <v/>
      </c>
      <c r="R1156" s="139" t="str">
        <f t="shared" si="127"/>
        <v/>
      </c>
      <c r="S1156" s="128" t="str">
        <f t="shared" si="121"/>
        <v/>
      </c>
      <c r="T1156" s="140" t="str">
        <f t="shared" si="122"/>
        <v/>
      </c>
      <c r="U1156" s="141" t="str">
        <f t="shared" si="123"/>
        <v/>
      </c>
      <c r="V1156" s="141" t="str">
        <f t="shared" si="124"/>
        <v/>
      </c>
      <c r="W1156" s="142"/>
      <c r="X1156" s="186" t="str">
        <f t="shared" si="125"/>
        <v/>
      </c>
    </row>
    <row r="1157" spans="1:24" s="147" customFormat="1">
      <c r="A1157" s="176"/>
      <c r="B1157" s="138"/>
      <c r="C1157" s="138"/>
      <c r="D1157" s="138"/>
      <c r="E1157" s="138"/>
      <c r="F1157" s="138"/>
      <c r="G1157" s="138"/>
      <c r="H1157" s="138"/>
      <c r="I1157" s="138"/>
      <c r="J1157" s="138"/>
      <c r="K1157" s="138"/>
      <c r="L1157" s="138"/>
      <c r="M1157" s="138"/>
      <c r="N1157" s="138"/>
      <c r="O1157" s="138"/>
      <c r="P1157" s="138"/>
      <c r="Q1157" s="255" t="str">
        <f t="shared" si="126"/>
        <v/>
      </c>
      <c r="R1157" s="139" t="str">
        <f t="shared" si="127"/>
        <v/>
      </c>
      <c r="S1157" s="128" t="str">
        <f t="shared" si="121"/>
        <v/>
      </c>
      <c r="T1157" s="140" t="str">
        <f t="shared" si="122"/>
        <v/>
      </c>
      <c r="U1157" s="141" t="str">
        <f t="shared" si="123"/>
        <v/>
      </c>
      <c r="V1157" s="141" t="str">
        <f t="shared" si="124"/>
        <v/>
      </c>
      <c r="W1157" s="142"/>
      <c r="X1157" s="186" t="str">
        <f t="shared" si="125"/>
        <v/>
      </c>
    </row>
    <row r="1158" spans="1:24" s="147" customFormat="1">
      <c r="A1158" s="176"/>
      <c r="B1158" s="138"/>
      <c r="C1158" s="138"/>
      <c r="D1158" s="138"/>
      <c r="E1158" s="138"/>
      <c r="F1158" s="138"/>
      <c r="G1158" s="138"/>
      <c r="H1158" s="138"/>
      <c r="I1158" s="138"/>
      <c r="J1158" s="138"/>
      <c r="K1158" s="138"/>
      <c r="L1158" s="138"/>
      <c r="M1158" s="138"/>
      <c r="N1158" s="138"/>
      <c r="O1158" s="138"/>
      <c r="P1158" s="138"/>
      <c r="Q1158" s="255" t="str">
        <f t="shared" si="126"/>
        <v/>
      </c>
      <c r="R1158" s="139" t="str">
        <f t="shared" si="127"/>
        <v/>
      </c>
      <c r="S1158" s="128" t="str">
        <f t="shared" si="121"/>
        <v/>
      </c>
      <c r="T1158" s="140" t="str">
        <f t="shared" si="122"/>
        <v/>
      </c>
      <c r="U1158" s="141" t="str">
        <f t="shared" si="123"/>
        <v/>
      </c>
      <c r="V1158" s="141" t="str">
        <f t="shared" si="124"/>
        <v/>
      </c>
      <c r="W1158" s="142"/>
      <c r="X1158" s="186" t="str">
        <f t="shared" si="125"/>
        <v/>
      </c>
    </row>
    <row r="1159" spans="1:24" s="147" customFormat="1">
      <c r="A1159" s="176"/>
      <c r="B1159" s="138"/>
      <c r="C1159" s="138"/>
      <c r="D1159" s="138"/>
      <c r="E1159" s="138"/>
      <c r="F1159" s="138"/>
      <c r="G1159" s="138"/>
      <c r="H1159" s="138"/>
      <c r="I1159" s="138"/>
      <c r="J1159" s="138"/>
      <c r="K1159" s="138"/>
      <c r="L1159" s="138"/>
      <c r="M1159" s="138"/>
      <c r="N1159" s="138"/>
      <c r="O1159" s="138"/>
      <c r="P1159" s="138"/>
      <c r="Q1159" s="255" t="str">
        <f t="shared" si="126"/>
        <v/>
      </c>
      <c r="R1159" s="139" t="str">
        <f t="shared" si="127"/>
        <v/>
      </c>
      <c r="S1159" s="128" t="str">
        <f t="shared" si="121"/>
        <v/>
      </c>
      <c r="T1159" s="140" t="str">
        <f t="shared" si="122"/>
        <v/>
      </c>
      <c r="U1159" s="141" t="str">
        <f t="shared" si="123"/>
        <v/>
      </c>
      <c r="V1159" s="141" t="str">
        <f t="shared" ref="V1159:V1161" si="128">IF(Q1159="","",T1159*U1159*-1)</f>
        <v/>
      </c>
      <c r="W1159" s="142"/>
      <c r="X1159" s="186" t="str">
        <f t="shared" si="125"/>
        <v/>
      </c>
    </row>
    <row r="1160" spans="1:24" s="147" customFormat="1">
      <c r="A1160" s="176"/>
      <c r="B1160" s="138"/>
      <c r="C1160" s="138"/>
      <c r="D1160" s="138"/>
      <c r="E1160" s="138"/>
      <c r="F1160" s="138"/>
      <c r="G1160" s="138"/>
      <c r="H1160" s="138"/>
      <c r="I1160" s="138"/>
      <c r="J1160" s="138"/>
      <c r="K1160" s="138"/>
      <c r="L1160" s="138"/>
      <c r="M1160" s="138"/>
      <c r="N1160" s="138"/>
      <c r="O1160" s="138"/>
      <c r="P1160" s="138"/>
      <c r="Q1160" s="255" t="str">
        <f t="shared" ref="Q1160:Q1161" si="129">IF(B1160="","",DATE(LEFT(B1160,3)+1911,MID(B1160,4,2),RIGHT(B1160,2)))</f>
        <v/>
      </c>
      <c r="R1160" s="139" t="str">
        <f t="shared" ref="R1160:R1161" si="130">IF(C1160="","",IFERROR(INDEX(代號1,MATCH($C1160,股名1,0)),IFERROR(INDEX(代號2,MATCH($C1160,股名2,0)),INDEX(代號3,MATCH($C1160,股名3,0)))))</f>
        <v/>
      </c>
      <c r="S1160" s="128" t="str">
        <f t="shared" si="121"/>
        <v/>
      </c>
      <c r="T1160" s="140" t="str">
        <f t="shared" si="122"/>
        <v/>
      </c>
      <c r="U1160" s="141" t="str">
        <f t="shared" si="123"/>
        <v/>
      </c>
      <c r="V1160" s="141" t="str">
        <f t="shared" si="128"/>
        <v/>
      </c>
      <c r="W1160" s="142"/>
      <c r="X1160" s="186" t="str">
        <f t="shared" si="125"/>
        <v/>
      </c>
    </row>
    <row r="1161" spans="1:24" s="147" customFormat="1">
      <c r="A1161" s="176"/>
      <c r="B1161" s="138"/>
      <c r="C1161" s="138"/>
      <c r="D1161" s="138"/>
      <c r="E1161" s="138"/>
      <c r="F1161" s="138"/>
      <c r="G1161" s="138"/>
      <c r="H1161" s="138"/>
      <c r="I1161" s="138"/>
      <c r="J1161" s="138"/>
      <c r="K1161" s="138"/>
      <c r="L1161" s="138"/>
      <c r="M1161" s="138"/>
      <c r="N1161" s="138"/>
      <c r="O1161" s="138"/>
      <c r="P1161" s="138"/>
      <c r="Q1161" s="255" t="str">
        <f t="shared" si="129"/>
        <v/>
      </c>
      <c r="R1161" s="139" t="str">
        <f t="shared" si="130"/>
        <v/>
      </c>
      <c r="S1161" s="128" t="str">
        <f t="shared" si="121"/>
        <v/>
      </c>
      <c r="T1161" s="140" t="str">
        <f t="shared" si="122"/>
        <v/>
      </c>
      <c r="U1161" s="141" t="str">
        <f t="shared" si="123"/>
        <v/>
      </c>
      <c r="V1161" s="141" t="str">
        <f t="shared" si="128"/>
        <v/>
      </c>
      <c r="W1161" s="142"/>
      <c r="X1161" s="186" t="str">
        <f t="shared" si="125"/>
        <v/>
      </c>
    </row>
    <row r="1162" spans="1:24" s="147" customFormat="1">
      <c r="A1162" s="176"/>
      <c r="B1162" s="176"/>
      <c r="C1162" s="176"/>
      <c r="D1162" s="176"/>
      <c r="E1162" s="176"/>
      <c r="F1162" s="176"/>
      <c r="G1162" s="176"/>
      <c r="H1162" s="176"/>
      <c r="I1162" s="176"/>
      <c r="J1162" s="176"/>
      <c r="K1162" s="176"/>
      <c r="L1162" s="176"/>
      <c r="M1162" s="176"/>
      <c r="N1162" s="176"/>
      <c r="O1162" s="176"/>
      <c r="P1162" s="176" t="s">
        <v>2835</v>
      </c>
      <c r="Q1162" s="176" t="s">
        <v>2835</v>
      </c>
      <c r="R1162" s="176" t="s">
        <v>2835</v>
      </c>
      <c r="S1162" s="258" t="s">
        <v>2835</v>
      </c>
      <c r="T1162" s="176" t="s">
        <v>2835</v>
      </c>
      <c r="U1162" s="176" t="s">
        <v>2835</v>
      </c>
      <c r="V1162" s="176" t="s">
        <v>2835</v>
      </c>
      <c r="W1162" s="176" t="s">
        <v>2835</v>
      </c>
      <c r="X1162" s="176" t="s">
        <v>2835</v>
      </c>
    </row>
    <row r="1163" spans="1:24" s="147" customFormat="1">
      <c r="A1163" s="176"/>
      <c r="B1163" s="138"/>
      <c r="C1163" s="138"/>
      <c r="D1163" s="138"/>
      <c r="E1163" s="138"/>
      <c r="F1163" s="138"/>
      <c r="G1163" s="138"/>
      <c r="H1163" s="138"/>
      <c r="I1163" s="138"/>
      <c r="J1163" s="138"/>
      <c r="K1163" s="138"/>
      <c r="L1163" s="138"/>
      <c r="M1163" s="138"/>
      <c r="N1163" s="138"/>
      <c r="O1163" s="138"/>
      <c r="P1163" s="138"/>
      <c r="Q1163" s="256"/>
      <c r="R1163" s="128"/>
      <c r="S1163" s="128"/>
      <c r="T1163" s="140"/>
      <c r="U1163" s="141"/>
      <c r="V1163" s="141"/>
      <c r="W1163" s="142"/>
    </row>
    <row r="1164" spans="1:24" s="147" customFormat="1">
      <c r="A1164" s="176"/>
      <c r="B1164" s="138"/>
      <c r="C1164" s="138"/>
      <c r="D1164" s="138"/>
      <c r="E1164" s="138"/>
      <c r="F1164" s="138"/>
      <c r="G1164" s="138"/>
      <c r="H1164" s="138"/>
      <c r="I1164" s="138"/>
      <c r="J1164" s="138"/>
      <c r="K1164" s="138"/>
      <c r="L1164" s="138"/>
      <c r="M1164" s="138"/>
      <c r="N1164" s="138"/>
      <c r="O1164" s="138"/>
      <c r="P1164" s="138"/>
      <c r="Q1164" s="256"/>
      <c r="R1164" s="128"/>
      <c r="S1164" s="128"/>
      <c r="T1164" s="140"/>
      <c r="U1164" s="141"/>
      <c r="V1164" s="141"/>
      <c r="W1164" s="142"/>
    </row>
    <row r="1165" spans="1:24" s="147" customFormat="1">
      <c r="A1165" s="176"/>
      <c r="B1165" s="138"/>
      <c r="C1165" s="138"/>
      <c r="D1165" s="138"/>
      <c r="E1165" s="138"/>
      <c r="F1165" s="138"/>
      <c r="G1165" s="138"/>
      <c r="H1165" s="138"/>
      <c r="I1165" s="138"/>
      <c r="J1165" s="138"/>
      <c r="K1165" s="138"/>
      <c r="L1165" s="138"/>
      <c r="M1165" s="138"/>
      <c r="N1165" s="138"/>
      <c r="O1165" s="138"/>
      <c r="P1165" s="138"/>
      <c r="Q1165" s="256"/>
      <c r="R1165" s="128"/>
      <c r="S1165" s="128"/>
      <c r="T1165" s="140"/>
      <c r="U1165" s="141"/>
      <c r="V1165" s="141"/>
      <c r="W1165" s="142"/>
    </row>
    <row r="1166" spans="1:24" s="147" customFormat="1">
      <c r="A1166" s="176"/>
      <c r="B1166" s="138"/>
      <c r="C1166" s="138"/>
      <c r="D1166" s="138"/>
      <c r="E1166" s="138"/>
      <c r="F1166" s="138"/>
      <c r="G1166" s="138"/>
      <c r="H1166" s="138"/>
      <c r="I1166" s="138"/>
      <c r="J1166" s="138"/>
      <c r="K1166" s="138"/>
      <c r="L1166" s="138"/>
      <c r="M1166" s="138"/>
      <c r="N1166" s="138"/>
      <c r="O1166" s="138"/>
      <c r="P1166" s="138"/>
      <c r="Q1166" s="256"/>
      <c r="R1166" s="128"/>
      <c r="S1166" s="128"/>
      <c r="T1166" s="140"/>
      <c r="U1166" s="141"/>
      <c r="V1166" s="141"/>
      <c r="W1166" s="142"/>
    </row>
    <row r="1167" spans="1:24" s="147" customFormat="1">
      <c r="A1167" s="176"/>
      <c r="B1167" s="138"/>
      <c r="C1167" s="138"/>
      <c r="D1167" s="138"/>
      <c r="E1167" s="138"/>
      <c r="F1167" s="138"/>
      <c r="G1167" s="138"/>
      <c r="H1167" s="138"/>
      <c r="I1167" s="138"/>
      <c r="J1167" s="138"/>
      <c r="K1167" s="138"/>
      <c r="L1167" s="138"/>
      <c r="M1167" s="138"/>
      <c r="N1167" s="138"/>
      <c r="O1167" s="138"/>
      <c r="P1167" s="138"/>
      <c r="Q1167" s="256"/>
      <c r="R1167" s="128"/>
      <c r="S1167" s="128"/>
      <c r="T1167" s="140"/>
      <c r="U1167" s="141"/>
      <c r="V1167" s="141"/>
      <c r="W1167" s="142"/>
    </row>
    <row r="1168" spans="1:24" s="147" customFormat="1">
      <c r="A1168" s="176"/>
      <c r="B1168" s="138"/>
      <c r="C1168" s="138"/>
      <c r="D1168" s="138"/>
      <c r="E1168" s="138"/>
      <c r="F1168" s="138"/>
      <c r="G1168" s="138"/>
      <c r="H1168" s="138"/>
      <c r="I1168" s="138"/>
      <c r="J1168" s="138"/>
      <c r="K1168" s="138"/>
      <c r="L1168" s="138"/>
      <c r="M1168" s="138"/>
      <c r="N1168" s="138"/>
      <c r="O1168" s="138"/>
      <c r="P1168" s="138"/>
      <c r="Q1168" s="256"/>
      <c r="R1168" s="128"/>
      <c r="S1168" s="128"/>
      <c r="T1168" s="140"/>
      <c r="U1168" s="141"/>
      <c r="V1168" s="141"/>
      <c r="W1168" s="142"/>
    </row>
    <row r="1169" spans="1:23" s="147" customFormat="1">
      <c r="A1169" s="176"/>
      <c r="B1169" s="138"/>
      <c r="C1169" s="138"/>
      <c r="D1169" s="138"/>
      <c r="E1169" s="138"/>
      <c r="F1169" s="138"/>
      <c r="G1169" s="138"/>
      <c r="H1169" s="138"/>
      <c r="I1169" s="138"/>
      <c r="J1169" s="138"/>
      <c r="K1169" s="138"/>
      <c r="L1169" s="138"/>
      <c r="M1169" s="138"/>
      <c r="N1169" s="138"/>
      <c r="O1169" s="138"/>
      <c r="P1169" s="138"/>
      <c r="Q1169" s="256"/>
      <c r="R1169" s="128"/>
      <c r="S1169" s="128"/>
      <c r="T1169" s="140"/>
      <c r="U1169" s="141"/>
      <c r="V1169" s="141"/>
      <c r="W1169" s="142"/>
    </row>
    <row r="1170" spans="1:23" s="147" customFormat="1">
      <c r="A1170" s="176"/>
      <c r="B1170" s="138"/>
      <c r="C1170" s="138"/>
      <c r="D1170" s="138"/>
      <c r="E1170" s="138"/>
      <c r="F1170" s="138"/>
      <c r="G1170" s="138"/>
      <c r="H1170" s="138"/>
      <c r="I1170" s="138"/>
      <c r="J1170" s="138"/>
      <c r="K1170" s="138"/>
      <c r="L1170" s="138"/>
      <c r="M1170" s="138"/>
      <c r="N1170" s="138"/>
      <c r="O1170" s="138"/>
      <c r="P1170" s="138"/>
      <c r="Q1170" s="256"/>
      <c r="R1170" s="128"/>
      <c r="S1170" s="128"/>
      <c r="T1170" s="140"/>
      <c r="U1170" s="141"/>
      <c r="V1170" s="141"/>
      <c r="W1170" s="142"/>
    </row>
    <row r="1171" spans="1:23" s="147" customFormat="1">
      <c r="A1171" s="176"/>
      <c r="B1171" s="138"/>
      <c r="C1171" s="138"/>
      <c r="D1171" s="138"/>
      <c r="E1171" s="138"/>
      <c r="F1171" s="138"/>
      <c r="G1171" s="138"/>
      <c r="H1171" s="138"/>
      <c r="I1171" s="138"/>
      <c r="J1171" s="138"/>
      <c r="K1171" s="138"/>
      <c r="L1171" s="138"/>
      <c r="M1171" s="138"/>
      <c r="N1171" s="138"/>
      <c r="O1171" s="138"/>
      <c r="P1171" s="138"/>
      <c r="Q1171" s="256"/>
      <c r="R1171" s="128"/>
      <c r="S1171" s="128"/>
      <c r="T1171" s="140"/>
      <c r="U1171" s="141"/>
      <c r="V1171" s="141"/>
      <c r="W1171" s="142"/>
    </row>
    <row r="1172" spans="1:23" s="147" customFormat="1">
      <c r="A1172" s="176"/>
      <c r="B1172" s="138"/>
      <c r="C1172" s="138"/>
      <c r="D1172" s="138"/>
      <c r="E1172" s="138"/>
      <c r="F1172" s="138"/>
      <c r="G1172" s="138"/>
      <c r="H1172" s="138"/>
      <c r="I1172" s="138"/>
      <c r="J1172" s="138"/>
      <c r="K1172" s="138"/>
      <c r="L1172" s="138"/>
      <c r="M1172" s="138"/>
      <c r="N1172" s="138"/>
      <c r="O1172" s="138"/>
      <c r="P1172" s="138"/>
      <c r="Q1172" s="256"/>
      <c r="R1172" s="128"/>
      <c r="S1172" s="128"/>
      <c r="T1172" s="140"/>
      <c r="U1172" s="141"/>
      <c r="V1172" s="141"/>
      <c r="W1172" s="142"/>
    </row>
    <row r="1173" spans="1:23" s="147" customFormat="1">
      <c r="A1173" s="176"/>
      <c r="B1173" s="138"/>
      <c r="C1173" s="138"/>
      <c r="D1173" s="138"/>
      <c r="E1173" s="138"/>
      <c r="F1173" s="138"/>
      <c r="G1173" s="138"/>
      <c r="H1173" s="138"/>
      <c r="I1173" s="138"/>
      <c r="J1173" s="138"/>
      <c r="K1173" s="138"/>
      <c r="L1173" s="138"/>
      <c r="M1173" s="138"/>
      <c r="N1173" s="138"/>
      <c r="O1173" s="138"/>
      <c r="P1173" s="138"/>
      <c r="Q1173" s="256"/>
      <c r="R1173" s="128"/>
      <c r="S1173" s="128"/>
      <c r="T1173" s="140"/>
      <c r="U1173" s="141"/>
      <c r="V1173" s="141"/>
      <c r="W1173" s="142"/>
    </row>
    <row r="1174" spans="1:23" s="147" customFormat="1">
      <c r="A1174" s="176"/>
      <c r="B1174" s="138"/>
      <c r="C1174" s="138"/>
      <c r="D1174" s="138"/>
      <c r="E1174" s="138"/>
      <c r="F1174" s="138"/>
      <c r="G1174" s="138"/>
      <c r="H1174" s="138"/>
      <c r="I1174" s="138"/>
      <c r="J1174" s="138"/>
      <c r="K1174" s="138"/>
      <c r="L1174" s="138"/>
      <c r="M1174" s="138"/>
      <c r="N1174" s="138"/>
      <c r="O1174" s="138"/>
      <c r="P1174" s="138"/>
      <c r="Q1174" s="256"/>
      <c r="R1174" s="128"/>
      <c r="S1174" s="128"/>
      <c r="T1174" s="140"/>
      <c r="U1174" s="141"/>
      <c r="V1174" s="141"/>
      <c r="W1174" s="142"/>
    </row>
    <row r="1175" spans="1:23" s="147" customFormat="1">
      <c r="A1175" s="176"/>
      <c r="B1175" s="138"/>
      <c r="C1175" s="138"/>
      <c r="D1175" s="138"/>
      <c r="E1175" s="138"/>
      <c r="F1175" s="138"/>
      <c r="G1175" s="138"/>
      <c r="H1175" s="138"/>
      <c r="I1175" s="138"/>
      <c r="J1175" s="138"/>
      <c r="K1175" s="138"/>
      <c r="L1175" s="138"/>
      <c r="M1175" s="138"/>
      <c r="N1175" s="138"/>
      <c r="O1175" s="138"/>
      <c r="P1175" s="138"/>
      <c r="Q1175" s="256"/>
      <c r="R1175" s="128"/>
      <c r="S1175" s="128"/>
      <c r="T1175" s="140"/>
      <c r="U1175" s="141"/>
      <c r="V1175" s="141"/>
      <c r="W1175" s="142"/>
    </row>
    <row r="1176" spans="1:23" s="147" customFormat="1">
      <c r="A1176" s="176"/>
      <c r="B1176" s="138"/>
      <c r="C1176" s="138"/>
      <c r="D1176" s="138"/>
      <c r="E1176" s="138"/>
      <c r="F1176" s="138"/>
      <c r="G1176" s="138"/>
      <c r="H1176" s="138"/>
      <c r="I1176" s="138"/>
      <c r="J1176" s="138"/>
      <c r="K1176" s="138"/>
      <c r="L1176" s="138"/>
      <c r="M1176" s="138"/>
      <c r="N1176" s="138"/>
      <c r="O1176" s="138"/>
      <c r="P1176" s="138"/>
      <c r="Q1176" s="256"/>
      <c r="R1176" s="128"/>
      <c r="S1176" s="128"/>
      <c r="T1176" s="140"/>
      <c r="U1176" s="141"/>
      <c r="V1176" s="141"/>
      <c r="W1176" s="142"/>
    </row>
    <row r="1177" spans="1:23" s="147" customFormat="1">
      <c r="A1177" s="176"/>
      <c r="B1177" s="138"/>
      <c r="C1177" s="138"/>
      <c r="D1177" s="138"/>
      <c r="E1177" s="138"/>
      <c r="F1177" s="138"/>
      <c r="G1177" s="138"/>
      <c r="H1177" s="138"/>
      <c r="I1177" s="138"/>
      <c r="J1177" s="138"/>
      <c r="K1177" s="138"/>
      <c r="L1177" s="138"/>
      <c r="M1177" s="138"/>
      <c r="N1177" s="138"/>
      <c r="O1177" s="138"/>
      <c r="P1177" s="138"/>
      <c r="Q1177" s="256"/>
      <c r="R1177" s="128"/>
      <c r="S1177" s="128"/>
      <c r="T1177" s="140"/>
      <c r="U1177" s="141"/>
      <c r="V1177" s="141"/>
      <c r="W1177" s="142"/>
    </row>
    <row r="1178" spans="1:23" s="147" customFormat="1">
      <c r="A1178" s="176"/>
      <c r="B1178" s="138"/>
      <c r="C1178" s="138"/>
      <c r="D1178" s="138"/>
      <c r="E1178" s="138"/>
      <c r="F1178" s="138"/>
      <c r="G1178" s="138"/>
      <c r="H1178" s="138"/>
      <c r="I1178" s="138"/>
      <c r="J1178" s="138"/>
      <c r="K1178" s="138"/>
      <c r="L1178" s="138"/>
      <c r="M1178" s="138"/>
      <c r="N1178" s="138"/>
      <c r="O1178" s="138"/>
      <c r="P1178" s="138"/>
      <c r="Q1178" s="256"/>
      <c r="R1178" s="128"/>
      <c r="S1178" s="128"/>
      <c r="T1178" s="140"/>
      <c r="U1178" s="141"/>
      <c r="V1178" s="141"/>
      <c r="W1178" s="142"/>
    </row>
    <row r="1179" spans="1:23" s="147" customFormat="1">
      <c r="A1179" s="176"/>
      <c r="B1179" s="138"/>
      <c r="C1179" s="138"/>
      <c r="D1179" s="138"/>
      <c r="E1179" s="138"/>
      <c r="F1179" s="138"/>
      <c r="G1179" s="138"/>
      <c r="H1179" s="138"/>
      <c r="I1179" s="138"/>
      <c r="J1179" s="138"/>
      <c r="K1179" s="138"/>
      <c r="L1179" s="138"/>
      <c r="M1179" s="138"/>
      <c r="N1179" s="138"/>
      <c r="O1179" s="138"/>
      <c r="P1179" s="138"/>
      <c r="Q1179" s="256"/>
      <c r="R1179" s="128"/>
      <c r="S1179" s="128"/>
      <c r="T1179" s="140"/>
      <c r="U1179" s="141"/>
      <c r="V1179" s="141"/>
      <c r="W1179" s="142"/>
    </row>
    <row r="1180" spans="1:23" s="147" customFormat="1">
      <c r="A1180" s="176"/>
      <c r="B1180" s="138"/>
      <c r="C1180" s="138"/>
      <c r="D1180" s="138"/>
      <c r="E1180" s="138"/>
      <c r="F1180" s="138"/>
      <c r="G1180" s="138"/>
      <c r="H1180" s="138"/>
      <c r="I1180" s="138"/>
      <c r="J1180" s="138"/>
      <c r="K1180" s="138"/>
      <c r="L1180" s="138"/>
      <c r="M1180" s="138"/>
      <c r="N1180" s="138"/>
      <c r="O1180" s="138"/>
      <c r="P1180" s="138"/>
      <c r="Q1180" s="256"/>
      <c r="R1180" s="128"/>
      <c r="S1180" s="128"/>
      <c r="T1180" s="140"/>
      <c r="U1180" s="141"/>
      <c r="V1180" s="141"/>
      <c r="W1180" s="142"/>
    </row>
    <row r="1181" spans="1:23" s="147" customFormat="1">
      <c r="A1181" s="176"/>
      <c r="B1181" s="138"/>
      <c r="C1181" s="138"/>
      <c r="D1181" s="138"/>
      <c r="E1181" s="138"/>
      <c r="F1181" s="138"/>
      <c r="G1181" s="138"/>
      <c r="H1181" s="138"/>
      <c r="I1181" s="138"/>
      <c r="J1181" s="138"/>
      <c r="K1181" s="138"/>
      <c r="L1181" s="138"/>
      <c r="M1181" s="138"/>
      <c r="N1181" s="138"/>
      <c r="O1181" s="138"/>
      <c r="P1181" s="138"/>
      <c r="Q1181" s="256"/>
      <c r="R1181" s="128"/>
      <c r="S1181" s="128"/>
      <c r="T1181" s="140"/>
      <c r="U1181" s="141"/>
      <c r="V1181" s="141"/>
      <c r="W1181" s="142"/>
    </row>
    <row r="1182" spans="1:23" s="147" customFormat="1">
      <c r="A1182" s="176"/>
      <c r="B1182" s="138"/>
      <c r="C1182" s="138"/>
      <c r="D1182" s="138"/>
      <c r="E1182" s="138"/>
      <c r="F1182" s="138"/>
      <c r="G1182" s="138"/>
      <c r="H1182" s="138"/>
      <c r="I1182" s="138"/>
      <c r="J1182" s="138"/>
      <c r="K1182" s="138"/>
      <c r="L1182" s="138"/>
      <c r="M1182" s="138"/>
      <c r="N1182" s="138"/>
      <c r="O1182" s="138"/>
      <c r="P1182" s="138"/>
      <c r="Q1182" s="256"/>
      <c r="R1182" s="128"/>
      <c r="S1182" s="128"/>
      <c r="T1182" s="140"/>
      <c r="U1182" s="141"/>
      <c r="V1182" s="141"/>
      <c r="W1182" s="142"/>
    </row>
    <row r="1183" spans="1:23" s="147" customFormat="1">
      <c r="A1183" s="176"/>
      <c r="B1183" s="138"/>
      <c r="C1183" s="138"/>
      <c r="D1183" s="138"/>
      <c r="E1183" s="138"/>
      <c r="F1183" s="138"/>
      <c r="G1183" s="138"/>
      <c r="H1183" s="138"/>
      <c r="I1183" s="138"/>
      <c r="J1183" s="138"/>
      <c r="K1183" s="138"/>
      <c r="L1183" s="138"/>
      <c r="M1183" s="138"/>
      <c r="N1183" s="138"/>
      <c r="O1183" s="138"/>
      <c r="P1183" s="138"/>
      <c r="Q1183" s="256"/>
      <c r="R1183" s="128"/>
      <c r="S1183" s="128"/>
      <c r="T1183" s="140"/>
      <c r="U1183" s="141"/>
      <c r="V1183" s="141"/>
      <c r="W1183" s="142"/>
    </row>
    <row r="1184" spans="1:23" s="147" customFormat="1">
      <c r="A1184" s="176"/>
      <c r="B1184" s="138"/>
      <c r="C1184" s="138"/>
      <c r="D1184" s="138"/>
      <c r="E1184" s="138"/>
      <c r="F1184" s="138"/>
      <c r="G1184" s="138"/>
      <c r="H1184" s="138"/>
      <c r="I1184" s="138"/>
      <c r="J1184" s="138"/>
      <c r="K1184" s="138"/>
      <c r="L1184" s="138"/>
      <c r="M1184" s="138"/>
      <c r="N1184" s="138"/>
      <c r="O1184" s="138"/>
      <c r="P1184" s="138"/>
      <c r="Q1184" s="256"/>
      <c r="R1184" s="128"/>
      <c r="S1184" s="128"/>
      <c r="T1184" s="140"/>
      <c r="U1184" s="141"/>
      <c r="V1184" s="141"/>
      <c r="W1184" s="142"/>
    </row>
    <row r="1185" spans="1:23" s="147" customFormat="1">
      <c r="A1185" s="176"/>
      <c r="B1185" s="138"/>
      <c r="C1185" s="138"/>
      <c r="D1185" s="138"/>
      <c r="E1185" s="138"/>
      <c r="F1185" s="138"/>
      <c r="G1185" s="138"/>
      <c r="H1185" s="138"/>
      <c r="I1185" s="138"/>
      <c r="J1185" s="138"/>
      <c r="K1185" s="138"/>
      <c r="L1185" s="138"/>
      <c r="M1185" s="138"/>
      <c r="N1185" s="138"/>
      <c r="O1185" s="138"/>
      <c r="P1185" s="138"/>
      <c r="Q1185" s="256"/>
      <c r="R1185" s="128"/>
      <c r="S1185" s="128"/>
      <c r="T1185" s="140"/>
      <c r="U1185" s="141"/>
      <c r="V1185" s="141"/>
      <c r="W1185" s="142"/>
    </row>
    <row r="1186" spans="1:23" s="147" customFormat="1">
      <c r="A1186" s="176"/>
      <c r="B1186" s="138"/>
      <c r="C1186" s="138"/>
      <c r="D1186" s="138"/>
      <c r="E1186" s="138"/>
      <c r="F1186" s="138"/>
      <c r="G1186" s="138"/>
      <c r="H1186" s="138"/>
      <c r="I1186" s="138"/>
      <c r="J1186" s="138"/>
      <c r="K1186" s="138"/>
      <c r="L1186" s="138"/>
      <c r="M1186" s="138"/>
      <c r="N1186" s="138"/>
      <c r="O1186" s="138"/>
      <c r="P1186" s="138"/>
      <c r="Q1186" s="256"/>
      <c r="R1186" s="128"/>
      <c r="S1186" s="128"/>
      <c r="T1186" s="140"/>
      <c r="U1186" s="141"/>
      <c r="V1186" s="141"/>
      <c r="W1186" s="142"/>
    </row>
    <row r="1187" spans="1:23" s="147" customFormat="1">
      <c r="A1187" s="176"/>
      <c r="B1187" s="138"/>
      <c r="C1187" s="138"/>
      <c r="D1187" s="138"/>
      <c r="E1187" s="138"/>
      <c r="F1187" s="138"/>
      <c r="G1187" s="138"/>
      <c r="H1187" s="138"/>
      <c r="I1187" s="138"/>
      <c r="J1187" s="138"/>
      <c r="K1187" s="138"/>
      <c r="L1187" s="138"/>
      <c r="M1187" s="138"/>
      <c r="N1187" s="138"/>
      <c r="O1187" s="138"/>
      <c r="P1187" s="138"/>
      <c r="Q1187" s="256"/>
      <c r="R1187" s="128"/>
      <c r="S1187" s="128"/>
      <c r="T1187" s="140"/>
      <c r="U1187" s="141"/>
      <c r="V1187" s="141"/>
      <c r="W1187" s="142"/>
    </row>
    <row r="1188" spans="1:23" s="147" customFormat="1">
      <c r="A1188" s="176"/>
      <c r="B1188" s="138"/>
      <c r="C1188" s="138"/>
      <c r="D1188" s="138"/>
      <c r="E1188" s="138"/>
      <c r="F1188" s="138"/>
      <c r="G1188" s="138"/>
      <c r="H1188" s="138"/>
      <c r="I1188" s="138"/>
      <c r="J1188" s="138"/>
      <c r="K1188" s="138"/>
      <c r="L1188" s="138"/>
      <c r="M1188" s="138"/>
      <c r="N1188" s="138"/>
      <c r="O1188" s="138"/>
      <c r="P1188" s="138"/>
      <c r="Q1188" s="256"/>
      <c r="R1188" s="128"/>
      <c r="S1188" s="128"/>
      <c r="T1188" s="140"/>
      <c r="U1188" s="141"/>
      <c r="V1188" s="141"/>
      <c r="W1188" s="142"/>
    </row>
    <row r="1189" spans="1:23" s="147" customFormat="1">
      <c r="A1189" s="176"/>
      <c r="B1189" s="138"/>
      <c r="C1189" s="138"/>
      <c r="D1189" s="138"/>
      <c r="E1189" s="138"/>
      <c r="F1189" s="138"/>
      <c r="G1189" s="138"/>
      <c r="H1189" s="138"/>
      <c r="I1189" s="138"/>
      <c r="J1189" s="138"/>
      <c r="K1189" s="138"/>
      <c r="L1189" s="138"/>
      <c r="M1189" s="138"/>
      <c r="N1189" s="138"/>
      <c r="O1189" s="138"/>
      <c r="P1189" s="138"/>
      <c r="Q1189" s="256"/>
      <c r="R1189" s="128"/>
      <c r="S1189" s="128"/>
      <c r="T1189" s="140"/>
      <c r="U1189" s="141"/>
      <c r="V1189" s="141"/>
      <c r="W1189" s="142"/>
    </row>
    <row r="1190" spans="1:23" s="147" customFormat="1">
      <c r="A1190" s="176"/>
      <c r="B1190" s="138"/>
      <c r="C1190" s="138"/>
      <c r="D1190" s="138"/>
      <c r="E1190" s="138"/>
      <c r="F1190" s="138"/>
      <c r="G1190" s="138"/>
      <c r="H1190" s="138"/>
      <c r="I1190" s="138"/>
      <c r="J1190" s="138"/>
      <c r="K1190" s="138"/>
      <c r="L1190" s="138"/>
      <c r="M1190" s="138"/>
      <c r="N1190" s="138"/>
      <c r="O1190" s="138"/>
      <c r="P1190" s="138"/>
      <c r="Q1190" s="256"/>
      <c r="R1190" s="128"/>
      <c r="S1190" s="128"/>
      <c r="T1190" s="140"/>
      <c r="U1190" s="141"/>
      <c r="V1190" s="141"/>
      <c r="W1190" s="142"/>
    </row>
    <row r="1191" spans="1:23" s="147" customFormat="1">
      <c r="A1191" s="176"/>
      <c r="B1191" s="138"/>
      <c r="C1191" s="138"/>
      <c r="D1191" s="138"/>
      <c r="E1191" s="138"/>
      <c r="F1191" s="138"/>
      <c r="G1191" s="138"/>
      <c r="H1191" s="138"/>
      <c r="I1191" s="138"/>
      <c r="J1191" s="138"/>
      <c r="K1191" s="138"/>
      <c r="L1191" s="138"/>
      <c r="M1191" s="138"/>
      <c r="N1191" s="138"/>
      <c r="O1191" s="138"/>
      <c r="P1191" s="138"/>
      <c r="Q1191" s="256"/>
      <c r="R1191" s="128"/>
      <c r="S1191" s="128"/>
      <c r="T1191" s="140"/>
      <c r="U1191" s="141"/>
      <c r="V1191" s="141"/>
      <c r="W1191" s="142"/>
    </row>
    <row r="1192" spans="1:23" s="147" customFormat="1">
      <c r="A1192" s="176"/>
      <c r="B1192" s="138"/>
      <c r="C1192" s="138"/>
      <c r="D1192" s="138"/>
      <c r="E1192" s="138"/>
      <c r="F1192" s="138"/>
      <c r="G1192" s="138"/>
      <c r="H1192" s="138"/>
      <c r="I1192" s="138"/>
      <c r="J1192" s="138"/>
      <c r="K1192" s="138"/>
      <c r="L1192" s="138"/>
      <c r="M1192" s="138"/>
      <c r="N1192" s="138"/>
      <c r="O1192" s="138"/>
      <c r="P1192" s="138"/>
      <c r="Q1192" s="256"/>
      <c r="R1192" s="128"/>
      <c r="S1192" s="128"/>
      <c r="T1192" s="140"/>
      <c r="U1192" s="141"/>
      <c r="V1192" s="141"/>
      <c r="W1192" s="142"/>
    </row>
    <row r="1193" spans="1:23" s="147" customFormat="1">
      <c r="A1193" s="176"/>
      <c r="B1193" s="138"/>
      <c r="C1193" s="138"/>
      <c r="D1193" s="138"/>
      <c r="E1193" s="138"/>
      <c r="F1193" s="138"/>
      <c r="G1193" s="138"/>
      <c r="H1193" s="138"/>
      <c r="I1193" s="138"/>
      <c r="J1193" s="138"/>
      <c r="K1193" s="138"/>
      <c r="L1193" s="138"/>
      <c r="M1193" s="138"/>
      <c r="N1193" s="138"/>
      <c r="O1193" s="138"/>
      <c r="P1193" s="138"/>
      <c r="Q1193" s="256"/>
      <c r="R1193" s="128"/>
      <c r="S1193" s="128"/>
      <c r="T1193" s="140"/>
      <c r="U1193" s="141"/>
      <c r="V1193" s="141"/>
      <c r="W1193" s="142"/>
    </row>
    <row r="1194" spans="1:23" s="147" customFormat="1">
      <c r="A1194" s="176"/>
      <c r="B1194" s="138"/>
      <c r="C1194" s="138"/>
      <c r="D1194" s="138"/>
      <c r="E1194" s="138"/>
      <c r="F1194" s="138"/>
      <c r="G1194" s="138"/>
      <c r="H1194" s="138"/>
      <c r="I1194" s="138"/>
      <c r="J1194" s="138"/>
      <c r="K1194" s="138"/>
      <c r="L1194" s="138"/>
      <c r="M1194" s="138"/>
      <c r="N1194" s="138"/>
      <c r="O1194" s="138"/>
      <c r="P1194" s="138"/>
      <c r="Q1194" s="256"/>
      <c r="R1194" s="128"/>
      <c r="S1194" s="128"/>
      <c r="T1194" s="140"/>
      <c r="U1194" s="141"/>
      <c r="V1194" s="141"/>
      <c r="W1194" s="142"/>
    </row>
    <row r="1195" spans="1:23" s="147" customFormat="1">
      <c r="A1195" s="176"/>
      <c r="B1195" s="138"/>
      <c r="C1195" s="138"/>
      <c r="D1195" s="138"/>
      <c r="E1195" s="138"/>
      <c r="F1195" s="138"/>
      <c r="G1195" s="138"/>
      <c r="H1195" s="138"/>
      <c r="I1195" s="138"/>
      <c r="J1195" s="138"/>
      <c r="K1195" s="138"/>
      <c r="L1195" s="138"/>
      <c r="M1195" s="138"/>
      <c r="N1195" s="138"/>
      <c r="O1195" s="138"/>
      <c r="P1195" s="138"/>
      <c r="Q1195" s="256"/>
      <c r="R1195" s="128"/>
      <c r="S1195" s="128"/>
      <c r="T1195" s="140"/>
      <c r="U1195" s="141"/>
      <c r="V1195" s="141"/>
      <c r="W1195" s="142"/>
    </row>
    <row r="1196" spans="1:23" s="147" customFormat="1">
      <c r="A1196" s="176"/>
      <c r="B1196" s="138"/>
      <c r="C1196" s="138"/>
      <c r="D1196" s="138"/>
      <c r="E1196" s="138"/>
      <c r="F1196" s="138"/>
      <c r="G1196" s="138"/>
      <c r="H1196" s="138"/>
      <c r="I1196" s="138"/>
      <c r="J1196" s="138"/>
      <c r="K1196" s="138"/>
      <c r="L1196" s="138"/>
      <c r="M1196" s="138"/>
      <c r="N1196" s="138"/>
      <c r="O1196" s="138"/>
      <c r="P1196" s="138"/>
      <c r="Q1196" s="256"/>
      <c r="R1196" s="128"/>
      <c r="S1196" s="128"/>
      <c r="T1196" s="140"/>
      <c r="U1196" s="141"/>
      <c r="V1196" s="141"/>
      <c r="W1196" s="142"/>
    </row>
    <row r="1197" spans="1:23" s="147" customFormat="1">
      <c r="A1197" s="176"/>
      <c r="B1197" s="138"/>
      <c r="C1197" s="138"/>
      <c r="D1197" s="138"/>
      <c r="E1197" s="138"/>
      <c r="F1197" s="138"/>
      <c r="G1197" s="138"/>
      <c r="H1197" s="138"/>
      <c r="I1197" s="138"/>
      <c r="J1197" s="138"/>
      <c r="K1197" s="138"/>
      <c r="L1197" s="138"/>
      <c r="M1197" s="138"/>
      <c r="N1197" s="138"/>
      <c r="O1197" s="138"/>
      <c r="P1197" s="138"/>
      <c r="Q1197" s="256"/>
      <c r="R1197" s="128"/>
      <c r="S1197" s="128"/>
      <c r="T1197" s="140"/>
      <c r="U1197" s="141"/>
      <c r="V1197" s="141"/>
      <c r="W1197" s="142"/>
    </row>
    <row r="1198" spans="1:23" s="147" customFormat="1">
      <c r="A1198" s="176"/>
      <c r="B1198" s="138"/>
      <c r="C1198" s="138"/>
      <c r="D1198" s="138"/>
      <c r="E1198" s="138"/>
      <c r="F1198" s="138"/>
      <c r="G1198" s="138"/>
      <c r="H1198" s="138"/>
      <c r="I1198" s="138"/>
      <c r="J1198" s="138"/>
      <c r="K1198" s="138"/>
      <c r="L1198" s="138"/>
      <c r="M1198" s="138"/>
      <c r="N1198" s="138"/>
      <c r="O1198" s="138"/>
      <c r="P1198" s="138"/>
      <c r="Q1198" s="256"/>
      <c r="R1198" s="128"/>
      <c r="S1198" s="128"/>
      <c r="T1198" s="140"/>
      <c r="U1198" s="141"/>
      <c r="V1198" s="141"/>
      <c r="W1198" s="142"/>
    </row>
    <row r="1199" spans="1:23" s="147" customFormat="1">
      <c r="A1199" s="176"/>
      <c r="B1199" s="138"/>
      <c r="C1199" s="138"/>
      <c r="D1199" s="138"/>
      <c r="E1199" s="138"/>
      <c r="F1199" s="138"/>
      <c r="G1199" s="138"/>
      <c r="H1199" s="138"/>
      <c r="I1199" s="138"/>
      <c r="J1199" s="138"/>
      <c r="K1199" s="138"/>
      <c r="L1199" s="138"/>
      <c r="M1199" s="138"/>
      <c r="N1199" s="138"/>
      <c r="O1199" s="138"/>
      <c r="P1199" s="138"/>
      <c r="Q1199" s="256"/>
      <c r="R1199" s="128"/>
      <c r="S1199" s="128"/>
      <c r="T1199" s="140"/>
      <c r="U1199" s="141"/>
      <c r="V1199" s="141"/>
      <c r="W1199" s="142"/>
    </row>
    <row r="1200" spans="1:23" s="147" customFormat="1">
      <c r="A1200" s="176"/>
      <c r="B1200" s="138"/>
      <c r="C1200" s="138"/>
      <c r="D1200" s="138"/>
      <c r="E1200" s="138"/>
      <c r="F1200" s="138"/>
      <c r="G1200" s="138"/>
      <c r="H1200" s="138"/>
      <c r="I1200" s="138"/>
      <c r="J1200" s="138"/>
      <c r="K1200" s="138"/>
      <c r="L1200" s="138"/>
      <c r="M1200" s="138"/>
      <c r="N1200" s="138"/>
      <c r="O1200" s="138"/>
      <c r="P1200" s="138"/>
      <c r="Q1200" s="256"/>
      <c r="R1200" s="128"/>
      <c r="S1200" s="128"/>
      <c r="T1200" s="140"/>
      <c r="U1200" s="141"/>
      <c r="V1200" s="141"/>
      <c r="W1200" s="142"/>
    </row>
    <row r="1201" spans="1:23" s="147" customFormat="1">
      <c r="A1201" s="176"/>
      <c r="B1201" s="138"/>
      <c r="C1201" s="138"/>
      <c r="D1201" s="138"/>
      <c r="E1201" s="138"/>
      <c r="F1201" s="138"/>
      <c r="G1201" s="138"/>
      <c r="H1201" s="138"/>
      <c r="I1201" s="138"/>
      <c r="J1201" s="138"/>
      <c r="K1201" s="138"/>
      <c r="L1201" s="138"/>
      <c r="M1201" s="138"/>
      <c r="N1201" s="138"/>
      <c r="O1201" s="138"/>
      <c r="P1201" s="138"/>
      <c r="Q1201" s="256"/>
      <c r="R1201" s="128"/>
      <c r="S1201" s="128"/>
      <c r="T1201" s="140"/>
      <c r="U1201" s="141"/>
      <c r="V1201" s="141"/>
      <c r="W1201" s="142"/>
    </row>
    <row r="1202" spans="1:23" s="147" customFormat="1">
      <c r="A1202" s="176"/>
      <c r="B1202" s="138"/>
      <c r="C1202" s="138"/>
      <c r="D1202" s="138"/>
      <c r="E1202" s="138"/>
      <c r="F1202" s="138"/>
      <c r="G1202" s="138"/>
      <c r="H1202" s="138"/>
      <c r="I1202" s="138"/>
      <c r="J1202" s="138"/>
      <c r="K1202" s="138"/>
      <c r="L1202" s="138"/>
      <c r="M1202" s="138"/>
      <c r="N1202" s="138"/>
      <c r="O1202" s="138"/>
      <c r="P1202" s="138"/>
      <c r="Q1202" s="256"/>
      <c r="R1202" s="128"/>
      <c r="S1202" s="128"/>
      <c r="T1202" s="140"/>
      <c r="U1202" s="141"/>
      <c r="V1202" s="141"/>
      <c r="W1202" s="142"/>
    </row>
    <row r="1203" spans="1:23" s="147" customFormat="1">
      <c r="A1203" s="176"/>
      <c r="B1203" s="138"/>
      <c r="C1203" s="138"/>
      <c r="D1203" s="138"/>
      <c r="E1203" s="138"/>
      <c r="F1203" s="138"/>
      <c r="G1203" s="138"/>
      <c r="H1203" s="138"/>
      <c r="I1203" s="138"/>
      <c r="J1203" s="138"/>
      <c r="K1203" s="138"/>
      <c r="L1203" s="138"/>
      <c r="M1203" s="138"/>
      <c r="N1203" s="138"/>
      <c r="O1203" s="138"/>
      <c r="P1203" s="138"/>
      <c r="Q1203" s="256"/>
      <c r="R1203" s="128"/>
      <c r="S1203" s="128"/>
      <c r="T1203" s="140"/>
      <c r="U1203" s="141"/>
      <c r="V1203" s="141"/>
      <c r="W1203" s="142"/>
    </row>
    <row r="1204" spans="1:23" s="147" customFormat="1">
      <c r="A1204" s="176"/>
      <c r="B1204" s="138"/>
      <c r="C1204" s="138"/>
      <c r="D1204" s="138"/>
      <c r="E1204" s="138"/>
      <c r="F1204" s="138"/>
      <c r="G1204" s="138"/>
      <c r="H1204" s="138"/>
      <c r="I1204" s="138"/>
      <c r="J1204" s="138"/>
      <c r="K1204" s="138"/>
      <c r="L1204" s="138"/>
      <c r="M1204" s="138"/>
      <c r="N1204" s="138"/>
      <c r="O1204" s="138"/>
      <c r="P1204" s="138"/>
      <c r="Q1204" s="256"/>
      <c r="R1204" s="128"/>
      <c r="S1204" s="128"/>
      <c r="T1204" s="140"/>
      <c r="U1204" s="141"/>
      <c r="V1204" s="141"/>
      <c r="W1204" s="142"/>
    </row>
    <row r="1205" spans="1:23" s="147" customFormat="1">
      <c r="A1205" s="176"/>
      <c r="B1205" s="138"/>
      <c r="C1205" s="138"/>
      <c r="D1205" s="138"/>
      <c r="E1205" s="138"/>
      <c r="F1205" s="138"/>
      <c r="G1205" s="138"/>
      <c r="H1205" s="138"/>
      <c r="I1205" s="138"/>
      <c r="J1205" s="138"/>
      <c r="K1205" s="138"/>
      <c r="L1205" s="138"/>
      <c r="M1205" s="138"/>
      <c r="N1205" s="138"/>
      <c r="O1205" s="138"/>
      <c r="P1205" s="138"/>
      <c r="Q1205" s="256"/>
      <c r="R1205" s="128"/>
      <c r="S1205" s="128"/>
      <c r="T1205" s="140"/>
      <c r="U1205" s="141"/>
      <c r="V1205" s="141"/>
      <c r="W1205" s="142"/>
    </row>
    <row r="1206" spans="1:23" s="147" customFormat="1">
      <c r="A1206" s="176"/>
      <c r="B1206" s="138"/>
      <c r="C1206" s="138"/>
      <c r="D1206" s="138"/>
      <c r="E1206" s="138"/>
      <c r="F1206" s="138"/>
      <c r="G1206" s="138"/>
      <c r="H1206" s="138"/>
      <c r="I1206" s="138"/>
      <c r="J1206" s="138"/>
      <c r="K1206" s="138"/>
      <c r="L1206" s="138"/>
      <c r="M1206" s="138"/>
      <c r="N1206" s="138"/>
      <c r="O1206" s="138"/>
      <c r="P1206" s="138"/>
      <c r="Q1206" s="256"/>
      <c r="R1206" s="128"/>
      <c r="S1206" s="128"/>
      <c r="T1206" s="140"/>
      <c r="U1206" s="141"/>
      <c r="V1206" s="141"/>
      <c r="W1206" s="142"/>
    </row>
    <row r="1207" spans="1:23" s="147" customFormat="1">
      <c r="A1207" s="176"/>
      <c r="B1207" s="138"/>
      <c r="C1207" s="138"/>
      <c r="D1207" s="138"/>
      <c r="E1207" s="138"/>
      <c r="F1207" s="138"/>
      <c r="G1207" s="138"/>
      <c r="H1207" s="138"/>
      <c r="I1207" s="138"/>
      <c r="J1207" s="138"/>
      <c r="K1207" s="138"/>
      <c r="L1207" s="138"/>
      <c r="M1207" s="138"/>
      <c r="N1207" s="138"/>
      <c r="O1207" s="138"/>
      <c r="P1207" s="138"/>
      <c r="Q1207" s="256"/>
      <c r="R1207" s="128"/>
      <c r="S1207" s="128"/>
      <c r="T1207" s="140"/>
      <c r="U1207" s="141"/>
      <c r="V1207" s="141"/>
      <c r="W1207" s="142"/>
    </row>
    <row r="1208" spans="1:23" s="147" customFormat="1">
      <c r="A1208" s="176"/>
      <c r="B1208" s="138"/>
      <c r="C1208" s="138"/>
      <c r="D1208" s="138"/>
      <c r="E1208" s="138"/>
      <c r="F1208" s="138"/>
      <c r="G1208" s="138"/>
      <c r="H1208" s="138"/>
      <c r="I1208" s="138"/>
      <c r="J1208" s="138"/>
      <c r="K1208" s="138"/>
      <c r="L1208" s="138"/>
      <c r="M1208" s="138"/>
      <c r="N1208" s="138"/>
      <c r="O1208" s="138"/>
      <c r="P1208" s="138"/>
      <c r="Q1208" s="256"/>
      <c r="R1208" s="128"/>
      <c r="S1208" s="128"/>
      <c r="T1208" s="140"/>
      <c r="U1208" s="141"/>
      <c r="V1208" s="141"/>
      <c r="W1208" s="142"/>
    </row>
    <row r="1209" spans="1:23" s="147" customFormat="1">
      <c r="A1209" s="176"/>
      <c r="B1209" s="138"/>
      <c r="C1209" s="138"/>
      <c r="D1209" s="138"/>
      <c r="E1209" s="138"/>
      <c r="F1209" s="138"/>
      <c r="G1209" s="138"/>
      <c r="H1209" s="138"/>
      <c r="I1209" s="138"/>
      <c r="J1209" s="138"/>
      <c r="K1209" s="138"/>
      <c r="L1209" s="138"/>
      <c r="M1209" s="138"/>
      <c r="N1209" s="138"/>
      <c r="O1209" s="138"/>
      <c r="P1209" s="138"/>
      <c r="Q1209" s="256"/>
      <c r="R1209" s="128"/>
      <c r="S1209" s="128"/>
      <c r="T1209" s="140"/>
      <c r="U1209" s="141"/>
      <c r="V1209" s="141"/>
      <c r="W1209" s="142"/>
    </row>
    <row r="1210" spans="1:23" s="147" customFormat="1">
      <c r="A1210" s="176"/>
      <c r="B1210" s="138"/>
      <c r="C1210" s="138"/>
      <c r="D1210" s="138"/>
      <c r="E1210" s="138"/>
      <c r="F1210" s="138"/>
      <c r="G1210" s="138"/>
      <c r="H1210" s="138"/>
      <c r="I1210" s="138"/>
      <c r="J1210" s="138"/>
      <c r="K1210" s="138"/>
      <c r="L1210" s="138"/>
      <c r="M1210" s="138"/>
      <c r="N1210" s="138"/>
      <c r="O1210" s="138"/>
      <c r="P1210" s="138"/>
      <c r="Q1210" s="256"/>
      <c r="R1210" s="128"/>
      <c r="S1210" s="128"/>
      <c r="T1210" s="140"/>
      <c r="U1210" s="141"/>
      <c r="V1210" s="141"/>
      <c r="W1210" s="142"/>
    </row>
    <row r="1211" spans="1:23" s="147" customFormat="1">
      <c r="A1211" s="176"/>
      <c r="B1211" s="138"/>
      <c r="C1211" s="138"/>
      <c r="D1211" s="138"/>
      <c r="E1211" s="138"/>
      <c r="F1211" s="138"/>
      <c r="G1211" s="138"/>
      <c r="H1211" s="138"/>
      <c r="I1211" s="138"/>
      <c r="J1211" s="138"/>
      <c r="K1211" s="138"/>
      <c r="L1211" s="138"/>
      <c r="M1211" s="138"/>
      <c r="N1211" s="138"/>
      <c r="O1211" s="138"/>
      <c r="P1211" s="138"/>
      <c r="Q1211" s="256"/>
      <c r="R1211" s="128"/>
      <c r="S1211" s="128"/>
      <c r="T1211" s="140"/>
      <c r="U1211" s="141"/>
      <c r="V1211" s="141"/>
      <c r="W1211" s="142"/>
    </row>
    <row r="1212" spans="1:23" s="147" customFormat="1">
      <c r="A1212" s="176"/>
      <c r="B1212" s="138"/>
      <c r="C1212" s="138"/>
      <c r="D1212" s="138"/>
      <c r="E1212" s="138"/>
      <c r="F1212" s="138"/>
      <c r="G1212" s="138"/>
      <c r="H1212" s="138"/>
      <c r="I1212" s="138"/>
      <c r="J1212" s="138"/>
      <c r="K1212" s="138"/>
      <c r="L1212" s="138"/>
      <c r="M1212" s="138"/>
      <c r="N1212" s="138"/>
      <c r="O1212" s="138"/>
      <c r="P1212" s="138"/>
      <c r="Q1212" s="256"/>
      <c r="R1212" s="128"/>
      <c r="S1212" s="128"/>
      <c r="T1212" s="140"/>
      <c r="U1212" s="141"/>
      <c r="V1212" s="141"/>
      <c r="W1212" s="142"/>
    </row>
    <row r="1213" spans="1:23" s="147" customFormat="1">
      <c r="A1213" s="176"/>
      <c r="B1213" s="138"/>
      <c r="C1213" s="138"/>
      <c r="D1213" s="138"/>
      <c r="E1213" s="138"/>
      <c r="F1213" s="138"/>
      <c r="G1213" s="138"/>
      <c r="H1213" s="138"/>
      <c r="I1213" s="138"/>
      <c r="J1213" s="138"/>
      <c r="K1213" s="138"/>
      <c r="L1213" s="138"/>
      <c r="M1213" s="138"/>
      <c r="N1213" s="138"/>
      <c r="O1213" s="138"/>
      <c r="P1213" s="138"/>
      <c r="Q1213" s="256"/>
      <c r="R1213" s="128"/>
      <c r="S1213" s="128"/>
      <c r="T1213" s="140"/>
      <c r="U1213" s="141"/>
      <c r="V1213" s="141"/>
      <c r="W1213" s="142"/>
    </row>
    <row r="1214" spans="1:23" s="147" customFormat="1">
      <c r="A1214" s="176"/>
      <c r="B1214" s="138"/>
      <c r="C1214" s="138"/>
      <c r="D1214" s="138"/>
      <c r="E1214" s="138"/>
      <c r="F1214" s="138"/>
      <c r="G1214" s="138"/>
      <c r="H1214" s="138"/>
      <c r="I1214" s="138"/>
      <c r="J1214" s="138"/>
      <c r="K1214" s="138"/>
      <c r="L1214" s="138"/>
      <c r="M1214" s="138"/>
      <c r="N1214" s="138"/>
      <c r="O1214" s="138"/>
      <c r="P1214" s="138"/>
      <c r="Q1214" s="256"/>
      <c r="R1214" s="128"/>
      <c r="S1214" s="128"/>
      <c r="T1214" s="140"/>
      <c r="U1214" s="141"/>
      <c r="V1214" s="141"/>
      <c r="W1214" s="142"/>
    </row>
    <row r="1215" spans="1:23" s="147" customFormat="1">
      <c r="A1215" s="176"/>
      <c r="B1215" s="138"/>
      <c r="C1215" s="138"/>
      <c r="D1215" s="138"/>
      <c r="E1215" s="138"/>
      <c r="F1215" s="138"/>
      <c r="G1215" s="138"/>
      <c r="H1215" s="138"/>
      <c r="I1215" s="138"/>
      <c r="J1215" s="138"/>
      <c r="K1215" s="138"/>
      <c r="L1215" s="138"/>
      <c r="M1215" s="138"/>
      <c r="N1215" s="138"/>
      <c r="O1215" s="138"/>
      <c r="P1215" s="138"/>
      <c r="Q1215" s="256"/>
      <c r="R1215" s="128"/>
      <c r="S1215" s="128"/>
      <c r="T1215" s="140"/>
      <c r="U1215" s="141"/>
      <c r="V1215" s="141"/>
      <c r="W1215" s="142"/>
    </row>
    <row r="1216" spans="1:23" s="147" customFormat="1">
      <c r="A1216" s="176"/>
      <c r="B1216" s="138"/>
      <c r="C1216" s="138"/>
      <c r="D1216" s="138"/>
      <c r="E1216" s="138"/>
      <c r="F1216" s="138"/>
      <c r="G1216" s="138"/>
      <c r="H1216" s="138"/>
      <c r="I1216" s="138"/>
      <c r="J1216" s="138"/>
      <c r="K1216" s="138"/>
      <c r="L1216" s="138"/>
      <c r="M1216" s="138"/>
      <c r="N1216" s="138"/>
      <c r="O1216" s="138"/>
      <c r="P1216" s="138"/>
      <c r="Q1216" s="256"/>
      <c r="R1216" s="128"/>
      <c r="S1216" s="128"/>
      <c r="T1216" s="140"/>
      <c r="U1216" s="141"/>
      <c r="V1216" s="141"/>
      <c r="W1216" s="142"/>
    </row>
    <row r="1217" spans="1:23" s="147" customFormat="1">
      <c r="A1217" s="176"/>
      <c r="B1217" s="138"/>
      <c r="C1217" s="138"/>
      <c r="D1217" s="138"/>
      <c r="E1217" s="138"/>
      <c r="F1217" s="138"/>
      <c r="G1217" s="138"/>
      <c r="H1217" s="138"/>
      <c r="I1217" s="138"/>
      <c r="J1217" s="138"/>
      <c r="K1217" s="138"/>
      <c r="L1217" s="138"/>
      <c r="M1217" s="138"/>
      <c r="N1217" s="138"/>
      <c r="O1217" s="138"/>
      <c r="P1217" s="138"/>
      <c r="Q1217" s="256"/>
      <c r="R1217" s="128"/>
      <c r="S1217" s="128"/>
      <c r="T1217" s="140"/>
      <c r="U1217" s="141"/>
      <c r="V1217" s="141"/>
      <c r="W1217" s="142"/>
    </row>
    <row r="1218" spans="1:23" s="147" customFormat="1">
      <c r="A1218" s="176"/>
      <c r="B1218" s="138"/>
      <c r="C1218" s="138"/>
      <c r="D1218" s="138"/>
      <c r="E1218" s="138"/>
      <c r="F1218" s="138"/>
      <c r="G1218" s="138"/>
      <c r="H1218" s="138"/>
      <c r="I1218" s="138"/>
      <c r="J1218" s="138"/>
      <c r="K1218" s="138"/>
      <c r="L1218" s="138"/>
      <c r="M1218" s="138"/>
      <c r="N1218" s="138"/>
      <c r="O1218" s="138"/>
      <c r="P1218" s="138"/>
      <c r="Q1218" s="256"/>
      <c r="R1218" s="128"/>
      <c r="S1218" s="128"/>
      <c r="T1218" s="140"/>
      <c r="U1218" s="141"/>
      <c r="V1218" s="141"/>
      <c r="W1218" s="142"/>
    </row>
    <row r="1219" spans="1:23" s="147" customFormat="1">
      <c r="A1219" s="176"/>
      <c r="B1219" s="138"/>
      <c r="C1219" s="138"/>
      <c r="D1219" s="138"/>
      <c r="E1219" s="138"/>
      <c r="F1219" s="138"/>
      <c r="G1219" s="138"/>
      <c r="H1219" s="138"/>
      <c r="I1219" s="138"/>
      <c r="J1219" s="138"/>
      <c r="K1219" s="138"/>
      <c r="L1219" s="138"/>
      <c r="M1219" s="138"/>
      <c r="N1219" s="138"/>
      <c r="O1219" s="138"/>
      <c r="P1219" s="138"/>
      <c r="Q1219" s="256"/>
      <c r="R1219" s="128"/>
      <c r="S1219" s="128"/>
      <c r="T1219" s="140"/>
      <c r="U1219" s="141"/>
      <c r="V1219" s="141"/>
      <c r="W1219" s="142"/>
    </row>
    <row r="1220" spans="1:23" s="147" customFormat="1">
      <c r="A1220" s="176"/>
      <c r="B1220" s="138"/>
      <c r="C1220" s="138"/>
      <c r="D1220" s="138"/>
      <c r="E1220" s="138"/>
      <c r="F1220" s="138"/>
      <c r="G1220" s="138"/>
      <c r="H1220" s="138"/>
      <c r="I1220" s="138"/>
      <c r="J1220" s="138"/>
      <c r="K1220" s="138"/>
      <c r="L1220" s="138"/>
      <c r="M1220" s="138"/>
      <c r="N1220" s="138"/>
      <c r="O1220" s="138"/>
      <c r="P1220" s="138"/>
      <c r="Q1220" s="256"/>
      <c r="R1220" s="128"/>
      <c r="S1220" s="128"/>
      <c r="T1220" s="140"/>
      <c r="U1220" s="141"/>
      <c r="V1220" s="141"/>
      <c r="W1220" s="142"/>
    </row>
    <row r="1221" spans="1:23" s="147" customFormat="1">
      <c r="A1221" s="176"/>
      <c r="B1221" s="138"/>
      <c r="C1221" s="138"/>
      <c r="D1221" s="138"/>
      <c r="E1221" s="138"/>
      <c r="F1221" s="138"/>
      <c r="G1221" s="138"/>
      <c r="H1221" s="138"/>
      <c r="I1221" s="138"/>
      <c r="J1221" s="138"/>
      <c r="K1221" s="138"/>
      <c r="L1221" s="138"/>
      <c r="M1221" s="138"/>
      <c r="N1221" s="138"/>
      <c r="O1221" s="138"/>
      <c r="P1221" s="138"/>
      <c r="Q1221" s="256"/>
      <c r="R1221" s="128"/>
      <c r="S1221" s="128"/>
      <c r="T1221" s="140"/>
      <c r="U1221" s="141"/>
      <c r="V1221" s="141"/>
      <c r="W1221" s="142"/>
    </row>
    <row r="1222" spans="1:23" s="147" customFormat="1">
      <c r="A1222" s="176"/>
      <c r="B1222" s="138"/>
      <c r="C1222" s="138"/>
      <c r="D1222" s="138"/>
      <c r="E1222" s="138"/>
      <c r="F1222" s="138"/>
      <c r="G1222" s="138"/>
      <c r="H1222" s="138"/>
      <c r="I1222" s="138"/>
      <c r="J1222" s="138"/>
      <c r="K1222" s="138"/>
      <c r="L1222" s="138"/>
      <c r="M1222" s="138"/>
      <c r="N1222" s="138"/>
      <c r="O1222" s="138"/>
      <c r="P1222" s="138"/>
      <c r="Q1222" s="256"/>
      <c r="R1222" s="128"/>
      <c r="S1222" s="128"/>
      <c r="T1222" s="140"/>
      <c r="U1222" s="141"/>
      <c r="V1222" s="141"/>
      <c r="W1222" s="142"/>
    </row>
    <row r="1223" spans="1:23" s="147" customFormat="1">
      <c r="A1223" s="176"/>
      <c r="B1223" s="138"/>
      <c r="C1223" s="138"/>
      <c r="D1223" s="138"/>
      <c r="E1223" s="138"/>
      <c r="F1223" s="138"/>
      <c r="G1223" s="138"/>
      <c r="H1223" s="138"/>
      <c r="I1223" s="138"/>
      <c r="J1223" s="138"/>
      <c r="K1223" s="138"/>
      <c r="L1223" s="138"/>
      <c r="M1223" s="138"/>
      <c r="N1223" s="138"/>
      <c r="O1223" s="138"/>
      <c r="P1223" s="138"/>
      <c r="Q1223" s="256"/>
      <c r="R1223" s="128"/>
      <c r="S1223" s="128"/>
      <c r="T1223" s="140"/>
      <c r="U1223" s="141"/>
      <c r="V1223" s="141"/>
      <c r="W1223" s="142"/>
    </row>
    <row r="1224" spans="1:23" s="147" customFormat="1">
      <c r="A1224" s="176"/>
      <c r="B1224" s="138"/>
      <c r="C1224" s="138"/>
      <c r="D1224" s="138"/>
      <c r="E1224" s="138"/>
      <c r="F1224" s="138"/>
      <c r="G1224" s="138"/>
      <c r="H1224" s="138"/>
      <c r="I1224" s="138"/>
      <c r="J1224" s="138"/>
      <c r="K1224" s="138"/>
      <c r="L1224" s="138"/>
      <c r="M1224" s="138"/>
      <c r="N1224" s="138"/>
      <c r="O1224" s="138"/>
      <c r="P1224" s="138"/>
      <c r="Q1224" s="256"/>
      <c r="R1224" s="128"/>
      <c r="S1224" s="128"/>
      <c r="T1224" s="140"/>
      <c r="U1224" s="141"/>
      <c r="V1224" s="141"/>
      <c r="W1224" s="142"/>
    </row>
    <row r="1225" spans="1:23" s="147" customFormat="1">
      <c r="A1225" s="176"/>
      <c r="B1225" s="138"/>
      <c r="C1225" s="138"/>
      <c r="D1225" s="138"/>
      <c r="E1225" s="138"/>
      <c r="F1225" s="138"/>
      <c r="G1225" s="138"/>
      <c r="H1225" s="138"/>
      <c r="I1225" s="138"/>
      <c r="J1225" s="138"/>
      <c r="K1225" s="138"/>
      <c r="L1225" s="138"/>
      <c r="M1225" s="138"/>
      <c r="N1225" s="138"/>
      <c r="O1225" s="138"/>
      <c r="P1225" s="138"/>
      <c r="Q1225" s="256"/>
      <c r="R1225" s="128"/>
      <c r="S1225" s="128"/>
      <c r="T1225" s="140"/>
      <c r="U1225" s="141"/>
      <c r="V1225" s="141"/>
      <c r="W1225" s="142"/>
    </row>
    <row r="1226" spans="1:23" s="147" customFormat="1">
      <c r="A1226" s="176"/>
      <c r="B1226" s="138"/>
      <c r="C1226" s="138"/>
      <c r="D1226" s="138"/>
      <c r="E1226" s="138"/>
      <c r="F1226" s="138"/>
      <c r="G1226" s="138"/>
      <c r="H1226" s="138"/>
      <c r="I1226" s="138"/>
      <c r="J1226" s="138"/>
      <c r="K1226" s="138"/>
      <c r="L1226" s="138"/>
      <c r="M1226" s="138"/>
      <c r="N1226" s="138"/>
      <c r="O1226" s="138"/>
      <c r="P1226" s="138"/>
      <c r="Q1226" s="256"/>
      <c r="R1226" s="128"/>
      <c r="S1226" s="128"/>
      <c r="T1226" s="140"/>
      <c r="U1226" s="141"/>
      <c r="V1226" s="141"/>
      <c r="W1226" s="142"/>
    </row>
    <row r="1227" spans="1:23" s="147" customFormat="1">
      <c r="A1227" s="176"/>
      <c r="B1227" s="138"/>
      <c r="C1227" s="138"/>
      <c r="D1227" s="138"/>
      <c r="E1227" s="138"/>
      <c r="F1227" s="138"/>
      <c r="G1227" s="138"/>
      <c r="H1227" s="138"/>
      <c r="I1227" s="138"/>
      <c r="J1227" s="138"/>
      <c r="K1227" s="138"/>
      <c r="L1227" s="138"/>
      <c r="M1227" s="138"/>
      <c r="N1227" s="138"/>
      <c r="O1227" s="138"/>
      <c r="P1227" s="138"/>
      <c r="Q1227" s="256"/>
      <c r="R1227" s="128"/>
      <c r="S1227" s="128"/>
      <c r="T1227" s="140"/>
      <c r="U1227" s="141"/>
      <c r="V1227" s="141"/>
      <c r="W1227" s="142"/>
    </row>
    <row r="1228" spans="1:23" s="147" customFormat="1">
      <c r="A1228" s="176"/>
      <c r="B1228" s="138"/>
      <c r="C1228" s="138"/>
      <c r="D1228" s="138"/>
      <c r="E1228" s="138"/>
      <c r="F1228" s="138"/>
      <c r="G1228" s="138"/>
      <c r="H1228" s="138"/>
      <c r="I1228" s="138"/>
      <c r="J1228" s="138"/>
      <c r="K1228" s="138"/>
      <c r="L1228" s="138"/>
      <c r="M1228" s="138"/>
      <c r="N1228" s="138"/>
      <c r="O1228" s="138"/>
      <c r="P1228" s="138"/>
      <c r="Q1228" s="256"/>
      <c r="R1228" s="128"/>
      <c r="S1228" s="128"/>
      <c r="T1228" s="140"/>
      <c r="U1228" s="141"/>
      <c r="V1228" s="141"/>
      <c r="W1228" s="142"/>
    </row>
    <row r="1229" spans="1:23" s="147" customFormat="1">
      <c r="A1229" s="176"/>
      <c r="B1229" s="138"/>
      <c r="C1229" s="138"/>
      <c r="D1229" s="138"/>
      <c r="E1229" s="138"/>
      <c r="F1229" s="138"/>
      <c r="G1229" s="138"/>
      <c r="H1229" s="138"/>
      <c r="I1229" s="138"/>
      <c r="J1229" s="138"/>
      <c r="K1229" s="138"/>
      <c r="L1229" s="138"/>
      <c r="M1229" s="138"/>
      <c r="N1229" s="138"/>
      <c r="O1229" s="138"/>
      <c r="P1229" s="138"/>
      <c r="Q1229" s="256"/>
      <c r="R1229" s="128"/>
      <c r="S1229" s="128"/>
      <c r="T1229" s="140"/>
      <c r="U1229" s="141"/>
      <c r="V1229" s="141"/>
      <c r="W1229" s="142"/>
    </row>
    <row r="1230" spans="1:23" s="147" customFormat="1">
      <c r="A1230" s="176"/>
      <c r="B1230" s="138"/>
      <c r="C1230" s="138"/>
      <c r="D1230" s="138"/>
      <c r="E1230" s="138"/>
      <c r="F1230" s="138"/>
      <c r="G1230" s="138"/>
      <c r="H1230" s="138"/>
      <c r="I1230" s="138"/>
      <c r="J1230" s="138"/>
      <c r="K1230" s="138"/>
      <c r="L1230" s="138"/>
      <c r="M1230" s="138"/>
      <c r="N1230" s="138"/>
      <c r="O1230" s="138"/>
      <c r="P1230" s="138"/>
      <c r="Q1230" s="256"/>
      <c r="R1230" s="128"/>
      <c r="S1230" s="128"/>
      <c r="T1230" s="140"/>
      <c r="U1230" s="141"/>
      <c r="V1230" s="141"/>
      <c r="W1230" s="142"/>
    </row>
    <row r="1231" spans="1:23" s="147" customFormat="1">
      <c r="A1231" s="176"/>
      <c r="B1231" s="138"/>
      <c r="C1231" s="138"/>
      <c r="D1231" s="138"/>
      <c r="E1231" s="138"/>
      <c r="F1231" s="138"/>
      <c r="G1231" s="138"/>
      <c r="H1231" s="138"/>
      <c r="I1231" s="138"/>
      <c r="J1231" s="138"/>
      <c r="K1231" s="138"/>
      <c r="L1231" s="138"/>
      <c r="M1231" s="138"/>
      <c r="N1231" s="138"/>
      <c r="O1231" s="138"/>
      <c r="P1231" s="138"/>
      <c r="Q1231" s="256"/>
      <c r="R1231" s="128"/>
      <c r="S1231" s="128"/>
      <c r="T1231" s="140"/>
      <c r="U1231" s="141"/>
      <c r="V1231" s="141"/>
      <c r="W1231" s="142"/>
    </row>
    <row r="1232" spans="1:23" s="147" customFormat="1">
      <c r="A1232" s="176"/>
      <c r="B1232" s="138"/>
      <c r="C1232" s="138"/>
      <c r="D1232" s="138"/>
      <c r="E1232" s="138"/>
      <c r="F1232" s="138"/>
      <c r="G1232" s="138"/>
      <c r="H1232" s="138"/>
      <c r="I1232" s="138"/>
      <c r="J1232" s="138"/>
      <c r="K1232" s="138"/>
      <c r="L1232" s="138"/>
      <c r="M1232" s="138"/>
      <c r="N1232" s="138"/>
      <c r="O1232" s="138"/>
      <c r="P1232" s="138"/>
      <c r="Q1232" s="256"/>
      <c r="R1232" s="128"/>
      <c r="S1232" s="128"/>
      <c r="T1232" s="140"/>
      <c r="U1232" s="141"/>
      <c r="V1232" s="141"/>
      <c r="W1232" s="142"/>
    </row>
    <row r="1233" spans="1:23" s="147" customFormat="1">
      <c r="A1233" s="176"/>
      <c r="B1233" s="138"/>
      <c r="C1233" s="138"/>
      <c r="D1233" s="138"/>
      <c r="E1233" s="138"/>
      <c r="F1233" s="138"/>
      <c r="G1233" s="138"/>
      <c r="H1233" s="138"/>
      <c r="I1233" s="138"/>
      <c r="J1233" s="138"/>
      <c r="K1233" s="138"/>
      <c r="L1233" s="138"/>
      <c r="M1233" s="138"/>
      <c r="N1233" s="138"/>
      <c r="O1233" s="138"/>
      <c r="P1233" s="138"/>
      <c r="Q1233" s="256"/>
      <c r="R1233" s="128"/>
      <c r="S1233" s="128"/>
      <c r="T1233" s="140"/>
      <c r="U1233" s="141"/>
      <c r="V1233" s="141"/>
      <c r="W1233" s="142"/>
    </row>
    <row r="1234" spans="1:23" s="147" customFormat="1">
      <c r="A1234" s="176"/>
      <c r="B1234" s="138"/>
      <c r="C1234" s="138"/>
      <c r="D1234" s="138"/>
      <c r="E1234" s="138"/>
      <c r="F1234" s="138"/>
      <c r="G1234" s="138"/>
      <c r="H1234" s="138"/>
      <c r="I1234" s="138"/>
      <c r="J1234" s="138"/>
      <c r="K1234" s="138"/>
      <c r="L1234" s="138"/>
      <c r="M1234" s="138"/>
      <c r="N1234" s="138"/>
      <c r="O1234" s="138"/>
      <c r="P1234" s="138"/>
      <c r="Q1234" s="256"/>
      <c r="R1234" s="128"/>
      <c r="S1234" s="128"/>
      <c r="T1234" s="140"/>
      <c r="U1234" s="141"/>
      <c r="V1234" s="141"/>
      <c r="W1234" s="142"/>
    </row>
    <row r="1235" spans="1:23" s="147" customFormat="1">
      <c r="A1235" s="176"/>
      <c r="B1235" s="138"/>
      <c r="C1235" s="138"/>
      <c r="D1235" s="138"/>
      <c r="E1235" s="138"/>
      <c r="F1235" s="138"/>
      <c r="G1235" s="138"/>
      <c r="H1235" s="138"/>
      <c r="I1235" s="138"/>
      <c r="J1235" s="138"/>
      <c r="K1235" s="138"/>
      <c r="L1235" s="138"/>
      <c r="M1235" s="138"/>
      <c r="N1235" s="138"/>
      <c r="O1235" s="138"/>
      <c r="P1235" s="138"/>
      <c r="Q1235" s="256"/>
      <c r="R1235" s="128"/>
      <c r="S1235" s="128"/>
      <c r="T1235" s="140"/>
      <c r="U1235" s="141"/>
      <c r="V1235" s="141"/>
      <c r="W1235" s="142"/>
    </row>
    <row r="1236" spans="1:23" s="147" customFormat="1">
      <c r="A1236" s="176"/>
      <c r="B1236" s="138"/>
      <c r="C1236" s="138"/>
      <c r="D1236" s="138"/>
      <c r="E1236" s="138"/>
      <c r="F1236" s="138"/>
      <c r="G1236" s="138"/>
      <c r="H1236" s="138"/>
      <c r="I1236" s="138"/>
      <c r="J1236" s="138"/>
      <c r="K1236" s="138"/>
      <c r="L1236" s="138"/>
      <c r="M1236" s="138"/>
      <c r="N1236" s="138"/>
      <c r="O1236" s="138"/>
      <c r="P1236" s="138"/>
      <c r="Q1236" s="256"/>
      <c r="R1236" s="128"/>
      <c r="S1236" s="128"/>
      <c r="T1236" s="140"/>
      <c r="U1236" s="141"/>
      <c r="V1236" s="141"/>
      <c r="W1236" s="142"/>
    </row>
    <row r="1237" spans="1:23" s="147" customFormat="1">
      <c r="A1237" s="176"/>
      <c r="B1237" s="138"/>
      <c r="C1237" s="138"/>
      <c r="D1237" s="138"/>
      <c r="E1237" s="138"/>
      <c r="F1237" s="138"/>
      <c r="G1237" s="138"/>
      <c r="H1237" s="138"/>
      <c r="I1237" s="138"/>
      <c r="J1237" s="138"/>
      <c r="K1237" s="138"/>
      <c r="L1237" s="138"/>
      <c r="M1237" s="138"/>
      <c r="N1237" s="138"/>
      <c r="O1237" s="138"/>
      <c r="P1237" s="138"/>
      <c r="Q1237" s="256"/>
      <c r="R1237" s="128"/>
      <c r="S1237" s="128"/>
      <c r="T1237" s="140"/>
      <c r="U1237" s="141"/>
      <c r="V1237" s="141"/>
      <c r="W1237" s="142"/>
    </row>
    <row r="1238" spans="1:23" s="147" customFormat="1">
      <c r="A1238" s="176"/>
      <c r="B1238" s="138"/>
      <c r="C1238" s="138"/>
      <c r="D1238" s="138"/>
      <c r="E1238" s="138"/>
      <c r="F1238" s="138"/>
      <c r="G1238" s="138"/>
      <c r="H1238" s="138"/>
      <c r="I1238" s="138"/>
      <c r="J1238" s="138"/>
      <c r="K1238" s="138"/>
      <c r="L1238" s="138"/>
      <c r="M1238" s="138"/>
      <c r="N1238" s="138"/>
      <c r="O1238" s="138"/>
      <c r="P1238" s="138"/>
      <c r="Q1238" s="256"/>
      <c r="R1238" s="128"/>
      <c r="S1238" s="128"/>
      <c r="T1238" s="140"/>
      <c r="U1238" s="141"/>
      <c r="V1238" s="141"/>
      <c r="W1238" s="142"/>
    </row>
    <row r="1239" spans="1:23" s="147" customFormat="1">
      <c r="A1239" s="176"/>
      <c r="B1239" s="138"/>
      <c r="C1239" s="138"/>
      <c r="D1239" s="138"/>
      <c r="E1239" s="138"/>
      <c r="F1239" s="138"/>
      <c r="G1239" s="138"/>
      <c r="H1239" s="138"/>
      <c r="I1239" s="138"/>
      <c r="J1239" s="138"/>
      <c r="K1239" s="138"/>
      <c r="L1239" s="138"/>
      <c r="M1239" s="138"/>
      <c r="N1239" s="138"/>
      <c r="O1239" s="138"/>
      <c r="P1239" s="138"/>
      <c r="Q1239" s="256"/>
      <c r="R1239" s="128"/>
      <c r="S1239" s="128"/>
      <c r="T1239" s="140"/>
      <c r="U1239" s="141"/>
      <c r="V1239" s="141"/>
      <c r="W1239" s="142"/>
    </row>
    <row r="1240" spans="1:23" s="147" customFormat="1">
      <c r="A1240" s="176"/>
      <c r="B1240" s="138"/>
      <c r="C1240" s="138"/>
      <c r="D1240" s="138"/>
      <c r="E1240" s="138"/>
      <c r="F1240" s="138"/>
      <c r="G1240" s="138"/>
      <c r="H1240" s="138"/>
      <c r="I1240" s="138"/>
      <c r="J1240" s="138"/>
      <c r="K1240" s="138"/>
      <c r="L1240" s="138"/>
      <c r="M1240" s="138"/>
      <c r="N1240" s="138"/>
      <c r="O1240" s="138"/>
      <c r="P1240" s="138"/>
      <c r="Q1240" s="256"/>
      <c r="R1240" s="128"/>
      <c r="S1240" s="128"/>
      <c r="T1240" s="140"/>
      <c r="U1240" s="141"/>
      <c r="V1240" s="141"/>
      <c r="W1240" s="142"/>
    </row>
    <row r="1241" spans="1:23" s="147" customFormat="1">
      <c r="A1241" s="176"/>
      <c r="B1241" s="138"/>
      <c r="C1241" s="138"/>
      <c r="D1241" s="138"/>
      <c r="E1241" s="138"/>
      <c r="F1241" s="138"/>
      <c r="G1241" s="138"/>
      <c r="H1241" s="138"/>
      <c r="I1241" s="138"/>
      <c r="J1241" s="138"/>
      <c r="K1241" s="138"/>
      <c r="L1241" s="138"/>
      <c r="M1241" s="138"/>
      <c r="N1241" s="138"/>
      <c r="O1241" s="138"/>
      <c r="P1241" s="138"/>
      <c r="Q1241" s="256"/>
      <c r="R1241" s="128"/>
      <c r="S1241" s="128"/>
      <c r="T1241" s="140"/>
      <c r="U1241" s="141"/>
      <c r="V1241" s="141"/>
      <c r="W1241" s="142"/>
    </row>
    <row r="1242" spans="1:23" s="147" customFormat="1">
      <c r="A1242" s="176"/>
      <c r="B1242" s="138"/>
      <c r="C1242" s="138"/>
      <c r="D1242" s="138"/>
      <c r="E1242" s="138"/>
      <c r="F1242" s="138"/>
      <c r="G1242" s="138"/>
      <c r="H1242" s="138"/>
      <c r="I1242" s="138"/>
      <c r="J1242" s="138"/>
      <c r="K1242" s="138"/>
      <c r="L1242" s="138"/>
      <c r="M1242" s="138"/>
      <c r="N1242" s="138"/>
      <c r="O1242" s="138"/>
      <c r="P1242" s="138"/>
      <c r="Q1242" s="256"/>
      <c r="R1242" s="128"/>
      <c r="S1242" s="128"/>
      <c r="T1242" s="140"/>
      <c r="U1242" s="141"/>
      <c r="V1242" s="141"/>
      <c r="W1242" s="142"/>
    </row>
    <row r="1243" spans="1:23" s="147" customFormat="1">
      <c r="A1243" s="176"/>
      <c r="B1243" s="138"/>
      <c r="C1243" s="138"/>
      <c r="D1243" s="138"/>
      <c r="E1243" s="138"/>
      <c r="F1243" s="138"/>
      <c r="G1243" s="138"/>
      <c r="H1243" s="138"/>
      <c r="I1243" s="138"/>
      <c r="J1243" s="138"/>
      <c r="K1243" s="138"/>
      <c r="L1243" s="138"/>
      <c r="M1243" s="138"/>
      <c r="N1243" s="138"/>
      <c r="O1243" s="138"/>
      <c r="P1243" s="138"/>
      <c r="Q1243" s="256"/>
      <c r="R1243" s="128"/>
      <c r="S1243" s="128"/>
      <c r="T1243" s="140"/>
      <c r="U1243" s="141"/>
      <c r="V1243" s="141"/>
      <c r="W1243" s="142"/>
    </row>
    <row r="1244" spans="1:23" s="147" customFormat="1">
      <c r="A1244" s="176"/>
      <c r="B1244" s="138"/>
      <c r="C1244" s="138"/>
      <c r="D1244" s="138"/>
      <c r="E1244" s="138"/>
      <c r="F1244" s="138"/>
      <c r="G1244" s="138"/>
      <c r="H1244" s="138"/>
      <c r="I1244" s="138"/>
      <c r="J1244" s="138"/>
      <c r="K1244" s="138"/>
      <c r="L1244" s="138"/>
      <c r="M1244" s="138"/>
      <c r="N1244" s="138"/>
      <c r="O1244" s="138"/>
      <c r="P1244" s="138"/>
      <c r="Q1244" s="256"/>
      <c r="R1244" s="128"/>
      <c r="S1244" s="128"/>
      <c r="T1244" s="140"/>
      <c r="U1244" s="141"/>
      <c r="V1244" s="141"/>
      <c r="W1244" s="142"/>
    </row>
    <row r="1245" spans="1:23" s="147" customFormat="1">
      <c r="A1245" s="176"/>
      <c r="B1245" s="138"/>
      <c r="C1245" s="138"/>
      <c r="D1245" s="138"/>
      <c r="E1245" s="138"/>
      <c r="F1245" s="138"/>
      <c r="G1245" s="138"/>
      <c r="H1245" s="138"/>
      <c r="I1245" s="138"/>
      <c r="J1245" s="138"/>
      <c r="K1245" s="138"/>
      <c r="L1245" s="138"/>
      <c r="M1245" s="138"/>
      <c r="N1245" s="138"/>
      <c r="O1245" s="138"/>
      <c r="P1245" s="138"/>
      <c r="Q1245" s="256"/>
      <c r="R1245" s="128"/>
      <c r="S1245" s="128"/>
      <c r="T1245" s="140"/>
      <c r="U1245" s="141"/>
      <c r="V1245" s="141"/>
      <c r="W1245" s="142"/>
    </row>
    <row r="1246" spans="1:23" s="147" customFormat="1">
      <c r="A1246" s="176"/>
      <c r="B1246" s="138"/>
      <c r="C1246" s="138"/>
      <c r="D1246" s="138"/>
      <c r="E1246" s="138"/>
      <c r="F1246" s="138"/>
      <c r="G1246" s="138"/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256"/>
      <c r="R1246" s="128"/>
      <c r="S1246" s="128"/>
      <c r="T1246" s="140"/>
      <c r="U1246" s="141"/>
      <c r="V1246" s="141"/>
      <c r="W1246" s="142"/>
    </row>
    <row r="1247" spans="1:23" s="147" customFormat="1">
      <c r="A1247" s="176"/>
      <c r="B1247" s="138"/>
      <c r="C1247" s="138"/>
      <c r="D1247" s="138"/>
      <c r="E1247" s="138"/>
      <c r="F1247" s="138"/>
      <c r="G1247" s="138"/>
      <c r="H1247" s="138"/>
      <c r="I1247" s="138"/>
      <c r="J1247" s="138"/>
      <c r="K1247" s="138"/>
      <c r="L1247" s="138"/>
      <c r="M1247" s="138"/>
      <c r="N1247" s="138"/>
      <c r="O1247" s="138"/>
      <c r="P1247" s="138"/>
      <c r="Q1247" s="256"/>
      <c r="R1247" s="128"/>
      <c r="S1247" s="128"/>
      <c r="T1247" s="140"/>
      <c r="U1247" s="141"/>
      <c r="V1247" s="141"/>
      <c r="W1247" s="142"/>
    </row>
    <row r="1248" spans="1:23" s="147" customFormat="1">
      <c r="A1248" s="176"/>
      <c r="B1248" s="138"/>
      <c r="C1248" s="138"/>
      <c r="D1248" s="138"/>
      <c r="E1248" s="138"/>
      <c r="F1248" s="138"/>
      <c r="G1248" s="138"/>
      <c r="H1248" s="138"/>
      <c r="I1248" s="138"/>
      <c r="J1248" s="138"/>
      <c r="K1248" s="138"/>
      <c r="L1248" s="138"/>
      <c r="M1248" s="138"/>
      <c r="N1248" s="138"/>
      <c r="O1248" s="138"/>
      <c r="P1248" s="138"/>
      <c r="Q1248" s="256"/>
      <c r="R1248" s="128"/>
      <c r="S1248" s="128"/>
      <c r="T1248" s="140"/>
      <c r="U1248" s="141"/>
      <c r="V1248" s="141"/>
      <c r="W1248" s="142"/>
    </row>
    <row r="1249" spans="1:23" s="147" customFormat="1">
      <c r="A1249" s="176"/>
      <c r="B1249" s="138"/>
      <c r="C1249" s="138"/>
      <c r="D1249" s="138"/>
      <c r="E1249" s="138"/>
      <c r="F1249" s="138"/>
      <c r="G1249" s="138"/>
      <c r="H1249" s="138"/>
      <c r="I1249" s="138"/>
      <c r="J1249" s="138"/>
      <c r="K1249" s="138"/>
      <c r="L1249" s="138"/>
      <c r="M1249" s="138"/>
      <c r="N1249" s="138"/>
      <c r="O1249" s="138"/>
      <c r="P1249" s="138"/>
      <c r="Q1249" s="256"/>
      <c r="R1249" s="128"/>
      <c r="S1249" s="128"/>
      <c r="T1249" s="140"/>
      <c r="U1249" s="141"/>
      <c r="V1249" s="141"/>
      <c r="W1249" s="142"/>
    </row>
    <row r="1250" spans="1:23" s="147" customFormat="1">
      <c r="A1250" s="176"/>
      <c r="B1250" s="138"/>
      <c r="C1250" s="138"/>
      <c r="D1250" s="138"/>
      <c r="E1250" s="138"/>
      <c r="F1250" s="138"/>
      <c r="G1250" s="138"/>
      <c r="H1250" s="138"/>
      <c r="I1250" s="138"/>
      <c r="J1250" s="138"/>
      <c r="K1250" s="138"/>
      <c r="L1250" s="138"/>
      <c r="M1250" s="138"/>
      <c r="N1250" s="138"/>
      <c r="O1250" s="138"/>
      <c r="P1250" s="138"/>
      <c r="Q1250" s="256"/>
      <c r="R1250" s="128"/>
      <c r="S1250" s="128"/>
      <c r="T1250" s="140"/>
      <c r="U1250" s="141"/>
      <c r="V1250" s="141"/>
      <c r="W1250" s="142"/>
    </row>
    <row r="1251" spans="1:23" s="147" customFormat="1">
      <c r="A1251" s="176"/>
      <c r="B1251" s="138"/>
      <c r="C1251" s="138"/>
      <c r="D1251" s="138"/>
      <c r="E1251" s="138"/>
      <c r="F1251" s="138"/>
      <c r="G1251" s="138"/>
      <c r="H1251" s="138"/>
      <c r="I1251" s="138"/>
      <c r="J1251" s="138"/>
      <c r="K1251" s="138"/>
      <c r="L1251" s="138"/>
      <c r="M1251" s="138"/>
      <c r="N1251" s="138"/>
      <c r="O1251" s="138"/>
      <c r="P1251" s="138"/>
      <c r="Q1251" s="256"/>
      <c r="R1251" s="128"/>
      <c r="S1251" s="128"/>
      <c r="T1251" s="140"/>
      <c r="U1251" s="141"/>
      <c r="V1251" s="141"/>
      <c r="W1251" s="142"/>
    </row>
    <row r="1252" spans="1:23" s="147" customFormat="1">
      <c r="A1252" s="176"/>
      <c r="B1252" s="138"/>
      <c r="C1252" s="138"/>
      <c r="D1252" s="138"/>
      <c r="E1252" s="138"/>
      <c r="F1252" s="138"/>
      <c r="G1252" s="138"/>
      <c r="H1252" s="138"/>
      <c r="I1252" s="138"/>
      <c r="J1252" s="138"/>
      <c r="K1252" s="138"/>
      <c r="L1252" s="138"/>
      <c r="M1252" s="138"/>
      <c r="N1252" s="138"/>
      <c r="O1252" s="138"/>
      <c r="P1252" s="138"/>
      <c r="Q1252" s="256"/>
      <c r="R1252" s="128"/>
      <c r="S1252" s="128"/>
      <c r="T1252" s="140"/>
      <c r="U1252" s="141"/>
      <c r="V1252" s="141"/>
      <c r="W1252" s="142"/>
    </row>
    <row r="1253" spans="1:23" s="147" customFormat="1">
      <c r="A1253" s="176"/>
      <c r="B1253" s="138"/>
      <c r="C1253" s="138"/>
      <c r="D1253" s="138"/>
      <c r="E1253" s="138"/>
      <c r="F1253" s="138"/>
      <c r="G1253" s="138"/>
      <c r="H1253" s="138"/>
      <c r="I1253" s="138"/>
      <c r="J1253" s="138"/>
      <c r="K1253" s="138"/>
      <c r="L1253" s="138"/>
      <c r="M1253" s="138"/>
      <c r="N1253" s="138"/>
      <c r="O1253" s="138"/>
      <c r="P1253" s="138"/>
      <c r="Q1253" s="256"/>
      <c r="R1253" s="128"/>
      <c r="S1253" s="128"/>
      <c r="T1253" s="140"/>
      <c r="U1253" s="141"/>
      <c r="V1253" s="141"/>
      <c r="W1253" s="142"/>
    </row>
    <row r="1254" spans="1:23" s="147" customFormat="1">
      <c r="A1254" s="176"/>
      <c r="B1254" s="138"/>
      <c r="C1254" s="138"/>
      <c r="D1254" s="138"/>
      <c r="E1254" s="138"/>
      <c r="F1254" s="138"/>
      <c r="G1254" s="138"/>
      <c r="H1254" s="138"/>
      <c r="I1254" s="138"/>
      <c r="J1254" s="138"/>
      <c r="K1254" s="138"/>
      <c r="L1254" s="138"/>
      <c r="M1254" s="138"/>
      <c r="N1254" s="138"/>
      <c r="O1254" s="138"/>
      <c r="P1254" s="138"/>
      <c r="Q1254" s="256"/>
      <c r="R1254" s="128"/>
      <c r="S1254" s="128"/>
      <c r="T1254" s="140"/>
      <c r="U1254" s="141"/>
      <c r="V1254" s="141"/>
      <c r="W1254" s="142"/>
    </row>
    <row r="1255" spans="1:23" s="147" customFormat="1">
      <c r="A1255" s="176"/>
      <c r="B1255" s="138"/>
      <c r="C1255" s="138"/>
      <c r="D1255" s="138"/>
      <c r="E1255" s="138"/>
      <c r="F1255" s="138"/>
      <c r="G1255" s="138"/>
      <c r="H1255" s="138"/>
      <c r="I1255" s="138"/>
      <c r="J1255" s="138"/>
      <c r="K1255" s="138"/>
      <c r="L1255" s="138"/>
      <c r="M1255" s="138"/>
      <c r="N1255" s="138"/>
      <c r="O1255" s="138"/>
      <c r="P1255" s="138"/>
      <c r="Q1255" s="256"/>
      <c r="R1255" s="128"/>
      <c r="S1255" s="128"/>
      <c r="T1255" s="140"/>
      <c r="U1255" s="141"/>
      <c r="V1255" s="141"/>
      <c r="W1255" s="142"/>
    </row>
    <row r="1256" spans="1:23" s="147" customFormat="1">
      <c r="A1256" s="176"/>
      <c r="B1256" s="138"/>
      <c r="C1256" s="138"/>
      <c r="D1256" s="138"/>
      <c r="E1256" s="138"/>
      <c r="F1256" s="138"/>
      <c r="G1256" s="138"/>
      <c r="H1256" s="138"/>
      <c r="I1256" s="138"/>
      <c r="J1256" s="138"/>
      <c r="K1256" s="138"/>
      <c r="L1256" s="138"/>
      <c r="M1256" s="138"/>
      <c r="N1256" s="138"/>
      <c r="O1256" s="138"/>
      <c r="P1256" s="138"/>
      <c r="Q1256" s="256"/>
      <c r="R1256" s="128"/>
      <c r="S1256" s="128"/>
      <c r="T1256" s="140"/>
      <c r="U1256" s="141"/>
      <c r="V1256" s="141"/>
      <c r="W1256" s="142"/>
    </row>
    <row r="1257" spans="1:23" s="147" customFormat="1">
      <c r="A1257" s="176"/>
      <c r="B1257" s="138"/>
      <c r="C1257" s="138"/>
      <c r="D1257" s="138"/>
      <c r="E1257" s="138"/>
      <c r="F1257" s="138"/>
      <c r="G1257" s="138"/>
      <c r="H1257" s="138"/>
      <c r="I1257" s="138"/>
      <c r="J1257" s="138"/>
      <c r="K1257" s="138"/>
      <c r="L1257" s="138"/>
      <c r="M1257" s="138"/>
      <c r="N1257" s="138"/>
      <c r="O1257" s="138"/>
      <c r="P1257" s="138"/>
      <c r="Q1257" s="256"/>
      <c r="R1257" s="128"/>
      <c r="S1257" s="128"/>
      <c r="T1257" s="140"/>
      <c r="U1257" s="141"/>
      <c r="V1257" s="141"/>
      <c r="W1257" s="142"/>
    </row>
    <row r="1258" spans="1:23" s="147" customFormat="1">
      <c r="A1258" s="176"/>
      <c r="B1258" s="138"/>
      <c r="C1258" s="138"/>
      <c r="D1258" s="138"/>
      <c r="E1258" s="138"/>
      <c r="F1258" s="138"/>
      <c r="G1258" s="138"/>
      <c r="H1258" s="138"/>
      <c r="I1258" s="138"/>
      <c r="J1258" s="138"/>
      <c r="K1258" s="138"/>
      <c r="L1258" s="138"/>
      <c r="M1258" s="138"/>
      <c r="N1258" s="138"/>
      <c r="O1258" s="138"/>
      <c r="P1258" s="138"/>
      <c r="Q1258" s="256"/>
      <c r="R1258" s="128"/>
      <c r="S1258" s="128"/>
      <c r="T1258" s="140"/>
      <c r="U1258" s="141"/>
      <c r="V1258" s="141"/>
      <c r="W1258" s="142"/>
    </row>
    <row r="1259" spans="1:23" s="147" customFormat="1">
      <c r="A1259" s="176"/>
      <c r="B1259" s="138"/>
      <c r="C1259" s="138"/>
      <c r="D1259" s="138"/>
      <c r="E1259" s="138"/>
      <c r="F1259" s="138"/>
      <c r="G1259" s="138"/>
      <c r="H1259" s="138"/>
      <c r="I1259" s="138"/>
      <c r="J1259" s="138"/>
      <c r="K1259" s="138"/>
      <c r="L1259" s="138"/>
      <c r="M1259" s="138"/>
      <c r="N1259" s="138"/>
      <c r="O1259" s="138"/>
      <c r="P1259" s="138"/>
      <c r="Q1259" s="256"/>
      <c r="R1259" s="128"/>
      <c r="S1259" s="128"/>
      <c r="T1259" s="140"/>
      <c r="U1259" s="141"/>
      <c r="V1259" s="141"/>
      <c r="W1259" s="142"/>
    </row>
    <row r="1260" spans="1:23" s="147" customFormat="1">
      <c r="A1260" s="176"/>
      <c r="B1260" s="138"/>
      <c r="C1260" s="138"/>
      <c r="D1260" s="138"/>
      <c r="E1260" s="138"/>
      <c r="F1260" s="138"/>
      <c r="G1260" s="138"/>
      <c r="H1260" s="138"/>
      <c r="I1260" s="138"/>
      <c r="J1260" s="138"/>
      <c r="K1260" s="138"/>
      <c r="L1260" s="138"/>
      <c r="M1260" s="138"/>
      <c r="N1260" s="138"/>
      <c r="O1260" s="138"/>
      <c r="P1260" s="138"/>
      <c r="Q1260" s="256"/>
      <c r="R1260" s="128"/>
      <c r="S1260" s="128"/>
      <c r="T1260" s="140"/>
      <c r="U1260" s="141"/>
      <c r="V1260" s="141"/>
      <c r="W1260" s="142"/>
    </row>
    <row r="1261" spans="1:23" s="147" customFormat="1">
      <c r="A1261" s="176"/>
      <c r="B1261" s="138"/>
      <c r="C1261" s="138"/>
      <c r="D1261" s="138"/>
      <c r="E1261" s="138"/>
      <c r="F1261" s="138"/>
      <c r="G1261" s="138"/>
      <c r="H1261" s="138"/>
      <c r="I1261" s="138"/>
      <c r="J1261" s="138"/>
      <c r="K1261" s="138"/>
      <c r="L1261" s="138"/>
      <c r="M1261" s="138"/>
      <c r="N1261" s="138"/>
      <c r="O1261" s="138"/>
      <c r="P1261" s="138"/>
      <c r="Q1261" s="256"/>
      <c r="R1261" s="128"/>
      <c r="S1261" s="128"/>
      <c r="T1261" s="140"/>
      <c r="U1261" s="141"/>
      <c r="V1261" s="141"/>
      <c r="W1261" s="142"/>
    </row>
    <row r="1262" spans="1:23" s="147" customFormat="1">
      <c r="A1262" s="176"/>
      <c r="B1262" s="138"/>
      <c r="C1262" s="138"/>
      <c r="D1262" s="138"/>
      <c r="E1262" s="138"/>
      <c r="F1262" s="138"/>
      <c r="G1262" s="138"/>
      <c r="H1262" s="138"/>
      <c r="I1262" s="138"/>
      <c r="J1262" s="138"/>
      <c r="K1262" s="138"/>
      <c r="L1262" s="138"/>
      <c r="M1262" s="138"/>
      <c r="N1262" s="138"/>
      <c r="O1262" s="138"/>
      <c r="P1262" s="138"/>
      <c r="Q1262" s="256"/>
      <c r="R1262" s="128"/>
      <c r="S1262" s="128"/>
      <c r="T1262" s="140"/>
      <c r="U1262" s="141"/>
      <c r="V1262" s="141"/>
      <c r="W1262" s="142"/>
    </row>
    <row r="1263" spans="1:23" s="147" customFormat="1">
      <c r="A1263" s="176"/>
      <c r="B1263" s="138"/>
      <c r="C1263" s="138"/>
      <c r="D1263" s="138"/>
      <c r="E1263" s="138"/>
      <c r="F1263" s="138"/>
      <c r="G1263" s="138"/>
      <c r="H1263" s="138"/>
      <c r="I1263" s="138"/>
      <c r="J1263" s="138"/>
      <c r="K1263" s="138"/>
      <c r="L1263" s="138"/>
      <c r="M1263" s="138"/>
      <c r="N1263" s="138"/>
      <c r="O1263" s="138"/>
      <c r="P1263" s="138"/>
      <c r="Q1263" s="256"/>
      <c r="R1263" s="128"/>
      <c r="S1263" s="128"/>
      <c r="T1263" s="140"/>
      <c r="U1263" s="141"/>
      <c r="V1263" s="141"/>
      <c r="W1263" s="142"/>
    </row>
    <row r="1264" spans="1:23" s="147" customFormat="1">
      <c r="A1264" s="176"/>
      <c r="B1264" s="138"/>
      <c r="C1264" s="138"/>
      <c r="D1264" s="138"/>
      <c r="E1264" s="138"/>
      <c r="F1264" s="138"/>
      <c r="G1264" s="138"/>
      <c r="H1264" s="138"/>
      <c r="I1264" s="138"/>
      <c r="J1264" s="138"/>
      <c r="K1264" s="138"/>
      <c r="L1264" s="138"/>
      <c r="M1264" s="138"/>
      <c r="N1264" s="138"/>
      <c r="O1264" s="138"/>
      <c r="P1264" s="138"/>
      <c r="Q1264" s="256"/>
      <c r="R1264" s="128"/>
      <c r="S1264" s="128"/>
      <c r="T1264" s="140"/>
      <c r="U1264" s="141"/>
      <c r="V1264" s="141"/>
      <c r="W1264" s="142"/>
    </row>
    <row r="1265" spans="1:23" s="147" customFormat="1">
      <c r="A1265" s="176"/>
      <c r="B1265" s="138"/>
      <c r="C1265" s="138"/>
      <c r="D1265" s="138"/>
      <c r="E1265" s="138"/>
      <c r="F1265" s="138"/>
      <c r="G1265" s="138"/>
      <c r="H1265" s="138"/>
      <c r="I1265" s="138"/>
      <c r="J1265" s="138"/>
      <c r="K1265" s="138"/>
      <c r="L1265" s="138"/>
      <c r="M1265" s="138"/>
      <c r="N1265" s="138"/>
      <c r="O1265" s="138"/>
      <c r="P1265" s="138"/>
      <c r="Q1265" s="256"/>
      <c r="R1265" s="128"/>
      <c r="S1265" s="128"/>
      <c r="T1265" s="140"/>
      <c r="U1265" s="141"/>
      <c r="V1265" s="141"/>
      <c r="W1265" s="142"/>
    </row>
    <row r="1266" spans="1:23" s="147" customFormat="1">
      <c r="A1266" s="176"/>
      <c r="B1266" s="138"/>
      <c r="C1266" s="138"/>
      <c r="D1266" s="138"/>
      <c r="E1266" s="138"/>
      <c r="F1266" s="138"/>
      <c r="G1266" s="138"/>
      <c r="H1266" s="138"/>
      <c r="I1266" s="138"/>
      <c r="J1266" s="138"/>
      <c r="K1266" s="138"/>
      <c r="L1266" s="138"/>
      <c r="M1266" s="138"/>
      <c r="N1266" s="138"/>
      <c r="O1266" s="138"/>
      <c r="P1266" s="138"/>
      <c r="Q1266" s="256"/>
      <c r="R1266" s="128"/>
      <c r="S1266" s="128"/>
      <c r="T1266" s="140"/>
      <c r="U1266" s="141"/>
      <c r="V1266" s="141"/>
      <c r="W1266" s="142"/>
    </row>
    <row r="1267" spans="1:23" s="147" customFormat="1">
      <c r="A1267" s="176"/>
      <c r="B1267" s="138"/>
      <c r="C1267" s="138"/>
      <c r="D1267" s="138"/>
      <c r="E1267" s="138"/>
      <c r="F1267" s="138"/>
      <c r="G1267" s="138"/>
      <c r="H1267" s="138"/>
      <c r="I1267" s="138"/>
      <c r="J1267" s="138"/>
      <c r="K1267" s="138"/>
      <c r="L1267" s="138"/>
      <c r="M1267" s="138"/>
      <c r="N1267" s="138"/>
      <c r="O1267" s="138"/>
      <c r="P1267" s="138"/>
      <c r="Q1267" s="256"/>
      <c r="R1267" s="128"/>
      <c r="S1267" s="128"/>
      <c r="T1267" s="140"/>
      <c r="U1267" s="141"/>
      <c r="V1267" s="141"/>
      <c r="W1267" s="142"/>
    </row>
    <row r="1268" spans="1:23" s="147" customFormat="1">
      <c r="A1268" s="176"/>
      <c r="B1268" s="138"/>
      <c r="C1268" s="138"/>
      <c r="D1268" s="138"/>
      <c r="E1268" s="138"/>
      <c r="F1268" s="138"/>
      <c r="G1268" s="138"/>
      <c r="H1268" s="138"/>
      <c r="I1268" s="138"/>
      <c r="J1268" s="138"/>
      <c r="K1268" s="138"/>
      <c r="L1268" s="138"/>
      <c r="M1268" s="138"/>
      <c r="N1268" s="138"/>
      <c r="O1268" s="138"/>
      <c r="P1268" s="138"/>
      <c r="Q1268" s="256"/>
      <c r="R1268" s="128"/>
      <c r="S1268" s="128"/>
      <c r="T1268" s="140"/>
      <c r="U1268" s="141"/>
      <c r="V1268" s="141"/>
      <c r="W1268" s="142"/>
    </row>
    <row r="1269" spans="1:23" s="147" customFormat="1">
      <c r="A1269" s="176"/>
      <c r="B1269" s="138"/>
      <c r="C1269" s="138"/>
      <c r="D1269" s="138"/>
      <c r="E1269" s="138"/>
      <c r="F1269" s="138"/>
      <c r="G1269" s="138"/>
      <c r="H1269" s="138"/>
      <c r="I1269" s="138"/>
      <c r="J1269" s="138"/>
      <c r="K1269" s="138"/>
      <c r="L1269" s="138"/>
      <c r="M1269" s="138"/>
      <c r="N1269" s="138"/>
      <c r="O1269" s="138"/>
      <c r="P1269" s="138"/>
      <c r="Q1269" s="256"/>
      <c r="R1269" s="128"/>
      <c r="S1269" s="128"/>
      <c r="T1269" s="140"/>
      <c r="U1269" s="141"/>
      <c r="V1269" s="141"/>
      <c r="W1269" s="142"/>
    </row>
    <row r="1270" spans="1:23" s="147" customFormat="1">
      <c r="A1270" s="176"/>
      <c r="B1270" s="138"/>
      <c r="C1270" s="138"/>
      <c r="D1270" s="138"/>
      <c r="E1270" s="138"/>
      <c r="F1270" s="138"/>
      <c r="G1270" s="138"/>
      <c r="H1270" s="138"/>
      <c r="I1270" s="138"/>
      <c r="J1270" s="138"/>
      <c r="K1270" s="138"/>
      <c r="L1270" s="138"/>
      <c r="M1270" s="138"/>
      <c r="N1270" s="138"/>
      <c r="O1270" s="138"/>
      <c r="P1270" s="138"/>
      <c r="Q1270" s="256"/>
      <c r="R1270" s="128"/>
      <c r="S1270" s="128"/>
      <c r="T1270" s="140"/>
      <c r="U1270" s="141"/>
      <c r="V1270" s="141"/>
      <c r="W1270" s="142"/>
    </row>
    <row r="1271" spans="1:23" s="147" customFormat="1">
      <c r="A1271" s="176"/>
      <c r="B1271" s="138"/>
      <c r="C1271" s="138"/>
      <c r="D1271" s="138"/>
      <c r="E1271" s="138"/>
      <c r="F1271" s="138"/>
      <c r="G1271" s="138"/>
      <c r="H1271" s="138"/>
      <c r="I1271" s="138"/>
      <c r="J1271" s="138"/>
      <c r="K1271" s="138"/>
      <c r="L1271" s="138"/>
      <c r="M1271" s="138"/>
      <c r="N1271" s="138"/>
      <c r="O1271" s="138"/>
      <c r="P1271" s="138"/>
      <c r="Q1271" s="256"/>
      <c r="R1271" s="128"/>
      <c r="S1271" s="128"/>
      <c r="T1271" s="140"/>
      <c r="U1271" s="141"/>
      <c r="V1271" s="141"/>
      <c r="W1271" s="142"/>
    </row>
    <row r="1272" spans="1:23" s="147" customFormat="1">
      <c r="A1272" s="176"/>
      <c r="B1272" s="138"/>
      <c r="C1272" s="138"/>
      <c r="D1272" s="138"/>
      <c r="E1272" s="138"/>
      <c r="F1272" s="138"/>
      <c r="G1272" s="138"/>
      <c r="H1272" s="138"/>
      <c r="I1272" s="138"/>
      <c r="J1272" s="138"/>
      <c r="K1272" s="138"/>
      <c r="L1272" s="138"/>
      <c r="M1272" s="138"/>
      <c r="N1272" s="138"/>
      <c r="O1272" s="138"/>
      <c r="P1272" s="138"/>
      <c r="Q1272" s="256"/>
      <c r="R1272" s="128"/>
      <c r="S1272" s="128"/>
      <c r="T1272" s="140"/>
      <c r="U1272" s="141"/>
      <c r="V1272" s="141"/>
      <c r="W1272" s="142"/>
    </row>
    <row r="1273" spans="1:23" s="147" customFormat="1">
      <c r="A1273" s="176"/>
      <c r="B1273" s="138"/>
      <c r="C1273" s="138"/>
      <c r="D1273" s="138"/>
      <c r="E1273" s="138"/>
      <c r="F1273" s="138"/>
      <c r="G1273" s="138"/>
      <c r="H1273" s="138"/>
      <c r="I1273" s="138"/>
      <c r="J1273" s="138"/>
      <c r="K1273" s="138"/>
      <c r="L1273" s="138"/>
      <c r="M1273" s="138"/>
      <c r="N1273" s="138"/>
      <c r="O1273" s="138"/>
      <c r="P1273" s="138"/>
      <c r="Q1273" s="256"/>
      <c r="R1273" s="128"/>
      <c r="S1273" s="128"/>
      <c r="T1273" s="140"/>
      <c r="U1273" s="141"/>
      <c r="V1273" s="141"/>
      <c r="W1273" s="142"/>
    </row>
    <row r="1274" spans="1:23" s="147" customFormat="1">
      <c r="A1274" s="176"/>
      <c r="B1274" s="138"/>
      <c r="C1274" s="138"/>
      <c r="D1274" s="138"/>
      <c r="E1274" s="138"/>
      <c r="F1274" s="138"/>
      <c r="G1274" s="138"/>
      <c r="H1274" s="138"/>
      <c r="I1274" s="138"/>
      <c r="J1274" s="138"/>
      <c r="K1274" s="138"/>
      <c r="L1274" s="138"/>
      <c r="M1274" s="138"/>
      <c r="N1274" s="138"/>
      <c r="O1274" s="138"/>
      <c r="P1274" s="138"/>
      <c r="Q1274" s="256"/>
      <c r="R1274" s="128"/>
      <c r="S1274" s="128"/>
      <c r="T1274" s="140"/>
      <c r="U1274" s="141"/>
      <c r="V1274" s="141"/>
      <c r="W1274" s="142"/>
    </row>
    <row r="1275" spans="1:23" s="147" customFormat="1">
      <c r="A1275" s="176"/>
      <c r="B1275" s="138"/>
      <c r="C1275" s="138"/>
      <c r="D1275" s="138"/>
      <c r="E1275" s="138"/>
      <c r="F1275" s="138"/>
      <c r="G1275" s="138"/>
      <c r="H1275" s="138"/>
      <c r="I1275" s="138"/>
      <c r="J1275" s="138"/>
      <c r="K1275" s="138"/>
      <c r="L1275" s="138"/>
      <c r="M1275" s="138"/>
      <c r="N1275" s="138"/>
      <c r="O1275" s="138"/>
      <c r="P1275" s="138"/>
      <c r="Q1275" s="256"/>
      <c r="R1275" s="128"/>
      <c r="S1275" s="128"/>
      <c r="T1275" s="140"/>
      <c r="U1275" s="141"/>
      <c r="V1275" s="141"/>
      <c r="W1275" s="142"/>
    </row>
    <row r="1276" spans="1:23" s="147" customFormat="1">
      <c r="A1276" s="176"/>
      <c r="B1276" s="138"/>
      <c r="C1276" s="138"/>
      <c r="D1276" s="138"/>
      <c r="E1276" s="138"/>
      <c r="F1276" s="138"/>
      <c r="G1276" s="138"/>
      <c r="H1276" s="138"/>
      <c r="I1276" s="138"/>
      <c r="J1276" s="138"/>
      <c r="K1276" s="138"/>
      <c r="L1276" s="138"/>
      <c r="M1276" s="138"/>
      <c r="N1276" s="138"/>
      <c r="O1276" s="138"/>
      <c r="P1276" s="138"/>
      <c r="Q1276" s="256"/>
      <c r="R1276" s="128"/>
      <c r="S1276" s="128"/>
      <c r="T1276" s="140"/>
      <c r="U1276" s="141"/>
      <c r="V1276" s="141"/>
      <c r="W1276" s="142"/>
    </row>
    <row r="1277" spans="1:23" s="147" customFormat="1">
      <c r="A1277" s="176"/>
      <c r="B1277" s="138"/>
      <c r="C1277" s="138"/>
      <c r="D1277" s="138"/>
      <c r="E1277" s="138"/>
      <c r="F1277" s="138"/>
      <c r="G1277" s="138"/>
      <c r="H1277" s="138"/>
      <c r="I1277" s="138"/>
      <c r="J1277" s="138"/>
      <c r="K1277" s="138"/>
      <c r="L1277" s="138"/>
      <c r="M1277" s="138"/>
      <c r="N1277" s="138"/>
      <c r="O1277" s="138"/>
      <c r="P1277" s="138"/>
      <c r="Q1277" s="256"/>
      <c r="R1277" s="128"/>
      <c r="S1277" s="128"/>
      <c r="T1277" s="140"/>
      <c r="U1277" s="141"/>
      <c r="V1277" s="141"/>
      <c r="W1277" s="142"/>
    </row>
    <row r="1278" spans="1:23" s="147" customFormat="1">
      <c r="A1278" s="176"/>
      <c r="B1278" s="138"/>
      <c r="C1278" s="138"/>
      <c r="D1278" s="138"/>
      <c r="E1278" s="138"/>
      <c r="F1278" s="138"/>
      <c r="G1278" s="138"/>
      <c r="H1278" s="138"/>
      <c r="I1278" s="138"/>
      <c r="J1278" s="138"/>
      <c r="K1278" s="138"/>
      <c r="L1278" s="138"/>
      <c r="M1278" s="138"/>
      <c r="N1278" s="138"/>
      <c r="O1278" s="138"/>
      <c r="P1278" s="138"/>
      <c r="Q1278" s="256"/>
      <c r="R1278" s="128"/>
      <c r="S1278" s="128"/>
      <c r="T1278" s="140"/>
      <c r="U1278" s="141"/>
      <c r="V1278" s="141"/>
      <c r="W1278" s="142"/>
    </row>
    <row r="1279" spans="1:23" s="147" customFormat="1">
      <c r="A1279" s="176"/>
      <c r="B1279" s="138"/>
      <c r="C1279" s="138"/>
      <c r="D1279" s="138"/>
      <c r="E1279" s="138"/>
      <c r="F1279" s="138"/>
      <c r="G1279" s="138"/>
      <c r="H1279" s="138"/>
      <c r="I1279" s="138"/>
      <c r="J1279" s="138"/>
      <c r="K1279" s="138"/>
      <c r="L1279" s="138"/>
      <c r="M1279" s="138"/>
      <c r="N1279" s="138"/>
      <c r="O1279" s="138"/>
      <c r="P1279" s="138"/>
      <c r="Q1279" s="256"/>
      <c r="R1279" s="128"/>
      <c r="S1279" s="128"/>
      <c r="T1279" s="140"/>
      <c r="U1279" s="141"/>
      <c r="V1279" s="141"/>
      <c r="W1279" s="142"/>
    </row>
    <row r="1280" spans="1:23" s="147" customFormat="1">
      <c r="A1280" s="176"/>
      <c r="B1280" s="138"/>
      <c r="C1280" s="138"/>
      <c r="D1280" s="138"/>
      <c r="E1280" s="138"/>
      <c r="F1280" s="138"/>
      <c r="G1280" s="138"/>
      <c r="H1280" s="138"/>
      <c r="I1280" s="138"/>
      <c r="J1280" s="138"/>
      <c r="K1280" s="138"/>
      <c r="L1280" s="138"/>
      <c r="M1280" s="138"/>
      <c r="N1280" s="138"/>
      <c r="O1280" s="138"/>
      <c r="P1280" s="138"/>
      <c r="Q1280" s="256"/>
      <c r="R1280" s="128"/>
      <c r="S1280" s="128"/>
      <c r="T1280" s="140"/>
      <c r="U1280" s="141"/>
      <c r="V1280" s="141"/>
      <c r="W1280" s="142"/>
    </row>
    <row r="1281" spans="1:23" s="147" customFormat="1">
      <c r="A1281" s="176"/>
      <c r="B1281" s="138"/>
      <c r="C1281" s="138"/>
      <c r="D1281" s="138"/>
      <c r="E1281" s="138"/>
      <c r="F1281" s="138"/>
      <c r="G1281" s="138"/>
      <c r="H1281" s="138"/>
      <c r="I1281" s="138"/>
      <c r="J1281" s="138"/>
      <c r="K1281" s="138"/>
      <c r="L1281" s="138"/>
      <c r="M1281" s="138"/>
      <c r="N1281" s="138"/>
      <c r="O1281" s="138"/>
      <c r="P1281" s="138"/>
      <c r="Q1281" s="256"/>
      <c r="R1281" s="128"/>
      <c r="S1281" s="128"/>
      <c r="T1281" s="140"/>
      <c r="U1281" s="141"/>
      <c r="V1281" s="141"/>
      <c r="W1281" s="142"/>
    </row>
    <row r="1282" spans="1:23" s="147" customFormat="1">
      <c r="A1282" s="176"/>
      <c r="B1282" s="138"/>
      <c r="C1282" s="138"/>
      <c r="D1282" s="138"/>
      <c r="E1282" s="138"/>
      <c r="F1282" s="138"/>
      <c r="G1282" s="138"/>
      <c r="H1282" s="138"/>
      <c r="I1282" s="138"/>
      <c r="J1282" s="138"/>
      <c r="K1282" s="138"/>
      <c r="L1282" s="138"/>
      <c r="M1282" s="138"/>
      <c r="N1282" s="138"/>
      <c r="O1282" s="138"/>
      <c r="P1282" s="138"/>
      <c r="Q1282" s="256"/>
      <c r="R1282" s="128"/>
      <c r="S1282" s="128"/>
      <c r="T1282" s="140"/>
      <c r="U1282" s="141"/>
      <c r="V1282" s="141"/>
      <c r="W1282" s="142"/>
    </row>
    <row r="1283" spans="1:23" s="147" customFormat="1">
      <c r="A1283" s="176"/>
      <c r="B1283" s="138"/>
      <c r="C1283" s="138"/>
      <c r="D1283" s="138"/>
      <c r="E1283" s="138"/>
      <c r="F1283" s="138"/>
      <c r="G1283" s="138"/>
      <c r="H1283" s="138"/>
      <c r="I1283" s="138"/>
      <c r="J1283" s="138"/>
      <c r="K1283" s="138"/>
      <c r="L1283" s="138"/>
      <c r="M1283" s="138"/>
      <c r="N1283" s="138"/>
      <c r="O1283" s="138"/>
      <c r="P1283" s="138"/>
      <c r="Q1283" s="256"/>
      <c r="R1283" s="128"/>
      <c r="S1283" s="128"/>
      <c r="T1283" s="140"/>
      <c r="U1283" s="141"/>
      <c r="V1283" s="141"/>
      <c r="W1283" s="142"/>
    </row>
    <row r="1284" spans="1:23" s="147" customFormat="1">
      <c r="A1284" s="176"/>
      <c r="B1284" s="138"/>
      <c r="C1284" s="138"/>
      <c r="D1284" s="138"/>
      <c r="E1284" s="138"/>
      <c r="F1284" s="138"/>
      <c r="G1284" s="138"/>
      <c r="H1284" s="138"/>
      <c r="I1284" s="138"/>
      <c r="J1284" s="138"/>
      <c r="K1284" s="138"/>
      <c r="L1284" s="138"/>
      <c r="M1284" s="138"/>
      <c r="N1284" s="138"/>
      <c r="O1284" s="138"/>
      <c r="P1284" s="138"/>
      <c r="Q1284" s="256"/>
      <c r="R1284" s="128"/>
      <c r="S1284" s="128"/>
      <c r="T1284" s="140"/>
      <c r="U1284" s="141"/>
      <c r="V1284" s="141"/>
      <c r="W1284" s="142"/>
    </row>
    <row r="1285" spans="1:23" s="147" customFormat="1">
      <c r="A1285" s="176"/>
      <c r="B1285" s="138"/>
      <c r="C1285" s="138"/>
      <c r="D1285" s="138"/>
      <c r="E1285" s="138"/>
      <c r="F1285" s="138"/>
      <c r="G1285" s="138"/>
      <c r="H1285" s="138"/>
      <c r="I1285" s="138"/>
      <c r="J1285" s="138"/>
      <c r="K1285" s="138"/>
      <c r="L1285" s="138"/>
      <c r="M1285" s="138"/>
      <c r="N1285" s="138"/>
      <c r="O1285" s="138"/>
      <c r="P1285" s="138"/>
      <c r="Q1285" s="256"/>
      <c r="R1285" s="128"/>
      <c r="S1285" s="128"/>
      <c r="T1285" s="140"/>
      <c r="U1285" s="141"/>
      <c r="V1285" s="141"/>
      <c r="W1285" s="142"/>
    </row>
    <row r="1286" spans="1:23" s="147" customFormat="1">
      <c r="A1286" s="176"/>
      <c r="B1286" s="138"/>
      <c r="C1286" s="138"/>
      <c r="D1286" s="138"/>
      <c r="E1286" s="138"/>
      <c r="F1286" s="138"/>
      <c r="G1286" s="138"/>
      <c r="H1286" s="138"/>
      <c r="I1286" s="138"/>
      <c r="J1286" s="138"/>
      <c r="K1286" s="138"/>
      <c r="L1286" s="138"/>
      <c r="M1286" s="138"/>
      <c r="N1286" s="138"/>
      <c r="O1286" s="138"/>
      <c r="P1286" s="138"/>
      <c r="Q1286" s="256"/>
      <c r="R1286" s="128"/>
      <c r="S1286" s="128"/>
      <c r="T1286" s="140"/>
      <c r="U1286" s="141"/>
      <c r="V1286" s="141"/>
      <c r="W1286" s="142"/>
    </row>
    <row r="1287" spans="1:23" s="147" customFormat="1">
      <c r="A1287" s="176"/>
      <c r="B1287" s="138"/>
      <c r="C1287" s="138"/>
      <c r="D1287" s="138"/>
      <c r="E1287" s="138"/>
      <c r="F1287" s="138"/>
      <c r="G1287" s="138"/>
      <c r="H1287" s="138"/>
      <c r="I1287" s="138"/>
      <c r="J1287" s="138"/>
      <c r="K1287" s="138"/>
      <c r="L1287" s="138"/>
      <c r="M1287" s="138"/>
      <c r="N1287" s="138"/>
      <c r="O1287" s="138"/>
      <c r="P1287" s="138"/>
      <c r="Q1287" s="256"/>
      <c r="R1287" s="128"/>
      <c r="S1287" s="128"/>
      <c r="T1287" s="140"/>
      <c r="U1287" s="141"/>
      <c r="V1287" s="141"/>
      <c r="W1287" s="142"/>
    </row>
    <row r="1288" spans="1:23" s="147" customFormat="1">
      <c r="A1288" s="176"/>
      <c r="B1288" s="138"/>
      <c r="C1288" s="138"/>
      <c r="D1288" s="138"/>
      <c r="E1288" s="138"/>
      <c r="F1288" s="138"/>
      <c r="G1288" s="138"/>
      <c r="H1288" s="138"/>
      <c r="I1288" s="138"/>
      <c r="J1288" s="138"/>
      <c r="K1288" s="138"/>
      <c r="L1288" s="138"/>
      <c r="M1288" s="138"/>
      <c r="N1288" s="138"/>
      <c r="O1288" s="138"/>
      <c r="P1288" s="138"/>
      <c r="Q1288" s="256"/>
      <c r="R1288" s="128"/>
      <c r="S1288" s="128"/>
      <c r="T1288" s="140"/>
      <c r="U1288" s="141"/>
      <c r="V1288" s="141"/>
      <c r="W1288" s="142"/>
    </row>
    <row r="1289" spans="1:23" s="147" customFormat="1">
      <c r="A1289" s="176"/>
      <c r="B1289" s="138"/>
      <c r="C1289" s="138"/>
      <c r="D1289" s="138"/>
      <c r="E1289" s="138"/>
      <c r="F1289" s="138"/>
      <c r="G1289" s="138"/>
      <c r="H1289" s="138"/>
      <c r="I1289" s="138"/>
      <c r="J1289" s="138"/>
      <c r="K1289" s="138"/>
      <c r="L1289" s="138"/>
      <c r="M1289" s="138"/>
      <c r="N1289" s="138"/>
      <c r="O1289" s="138"/>
      <c r="P1289" s="138"/>
      <c r="Q1289" s="256"/>
      <c r="R1289" s="128"/>
      <c r="S1289" s="128"/>
      <c r="T1289" s="140"/>
      <c r="U1289" s="141"/>
      <c r="V1289" s="141"/>
      <c r="W1289" s="142"/>
    </row>
    <row r="1290" spans="1:23" s="147" customFormat="1">
      <c r="A1290" s="176"/>
      <c r="B1290" s="138"/>
      <c r="C1290" s="138"/>
      <c r="D1290" s="138"/>
      <c r="E1290" s="138"/>
      <c r="F1290" s="138"/>
      <c r="G1290" s="138"/>
      <c r="H1290" s="138"/>
      <c r="I1290" s="138"/>
      <c r="J1290" s="138"/>
      <c r="K1290" s="138"/>
      <c r="L1290" s="138"/>
      <c r="M1290" s="138"/>
      <c r="N1290" s="138"/>
      <c r="O1290" s="138"/>
      <c r="P1290" s="138"/>
      <c r="Q1290" s="256"/>
      <c r="R1290" s="128"/>
      <c r="S1290" s="128"/>
      <c r="T1290" s="140"/>
      <c r="U1290" s="141"/>
      <c r="V1290" s="141"/>
      <c r="W1290" s="142"/>
    </row>
    <row r="1291" spans="1:23" s="147" customFormat="1">
      <c r="A1291" s="176"/>
      <c r="B1291" s="138"/>
      <c r="C1291" s="138"/>
      <c r="D1291" s="138"/>
      <c r="E1291" s="138"/>
      <c r="F1291" s="138"/>
      <c r="G1291" s="138"/>
      <c r="H1291" s="138"/>
      <c r="I1291" s="138"/>
      <c r="J1291" s="138"/>
      <c r="K1291" s="138"/>
      <c r="L1291" s="138"/>
      <c r="M1291" s="138"/>
      <c r="N1291" s="138"/>
      <c r="O1291" s="138"/>
      <c r="P1291" s="138"/>
      <c r="Q1291" s="256"/>
      <c r="R1291" s="128"/>
      <c r="S1291" s="128"/>
      <c r="T1291" s="140"/>
      <c r="U1291" s="141"/>
      <c r="V1291" s="141"/>
      <c r="W1291" s="142"/>
    </row>
    <row r="1292" spans="1:23" s="147" customFormat="1">
      <c r="A1292" s="176"/>
      <c r="B1292" s="138"/>
      <c r="C1292" s="138"/>
      <c r="D1292" s="138"/>
      <c r="E1292" s="138"/>
      <c r="F1292" s="138"/>
      <c r="G1292" s="138"/>
      <c r="H1292" s="138"/>
      <c r="I1292" s="138"/>
      <c r="J1292" s="138"/>
      <c r="K1292" s="138"/>
      <c r="L1292" s="138"/>
      <c r="M1292" s="138"/>
      <c r="N1292" s="138"/>
      <c r="O1292" s="138"/>
      <c r="P1292" s="138"/>
      <c r="Q1292" s="256"/>
      <c r="R1292" s="128"/>
      <c r="S1292" s="128"/>
      <c r="T1292" s="140"/>
      <c r="U1292" s="141"/>
      <c r="V1292" s="141"/>
      <c r="W1292" s="142"/>
    </row>
    <row r="1293" spans="1:23" s="147" customFormat="1">
      <c r="A1293" s="176"/>
      <c r="B1293" s="138"/>
      <c r="C1293" s="138"/>
      <c r="D1293" s="138"/>
      <c r="E1293" s="138"/>
      <c r="F1293" s="138"/>
      <c r="G1293" s="138"/>
      <c r="H1293" s="138"/>
      <c r="I1293" s="138"/>
      <c r="J1293" s="138"/>
      <c r="K1293" s="138"/>
      <c r="L1293" s="138"/>
      <c r="M1293" s="138"/>
      <c r="N1293" s="138"/>
      <c r="O1293" s="138"/>
      <c r="P1293" s="138"/>
      <c r="Q1293" s="256"/>
      <c r="R1293" s="128"/>
      <c r="S1293" s="128"/>
      <c r="T1293" s="140"/>
      <c r="U1293" s="141"/>
      <c r="V1293" s="141"/>
      <c r="W1293" s="142"/>
    </row>
    <row r="1294" spans="1:23" s="147" customFormat="1">
      <c r="A1294" s="176"/>
      <c r="B1294" s="138"/>
      <c r="C1294" s="138"/>
      <c r="D1294" s="138"/>
      <c r="E1294" s="138"/>
      <c r="F1294" s="138"/>
      <c r="G1294" s="138"/>
      <c r="H1294" s="138"/>
      <c r="I1294" s="138"/>
      <c r="J1294" s="138"/>
      <c r="K1294" s="138"/>
      <c r="L1294" s="138"/>
      <c r="M1294" s="138"/>
      <c r="N1294" s="138"/>
      <c r="O1294" s="138"/>
      <c r="P1294" s="138"/>
      <c r="Q1294" s="256"/>
      <c r="R1294" s="128"/>
      <c r="S1294" s="128"/>
      <c r="T1294" s="140"/>
      <c r="U1294" s="141"/>
      <c r="V1294" s="141"/>
      <c r="W1294" s="142"/>
    </row>
    <row r="1295" spans="1:23" s="147" customFormat="1">
      <c r="A1295" s="176"/>
      <c r="B1295" s="138"/>
      <c r="C1295" s="138"/>
      <c r="D1295" s="138"/>
      <c r="E1295" s="138"/>
      <c r="F1295" s="138"/>
      <c r="G1295" s="138"/>
      <c r="H1295" s="138"/>
      <c r="I1295" s="138"/>
      <c r="J1295" s="138"/>
      <c r="K1295" s="138"/>
      <c r="L1295" s="138"/>
      <c r="M1295" s="138"/>
      <c r="N1295" s="138"/>
      <c r="O1295" s="138"/>
      <c r="P1295" s="138"/>
      <c r="Q1295" s="256"/>
      <c r="R1295" s="128"/>
      <c r="S1295" s="128"/>
      <c r="T1295" s="140"/>
      <c r="U1295" s="141"/>
      <c r="V1295" s="141"/>
      <c r="W1295" s="142"/>
    </row>
    <row r="1296" spans="1:23" s="147" customFormat="1">
      <c r="A1296" s="176"/>
      <c r="B1296" s="138"/>
      <c r="C1296" s="138"/>
      <c r="D1296" s="138"/>
      <c r="E1296" s="138"/>
      <c r="F1296" s="138"/>
      <c r="G1296" s="138"/>
      <c r="H1296" s="138"/>
      <c r="I1296" s="138"/>
      <c r="J1296" s="138"/>
      <c r="K1296" s="138"/>
      <c r="L1296" s="138"/>
      <c r="M1296" s="138"/>
      <c r="N1296" s="138"/>
      <c r="O1296" s="138"/>
      <c r="P1296" s="138"/>
      <c r="Q1296" s="256"/>
      <c r="R1296" s="128"/>
      <c r="S1296" s="128"/>
      <c r="T1296" s="140"/>
      <c r="U1296" s="141"/>
      <c r="V1296" s="141"/>
      <c r="W1296" s="142"/>
    </row>
    <row r="1297" spans="1:23" s="147" customFormat="1">
      <c r="A1297" s="176"/>
      <c r="B1297" s="138"/>
      <c r="C1297" s="138"/>
      <c r="D1297" s="138"/>
      <c r="E1297" s="138"/>
      <c r="F1297" s="138"/>
      <c r="G1297" s="138"/>
      <c r="H1297" s="138"/>
      <c r="I1297" s="138"/>
      <c r="J1297" s="138"/>
      <c r="K1297" s="138"/>
      <c r="L1297" s="138"/>
      <c r="M1297" s="138"/>
      <c r="N1297" s="138"/>
      <c r="O1297" s="138"/>
      <c r="P1297" s="138"/>
      <c r="Q1297" s="256"/>
      <c r="R1297" s="128"/>
      <c r="S1297" s="128"/>
      <c r="T1297" s="140"/>
      <c r="U1297" s="141"/>
      <c r="V1297" s="141"/>
      <c r="W1297" s="142"/>
    </row>
    <row r="1298" spans="1:23" s="147" customFormat="1">
      <c r="A1298" s="176"/>
      <c r="B1298" s="138"/>
      <c r="C1298" s="138"/>
      <c r="D1298" s="138"/>
      <c r="E1298" s="138"/>
      <c r="F1298" s="138"/>
      <c r="G1298" s="138"/>
      <c r="H1298" s="138"/>
      <c r="I1298" s="138"/>
      <c r="J1298" s="138"/>
      <c r="K1298" s="138"/>
      <c r="L1298" s="138"/>
      <c r="M1298" s="138"/>
      <c r="N1298" s="138"/>
      <c r="O1298" s="138"/>
      <c r="P1298" s="138"/>
      <c r="Q1298" s="256"/>
      <c r="R1298" s="128"/>
      <c r="S1298" s="128"/>
      <c r="T1298" s="140"/>
      <c r="U1298" s="141"/>
      <c r="V1298" s="141"/>
      <c r="W1298" s="142"/>
    </row>
    <row r="1299" spans="1:23" s="147" customFormat="1">
      <c r="A1299" s="176"/>
      <c r="B1299" s="138"/>
      <c r="C1299" s="138"/>
      <c r="D1299" s="138"/>
      <c r="E1299" s="138"/>
      <c r="F1299" s="138"/>
      <c r="G1299" s="138"/>
      <c r="H1299" s="138"/>
      <c r="I1299" s="138"/>
      <c r="J1299" s="138"/>
      <c r="K1299" s="138"/>
      <c r="L1299" s="138"/>
      <c r="M1299" s="138"/>
      <c r="N1299" s="138"/>
      <c r="O1299" s="138"/>
      <c r="P1299" s="138"/>
      <c r="Q1299" s="256"/>
      <c r="R1299" s="128"/>
      <c r="S1299" s="128"/>
      <c r="T1299" s="140"/>
      <c r="U1299" s="141"/>
      <c r="V1299" s="141"/>
      <c r="W1299" s="142"/>
    </row>
    <row r="1300" spans="1:23" s="147" customFormat="1">
      <c r="A1300" s="176"/>
      <c r="B1300" s="138"/>
      <c r="C1300" s="138"/>
      <c r="D1300" s="138"/>
      <c r="E1300" s="138"/>
      <c r="F1300" s="138"/>
      <c r="G1300" s="138"/>
      <c r="H1300" s="138"/>
      <c r="I1300" s="138"/>
      <c r="J1300" s="138"/>
      <c r="K1300" s="138"/>
      <c r="L1300" s="138"/>
      <c r="M1300" s="138"/>
      <c r="N1300" s="138"/>
      <c r="O1300" s="138"/>
      <c r="P1300" s="138"/>
      <c r="Q1300" s="256"/>
      <c r="R1300" s="128"/>
      <c r="S1300" s="128"/>
      <c r="T1300" s="140"/>
      <c r="U1300" s="141"/>
      <c r="V1300" s="141"/>
      <c r="W1300" s="142"/>
    </row>
    <row r="1301" spans="1:23" s="147" customFormat="1">
      <c r="A1301" s="176"/>
      <c r="B1301" s="138"/>
      <c r="C1301" s="138"/>
      <c r="D1301" s="138"/>
      <c r="E1301" s="138"/>
      <c r="F1301" s="138"/>
      <c r="G1301" s="138"/>
      <c r="H1301" s="138"/>
      <c r="I1301" s="138"/>
      <c r="J1301" s="138"/>
      <c r="K1301" s="138"/>
      <c r="L1301" s="138"/>
      <c r="M1301" s="138"/>
      <c r="N1301" s="138"/>
      <c r="O1301" s="138"/>
      <c r="P1301" s="138"/>
      <c r="Q1301" s="256"/>
      <c r="R1301" s="128"/>
      <c r="S1301" s="128"/>
      <c r="T1301" s="140"/>
      <c r="U1301" s="141"/>
      <c r="V1301" s="141"/>
      <c r="W1301" s="142"/>
    </row>
    <row r="1302" spans="1:23" s="147" customFormat="1">
      <c r="A1302" s="176"/>
      <c r="B1302" s="138"/>
      <c r="C1302" s="138"/>
      <c r="D1302" s="138"/>
      <c r="E1302" s="138"/>
      <c r="F1302" s="138"/>
      <c r="G1302" s="138"/>
      <c r="H1302" s="138"/>
      <c r="I1302" s="138"/>
      <c r="J1302" s="138"/>
      <c r="K1302" s="138"/>
      <c r="L1302" s="138"/>
      <c r="M1302" s="138"/>
      <c r="N1302" s="138"/>
      <c r="O1302" s="138"/>
      <c r="P1302" s="138"/>
      <c r="Q1302" s="256"/>
      <c r="R1302" s="128"/>
      <c r="S1302" s="128"/>
      <c r="T1302" s="140"/>
      <c r="U1302" s="141"/>
      <c r="V1302" s="141"/>
      <c r="W1302" s="142"/>
    </row>
    <row r="1303" spans="1:23" s="147" customFormat="1">
      <c r="A1303" s="176"/>
      <c r="B1303" s="138"/>
      <c r="C1303" s="138"/>
      <c r="D1303" s="138"/>
      <c r="E1303" s="138"/>
      <c r="F1303" s="138"/>
      <c r="G1303" s="138"/>
      <c r="H1303" s="138"/>
      <c r="I1303" s="138"/>
      <c r="J1303" s="138"/>
      <c r="K1303" s="138"/>
      <c r="L1303" s="138"/>
      <c r="M1303" s="138"/>
      <c r="N1303" s="138"/>
      <c r="O1303" s="138"/>
      <c r="P1303" s="138"/>
      <c r="Q1303" s="256"/>
      <c r="R1303" s="128"/>
      <c r="S1303" s="128"/>
      <c r="T1303" s="140"/>
      <c r="U1303" s="141"/>
      <c r="V1303" s="141"/>
      <c r="W1303" s="142"/>
    </row>
    <row r="1304" spans="1:23" s="147" customFormat="1">
      <c r="A1304" s="176"/>
      <c r="B1304" s="138"/>
      <c r="C1304" s="138"/>
      <c r="D1304" s="138"/>
      <c r="E1304" s="138"/>
      <c r="F1304" s="138"/>
      <c r="G1304" s="138"/>
      <c r="H1304" s="138"/>
      <c r="I1304" s="138"/>
      <c r="J1304" s="138"/>
      <c r="K1304" s="138"/>
      <c r="L1304" s="138"/>
      <c r="M1304" s="138"/>
      <c r="N1304" s="138"/>
      <c r="O1304" s="138"/>
      <c r="P1304" s="138"/>
      <c r="Q1304" s="256"/>
      <c r="R1304" s="128"/>
      <c r="S1304" s="128"/>
      <c r="T1304" s="140"/>
      <c r="U1304" s="141"/>
      <c r="V1304" s="141"/>
      <c r="W1304" s="142"/>
    </row>
    <row r="1305" spans="1:23" s="147" customFormat="1">
      <c r="A1305" s="176"/>
      <c r="B1305" s="138"/>
      <c r="C1305" s="138"/>
      <c r="D1305" s="138"/>
      <c r="E1305" s="138"/>
      <c r="F1305" s="138"/>
      <c r="G1305" s="138"/>
      <c r="H1305" s="138"/>
      <c r="I1305" s="138"/>
      <c r="J1305" s="138"/>
      <c r="K1305" s="138"/>
      <c r="L1305" s="138"/>
      <c r="M1305" s="138"/>
      <c r="N1305" s="138"/>
      <c r="O1305" s="138"/>
      <c r="P1305" s="138"/>
      <c r="Q1305" s="256"/>
      <c r="R1305" s="128"/>
      <c r="S1305" s="128"/>
      <c r="T1305" s="140"/>
      <c r="U1305" s="141"/>
      <c r="V1305" s="141"/>
      <c r="W1305" s="142"/>
    </row>
    <row r="1306" spans="1:23" s="147" customFormat="1">
      <c r="A1306" s="176"/>
      <c r="B1306" s="138"/>
      <c r="C1306" s="138"/>
      <c r="D1306" s="138"/>
      <c r="E1306" s="138"/>
      <c r="F1306" s="138"/>
      <c r="G1306" s="138"/>
      <c r="H1306" s="138"/>
      <c r="I1306" s="138"/>
      <c r="J1306" s="138"/>
      <c r="K1306" s="138"/>
      <c r="L1306" s="138"/>
      <c r="M1306" s="138"/>
      <c r="N1306" s="138"/>
      <c r="O1306" s="138"/>
      <c r="P1306" s="138"/>
      <c r="Q1306" s="256"/>
      <c r="R1306" s="128"/>
      <c r="S1306" s="128"/>
      <c r="T1306" s="140"/>
      <c r="U1306" s="141"/>
      <c r="V1306" s="141"/>
      <c r="W1306" s="142"/>
    </row>
    <row r="1307" spans="1:23" s="147" customFormat="1">
      <c r="A1307" s="176"/>
      <c r="B1307" s="138"/>
      <c r="C1307" s="138"/>
      <c r="D1307" s="138"/>
      <c r="E1307" s="138"/>
      <c r="F1307" s="138"/>
      <c r="G1307" s="138"/>
      <c r="H1307" s="138"/>
      <c r="I1307" s="138"/>
      <c r="J1307" s="138"/>
      <c r="K1307" s="138"/>
      <c r="L1307" s="138"/>
      <c r="M1307" s="138"/>
      <c r="N1307" s="138"/>
      <c r="O1307" s="138"/>
      <c r="P1307" s="138"/>
      <c r="Q1307" s="256"/>
      <c r="R1307" s="128"/>
      <c r="S1307" s="128"/>
      <c r="T1307" s="140"/>
      <c r="U1307" s="141"/>
      <c r="V1307" s="141"/>
      <c r="W1307" s="142"/>
    </row>
    <row r="1308" spans="1:23" s="147" customFormat="1">
      <c r="A1308" s="176"/>
      <c r="B1308" s="138"/>
      <c r="C1308" s="138"/>
      <c r="D1308" s="138"/>
      <c r="E1308" s="138"/>
      <c r="F1308" s="138"/>
      <c r="G1308" s="138"/>
      <c r="H1308" s="138"/>
      <c r="I1308" s="138"/>
      <c r="J1308" s="138"/>
      <c r="K1308" s="138"/>
      <c r="L1308" s="138"/>
      <c r="M1308" s="138"/>
      <c r="N1308" s="138"/>
      <c r="O1308" s="138"/>
      <c r="P1308" s="138"/>
      <c r="Q1308" s="256"/>
      <c r="R1308" s="128"/>
      <c r="S1308" s="128"/>
      <c r="T1308" s="140"/>
      <c r="U1308" s="141"/>
      <c r="V1308" s="141"/>
      <c r="W1308" s="142"/>
    </row>
    <row r="1309" spans="1:23" s="147" customFormat="1">
      <c r="A1309" s="176"/>
      <c r="B1309" s="138"/>
      <c r="C1309" s="138"/>
      <c r="D1309" s="138"/>
      <c r="E1309" s="138"/>
      <c r="F1309" s="138"/>
      <c r="G1309" s="138"/>
      <c r="H1309" s="138"/>
      <c r="I1309" s="138"/>
      <c r="J1309" s="138"/>
      <c r="K1309" s="138"/>
      <c r="L1309" s="138"/>
      <c r="M1309" s="138"/>
      <c r="N1309" s="138"/>
      <c r="O1309" s="138"/>
      <c r="P1309" s="138"/>
      <c r="Q1309" s="256"/>
      <c r="R1309" s="128"/>
      <c r="S1309" s="128"/>
      <c r="T1309" s="140"/>
      <c r="U1309" s="141"/>
      <c r="V1309" s="141"/>
      <c r="W1309" s="142"/>
    </row>
    <row r="1310" spans="1:23" s="147" customFormat="1">
      <c r="A1310" s="176"/>
      <c r="B1310" s="138"/>
      <c r="C1310" s="138"/>
      <c r="D1310" s="138"/>
      <c r="E1310" s="138"/>
      <c r="F1310" s="138"/>
      <c r="G1310" s="138"/>
      <c r="H1310" s="138"/>
      <c r="I1310" s="138"/>
      <c r="J1310" s="138"/>
      <c r="K1310" s="138"/>
      <c r="L1310" s="138"/>
      <c r="M1310" s="138"/>
      <c r="N1310" s="138"/>
      <c r="O1310" s="138"/>
      <c r="P1310" s="138"/>
      <c r="Q1310" s="256"/>
      <c r="R1310" s="128"/>
      <c r="S1310" s="128"/>
      <c r="T1310" s="140"/>
      <c r="U1310" s="141"/>
      <c r="V1310" s="141"/>
      <c r="W1310" s="142"/>
    </row>
    <row r="1311" spans="1:23" s="147" customFormat="1">
      <c r="A1311" s="176"/>
      <c r="B1311" s="138"/>
      <c r="C1311" s="138"/>
      <c r="D1311" s="138"/>
      <c r="E1311" s="138"/>
      <c r="F1311" s="138"/>
      <c r="G1311" s="138"/>
      <c r="H1311" s="138"/>
      <c r="I1311" s="138"/>
      <c r="J1311" s="138"/>
      <c r="K1311" s="138"/>
      <c r="L1311" s="138"/>
      <c r="M1311" s="138"/>
      <c r="N1311" s="138"/>
      <c r="O1311" s="138"/>
      <c r="P1311" s="138"/>
      <c r="Q1311" s="256"/>
      <c r="R1311" s="128"/>
      <c r="S1311" s="128"/>
      <c r="T1311" s="140"/>
      <c r="U1311" s="141"/>
      <c r="V1311" s="141"/>
      <c r="W1311" s="142"/>
    </row>
    <row r="1312" spans="1:23" s="147" customFormat="1">
      <c r="A1312" s="176"/>
      <c r="B1312" s="138"/>
      <c r="C1312" s="138"/>
      <c r="D1312" s="138"/>
      <c r="E1312" s="138"/>
      <c r="F1312" s="138"/>
      <c r="G1312" s="138"/>
      <c r="H1312" s="138"/>
      <c r="I1312" s="138"/>
      <c r="J1312" s="138"/>
      <c r="K1312" s="138"/>
      <c r="L1312" s="138"/>
      <c r="M1312" s="138"/>
      <c r="N1312" s="138"/>
      <c r="O1312" s="138"/>
      <c r="P1312" s="138"/>
      <c r="Q1312" s="256"/>
      <c r="R1312" s="128"/>
      <c r="S1312" s="128"/>
      <c r="T1312" s="140"/>
      <c r="U1312" s="141"/>
      <c r="V1312" s="141"/>
      <c r="W1312" s="142"/>
    </row>
    <row r="1313" spans="1:23" s="147" customFormat="1">
      <c r="A1313" s="176"/>
      <c r="B1313" s="138"/>
      <c r="C1313" s="138"/>
      <c r="D1313" s="138"/>
      <c r="E1313" s="138"/>
      <c r="F1313" s="138"/>
      <c r="G1313" s="138"/>
      <c r="H1313" s="138"/>
      <c r="I1313" s="138"/>
      <c r="J1313" s="138"/>
      <c r="K1313" s="138"/>
      <c r="L1313" s="138"/>
      <c r="M1313" s="138"/>
      <c r="N1313" s="138"/>
      <c r="O1313" s="138"/>
      <c r="P1313" s="138"/>
      <c r="Q1313" s="256"/>
      <c r="R1313" s="128"/>
      <c r="S1313" s="128"/>
      <c r="T1313" s="140"/>
      <c r="U1313" s="141"/>
      <c r="V1313" s="141"/>
      <c r="W1313" s="142"/>
    </row>
    <row r="1314" spans="1:23" s="147" customFormat="1">
      <c r="A1314" s="176"/>
      <c r="B1314" s="138"/>
      <c r="C1314" s="138"/>
      <c r="D1314" s="138"/>
      <c r="E1314" s="138"/>
      <c r="F1314" s="138"/>
      <c r="G1314" s="138"/>
      <c r="H1314" s="138"/>
      <c r="I1314" s="138"/>
      <c r="J1314" s="138"/>
      <c r="K1314" s="138"/>
      <c r="L1314" s="138"/>
      <c r="M1314" s="138"/>
      <c r="N1314" s="138"/>
      <c r="O1314" s="138"/>
      <c r="P1314" s="138"/>
      <c r="Q1314" s="256"/>
      <c r="R1314" s="128"/>
      <c r="S1314" s="128"/>
      <c r="T1314" s="140"/>
      <c r="U1314" s="141"/>
      <c r="V1314" s="141"/>
      <c r="W1314" s="142"/>
    </row>
    <row r="1315" spans="1:23" s="147" customFormat="1">
      <c r="A1315" s="176"/>
      <c r="B1315" s="138"/>
      <c r="C1315" s="138"/>
      <c r="D1315" s="138"/>
      <c r="E1315" s="138"/>
      <c r="F1315" s="138"/>
      <c r="G1315" s="138"/>
      <c r="H1315" s="138"/>
      <c r="I1315" s="138"/>
      <c r="J1315" s="138"/>
      <c r="K1315" s="138"/>
      <c r="L1315" s="138"/>
      <c r="M1315" s="138"/>
      <c r="N1315" s="138"/>
      <c r="O1315" s="138"/>
      <c r="P1315" s="138"/>
      <c r="Q1315" s="256"/>
      <c r="R1315" s="128"/>
      <c r="S1315" s="128"/>
      <c r="T1315" s="140"/>
      <c r="U1315" s="141"/>
      <c r="V1315" s="141"/>
      <c r="W1315" s="142"/>
    </row>
    <row r="1316" spans="1:23" s="147" customFormat="1">
      <c r="A1316" s="176"/>
      <c r="B1316" s="138"/>
      <c r="C1316" s="138"/>
      <c r="D1316" s="138"/>
      <c r="E1316" s="138"/>
      <c r="F1316" s="138"/>
      <c r="G1316" s="138"/>
      <c r="H1316" s="138"/>
      <c r="I1316" s="138"/>
      <c r="J1316" s="138"/>
      <c r="K1316" s="138"/>
      <c r="L1316" s="138"/>
      <c r="M1316" s="138"/>
      <c r="N1316" s="138"/>
      <c r="O1316" s="138"/>
      <c r="P1316" s="138"/>
      <c r="Q1316" s="256"/>
      <c r="R1316" s="128"/>
      <c r="S1316" s="128"/>
      <c r="T1316" s="140"/>
      <c r="U1316" s="141"/>
      <c r="V1316" s="141"/>
      <c r="W1316" s="142"/>
    </row>
    <row r="1317" spans="1:23" s="147" customFormat="1">
      <c r="A1317" s="176"/>
      <c r="B1317" s="138"/>
      <c r="C1317" s="138"/>
      <c r="D1317" s="138"/>
      <c r="E1317" s="138"/>
      <c r="F1317" s="138"/>
      <c r="G1317" s="138"/>
      <c r="H1317" s="138"/>
      <c r="I1317" s="138"/>
      <c r="J1317" s="138"/>
      <c r="K1317" s="138"/>
      <c r="L1317" s="138"/>
      <c r="M1317" s="138"/>
      <c r="N1317" s="138"/>
      <c r="O1317" s="138"/>
      <c r="P1317" s="138"/>
      <c r="Q1317" s="256"/>
      <c r="R1317" s="128"/>
      <c r="S1317" s="128"/>
      <c r="T1317" s="140"/>
      <c r="U1317" s="141"/>
      <c r="V1317" s="141"/>
      <c r="W1317" s="142"/>
    </row>
    <row r="1318" spans="1:23" s="147" customFormat="1">
      <c r="A1318" s="176"/>
      <c r="B1318" s="138"/>
      <c r="C1318" s="138"/>
      <c r="D1318" s="138"/>
      <c r="E1318" s="138"/>
      <c r="F1318" s="138"/>
      <c r="G1318" s="138"/>
      <c r="H1318" s="138"/>
      <c r="I1318" s="138"/>
      <c r="J1318" s="138"/>
      <c r="K1318" s="138"/>
      <c r="L1318" s="138"/>
      <c r="M1318" s="138"/>
      <c r="N1318" s="138"/>
      <c r="O1318" s="138"/>
      <c r="P1318" s="138"/>
      <c r="Q1318" s="256"/>
      <c r="R1318" s="128"/>
      <c r="S1318" s="128"/>
      <c r="T1318" s="140"/>
      <c r="U1318" s="141"/>
      <c r="V1318" s="141"/>
      <c r="W1318" s="142"/>
    </row>
    <row r="1319" spans="1:23" s="147" customFormat="1">
      <c r="A1319" s="176"/>
      <c r="B1319" s="138"/>
      <c r="C1319" s="138"/>
      <c r="D1319" s="138"/>
      <c r="E1319" s="138"/>
      <c r="F1319" s="138"/>
      <c r="G1319" s="138"/>
      <c r="H1319" s="138"/>
      <c r="I1319" s="138"/>
      <c r="J1319" s="138"/>
      <c r="K1319" s="138"/>
      <c r="L1319" s="138"/>
      <c r="M1319" s="138"/>
      <c r="N1319" s="138"/>
      <c r="O1319" s="138"/>
      <c r="P1319" s="138"/>
      <c r="Q1319" s="256"/>
      <c r="R1319" s="128"/>
      <c r="S1319" s="128"/>
      <c r="T1319" s="140"/>
      <c r="U1319" s="141"/>
      <c r="V1319" s="141"/>
      <c r="W1319" s="142"/>
    </row>
    <row r="1320" spans="1:23" s="147" customFormat="1">
      <c r="A1320" s="176"/>
      <c r="B1320" s="138"/>
      <c r="C1320" s="138"/>
      <c r="D1320" s="138"/>
      <c r="E1320" s="138"/>
      <c r="F1320" s="138"/>
      <c r="G1320" s="138"/>
      <c r="H1320" s="138"/>
      <c r="I1320" s="138"/>
      <c r="J1320" s="138"/>
      <c r="K1320" s="138"/>
      <c r="L1320" s="138"/>
      <c r="M1320" s="138"/>
      <c r="N1320" s="138"/>
      <c r="O1320" s="138"/>
      <c r="P1320" s="138"/>
      <c r="Q1320" s="256"/>
      <c r="R1320" s="128"/>
      <c r="S1320" s="128"/>
      <c r="T1320" s="140"/>
      <c r="U1320" s="141"/>
      <c r="V1320" s="141"/>
      <c r="W1320" s="142"/>
    </row>
    <row r="1321" spans="1:23" s="147" customFormat="1">
      <c r="A1321" s="176"/>
      <c r="B1321" s="138"/>
      <c r="C1321" s="138"/>
      <c r="D1321" s="138"/>
      <c r="E1321" s="138"/>
      <c r="F1321" s="138"/>
      <c r="G1321" s="138"/>
      <c r="H1321" s="138"/>
      <c r="I1321" s="138"/>
      <c r="J1321" s="138"/>
      <c r="K1321" s="138"/>
      <c r="L1321" s="138"/>
      <c r="M1321" s="138"/>
      <c r="N1321" s="138"/>
      <c r="O1321" s="138"/>
      <c r="P1321" s="138"/>
      <c r="Q1321" s="256"/>
      <c r="R1321" s="128"/>
      <c r="S1321" s="128"/>
      <c r="T1321" s="140"/>
      <c r="U1321" s="141"/>
      <c r="V1321" s="141"/>
      <c r="W1321" s="142"/>
    </row>
    <row r="1322" spans="1:23" s="147" customFormat="1">
      <c r="A1322" s="176"/>
      <c r="B1322" s="138"/>
      <c r="C1322" s="138"/>
      <c r="D1322" s="138"/>
      <c r="E1322" s="138"/>
      <c r="F1322" s="138"/>
      <c r="G1322" s="138"/>
      <c r="H1322" s="138"/>
      <c r="I1322" s="138"/>
      <c r="J1322" s="138"/>
      <c r="K1322" s="138"/>
      <c r="L1322" s="138"/>
      <c r="M1322" s="138"/>
      <c r="N1322" s="138"/>
      <c r="O1322" s="138"/>
      <c r="P1322" s="138"/>
      <c r="Q1322" s="256"/>
      <c r="R1322" s="128"/>
      <c r="S1322" s="128"/>
      <c r="T1322" s="140"/>
      <c r="U1322" s="141"/>
      <c r="V1322" s="141"/>
      <c r="W1322" s="142"/>
    </row>
    <row r="1323" spans="1:23" s="147" customFormat="1">
      <c r="A1323" s="176"/>
      <c r="B1323" s="138"/>
      <c r="C1323" s="138"/>
      <c r="D1323" s="138"/>
      <c r="E1323" s="138"/>
      <c r="F1323" s="138"/>
      <c r="G1323" s="138"/>
      <c r="H1323" s="138"/>
      <c r="I1323" s="138"/>
      <c r="J1323" s="138"/>
      <c r="K1323" s="138"/>
      <c r="L1323" s="138"/>
      <c r="M1323" s="138"/>
      <c r="N1323" s="138"/>
      <c r="O1323" s="138"/>
      <c r="P1323" s="138"/>
      <c r="Q1323" s="256"/>
      <c r="R1323" s="128"/>
      <c r="S1323" s="128"/>
      <c r="T1323" s="140"/>
      <c r="U1323" s="141"/>
      <c r="V1323" s="141"/>
      <c r="W1323" s="142"/>
    </row>
    <row r="1324" spans="1:23" s="147" customFormat="1">
      <c r="A1324" s="176"/>
      <c r="B1324" s="138"/>
      <c r="C1324" s="138"/>
      <c r="D1324" s="138"/>
      <c r="E1324" s="138"/>
      <c r="F1324" s="138"/>
      <c r="G1324" s="138"/>
      <c r="H1324" s="138"/>
      <c r="I1324" s="138"/>
      <c r="J1324" s="138"/>
      <c r="K1324" s="138"/>
      <c r="L1324" s="138"/>
      <c r="M1324" s="138"/>
      <c r="N1324" s="138"/>
      <c r="O1324" s="138"/>
      <c r="P1324" s="138"/>
      <c r="Q1324" s="256"/>
      <c r="R1324" s="128"/>
      <c r="S1324" s="128"/>
      <c r="T1324" s="140"/>
      <c r="U1324" s="141"/>
      <c r="V1324" s="141"/>
      <c r="W1324" s="142"/>
    </row>
    <row r="1325" spans="1:23" s="147" customFormat="1">
      <c r="A1325" s="176"/>
      <c r="B1325" s="138"/>
      <c r="C1325" s="138"/>
      <c r="D1325" s="138"/>
      <c r="E1325" s="138"/>
      <c r="F1325" s="138"/>
      <c r="G1325" s="138"/>
      <c r="H1325" s="138"/>
      <c r="I1325" s="138"/>
      <c r="J1325" s="138"/>
      <c r="K1325" s="138"/>
      <c r="L1325" s="138"/>
      <c r="M1325" s="138"/>
      <c r="N1325" s="138"/>
      <c r="O1325" s="138"/>
      <c r="P1325" s="138"/>
      <c r="Q1325" s="256"/>
      <c r="R1325" s="128"/>
      <c r="S1325" s="128"/>
      <c r="T1325" s="140"/>
      <c r="U1325" s="141"/>
      <c r="V1325" s="141"/>
      <c r="W1325" s="142"/>
    </row>
    <row r="1326" spans="1:23" s="147" customFormat="1">
      <c r="A1326" s="176"/>
      <c r="B1326" s="138"/>
      <c r="C1326" s="138"/>
      <c r="D1326" s="138"/>
      <c r="E1326" s="138"/>
      <c r="F1326" s="138"/>
      <c r="G1326" s="138"/>
      <c r="H1326" s="138"/>
      <c r="I1326" s="138"/>
      <c r="J1326" s="138"/>
      <c r="K1326" s="138"/>
      <c r="L1326" s="138"/>
      <c r="M1326" s="138"/>
      <c r="N1326" s="138"/>
      <c r="O1326" s="138"/>
      <c r="P1326" s="138"/>
      <c r="Q1326" s="256"/>
      <c r="R1326" s="128"/>
      <c r="S1326" s="128"/>
      <c r="T1326" s="140"/>
      <c r="U1326" s="141"/>
      <c r="V1326" s="141"/>
      <c r="W1326" s="142"/>
    </row>
    <row r="1327" spans="1:23" s="147" customFormat="1">
      <c r="A1327" s="176"/>
      <c r="B1327" s="138"/>
      <c r="C1327" s="138"/>
      <c r="D1327" s="138"/>
      <c r="E1327" s="138"/>
      <c r="F1327" s="138"/>
      <c r="G1327" s="138"/>
      <c r="H1327" s="138"/>
      <c r="I1327" s="138"/>
      <c r="J1327" s="138"/>
      <c r="K1327" s="138"/>
      <c r="L1327" s="138"/>
      <c r="M1327" s="138"/>
      <c r="N1327" s="138"/>
      <c r="O1327" s="138"/>
      <c r="P1327" s="138"/>
      <c r="Q1327" s="256"/>
      <c r="R1327" s="128"/>
      <c r="S1327" s="128"/>
      <c r="T1327" s="140"/>
      <c r="U1327" s="141"/>
      <c r="V1327" s="141"/>
      <c r="W1327" s="142"/>
    </row>
    <row r="1328" spans="1:23" s="147" customFormat="1">
      <c r="A1328" s="176"/>
      <c r="B1328" s="138"/>
      <c r="C1328" s="138"/>
      <c r="D1328" s="138"/>
      <c r="E1328" s="138"/>
      <c r="F1328" s="138"/>
      <c r="G1328" s="138"/>
      <c r="H1328" s="138"/>
      <c r="I1328" s="138"/>
      <c r="J1328" s="138"/>
      <c r="K1328" s="138"/>
      <c r="L1328" s="138"/>
      <c r="M1328" s="138"/>
      <c r="N1328" s="138"/>
      <c r="O1328" s="138"/>
      <c r="P1328" s="138"/>
      <c r="Q1328" s="256"/>
      <c r="R1328" s="128"/>
      <c r="S1328" s="128"/>
      <c r="T1328" s="140"/>
      <c r="U1328" s="141"/>
      <c r="V1328" s="141"/>
      <c r="W1328" s="142"/>
    </row>
    <row r="1329" spans="1:23" s="147" customFormat="1">
      <c r="A1329" s="176"/>
      <c r="B1329" s="138"/>
      <c r="C1329" s="138"/>
      <c r="D1329" s="138"/>
      <c r="E1329" s="138"/>
      <c r="F1329" s="138"/>
      <c r="G1329" s="138"/>
      <c r="H1329" s="138"/>
      <c r="I1329" s="138"/>
      <c r="J1329" s="138"/>
      <c r="K1329" s="138"/>
      <c r="L1329" s="138"/>
      <c r="M1329" s="138"/>
      <c r="N1329" s="138"/>
      <c r="O1329" s="138"/>
      <c r="P1329" s="138"/>
      <c r="Q1329" s="256"/>
      <c r="R1329" s="128"/>
      <c r="S1329" s="128"/>
      <c r="T1329" s="140"/>
      <c r="U1329" s="141"/>
      <c r="V1329" s="141"/>
      <c r="W1329" s="142"/>
    </row>
    <row r="1330" spans="1:23" s="147" customFormat="1">
      <c r="A1330" s="176"/>
      <c r="B1330" s="138"/>
      <c r="C1330" s="138"/>
      <c r="D1330" s="138"/>
      <c r="E1330" s="138"/>
      <c r="F1330" s="138"/>
      <c r="G1330" s="138"/>
      <c r="H1330" s="138"/>
      <c r="I1330" s="138"/>
      <c r="J1330" s="138"/>
      <c r="K1330" s="138"/>
      <c r="L1330" s="138"/>
      <c r="M1330" s="138"/>
      <c r="N1330" s="138"/>
      <c r="O1330" s="138"/>
      <c r="P1330" s="138"/>
      <c r="Q1330" s="256"/>
      <c r="R1330" s="128"/>
      <c r="S1330" s="128"/>
      <c r="T1330" s="140"/>
      <c r="U1330" s="141"/>
      <c r="V1330" s="141"/>
      <c r="W1330" s="142"/>
    </row>
    <row r="1331" spans="1:23" s="147" customFormat="1">
      <c r="A1331" s="176"/>
      <c r="B1331" s="138"/>
      <c r="C1331" s="138"/>
      <c r="D1331" s="138"/>
      <c r="E1331" s="138"/>
      <c r="F1331" s="138"/>
      <c r="G1331" s="138"/>
      <c r="H1331" s="138"/>
      <c r="I1331" s="138"/>
      <c r="J1331" s="138"/>
      <c r="K1331" s="138"/>
      <c r="L1331" s="138"/>
      <c r="M1331" s="138"/>
      <c r="N1331" s="138"/>
      <c r="O1331" s="138"/>
      <c r="P1331" s="138"/>
      <c r="Q1331" s="256"/>
      <c r="R1331" s="128"/>
      <c r="S1331" s="128"/>
      <c r="T1331" s="140"/>
      <c r="U1331" s="141"/>
      <c r="V1331" s="141"/>
      <c r="W1331" s="142"/>
    </row>
    <row r="1332" spans="1:23" s="147" customFormat="1">
      <c r="A1332" s="176"/>
      <c r="B1332" s="138"/>
      <c r="C1332" s="138"/>
      <c r="D1332" s="138"/>
      <c r="E1332" s="138"/>
      <c r="F1332" s="138"/>
      <c r="G1332" s="138"/>
      <c r="H1332" s="138"/>
      <c r="I1332" s="138"/>
      <c r="J1332" s="138"/>
      <c r="K1332" s="138"/>
      <c r="L1332" s="138"/>
      <c r="M1332" s="138"/>
      <c r="N1332" s="138"/>
      <c r="O1332" s="138"/>
      <c r="P1332" s="138"/>
      <c r="Q1332" s="256"/>
      <c r="R1332" s="128"/>
      <c r="S1332" s="128"/>
      <c r="T1332" s="140"/>
      <c r="U1332" s="141"/>
      <c r="V1332" s="141"/>
      <c r="W1332" s="142"/>
    </row>
    <row r="1333" spans="1:23" s="147" customFormat="1">
      <c r="A1333" s="176"/>
      <c r="B1333" s="138"/>
      <c r="C1333" s="138"/>
      <c r="D1333" s="138"/>
      <c r="E1333" s="138"/>
      <c r="F1333" s="138"/>
      <c r="G1333" s="138"/>
      <c r="H1333" s="138"/>
      <c r="I1333" s="138"/>
      <c r="J1333" s="138"/>
      <c r="K1333" s="138"/>
      <c r="L1333" s="138"/>
      <c r="M1333" s="138"/>
      <c r="N1333" s="138"/>
      <c r="O1333" s="138"/>
      <c r="P1333" s="138"/>
      <c r="Q1333" s="256"/>
      <c r="R1333" s="128"/>
      <c r="S1333" s="128"/>
      <c r="T1333" s="140"/>
      <c r="U1333" s="141"/>
      <c r="V1333" s="141"/>
      <c r="W1333" s="142"/>
    </row>
    <row r="1334" spans="1:23" s="147" customFormat="1">
      <c r="A1334" s="176"/>
      <c r="B1334" s="138"/>
      <c r="C1334" s="138"/>
      <c r="D1334" s="138"/>
      <c r="E1334" s="138"/>
      <c r="F1334" s="138"/>
      <c r="G1334" s="138"/>
      <c r="H1334" s="138"/>
      <c r="I1334" s="138"/>
      <c r="J1334" s="138"/>
      <c r="K1334" s="138"/>
      <c r="L1334" s="138"/>
      <c r="M1334" s="138"/>
      <c r="N1334" s="138"/>
      <c r="O1334" s="138"/>
      <c r="P1334" s="138"/>
      <c r="Q1334" s="256"/>
      <c r="R1334" s="128"/>
      <c r="S1334" s="128"/>
      <c r="T1334" s="140"/>
      <c r="U1334" s="141"/>
      <c r="V1334" s="141"/>
      <c r="W1334" s="142"/>
    </row>
    <row r="1335" spans="1:23" s="147" customFormat="1">
      <c r="A1335" s="176"/>
      <c r="B1335" s="138"/>
      <c r="C1335" s="138"/>
      <c r="D1335" s="138"/>
      <c r="E1335" s="138"/>
      <c r="F1335" s="138"/>
      <c r="G1335" s="138"/>
      <c r="H1335" s="138"/>
      <c r="I1335" s="138"/>
      <c r="J1335" s="138"/>
      <c r="K1335" s="138"/>
      <c r="L1335" s="138"/>
      <c r="M1335" s="138"/>
      <c r="N1335" s="138"/>
      <c r="O1335" s="138"/>
      <c r="P1335" s="138"/>
      <c r="Q1335" s="256"/>
      <c r="R1335" s="128"/>
      <c r="S1335" s="128"/>
      <c r="T1335" s="140"/>
      <c r="U1335" s="141"/>
      <c r="V1335" s="141"/>
      <c r="W1335" s="142"/>
    </row>
    <row r="1336" spans="1:23" s="147" customFormat="1">
      <c r="A1336" s="176"/>
      <c r="B1336" s="138"/>
      <c r="C1336" s="138"/>
      <c r="D1336" s="138"/>
      <c r="E1336" s="138"/>
      <c r="F1336" s="138"/>
      <c r="G1336" s="138"/>
      <c r="H1336" s="138"/>
      <c r="I1336" s="138"/>
      <c r="J1336" s="138"/>
      <c r="K1336" s="138"/>
      <c r="L1336" s="138"/>
      <c r="M1336" s="138"/>
      <c r="N1336" s="138"/>
      <c r="O1336" s="138"/>
      <c r="P1336" s="138"/>
      <c r="Q1336" s="256"/>
      <c r="R1336" s="128"/>
      <c r="S1336" s="128"/>
      <c r="T1336" s="140"/>
      <c r="U1336" s="141"/>
      <c r="V1336" s="141"/>
      <c r="W1336" s="142"/>
    </row>
    <row r="1337" spans="1:23" s="147" customFormat="1">
      <c r="A1337" s="176"/>
      <c r="B1337" s="138"/>
      <c r="C1337" s="138"/>
      <c r="D1337" s="138"/>
      <c r="E1337" s="138"/>
      <c r="F1337" s="138"/>
      <c r="G1337" s="138"/>
      <c r="H1337" s="138"/>
      <c r="I1337" s="138"/>
      <c r="J1337" s="138"/>
      <c r="K1337" s="138"/>
      <c r="L1337" s="138"/>
      <c r="M1337" s="138"/>
      <c r="N1337" s="138"/>
      <c r="O1337" s="138"/>
      <c r="P1337" s="138"/>
      <c r="Q1337" s="256"/>
      <c r="R1337" s="128"/>
      <c r="S1337" s="128"/>
      <c r="T1337" s="140"/>
      <c r="U1337" s="141"/>
      <c r="V1337" s="141"/>
      <c r="W1337" s="142"/>
    </row>
    <row r="1338" spans="1:23" s="147" customFormat="1">
      <c r="A1338" s="176"/>
      <c r="B1338" s="138"/>
      <c r="C1338" s="138"/>
      <c r="D1338" s="138"/>
      <c r="E1338" s="138"/>
      <c r="F1338" s="138"/>
      <c r="G1338" s="138"/>
      <c r="H1338" s="138"/>
      <c r="I1338" s="138"/>
      <c r="J1338" s="138"/>
      <c r="K1338" s="138"/>
      <c r="L1338" s="138"/>
      <c r="M1338" s="138"/>
      <c r="N1338" s="138"/>
      <c r="O1338" s="138"/>
      <c r="P1338" s="138"/>
      <c r="Q1338" s="256"/>
      <c r="R1338" s="128"/>
      <c r="S1338" s="128"/>
      <c r="T1338" s="140"/>
      <c r="U1338" s="141"/>
      <c r="V1338" s="141"/>
      <c r="W1338" s="142"/>
    </row>
    <row r="1339" spans="1:23" s="147" customFormat="1">
      <c r="A1339" s="176"/>
      <c r="B1339" s="138"/>
      <c r="C1339" s="138"/>
      <c r="D1339" s="138"/>
      <c r="E1339" s="138"/>
      <c r="F1339" s="138"/>
      <c r="G1339" s="138"/>
      <c r="H1339" s="138"/>
      <c r="I1339" s="138"/>
      <c r="J1339" s="138"/>
      <c r="K1339" s="138"/>
      <c r="L1339" s="138"/>
      <c r="M1339" s="138"/>
      <c r="N1339" s="138"/>
      <c r="O1339" s="138"/>
      <c r="P1339" s="138"/>
      <c r="Q1339" s="256"/>
      <c r="R1339" s="128"/>
      <c r="S1339" s="128"/>
      <c r="T1339" s="140"/>
      <c r="U1339" s="141"/>
      <c r="V1339" s="141"/>
      <c r="W1339" s="142"/>
    </row>
    <row r="1340" spans="1:23" s="147" customFormat="1">
      <c r="A1340" s="176"/>
      <c r="B1340" s="138"/>
      <c r="C1340" s="138"/>
      <c r="D1340" s="138"/>
      <c r="E1340" s="138"/>
      <c r="F1340" s="138"/>
      <c r="G1340" s="138"/>
      <c r="H1340" s="138"/>
      <c r="I1340" s="138"/>
      <c r="J1340" s="138"/>
      <c r="K1340" s="138"/>
      <c r="L1340" s="138"/>
      <c r="M1340" s="138"/>
      <c r="N1340" s="138"/>
      <c r="O1340" s="138"/>
      <c r="P1340" s="138"/>
      <c r="Q1340" s="256"/>
      <c r="R1340" s="128"/>
      <c r="S1340" s="128"/>
      <c r="T1340" s="140"/>
      <c r="U1340" s="141"/>
      <c r="V1340" s="141"/>
      <c r="W1340" s="142"/>
    </row>
    <row r="1341" spans="1:23" s="147" customFormat="1">
      <c r="A1341" s="176"/>
      <c r="B1341" s="138"/>
      <c r="C1341" s="138"/>
      <c r="D1341" s="138"/>
      <c r="E1341" s="138"/>
      <c r="F1341" s="138"/>
      <c r="G1341" s="138"/>
      <c r="H1341" s="138"/>
      <c r="I1341" s="138"/>
      <c r="J1341" s="138"/>
      <c r="K1341" s="138"/>
      <c r="L1341" s="138"/>
      <c r="M1341" s="138"/>
      <c r="N1341" s="138"/>
      <c r="O1341" s="138"/>
      <c r="P1341" s="138"/>
      <c r="Q1341" s="256"/>
      <c r="R1341" s="128"/>
      <c r="S1341" s="128"/>
      <c r="T1341" s="140"/>
      <c r="U1341" s="141"/>
      <c r="V1341" s="141"/>
      <c r="W1341" s="142"/>
    </row>
    <row r="1342" spans="1:23" s="147" customFormat="1">
      <c r="A1342" s="176"/>
      <c r="B1342" s="138"/>
      <c r="C1342" s="138"/>
      <c r="D1342" s="138"/>
      <c r="E1342" s="138"/>
      <c r="F1342" s="138"/>
      <c r="G1342" s="138"/>
      <c r="H1342" s="138"/>
      <c r="I1342" s="138"/>
      <c r="J1342" s="138"/>
      <c r="K1342" s="138"/>
      <c r="L1342" s="138"/>
      <c r="M1342" s="138"/>
      <c r="N1342" s="138"/>
      <c r="O1342" s="138"/>
      <c r="P1342" s="138"/>
      <c r="Q1342" s="256"/>
      <c r="R1342" s="128"/>
      <c r="S1342" s="128"/>
      <c r="T1342" s="140"/>
      <c r="U1342" s="141"/>
      <c r="V1342" s="141"/>
      <c r="W1342" s="142"/>
    </row>
    <row r="1343" spans="1:23" s="147" customFormat="1">
      <c r="A1343" s="176"/>
      <c r="B1343" s="138"/>
      <c r="C1343" s="138"/>
      <c r="D1343" s="138"/>
      <c r="E1343" s="138"/>
      <c r="F1343" s="138"/>
      <c r="G1343" s="138"/>
      <c r="H1343" s="138"/>
      <c r="I1343" s="138"/>
      <c r="J1343" s="138"/>
      <c r="K1343" s="138"/>
      <c r="L1343" s="138"/>
      <c r="M1343" s="138"/>
      <c r="N1343" s="138"/>
      <c r="O1343" s="138"/>
      <c r="P1343" s="138"/>
      <c r="Q1343" s="256"/>
      <c r="R1343" s="128"/>
      <c r="S1343" s="128"/>
      <c r="T1343" s="140"/>
      <c r="U1343" s="141"/>
      <c r="V1343" s="141"/>
      <c r="W1343" s="142"/>
    </row>
    <row r="1344" spans="1:23" s="147" customFormat="1">
      <c r="A1344" s="176"/>
      <c r="B1344" s="138"/>
      <c r="C1344" s="138"/>
      <c r="D1344" s="138"/>
      <c r="E1344" s="138"/>
      <c r="F1344" s="138"/>
      <c r="G1344" s="138"/>
      <c r="H1344" s="138"/>
      <c r="I1344" s="138"/>
      <c r="J1344" s="138"/>
      <c r="K1344" s="138"/>
      <c r="L1344" s="138"/>
      <c r="M1344" s="138"/>
      <c r="N1344" s="138"/>
      <c r="O1344" s="138"/>
      <c r="P1344" s="138"/>
      <c r="Q1344" s="256"/>
      <c r="R1344" s="128"/>
      <c r="S1344" s="128"/>
      <c r="T1344" s="140"/>
      <c r="U1344" s="141"/>
      <c r="V1344" s="141"/>
      <c r="W1344" s="142"/>
    </row>
    <row r="1345" spans="1:23" s="147" customFormat="1">
      <c r="A1345" s="176"/>
      <c r="B1345" s="138"/>
      <c r="C1345" s="138"/>
      <c r="D1345" s="138"/>
      <c r="E1345" s="138"/>
      <c r="F1345" s="138"/>
      <c r="G1345" s="138"/>
      <c r="H1345" s="138"/>
      <c r="I1345" s="138"/>
      <c r="J1345" s="138"/>
      <c r="K1345" s="138"/>
      <c r="L1345" s="138"/>
      <c r="M1345" s="138"/>
      <c r="N1345" s="138"/>
      <c r="O1345" s="138"/>
      <c r="P1345" s="138"/>
      <c r="Q1345" s="256"/>
      <c r="R1345" s="128"/>
      <c r="S1345" s="128"/>
      <c r="T1345" s="140"/>
      <c r="U1345" s="141"/>
      <c r="V1345" s="141"/>
      <c r="W1345" s="142"/>
    </row>
    <row r="1346" spans="1:23" s="147" customFormat="1">
      <c r="A1346" s="176"/>
      <c r="B1346" s="138"/>
      <c r="C1346" s="138"/>
      <c r="D1346" s="138"/>
      <c r="E1346" s="138"/>
      <c r="F1346" s="138"/>
      <c r="G1346" s="138"/>
      <c r="H1346" s="138"/>
      <c r="I1346" s="138"/>
      <c r="J1346" s="138"/>
      <c r="K1346" s="138"/>
      <c r="L1346" s="138"/>
      <c r="M1346" s="138"/>
      <c r="N1346" s="138"/>
      <c r="O1346" s="138"/>
      <c r="P1346" s="138"/>
      <c r="Q1346" s="256"/>
      <c r="R1346" s="128"/>
      <c r="S1346" s="128"/>
      <c r="T1346" s="140"/>
      <c r="U1346" s="141"/>
      <c r="V1346" s="141"/>
      <c r="W1346" s="142"/>
    </row>
    <row r="1347" spans="1:23" s="147" customFormat="1">
      <c r="A1347" s="176"/>
      <c r="B1347" s="138"/>
      <c r="C1347" s="138"/>
      <c r="D1347" s="138"/>
      <c r="E1347" s="138"/>
      <c r="F1347" s="138"/>
      <c r="G1347" s="138"/>
      <c r="H1347" s="138"/>
      <c r="I1347" s="138"/>
      <c r="J1347" s="138"/>
      <c r="K1347" s="138"/>
      <c r="L1347" s="138"/>
      <c r="M1347" s="138"/>
      <c r="N1347" s="138"/>
      <c r="O1347" s="138"/>
      <c r="P1347" s="138"/>
      <c r="Q1347" s="256"/>
      <c r="R1347" s="128"/>
      <c r="S1347" s="128"/>
      <c r="T1347" s="140"/>
      <c r="U1347" s="141"/>
      <c r="V1347" s="141"/>
      <c r="W1347" s="142"/>
    </row>
    <row r="1348" spans="1:23" s="147" customFormat="1">
      <c r="A1348" s="176"/>
      <c r="B1348" s="138"/>
      <c r="C1348" s="138"/>
      <c r="D1348" s="138"/>
      <c r="E1348" s="138"/>
      <c r="F1348" s="138"/>
      <c r="G1348" s="138"/>
      <c r="H1348" s="138"/>
      <c r="I1348" s="138"/>
      <c r="J1348" s="138"/>
      <c r="K1348" s="138"/>
      <c r="L1348" s="138"/>
      <c r="M1348" s="138"/>
      <c r="N1348" s="138"/>
      <c r="O1348" s="138"/>
      <c r="P1348" s="138"/>
      <c r="Q1348" s="256"/>
      <c r="R1348" s="128"/>
      <c r="S1348" s="128"/>
      <c r="T1348" s="140"/>
      <c r="U1348" s="141"/>
      <c r="V1348" s="141"/>
      <c r="W1348" s="142"/>
    </row>
    <row r="1349" spans="1:23" s="147" customFormat="1">
      <c r="A1349" s="176"/>
      <c r="B1349" s="138"/>
      <c r="C1349" s="138"/>
      <c r="D1349" s="138"/>
      <c r="E1349" s="138"/>
      <c r="F1349" s="138"/>
      <c r="G1349" s="138"/>
      <c r="H1349" s="138"/>
      <c r="I1349" s="138"/>
      <c r="J1349" s="138"/>
      <c r="K1349" s="138"/>
      <c r="L1349" s="138"/>
      <c r="M1349" s="138"/>
      <c r="N1349" s="138"/>
      <c r="O1349" s="138"/>
      <c r="P1349" s="138"/>
      <c r="Q1349" s="256"/>
      <c r="R1349" s="128"/>
      <c r="S1349" s="128"/>
      <c r="T1349" s="140"/>
      <c r="U1349" s="141"/>
      <c r="V1349" s="141"/>
      <c r="W1349" s="142"/>
    </row>
    <row r="1350" spans="1:23" s="147" customFormat="1">
      <c r="A1350" s="176"/>
      <c r="B1350" s="138"/>
      <c r="C1350" s="138"/>
      <c r="D1350" s="138"/>
      <c r="E1350" s="138"/>
      <c r="F1350" s="138"/>
      <c r="G1350" s="138"/>
      <c r="H1350" s="138"/>
      <c r="I1350" s="138"/>
      <c r="J1350" s="138"/>
      <c r="K1350" s="138"/>
      <c r="L1350" s="138"/>
      <c r="M1350" s="138"/>
      <c r="N1350" s="138"/>
      <c r="O1350" s="138"/>
      <c r="P1350" s="138"/>
      <c r="Q1350" s="256"/>
      <c r="R1350" s="128"/>
      <c r="S1350" s="128"/>
      <c r="T1350" s="140"/>
      <c r="U1350" s="141"/>
      <c r="V1350" s="141"/>
      <c r="W1350" s="142"/>
    </row>
    <row r="1351" spans="1:23" s="147" customFormat="1">
      <c r="A1351" s="176"/>
      <c r="B1351" s="138"/>
      <c r="C1351" s="138"/>
      <c r="D1351" s="138"/>
      <c r="E1351" s="138"/>
      <c r="F1351" s="138"/>
      <c r="G1351" s="138"/>
      <c r="H1351" s="138"/>
      <c r="I1351" s="138"/>
      <c r="J1351" s="138"/>
      <c r="K1351" s="138"/>
      <c r="L1351" s="138"/>
      <c r="M1351" s="138"/>
      <c r="N1351" s="138"/>
      <c r="O1351" s="138"/>
      <c r="P1351" s="138"/>
      <c r="Q1351" s="256"/>
      <c r="R1351" s="128"/>
      <c r="S1351" s="128"/>
      <c r="T1351" s="140"/>
      <c r="U1351" s="141"/>
      <c r="V1351" s="141"/>
      <c r="W1351" s="142"/>
    </row>
    <row r="1352" spans="1:23" s="147" customFormat="1">
      <c r="A1352" s="176"/>
      <c r="B1352" s="138"/>
      <c r="C1352" s="138"/>
      <c r="D1352" s="138"/>
      <c r="E1352" s="138"/>
      <c r="F1352" s="138"/>
      <c r="G1352" s="138"/>
      <c r="H1352" s="138"/>
      <c r="I1352" s="138"/>
      <c r="J1352" s="138"/>
      <c r="K1352" s="138"/>
      <c r="L1352" s="138"/>
      <c r="M1352" s="138"/>
      <c r="N1352" s="138"/>
      <c r="O1352" s="138"/>
      <c r="P1352" s="138"/>
      <c r="Q1352" s="256"/>
      <c r="R1352" s="128"/>
      <c r="S1352" s="128"/>
      <c r="T1352" s="140"/>
      <c r="U1352" s="141"/>
      <c r="V1352" s="141"/>
      <c r="W1352" s="142"/>
    </row>
    <row r="1353" spans="1:23" s="147" customFormat="1">
      <c r="A1353" s="176"/>
      <c r="B1353" s="138"/>
      <c r="C1353" s="138"/>
      <c r="D1353" s="138"/>
      <c r="E1353" s="138"/>
      <c r="F1353" s="138"/>
      <c r="G1353" s="138"/>
      <c r="H1353" s="138"/>
      <c r="I1353" s="138"/>
      <c r="J1353" s="138"/>
      <c r="K1353" s="138"/>
      <c r="L1353" s="138"/>
      <c r="M1353" s="138"/>
      <c r="N1353" s="138"/>
      <c r="O1353" s="138"/>
      <c r="P1353" s="138"/>
      <c r="Q1353" s="256"/>
      <c r="R1353" s="128"/>
      <c r="S1353" s="128"/>
      <c r="T1353" s="140"/>
      <c r="U1353" s="141"/>
      <c r="V1353" s="141"/>
      <c r="W1353" s="142"/>
    </row>
    <row r="1354" spans="1:23" s="147" customFormat="1">
      <c r="A1354" s="176"/>
      <c r="B1354" s="138"/>
      <c r="C1354" s="138"/>
      <c r="D1354" s="138"/>
      <c r="E1354" s="138"/>
      <c r="F1354" s="138"/>
      <c r="G1354" s="138"/>
      <c r="H1354" s="138"/>
      <c r="I1354" s="138"/>
      <c r="J1354" s="138"/>
      <c r="K1354" s="138"/>
      <c r="L1354" s="138"/>
      <c r="M1354" s="138"/>
      <c r="N1354" s="138"/>
      <c r="O1354" s="138"/>
      <c r="P1354" s="138"/>
      <c r="Q1354" s="256"/>
      <c r="R1354" s="128"/>
      <c r="S1354" s="128"/>
      <c r="T1354" s="140"/>
      <c r="U1354" s="141"/>
      <c r="V1354" s="141"/>
      <c r="W1354" s="142"/>
    </row>
    <row r="1355" spans="1:23" s="147" customFormat="1">
      <c r="A1355" s="176"/>
      <c r="B1355" s="138"/>
      <c r="C1355" s="138"/>
      <c r="D1355" s="138"/>
      <c r="E1355" s="138"/>
      <c r="F1355" s="138"/>
      <c r="G1355" s="138"/>
      <c r="H1355" s="138"/>
      <c r="I1355" s="138"/>
      <c r="J1355" s="138"/>
      <c r="K1355" s="138"/>
      <c r="L1355" s="138"/>
      <c r="M1355" s="138"/>
      <c r="N1355" s="138"/>
      <c r="O1355" s="138"/>
      <c r="P1355" s="138"/>
      <c r="Q1355" s="256"/>
      <c r="R1355" s="128"/>
      <c r="S1355" s="128"/>
      <c r="T1355" s="140"/>
      <c r="U1355" s="141"/>
      <c r="V1355" s="141"/>
      <c r="W1355" s="142"/>
    </row>
    <row r="1356" spans="1:23" s="147" customFormat="1">
      <c r="A1356" s="176"/>
      <c r="B1356" s="138"/>
      <c r="C1356" s="138"/>
      <c r="D1356" s="138"/>
      <c r="E1356" s="138"/>
      <c r="F1356" s="138"/>
      <c r="G1356" s="138"/>
      <c r="H1356" s="138"/>
      <c r="I1356" s="138"/>
      <c r="J1356" s="138"/>
      <c r="K1356" s="138"/>
      <c r="L1356" s="138"/>
      <c r="M1356" s="138"/>
      <c r="N1356" s="138"/>
      <c r="O1356" s="138"/>
      <c r="P1356" s="138"/>
      <c r="Q1356" s="256"/>
      <c r="R1356" s="128"/>
      <c r="S1356" s="128"/>
      <c r="T1356" s="140"/>
      <c r="U1356" s="141"/>
      <c r="V1356" s="141"/>
      <c r="W1356" s="142"/>
    </row>
    <row r="1357" spans="1:23" s="147" customFormat="1">
      <c r="A1357" s="176"/>
      <c r="B1357" s="138"/>
      <c r="C1357" s="138"/>
      <c r="D1357" s="138"/>
      <c r="E1357" s="138"/>
      <c r="F1357" s="138"/>
      <c r="G1357" s="138"/>
      <c r="H1357" s="138"/>
      <c r="I1357" s="138"/>
      <c r="J1357" s="138"/>
      <c r="K1357" s="138"/>
      <c r="L1357" s="138"/>
      <c r="M1357" s="138"/>
      <c r="N1357" s="138"/>
      <c r="O1357" s="138"/>
      <c r="P1357" s="138"/>
      <c r="Q1357" s="256"/>
      <c r="R1357" s="128"/>
      <c r="S1357" s="128"/>
      <c r="T1357" s="140"/>
      <c r="U1357" s="141"/>
      <c r="V1357" s="141"/>
      <c r="W1357" s="142"/>
    </row>
    <row r="1358" spans="1:23" s="147" customFormat="1">
      <c r="A1358" s="176"/>
      <c r="B1358" s="138"/>
      <c r="C1358" s="138"/>
      <c r="D1358" s="138"/>
      <c r="E1358" s="138"/>
      <c r="F1358" s="138"/>
      <c r="G1358" s="138"/>
      <c r="H1358" s="138"/>
      <c r="I1358" s="138"/>
      <c r="J1358" s="138"/>
      <c r="K1358" s="138"/>
      <c r="L1358" s="138"/>
      <c r="M1358" s="138"/>
      <c r="N1358" s="138"/>
      <c r="O1358" s="138"/>
      <c r="P1358" s="138"/>
      <c r="Q1358" s="256"/>
      <c r="R1358" s="128"/>
      <c r="S1358" s="128"/>
      <c r="T1358" s="140"/>
      <c r="U1358" s="141"/>
      <c r="V1358" s="141"/>
      <c r="W1358" s="142"/>
    </row>
    <row r="1359" spans="1:23" s="147" customFormat="1">
      <c r="A1359" s="176"/>
      <c r="B1359" s="138"/>
      <c r="C1359" s="138"/>
      <c r="D1359" s="138"/>
      <c r="E1359" s="138"/>
      <c r="F1359" s="138"/>
      <c r="G1359" s="138"/>
      <c r="H1359" s="138"/>
      <c r="I1359" s="138"/>
      <c r="J1359" s="138"/>
      <c r="K1359" s="138"/>
      <c r="L1359" s="138"/>
      <c r="M1359" s="138"/>
      <c r="N1359" s="138"/>
      <c r="O1359" s="138"/>
      <c r="P1359" s="138"/>
      <c r="Q1359" s="256"/>
      <c r="R1359" s="128"/>
      <c r="S1359" s="128"/>
      <c r="T1359" s="140"/>
      <c r="U1359" s="141"/>
      <c r="V1359" s="141"/>
      <c r="W1359" s="142"/>
    </row>
    <row r="1360" spans="1:23" s="147" customFormat="1">
      <c r="A1360" s="176"/>
      <c r="B1360" s="138"/>
      <c r="C1360" s="138"/>
      <c r="D1360" s="138"/>
      <c r="E1360" s="138"/>
      <c r="F1360" s="138"/>
      <c r="G1360" s="138"/>
      <c r="H1360" s="138"/>
      <c r="I1360" s="138"/>
      <c r="J1360" s="138"/>
      <c r="K1360" s="138"/>
      <c r="L1360" s="138"/>
      <c r="M1360" s="138"/>
      <c r="N1360" s="138"/>
      <c r="O1360" s="138"/>
      <c r="P1360" s="138"/>
      <c r="Q1360" s="256"/>
      <c r="R1360" s="128"/>
      <c r="S1360" s="128"/>
      <c r="T1360" s="140"/>
      <c r="U1360" s="141"/>
      <c r="V1360" s="141"/>
      <c r="W1360" s="142"/>
    </row>
  </sheetData>
  <autoFilter ref="A6:X1162" xr:uid="{00000000-0001-0000-0000-000000000000}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79998168889431442"/>
  </sheetPr>
  <dimension ref="A1:L1070"/>
  <sheetViews>
    <sheetView zoomScale="115" zoomScaleNormal="115" workbookViewId="0">
      <pane ySplit="1" topLeftCell="A747" activePane="bottomLeft" state="frozen"/>
      <selection pane="bottomLeft" activeCell="B773" sqref="B773"/>
    </sheetView>
  </sheetViews>
  <sheetFormatPr defaultColWidth="8.75" defaultRowHeight="16.5"/>
  <cols>
    <col min="1" max="1" width="3.5" style="331" customWidth="1"/>
    <col min="2" max="2" width="12.625" style="300" customWidth="1"/>
    <col min="3" max="3" width="10.5" style="286" bestFit="1" customWidth="1"/>
    <col min="4" max="4" width="16.375" style="287" bestFit="1" customWidth="1"/>
    <col min="5" max="5" width="11.25" style="287" customWidth="1"/>
    <col min="6" max="6" width="11.25" style="299" customWidth="1"/>
    <col min="7" max="7" width="10.375" style="290" bestFit="1" customWidth="1"/>
    <col min="8" max="8" width="14" style="291" bestFit="1" customWidth="1"/>
    <col min="9" max="10" width="12.625" style="292" bestFit="1" customWidth="1"/>
    <col min="11" max="11" width="70" style="295" customWidth="1"/>
    <col min="12" max="12" width="9.5" customWidth="1"/>
    <col min="13" max="16384" width="8.75" style="2"/>
  </cols>
  <sheetData>
    <row r="1" spans="1:12" s="76" customFormat="1" ht="14.25">
      <c r="A1" s="332" t="s">
        <v>2912</v>
      </c>
      <c r="B1" s="277" t="s">
        <v>2913</v>
      </c>
      <c r="C1" s="278" t="s">
        <v>2914</v>
      </c>
      <c r="D1" s="277" t="s">
        <v>2915</v>
      </c>
      <c r="E1" s="277" t="s">
        <v>2916</v>
      </c>
      <c r="F1" s="279" t="s">
        <v>2917</v>
      </c>
      <c r="G1" s="280" t="s">
        <v>2918</v>
      </c>
      <c r="H1" s="281" t="s">
        <v>2919</v>
      </c>
      <c r="I1" s="282" t="s">
        <v>2920</v>
      </c>
      <c r="J1" s="282" t="s">
        <v>2921</v>
      </c>
      <c r="K1" s="283" t="s">
        <v>2922</v>
      </c>
    </row>
    <row r="2" spans="1:12">
      <c r="A2" s="330">
        <v>1</v>
      </c>
      <c r="B2" s="285">
        <v>44174</v>
      </c>
      <c r="C2" s="286">
        <v>1409</v>
      </c>
      <c r="D2" s="287" t="s">
        <v>2923</v>
      </c>
      <c r="E2" s="288" t="s">
        <v>2924</v>
      </c>
      <c r="F2" s="289" t="s">
        <v>2925</v>
      </c>
      <c r="G2" s="290">
        <v>1</v>
      </c>
      <c r="H2" s="291">
        <v>12.45</v>
      </c>
      <c r="I2" s="292">
        <v>5000</v>
      </c>
      <c r="J2" s="292">
        <f>交易[[#This Row],[價格]]*交易[[#This Row],[數量]]*-1</f>
        <v>-62250</v>
      </c>
      <c r="K2" s="293"/>
      <c r="L2" s="2"/>
    </row>
    <row r="3" spans="1:12">
      <c r="A3" s="330">
        <v>2</v>
      </c>
      <c r="B3" s="285">
        <v>44181</v>
      </c>
      <c r="C3" s="286">
        <v>1409</v>
      </c>
      <c r="D3" s="287" t="s">
        <v>2923</v>
      </c>
      <c r="E3" s="288" t="s">
        <v>2924</v>
      </c>
      <c r="F3" s="294" t="s">
        <v>2926</v>
      </c>
      <c r="G3" s="290">
        <v>1</v>
      </c>
      <c r="H3" s="291">
        <v>12.45</v>
      </c>
      <c r="I3" s="292">
        <v>5000</v>
      </c>
      <c r="J3" s="292">
        <f>交易[[#This Row],[價格]]*交易[[#This Row],[數量]]*-1</f>
        <v>-62250</v>
      </c>
      <c r="K3" s="293"/>
      <c r="L3" s="2"/>
    </row>
    <row r="4" spans="1:12">
      <c r="A4" s="330">
        <v>3</v>
      </c>
      <c r="B4" s="285">
        <v>44183</v>
      </c>
      <c r="C4" s="286">
        <v>2520</v>
      </c>
      <c r="D4" s="287" t="s">
        <v>2927</v>
      </c>
      <c r="E4" s="288" t="s">
        <v>2924</v>
      </c>
      <c r="F4" s="294" t="s">
        <v>2925</v>
      </c>
      <c r="G4" s="290">
        <v>1</v>
      </c>
      <c r="H4" s="291">
        <v>33.9</v>
      </c>
      <c r="I4" s="292">
        <v>2000</v>
      </c>
      <c r="J4" s="292">
        <f>交易[[#This Row],[價格]]*交易[[#This Row],[數量]]*-1</f>
        <v>-67800</v>
      </c>
      <c r="L4" s="2"/>
    </row>
    <row r="5" spans="1:12">
      <c r="A5" s="330">
        <v>4</v>
      </c>
      <c r="B5" s="285">
        <v>44186</v>
      </c>
      <c r="C5" s="286">
        <v>1409</v>
      </c>
      <c r="D5" s="287" t="s">
        <v>2923</v>
      </c>
      <c r="E5" s="288" t="s">
        <v>2924</v>
      </c>
      <c r="F5" s="294" t="s">
        <v>2926</v>
      </c>
      <c r="G5" s="290">
        <v>1</v>
      </c>
      <c r="H5" s="291">
        <v>12.4</v>
      </c>
      <c r="I5" s="292">
        <v>5000</v>
      </c>
      <c r="J5" s="292">
        <f>交易[[#This Row],[價格]]*交易[[#This Row],[數量]]*-1</f>
        <v>-62000</v>
      </c>
      <c r="K5" s="293"/>
      <c r="L5" s="2"/>
    </row>
    <row r="6" spans="1:12">
      <c r="A6" s="330">
        <v>5</v>
      </c>
      <c r="B6" s="285">
        <v>44186</v>
      </c>
      <c r="C6" s="286">
        <v>1409</v>
      </c>
      <c r="D6" s="287" t="s">
        <v>2923</v>
      </c>
      <c r="E6" s="288" t="s">
        <v>2924</v>
      </c>
      <c r="F6" s="294" t="s">
        <v>2926</v>
      </c>
      <c r="G6" s="290">
        <v>1</v>
      </c>
      <c r="H6" s="291">
        <v>12.9</v>
      </c>
      <c r="I6" s="292">
        <v>5000</v>
      </c>
      <c r="J6" s="292">
        <f>交易[[#This Row],[價格]]*交易[[#This Row],[數量]]*-1</f>
        <v>-64500</v>
      </c>
      <c r="K6" s="293"/>
      <c r="L6" s="2"/>
    </row>
    <row r="7" spans="1:12">
      <c r="A7" s="330">
        <v>6</v>
      </c>
      <c r="B7" s="285">
        <v>44187</v>
      </c>
      <c r="C7" s="286">
        <v>1409</v>
      </c>
      <c r="D7" s="287" t="s">
        <v>2923</v>
      </c>
      <c r="E7" s="288" t="s">
        <v>2924</v>
      </c>
      <c r="F7" s="294" t="s">
        <v>2928</v>
      </c>
      <c r="G7" s="290">
        <v>1</v>
      </c>
      <c r="H7" s="291">
        <v>13.01</v>
      </c>
      <c r="I7" s="292">
        <v>-35000</v>
      </c>
      <c r="J7" s="292">
        <f>交易[[#This Row],[價格]]*交易[[#This Row],[數量]]*-1</f>
        <v>455350</v>
      </c>
      <c r="K7" s="293"/>
      <c r="L7" s="2"/>
    </row>
    <row r="8" spans="1:12">
      <c r="A8" s="330">
        <v>7</v>
      </c>
      <c r="B8" s="285">
        <v>44187</v>
      </c>
      <c r="C8" s="286">
        <v>1409</v>
      </c>
      <c r="D8" s="287" t="s">
        <v>2923</v>
      </c>
      <c r="E8" s="288" t="s">
        <v>2924</v>
      </c>
      <c r="F8" s="294" t="s">
        <v>2928</v>
      </c>
      <c r="G8" s="290">
        <v>1</v>
      </c>
      <c r="H8" s="291">
        <v>13.214285714285699</v>
      </c>
      <c r="I8" s="292">
        <v>35000</v>
      </c>
      <c r="J8" s="292">
        <f>交易[[#This Row],[價格]]*交易[[#This Row],[數量]]*-1</f>
        <v>-462499.99999999948</v>
      </c>
      <c r="K8" s="293"/>
      <c r="L8" s="2"/>
    </row>
    <row r="9" spans="1:12">
      <c r="A9" s="330">
        <v>8</v>
      </c>
      <c r="B9" s="285">
        <v>44187</v>
      </c>
      <c r="C9" s="286">
        <v>2520</v>
      </c>
      <c r="D9" s="287" t="s">
        <v>2927</v>
      </c>
      <c r="E9" s="288" t="s">
        <v>2924</v>
      </c>
      <c r="F9" s="294" t="s">
        <v>2926</v>
      </c>
      <c r="G9" s="290">
        <v>1</v>
      </c>
      <c r="H9" s="291">
        <v>33.6</v>
      </c>
      <c r="I9" s="292">
        <v>2000</v>
      </c>
      <c r="J9" s="292">
        <f>交易[[#This Row],[價格]]*交易[[#This Row],[數量]]*-1</f>
        <v>-67200</v>
      </c>
      <c r="L9" s="2"/>
    </row>
    <row r="10" spans="1:12">
      <c r="A10" s="330">
        <v>9</v>
      </c>
      <c r="B10" s="285">
        <v>44188</v>
      </c>
      <c r="C10" s="286">
        <v>1409</v>
      </c>
      <c r="D10" s="287" t="s">
        <v>2923</v>
      </c>
      <c r="E10" s="288" t="s">
        <v>2924</v>
      </c>
      <c r="F10" s="294" t="s">
        <v>2929</v>
      </c>
      <c r="G10" s="290">
        <v>1</v>
      </c>
      <c r="H10" s="291">
        <v>12.65</v>
      </c>
      <c r="I10" s="292">
        <v>-10000</v>
      </c>
      <c r="J10" s="292">
        <f>交易[[#This Row],[價格]]*交易[[#This Row],[數量]]*-1</f>
        <v>126500</v>
      </c>
      <c r="K10" s="293"/>
      <c r="L10" s="2"/>
    </row>
    <row r="11" spans="1:12">
      <c r="A11" s="330">
        <v>10</v>
      </c>
      <c r="B11" s="285">
        <v>44189</v>
      </c>
      <c r="C11" s="286">
        <v>1409</v>
      </c>
      <c r="D11" s="287" t="s">
        <v>2923</v>
      </c>
      <c r="E11" s="288" t="s">
        <v>2924</v>
      </c>
      <c r="F11" s="294" t="s">
        <v>2928</v>
      </c>
      <c r="G11" s="290">
        <v>1</v>
      </c>
      <c r="H11" s="291">
        <v>13.85</v>
      </c>
      <c r="I11" s="292">
        <v>-15000</v>
      </c>
      <c r="J11" s="292">
        <f>交易[[#This Row],[價格]]*交易[[#This Row],[數量]]*-1</f>
        <v>207750</v>
      </c>
      <c r="K11" s="293"/>
      <c r="L11" s="2"/>
    </row>
    <row r="12" spans="1:12">
      <c r="A12" s="330">
        <v>11</v>
      </c>
      <c r="B12" s="285">
        <v>44189</v>
      </c>
      <c r="C12" s="286">
        <v>1409</v>
      </c>
      <c r="D12" s="287" t="s">
        <v>2923</v>
      </c>
      <c r="E12" s="288" t="s">
        <v>2924</v>
      </c>
      <c r="F12" s="294" t="s">
        <v>2926</v>
      </c>
      <c r="G12" s="290">
        <v>1</v>
      </c>
      <c r="H12" s="291">
        <v>13.25</v>
      </c>
      <c r="I12" s="292">
        <v>5000</v>
      </c>
      <c r="J12" s="292">
        <f>交易[[#This Row],[價格]]*交易[[#This Row],[數量]]*-1</f>
        <v>-66250</v>
      </c>
      <c r="K12" s="293"/>
      <c r="L12" s="2"/>
    </row>
    <row r="13" spans="1:12">
      <c r="A13" s="330">
        <v>12</v>
      </c>
      <c r="B13" s="285">
        <v>44189</v>
      </c>
      <c r="C13" s="286">
        <v>1409</v>
      </c>
      <c r="D13" s="287" t="s">
        <v>2923</v>
      </c>
      <c r="E13" s="288" t="s">
        <v>2924</v>
      </c>
      <c r="F13" s="294" t="s">
        <v>2928</v>
      </c>
      <c r="G13" s="290">
        <v>1</v>
      </c>
      <c r="H13" s="291">
        <v>13.25</v>
      </c>
      <c r="I13" s="292">
        <v>15000</v>
      </c>
      <c r="J13" s="292">
        <f>交易[[#This Row],[價格]]*交易[[#This Row],[數量]]*-1</f>
        <v>-198750</v>
      </c>
      <c r="L13" s="2"/>
    </row>
    <row r="14" spans="1:12">
      <c r="A14" s="330">
        <v>13</v>
      </c>
      <c r="B14" s="285">
        <v>44190</v>
      </c>
      <c r="C14" s="286">
        <v>1409</v>
      </c>
      <c r="D14" s="287" t="s">
        <v>2923</v>
      </c>
      <c r="E14" s="288" t="s">
        <v>2924</v>
      </c>
      <c r="F14" s="294" t="s">
        <v>2930</v>
      </c>
      <c r="G14" s="290">
        <v>1</v>
      </c>
      <c r="H14" s="291">
        <v>14.45</v>
      </c>
      <c r="I14" s="292">
        <v>-15000</v>
      </c>
      <c r="J14" s="292">
        <f>交易[[#This Row],[價格]]*交易[[#This Row],[數量]]*-1</f>
        <v>216750</v>
      </c>
      <c r="L14" s="2"/>
    </row>
    <row r="15" spans="1:12">
      <c r="A15" s="330">
        <v>14</v>
      </c>
      <c r="B15" s="285">
        <v>44194</v>
      </c>
      <c r="C15" s="286">
        <v>1409</v>
      </c>
      <c r="D15" s="287" t="s">
        <v>2923</v>
      </c>
      <c r="E15" s="288" t="s">
        <v>2924</v>
      </c>
      <c r="F15" s="294" t="s">
        <v>2925</v>
      </c>
      <c r="G15" s="290">
        <v>2</v>
      </c>
      <c r="H15" s="291">
        <v>14.5</v>
      </c>
      <c r="I15" s="292">
        <v>2000</v>
      </c>
      <c r="J15" s="292">
        <f>交易[[#This Row],[價格]]*交易[[#This Row],[數量]]*-1</f>
        <v>-29000</v>
      </c>
      <c r="K15" s="293"/>
      <c r="L15" s="2"/>
    </row>
    <row r="16" spans="1:12">
      <c r="A16" s="330">
        <v>15</v>
      </c>
      <c r="B16" s="285">
        <v>44195</v>
      </c>
      <c r="C16" s="286">
        <v>1409</v>
      </c>
      <c r="D16" s="287" t="s">
        <v>2923</v>
      </c>
      <c r="E16" s="288" t="s">
        <v>2924</v>
      </c>
      <c r="F16" s="294" t="s">
        <v>2931</v>
      </c>
      <c r="G16" s="290">
        <v>2</v>
      </c>
      <c r="H16" s="291">
        <v>14.65</v>
      </c>
      <c r="I16" s="292">
        <v>-2000</v>
      </c>
      <c r="J16" s="292">
        <f>交易[[#This Row],[價格]]*交易[[#This Row],[數量]]*-1</f>
        <v>29300</v>
      </c>
      <c r="L16" s="2"/>
    </row>
    <row r="17" spans="1:12">
      <c r="A17" s="330">
        <v>16</v>
      </c>
      <c r="B17" s="285">
        <v>44195</v>
      </c>
      <c r="C17" s="286">
        <v>2520</v>
      </c>
      <c r="D17" s="287" t="s">
        <v>2927</v>
      </c>
      <c r="E17" s="288" t="s">
        <v>2924</v>
      </c>
      <c r="F17" s="294" t="s">
        <v>2926</v>
      </c>
      <c r="G17" s="290">
        <v>1</v>
      </c>
      <c r="H17" s="291">
        <v>33.5</v>
      </c>
      <c r="I17" s="292">
        <v>11000</v>
      </c>
      <c r="J17" s="292">
        <f>交易[[#This Row],[價格]]*交易[[#This Row],[數量]]*-1</f>
        <v>-368500</v>
      </c>
      <c r="L17" s="2"/>
    </row>
    <row r="18" spans="1:12">
      <c r="A18" s="330">
        <v>17</v>
      </c>
      <c r="B18" s="285">
        <v>44195</v>
      </c>
      <c r="C18" s="286">
        <v>2520</v>
      </c>
      <c r="D18" s="287" t="s">
        <v>2927</v>
      </c>
      <c r="E18" s="288" t="s">
        <v>2932</v>
      </c>
      <c r="F18" s="294" t="s">
        <v>2925</v>
      </c>
      <c r="G18" s="290">
        <v>2</v>
      </c>
      <c r="H18" s="291">
        <v>33.450000000000003</v>
      </c>
      <c r="I18" s="292">
        <v>5000</v>
      </c>
      <c r="J18" s="292">
        <f>交易[[#This Row],[價格]]*交易[[#This Row],[數量]]*-1</f>
        <v>-167250</v>
      </c>
      <c r="L18" s="2"/>
    </row>
    <row r="19" spans="1:12">
      <c r="A19" s="330">
        <v>18</v>
      </c>
      <c r="B19" s="285">
        <v>44196</v>
      </c>
      <c r="C19" s="286">
        <v>2520</v>
      </c>
      <c r="D19" s="287" t="s">
        <v>2927</v>
      </c>
      <c r="E19" s="288" t="s">
        <v>2924</v>
      </c>
      <c r="F19" s="294" t="s">
        <v>2926</v>
      </c>
      <c r="G19" s="290">
        <v>1</v>
      </c>
      <c r="H19" s="291">
        <v>33.665000000000006</v>
      </c>
      <c r="I19" s="292">
        <v>20000</v>
      </c>
      <c r="J19" s="292">
        <f>交易[[#This Row],[價格]]*交易[[#This Row],[數量]]*-1</f>
        <v>-673300.00000000012</v>
      </c>
      <c r="L19" s="2"/>
    </row>
    <row r="20" spans="1:12">
      <c r="A20" s="330">
        <v>19</v>
      </c>
      <c r="B20" s="285">
        <v>44202</v>
      </c>
      <c r="C20" s="286">
        <v>2520</v>
      </c>
      <c r="D20" s="287" t="s">
        <v>2927</v>
      </c>
      <c r="E20" s="288" t="s">
        <v>2924</v>
      </c>
      <c r="F20" s="294" t="s">
        <v>2926</v>
      </c>
      <c r="G20" s="290">
        <v>1</v>
      </c>
      <c r="H20" s="291">
        <v>34.075000000000003</v>
      </c>
      <c r="I20" s="292">
        <v>10000</v>
      </c>
      <c r="J20" s="292">
        <f>交易[[#This Row],[價格]]*交易[[#This Row],[數量]]*-1</f>
        <v>-340750</v>
      </c>
      <c r="L20" s="2"/>
    </row>
    <row r="21" spans="1:12">
      <c r="A21" s="330">
        <v>20</v>
      </c>
      <c r="B21" s="285">
        <v>44211</v>
      </c>
      <c r="C21" s="286">
        <v>2002</v>
      </c>
      <c r="D21" s="287" t="s">
        <v>2933</v>
      </c>
      <c r="E21" s="288" t="s">
        <v>2924</v>
      </c>
      <c r="F21" s="289" t="s">
        <v>2925</v>
      </c>
      <c r="G21" s="290">
        <v>1</v>
      </c>
      <c r="H21" s="291">
        <v>25.2</v>
      </c>
      <c r="I21" s="292">
        <v>2000</v>
      </c>
      <c r="J21" s="292">
        <f>交易[[#This Row],[價格]]*交易[[#This Row],[數量]]*-1</f>
        <v>-50400</v>
      </c>
      <c r="L21" s="2"/>
    </row>
    <row r="22" spans="1:12">
      <c r="A22" s="330">
        <v>21</v>
      </c>
      <c r="B22" s="285">
        <v>44214</v>
      </c>
      <c r="C22" s="286">
        <v>1409</v>
      </c>
      <c r="D22" s="287" t="s">
        <v>2923</v>
      </c>
      <c r="E22" s="288" t="s">
        <v>2924</v>
      </c>
      <c r="F22" s="294" t="s">
        <v>2925</v>
      </c>
      <c r="G22" s="290">
        <v>3</v>
      </c>
      <c r="H22" s="291">
        <v>12.97</v>
      </c>
      <c r="I22" s="292">
        <v>5000</v>
      </c>
      <c r="J22" s="292">
        <f>交易[[#This Row],[價格]]*交易[[#This Row],[數量]]*-1</f>
        <v>-64850</v>
      </c>
      <c r="K22" s="293"/>
      <c r="L22" s="2"/>
    </row>
    <row r="23" spans="1:12">
      <c r="A23" s="330">
        <v>22</v>
      </c>
      <c r="B23" s="285">
        <v>44214</v>
      </c>
      <c r="C23" s="286">
        <v>2002</v>
      </c>
      <c r="D23" s="287" t="s">
        <v>2933</v>
      </c>
      <c r="E23" s="288" t="s">
        <v>2924</v>
      </c>
      <c r="F23" s="289" t="s">
        <v>2931</v>
      </c>
      <c r="G23" s="290">
        <v>1</v>
      </c>
      <c r="H23" s="291">
        <v>24.2</v>
      </c>
      <c r="I23" s="292">
        <v>-2000</v>
      </c>
      <c r="J23" s="292">
        <f>交易[[#This Row],[價格]]*交易[[#This Row],[數量]]*-1</f>
        <v>48400</v>
      </c>
      <c r="K23" s="293"/>
      <c r="L23" s="2"/>
    </row>
    <row r="24" spans="1:12">
      <c r="A24" s="330">
        <v>23</v>
      </c>
      <c r="B24" s="285">
        <v>44217</v>
      </c>
      <c r="C24" s="286">
        <v>1409</v>
      </c>
      <c r="D24" s="287" t="s">
        <v>2923</v>
      </c>
      <c r="E24" s="288" t="s">
        <v>2924</v>
      </c>
      <c r="F24" s="294" t="s">
        <v>2926</v>
      </c>
      <c r="G24" s="290">
        <v>3</v>
      </c>
      <c r="H24" s="291">
        <v>12.833333333333334</v>
      </c>
      <c r="I24" s="292">
        <v>15000</v>
      </c>
      <c r="J24" s="292">
        <f>交易[[#This Row],[價格]]*交易[[#This Row],[數量]]*-1</f>
        <v>-192500</v>
      </c>
      <c r="L24" s="2"/>
    </row>
    <row r="25" spans="1:12">
      <c r="A25" s="330">
        <v>24</v>
      </c>
      <c r="B25" s="285">
        <v>44221</v>
      </c>
      <c r="C25" s="286">
        <v>1409</v>
      </c>
      <c r="D25" s="287" t="s">
        <v>2923</v>
      </c>
      <c r="E25" s="288" t="s">
        <v>2924</v>
      </c>
      <c r="F25" s="294" t="s">
        <v>2926</v>
      </c>
      <c r="G25" s="290">
        <v>3</v>
      </c>
      <c r="H25" s="291">
        <v>13.3</v>
      </c>
      <c r="I25" s="292">
        <v>5000</v>
      </c>
      <c r="J25" s="292">
        <f>交易[[#This Row],[價格]]*交易[[#This Row],[數量]]*-1</f>
        <v>-66500</v>
      </c>
      <c r="L25" s="2"/>
    </row>
    <row r="26" spans="1:12">
      <c r="A26" s="330">
        <v>25</v>
      </c>
      <c r="B26" s="285">
        <v>44231</v>
      </c>
      <c r="C26" s="286">
        <v>1409</v>
      </c>
      <c r="D26" s="287" t="s">
        <v>2923</v>
      </c>
      <c r="E26" s="288" t="s">
        <v>2924</v>
      </c>
      <c r="F26" s="294" t="s">
        <v>2926</v>
      </c>
      <c r="G26" s="290">
        <v>3</v>
      </c>
      <c r="H26" s="291">
        <v>13</v>
      </c>
      <c r="I26" s="292">
        <v>5000</v>
      </c>
      <c r="J26" s="292">
        <f>交易[[#This Row],[價格]]*交易[[#This Row],[數量]]*-1</f>
        <v>-65000</v>
      </c>
      <c r="L26" s="2"/>
    </row>
    <row r="27" spans="1:12">
      <c r="A27" s="330">
        <v>26</v>
      </c>
      <c r="B27" s="285">
        <v>44246</v>
      </c>
      <c r="C27" s="286">
        <v>2520</v>
      </c>
      <c r="D27" s="287" t="s">
        <v>2927</v>
      </c>
      <c r="E27" s="288" t="s">
        <v>2924</v>
      </c>
      <c r="F27" s="294" t="s">
        <v>2929</v>
      </c>
      <c r="G27" s="290">
        <v>1</v>
      </c>
      <c r="H27" s="291">
        <v>33.633333333333333</v>
      </c>
      <c r="I27" s="292">
        <v>-3000</v>
      </c>
      <c r="J27" s="292">
        <f>交易[[#This Row],[價格]]*交易[[#This Row],[數量]]*-1</f>
        <v>100900</v>
      </c>
      <c r="L27" s="2"/>
    </row>
    <row r="28" spans="1:12">
      <c r="A28" s="330">
        <v>27</v>
      </c>
      <c r="B28" s="285">
        <v>44249</v>
      </c>
      <c r="C28" s="286">
        <v>2520</v>
      </c>
      <c r="D28" s="287" t="s">
        <v>2927</v>
      </c>
      <c r="E28" s="288" t="s">
        <v>2924</v>
      </c>
      <c r="F28" s="294" t="s">
        <v>2929</v>
      </c>
      <c r="G28" s="290">
        <v>1</v>
      </c>
      <c r="H28" s="291">
        <v>33.5</v>
      </c>
      <c r="I28" s="292">
        <v>-1000</v>
      </c>
      <c r="J28" s="292">
        <f>交易[[#This Row],[價格]]*交易[[#This Row],[數量]]*-1</f>
        <v>33500</v>
      </c>
      <c r="L28" s="2"/>
    </row>
    <row r="29" spans="1:12">
      <c r="A29" s="330">
        <v>28</v>
      </c>
      <c r="B29" s="285">
        <v>44250</v>
      </c>
      <c r="C29" s="286">
        <v>2520</v>
      </c>
      <c r="D29" s="287" t="s">
        <v>2927</v>
      </c>
      <c r="E29" s="288" t="s">
        <v>2924</v>
      </c>
      <c r="F29" s="294" t="s">
        <v>2929</v>
      </c>
      <c r="G29" s="290">
        <v>1</v>
      </c>
      <c r="H29" s="291">
        <v>35.133333333333333</v>
      </c>
      <c r="I29" s="292">
        <v>-6000</v>
      </c>
      <c r="J29" s="292">
        <f>交易[[#This Row],[價格]]*交易[[#This Row],[數量]]*-1</f>
        <v>210800</v>
      </c>
      <c r="L29" s="2"/>
    </row>
    <row r="30" spans="1:12">
      <c r="A30" s="330">
        <v>29</v>
      </c>
      <c r="B30" s="285">
        <v>44251</v>
      </c>
      <c r="C30" s="286">
        <v>2520</v>
      </c>
      <c r="D30" s="287" t="s">
        <v>2927</v>
      </c>
      <c r="E30" s="288" t="s">
        <v>2924</v>
      </c>
      <c r="F30" s="294" t="s">
        <v>2929</v>
      </c>
      <c r="G30" s="290">
        <v>1</v>
      </c>
      <c r="H30" s="291">
        <v>36.134615384615387</v>
      </c>
      <c r="I30" s="292">
        <v>-13000</v>
      </c>
      <c r="J30" s="292">
        <f>交易[[#This Row],[價格]]*交易[[#This Row],[數量]]*-1</f>
        <v>469750</v>
      </c>
      <c r="L30" s="2"/>
    </row>
    <row r="31" spans="1:12">
      <c r="A31" s="330">
        <v>30</v>
      </c>
      <c r="B31" s="285">
        <v>44257</v>
      </c>
      <c r="C31" s="286">
        <v>2520</v>
      </c>
      <c r="D31" s="287" t="s">
        <v>2927</v>
      </c>
      <c r="E31" s="288" t="s">
        <v>2924</v>
      </c>
      <c r="F31" s="294" t="s">
        <v>2929</v>
      </c>
      <c r="G31" s="290">
        <v>1</v>
      </c>
      <c r="H31" s="291">
        <v>37.299999999999997</v>
      </c>
      <c r="I31" s="292">
        <v>-7000</v>
      </c>
      <c r="J31" s="292">
        <f>交易[[#This Row],[價格]]*交易[[#This Row],[數量]]*-1</f>
        <v>261099.99999999997</v>
      </c>
      <c r="L31" s="2"/>
    </row>
    <row r="32" spans="1:12">
      <c r="A32" s="330">
        <v>31</v>
      </c>
      <c r="B32" s="285">
        <v>44264</v>
      </c>
      <c r="C32" s="286">
        <v>2002</v>
      </c>
      <c r="D32" s="287" t="s">
        <v>2933</v>
      </c>
      <c r="E32" s="288" t="s">
        <v>2924</v>
      </c>
      <c r="F32" s="289" t="s">
        <v>2925</v>
      </c>
      <c r="G32" s="290">
        <v>2</v>
      </c>
      <c r="H32" s="291">
        <v>25.75</v>
      </c>
      <c r="I32" s="292">
        <v>5000</v>
      </c>
      <c r="J32" s="292">
        <f>交易[[#This Row],[價格]]*交易[[#This Row],[數量]]*-1</f>
        <v>-128750</v>
      </c>
      <c r="K32" s="293"/>
      <c r="L32" s="2"/>
    </row>
    <row r="33" spans="1:12">
      <c r="A33" s="330">
        <v>32</v>
      </c>
      <c r="B33" s="285">
        <v>44265</v>
      </c>
      <c r="C33" s="286">
        <v>1409</v>
      </c>
      <c r="D33" s="287" t="s">
        <v>2923</v>
      </c>
      <c r="E33" s="288" t="s">
        <v>2924</v>
      </c>
      <c r="F33" s="294" t="s">
        <v>2926</v>
      </c>
      <c r="G33" s="290">
        <v>3</v>
      </c>
      <c r="H33" s="291">
        <v>14.9</v>
      </c>
      <c r="I33" s="292">
        <v>10000</v>
      </c>
      <c r="J33" s="292">
        <f>交易[[#This Row],[價格]]*交易[[#This Row],[數量]]*-1</f>
        <v>-149000</v>
      </c>
      <c r="L33" s="2"/>
    </row>
    <row r="34" spans="1:12">
      <c r="A34" s="330">
        <v>33</v>
      </c>
      <c r="B34" s="285">
        <v>44267</v>
      </c>
      <c r="C34" s="286">
        <v>1409</v>
      </c>
      <c r="D34" s="287" t="s">
        <v>2923</v>
      </c>
      <c r="E34" s="288" t="s">
        <v>2924</v>
      </c>
      <c r="F34" s="294" t="s">
        <v>2929</v>
      </c>
      <c r="G34" s="290">
        <v>3</v>
      </c>
      <c r="H34" s="291">
        <v>14.5</v>
      </c>
      <c r="I34" s="292">
        <v>-10000</v>
      </c>
      <c r="J34" s="292">
        <f>交易[[#This Row],[價格]]*交易[[#This Row],[數量]]*-1</f>
        <v>145000</v>
      </c>
      <c r="K34" s="293"/>
      <c r="L34" s="2"/>
    </row>
    <row r="35" spans="1:12">
      <c r="A35" s="330">
        <v>34</v>
      </c>
      <c r="B35" s="285">
        <v>44267</v>
      </c>
      <c r="C35" s="286">
        <v>2520</v>
      </c>
      <c r="D35" s="287" t="s">
        <v>2927</v>
      </c>
      <c r="E35" s="288" t="s">
        <v>2924</v>
      </c>
      <c r="F35" s="294" t="s">
        <v>2929</v>
      </c>
      <c r="G35" s="290">
        <v>1</v>
      </c>
      <c r="H35" s="291">
        <v>36.5</v>
      </c>
      <c r="I35" s="292">
        <v>-5000</v>
      </c>
      <c r="J35" s="292">
        <f>交易[[#This Row],[價格]]*交易[[#This Row],[數量]]*-1</f>
        <v>182500</v>
      </c>
      <c r="L35" s="2"/>
    </row>
    <row r="36" spans="1:12">
      <c r="A36" s="330">
        <v>35</v>
      </c>
      <c r="B36" s="285">
        <v>44271</v>
      </c>
      <c r="C36" s="286">
        <v>2002</v>
      </c>
      <c r="D36" s="287" t="s">
        <v>2933</v>
      </c>
      <c r="E36" s="288" t="s">
        <v>2924</v>
      </c>
      <c r="F36" s="289" t="s">
        <v>2931</v>
      </c>
      <c r="G36" s="290">
        <v>2</v>
      </c>
      <c r="H36" s="291">
        <v>25.55</v>
      </c>
      <c r="I36" s="292">
        <v>-5000</v>
      </c>
      <c r="J36" s="292">
        <f>交易[[#This Row],[價格]]*交易[[#This Row],[數量]]*-1</f>
        <v>127750</v>
      </c>
      <c r="L36" s="2"/>
    </row>
    <row r="37" spans="1:12">
      <c r="A37" s="330">
        <v>36</v>
      </c>
      <c r="B37" s="285">
        <v>44272</v>
      </c>
      <c r="C37" s="286">
        <v>1409</v>
      </c>
      <c r="D37" s="287" t="s">
        <v>2923</v>
      </c>
      <c r="E37" s="288" t="s">
        <v>2932</v>
      </c>
      <c r="F37" s="294" t="s">
        <v>2925</v>
      </c>
      <c r="G37" s="290">
        <v>4</v>
      </c>
      <c r="H37" s="291">
        <v>14.4</v>
      </c>
      <c r="I37" s="292">
        <v>5000</v>
      </c>
      <c r="J37" s="292">
        <f>交易[[#This Row],[價格]]*交易[[#This Row],[數量]]*-1</f>
        <v>-72000</v>
      </c>
      <c r="L37" s="2"/>
    </row>
    <row r="38" spans="1:12">
      <c r="A38" s="330">
        <v>37</v>
      </c>
      <c r="B38" s="285">
        <v>44274</v>
      </c>
      <c r="C38" s="286">
        <v>1409</v>
      </c>
      <c r="D38" s="287" t="s">
        <v>2923</v>
      </c>
      <c r="E38" s="288" t="s">
        <v>2932</v>
      </c>
      <c r="F38" s="294" t="s">
        <v>2926</v>
      </c>
      <c r="G38" s="290">
        <v>4</v>
      </c>
      <c r="H38" s="291">
        <v>14.3</v>
      </c>
      <c r="I38" s="292">
        <v>5000</v>
      </c>
      <c r="J38" s="292">
        <f>交易[[#This Row],[價格]]*交易[[#This Row],[數量]]*-1</f>
        <v>-71500</v>
      </c>
      <c r="L38" s="2"/>
    </row>
    <row r="39" spans="1:12">
      <c r="A39" s="330">
        <v>38</v>
      </c>
      <c r="B39" s="285">
        <v>44279</v>
      </c>
      <c r="C39" s="286">
        <v>2002</v>
      </c>
      <c r="D39" s="287" t="s">
        <v>2933</v>
      </c>
      <c r="E39" s="288" t="s">
        <v>2924</v>
      </c>
      <c r="F39" s="289" t="s">
        <v>2925</v>
      </c>
      <c r="G39" s="290">
        <v>3</v>
      </c>
      <c r="H39" s="291">
        <v>24.95</v>
      </c>
      <c r="I39" s="292">
        <v>4000</v>
      </c>
      <c r="J39" s="292">
        <f>交易[[#This Row],[價格]]*交易[[#This Row],[數量]]*-1</f>
        <v>-99800</v>
      </c>
      <c r="L39" s="2"/>
    </row>
    <row r="40" spans="1:12">
      <c r="A40" s="330">
        <v>39</v>
      </c>
      <c r="B40" s="285">
        <v>44280</v>
      </c>
      <c r="C40" s="286">
        <v>2002</v>
      </c>
      <c r="D40" s="287" t="s">
        <v>2933</v>
      </c>
      <c r="E40" s="288" t="s">
        <v>2924</v>
      </c>
      <c r="F40" s="289" t="s">
        <v>2926</v>
      </c>
      <c r="G40" s="290">
        <v>3</v>
      </c>
      <c r="H40" s="291">
        <v>25.2</v>
      </c>
      <c r="I40" s="292">
        <v>1000</v>
      </c>
      <c r="J40" s="292">
        <f>交易[[#This Row],[價格]]*交易[[#This Row],[數量]]*-1</f>
        <v>-25200</v>
      </c>
      <c r="L40" s="2"/>
    </row>
    <row r="41" spans="1:12">
      <c r="A41" s="330">
        <v>40</v>
      </c>
      <c r="B41" s="285">
        <v>44284</v>
      </c>
      <c r="C41" s="286">
        <v>1409</v>
      </c>
      <c r="D41" s="287" t="s">
        <v>2923</v>
      </c>
      <c r="E41" s="288" t="s">
        <v>2924</v>
      </c>
      <c r="F41" s="294" t="s">
        <v>2929</v>
      </c>
      <c r="G41" s="290">
        <v>3</v>
      </c>
      <c r="H41" s="291">
        <v>17.649999999999999</v>
      </c>
      <c r="I41" s="292">
        <v>-15000</v>
      </c>
      <c r="J41" s="292">
        <f>交易[[#This Row],[價格]]*交易[[#This Row],[數量]]*-1</f>
        <v>264750</v>
      </c>
      <c r="L41" s="2"/>
    </row>
    <row r="42" spans="1:12">
      <c r="A42" s="330">
        <v>41</v>
      </c>
      <c r="B42" s="285">
        <v>44284</v>
      </c>
      <c r="C42" s="286">
        <v>2520</v>
      </c>
      <c r="D42" s="287" t="s">
        <v>2927</v>
      </c>
      <c r="E42" s="288" t="s">
        <v>2924</v>
      </c>
      <c r="F42" s="294" t="s">
        <v>2929</v>
      </c>
      <c r="G42" s="290">
        <v>1</v>
      </c>
      <c r="H42" s="291">
        <v>39.200000000000003</v>
      </c>
      <c r="I42" s="292">
        <v>-5000</v>
      </c>
      <c r="J42" s="292">
        <f>交易[[#This Row],[價格]]*交易[[#This Row],[數量]]*-1</f>
        <v>196000</v>
      </c>
      <c r="L42" s="2"/>
    </row>
    <row r="43" spans="1:12">
      <c r="A43" s="330">
        <v>42</v>
      </c>
      <c r="B43" s="285">
        <v>44287</v>
      </c>
      <c r="C43" s="286">
        <v>2002</v>
      </c>
      <c r="D43" s="287" t="s">
        <v>2933</v>
      </c>
      <c r="E43" s="288" t="s">
        <v>2934</v>
      </c>
      <c r="F43" s="289" t="s">
        <v>2926</v>
      </c>
      <c r="G43" s="290">
        <v>3</v>
      </c>
      <c r="H43" s="291">
        <v>26</v>
      </c>
      <c r="I43" s="292">
        <v>30000</v>
      </c>
      <c r="J43" s="292">
        <f>交易[[#This Row],[價格]]*交易[[#This Row],[數量]]*-1</f>
        <v>-780000</v>
      </c>
      <c r="L43" s="2"/>
    </row>
    <row r="44" spans="1:12">
      <c r="A44" s="330">
        <v>43</v>
      </c>
      <c r="B44" s="285">
        <v>44287</v>
      </c>
      <c r="C44" s="286">
        <v>6207</v>
      </c>
      <c r="D44" s="287" t="s">
        <v>2935</v>
      </c>
      <c r="E44" s="288" t="s">
        <v>2924</v>
      </c>
      <c r="F44" s="289" t="s">
        <v>2925</v>
      </c>
      <c r="G44" s="290">
        <v>1</v>
      </c>
      <c r="H44" s="291">
        <v>34</v>
      </c>
      <c r="I44" s="292">
        <v>5000</v>
      </c>
      <c r="J44" s="292">
        <f>交易[[#This Row],[價格]]*交易[[#This Row],[數量]]*-1</f>
        <v>-170000</v>
      </c>
      <c r="L44" s="2"/>
    </row>
    <row r="45" spans="1:12">
      <c r="A45" s="330">
        <v>44</v>
      </c>
      <c r="B45" s="285">
        <v>44292</v>
      </c>
      <c r="C45" s="286">
        <v>2002</v>
      </c>
      <c r="D45" s="287" t="s">
        <v>2933</v>
      </c>
      <c r="E45" s="288" t="s">
        <v>2934</v>
      </c>
      <c r="F45" s="289" t="s">
        <v>2926</v>
      </c>
      <c r="G45" s="290">
        <v>3</v>
      </c>
      <c r="H45" s="291">
        <v>26</v>
      </c>
      <c r="I45" s="292">
        <v>2000</v>
      </c>
      <c r="J45" s="292">
        <f>交易[[#This Row],[價格]]*交易[[#This Row],[數量]]*-1</f>
        <v>-52000</v>
      </c>
      <c r="L45" s="2"/>
    </row>
    <row r="46" spans="1:12">
      <c r="A46" s="330">
        <v>45</v>
      </c>
      <c r="B46" s="285">
        <v>44294</v>
      </c>
      <c r="C46" s="286">
        <v>2002</v>
      </c>
      <c r="D46" s="287" t="s">
        <v>2933</v>
      </c>
      <c r="E46" s="288" t="s">
        <v>2924</v>
      </c>
      <c r="F46" s="289" t="s">
        <v>2926</v>
      </c>
      <c r="G46" s="290">
        <v>3</v>
      </c>
      <c r="H46" s="291">
        <v>28.05</v>
      </c>
      <c r="I46" s="292">
        <v>3000</v>
      </c>
      <c r="J46" s="292">
        <f>交易[[#This Row],[價格]]*交易[[#This Row],[數量]]*-1</f>
        <v>-84150</v>
      </c>
      <c r="L46" s="2"/>
    </row>
    <row r="47" spans="1:12">
      <c r="A47" s="330">
        <v>46</v>
      </c>
      <c r="B47" s="285">
        <v>44295</v>
      </c>
      <c r="C47" s="286">
        <v>2002</v>
      </c>
      <c r="D47" s="287" t="s">
        <v>2933</v>
      </c>
      <c r="E47" s="288" t="s">
        <v>2934</v>
      </c>
      <c r="F47" s="289" t="s">
        <v>2926</v>
      </c>
      <c r="G47" s="290">
        <v>3</v>
      </c>
      <c r="H47" s="291">
        <v>28</v>
      </c>
      <c r="I47" s="292">
        <v>60000</v>
      </c>
      <c r="J47" s="292">
        <f>交易[[#This Row],[價格]]*交易[[#This Row],[數量]]*-1</f>
        <v>-1680000</v>
      </c>
      <c r="L47" s="2"/>
    </row>
    <row r="48" spans="1:12">
      <c r="A48" s="330">
        <v>47</v>
      </c>
      <c r="B48" s="285">
        <v>44299</v>
      </c>
      <c r="C48" s="286">
        <v>6207</v>
      </c>
      <c r="D48" s="287" t="s">
        <v>2935</v>
      </c>
      <c r="E48" s="288" t="s">
        <v>2924</v>
      </c>
      <c r="F48" s="289" t="s">
        <v>2929</v>
      </c>
      <c r="G48" s="290">
        <v>1</v>
      </c>
      <c r="H48" s="291">
        <v>34.65</v>
      </c>
      <c r="I48" s="292">
        <v>-3000</v>
      </c>
      <c r="J48" s="292">
        <f>交易[[#This Row],[價格]]*交易[[#This Row],[數量]]*-1</f>
        <v>103950</v>
      </c>
      <c r="L48" s="2"/>
    </row>
    <row r="49" spans="1:12">
      <c r="A49" s="330">
        <v>48</v>
      </c>
      <c r="B49" s="285">
        <v>44300</v>
      </c>
      <c r="C49" s="286">
        <v>6207</v>
      </c>
      <c r="D49" s="287" t="s">
        <v>2935</v>
      </c>
      <c r="E49" s="288" t="s">
        <v>2924</v>
      </c>
      <c r="F49" s="289" t="s">
        <v>2931</v>
      </c>
      <c r="G49" s="290">
        <v>1</v>
      </c>
      <c r="H49" s="291">
        <v>33.4</v>
      </c>
      <c r="I49" s="292">
        <v>-2000</v>
      </c>
      <c r="J49" s="292">
        <f>交易[[#This Row],[價格]]*交易[[#This Row],[數量]]*-1</f>
        <v>66800</v>
      </c>
      <c r="L49" s="2"/>
    </row>
    <row r="50" spans="1:12">
      <c r="A50" s="330">
        <v>49</v>
      </c>
      <c r="B50" s="285">
        <v>44301</v>
      </c>
      <c r="C50" s="286">
        <v>1409</v>
      </c>
      <c r="D50" s="287" t="s">
        <v>2923</v>
      </c>
      <c r="E50" s="288" t="s">
        <v>2924</v>
      </c>
      <c r="F50" s="294" t="s">
        <v>2929</v>
      </c>
      <c r="G50" s="290">
        <v>3</v>
      </c>
      <c r="H50" s="291">
        <v>19.100000000000001</v>
      </c>
      <c r="I50" s="292">
        <v>-10000</v>
      </c>
      <c r="J50" s="292">
        <f>交易[[#This Row],[價格]]*交易[[#This Row],[數量]]*-1</f>
        <v>191000</v>
      </c>
      <c r="L50" s="2"/>
    </row>
    <row r="51" spans="1:12">
      <c r="A51" s="330">
        <v>50</v>
      </c>
      <c r="B51" s="285">
        <v>44302</v>
      </c>
      <c r="C51" s="286">
        <v>1720</v>
      </c>
      <c r="D51" s="287" t="s">
        <v>2936</v>
      </c>
      <c r="E51" s="288" t="s">
        <v>2924</v>
      </c>
      <c r="F51" s="289" t="s">
        <v>2925</v>
      </c>
      <c r="G51" s="290">
        <v>1</v>
      </c>
      <c r="H51" s="291">
        <v>39.6</v>
      </c>
      <c r="I51" s="292">
        <v>2000</v>
      </c>
      <c r="J51" s="292">
        <f>交易[[#This Row],[價格]]*交易[[#This Row],[數量]]*-1</f>
        <v>-79200</v>
      </c>
      <c r="L51" s="2"/>
    </row>
    <row r="52" spans="1:12">
      <c r="A52" s="330">
        <v>51</v>
      </c>
      <c r="B52" s="285">
        <v>44302</v>
      </c>
      <c r="C52" s="286">
        <v>1762</v>
      </c>
      <c r="D52" s="287" t="s">
        <v>2937</v>
      </c>
      <c r="E52" s="288" t="s">
        <v>2924</v>
      </c>
      <c r="F52" s="289" t="s">
        <v>2925</v>
      </c>
      <c r="G52" s="290">
        <v>1</v>
      </c>
      <c r="H52" s="291">
        <v>61</v>
      </c>
      <c r="I52" s="292">
        <v>1000</v>
      </c>
      <c r="J52" s="292">
        <f>交易[[#This Row],[價格]]*交易[[#This Row],[數量]]*-1</f>
        <v>-61000</v>
      </c>
      <c r="L52" s="2"/>
    </row>
    <row r="53" spans="1:12">
      <c r="A53" s="330">
        <v>52</v>
      </c>
      <c r="B53" s="285">
        <v>44302</v>
      </c>
      <c r="C53" s="286">
        <v>2002</v>
      </c>
      <c r="D53" s="287" t="s">
        <v>2933</v>
      </c>
      <c r="E53" s="288" t="s">
        <v>2924</v>
      </c>
      <c r="F53" s="289" t="s">
        <v>2938</v>
      </c>
      <c r="G53" s="290">
        <v>3</v>
      </c>
      <c r="H53" s="291">
        <v>34.85</v>
      </c>
      <c r="I53" s="292">
        <v>2000</v>
      </c>
      <c r="J53" s="292">
        <f>交易[[#This Row],[價格]]*交易[[#This Row],[數量]]*-1</f>
        <v>-69700</v>
      </c>
      <c r="L53" s="2"/>
    </row>
    <row r="54" spans="1:12">
      <c r="A54" s="330">
        <v>53</v>
      </c>
      <c r="B54" s="285">
        <v>44302</v>
      </c>
      <c r="C54" s="286">
        <v>2002</v>
      </c>
      <c r="D54" s="287" t="s">
        <v>2933</v>
      </c>
      <c r="E54" s="288" t="s">
        <v>2924</v>
      </c>
      <c r="F54" s="289" t="s">
        <v>2938</v>
      </c>
      <c r="G54" s="290">
        <v>3</v>
      </c>
      <c r="H54" s="291">
        <v>34.85</v>
      </c>
      <c r="I54" s="292">
        <v>5000</v>
      </c>
      <c r="J54" s="292">
        <f>交易[[#This Row],[價格]]*交易[[#This Row],[數量]]*-1</f>
        <v>-174250</v>
      </c>
      <c r="L54" s="2"/>
    </row>
    <row r="55" spans="1:12">
      <c r="A55" s="330">
        <v>54</v>
      </c>
      <c r="B55" s="285">
        <v>44302</v>
      </c>
      <c r="C55" s="286">
        <v>2002</v>
      </c>
      <c r="D55" s="287" t="s">
        <v>2933</v>
      </c>
      <c r="E55" s="288" t="s">
        <v>2934</v>
      </c>
      <c r="F55" s="289" t="s">
        <v>2929</v>
      </c>
      <c r="G55" s="290">
        <v>3</v>
      </c>
      <c r="H55" s="291">
        <v>34.950000000000003</v>
      </c>
      <c r="I55" s="292">
        <v>-32000</v>
      </c>
      <c r="J55" s="292">
        <f>交易[[#This Row],[價格]]*交易[[#This Row],[數量]]*-1</f>
        <v>1118400</v>
      </c>
      <c r="L55" s="2"/>
    </row>
    <row r="56" spans="1:12">
      <c r="A56" s="330">
        <v>55</v>
      </c>
      <c r="B56" s="285">
        <v>44302</v>
      </c>
      <c r="C56" s="286">
        <v>2002</v>
      </c>
      <c r="D56" s="287" t="s">
        <v>2933</v>
      </c>
      <c r="E56" s="288" t="s">
        <v>2934</v>
      </c>
      <c r="F56" s="289" t="s">
        <v>2929</v>
      </c>
      <c r="G56" s="290">
        <v>3</v>
      </c>
      <c r="H56" s="291">
        <v>35.119999999999997</v>
      </c>
      <c r="I56" s="292">
        <v>-60000</v>
      </c>
      <c r="J56" s="292">
        <f>交易[[#This Row],[價格]]*交易[[#This Row],[數量]]*-1</f>
        <v>2107200</v>
      </c>
      <c r="L56" s="2"/>
    </row>
    <row r="57" spans="1:12">
      <c r="A57" s="330">
        <v>56</v>
      </c>
      <c r="B57" s="285">
        <v>44306</v>
      </c>
      <c r="C57" s="286">
        <v>1762</v>
      </c>
      <c r="D57" s="287" t="s">
        <v>2937</v>
      </c>
      <c r="E57" s="288" t="s">
        <v>2924</v>
      </c>
      <c r="F57" s="289" t="s">
        <v>2926</v>
      </c>
      <c r="G57" s="290">
        <v>1</v>
      </c>
      <c r="H57" s="291">
        <v>63.5</v>
      </c>
      <c r="I57" s="292">
        <v>1000</v>
      </c>
      <c r="J57" s="292">
        <f>交易[[#This Row],[價格]]*交易[[#This Row],[數量]]*-1</f>
        <v>-63500</v>
      </c>
      <c r="L57" s="2"/>
    </row>
    <row r="58" spans="1:12">
      <c r="A58" s="330">
        <v>57</v>
      </c>
      <c r="B58" s="285">
        <v>44306</v>
      </c>
      <c r="C58" s="286">
        <v>6207</v>
      </c>
      <c r="D58" s="287" t="s">
        <v>2935</v>
      </c>
      <c r="E58" s="288" t="s">
        <v>2924</v>
      </c>
      <c r="F58" s="289" t="s">
        <v>2925</v>
      </c>
      <c r="G58" s="290">
        <v>2</v>
      </c>
      <c r="H58" s="291">
        <v>34.799999999999997</v>
      </c>
      <c r="I58" s="292">
        <v>3000</v>
      </c>
      <c r="J58" s="292">
        <f>交易[[#This Row],[價格]]*交易[[#This Row],[數量]]*-1</f>
        <v>-104399.99999999999</v>
      </c>
      <c r="L58" s="2"/>
    </row>
    <row r="59" spans="1:12">
      <c r="A59" s="330">
        <v>58</v>
      </c>
      <c r="B59" s="285">
        <v>44307</v>
      </c>
      <c r="C59" s="286">
        <v>3533</v>
      </c>
      <c r="D59" s="287" t="s">
        <v>2939</v>
      </c>
      <c r="E59" s="288" t="s">
        <v>2924</v>
      </c>
      <c r="F59" s="289" t="s">
        <v>2925</v>
      </c>
      <c r="G59" s="290">
        <v>1</v>
      </c>
      <c r="H59" s="291">
        <v>489</v>
      </c>
      <c r="I59" s="292">
        <v>1000</v>
      </c>
      <c r="J59" s="292">
        <f>交易[[#This Row],[價格]]*交易[[#This Row],[數量]]*-1</f>
        <v>-489000</v>
      </c>
      <c r="L59" s="2"/>
    </row>
    <row r="60" spans="1:12">
      <c r="A60" s="330">
        <v>59</v>
      </c>
      <c r="B60" s="285">
        <v>44308</v>
      </c>
      <c r="C60" s="286">
        <v>1409</v>
      </c>
      <c r="D60" s="287" t="s">
        <v>2923</v>
      </c>
      <c r="E60" s="288" t="s">
        <v>2924</v>
      </c>
      <c r="F60" s="294" t="s">
        <v>2930</v>
      </c>
      <c r="G60" s="290">
        <v>3</v>
      </c>
      <c r="H60" s="291">
        <v>21.55</v>
      </c>
      <c r="I60" s="292">
        <v>-5000</v>
      </c>
      <c r="J60" s="292">
        <f>交易[[#This Row],[價格]]*交易[[#This Row],[數量]]*-1</f>
        <v>107750</v>
      </c>
      <c r="L60" s="2"/>
    </row>
    <row r="61" spans="1:12">
      <c r="A61" s="330">
        <v>60</v>
      </c>
      <c r="B61" s="285">
        <v>44308</v>
      </c>
      <c r="C61" s="286">
        <v>1720</v>
      </c>
      <c r="D61" s="287" t="s">
        <v>2936</v>
      </c>
      <c r="E61" s="288" t="s">
        <v>2924</v>
      </c>
      <c r="F61" s="289" t="s">
        <v>2931</v>
      </c>
      <c r="G61" s="290">
        <v>1</v>
      </c>
      <c r="H61" s="291">
        <v>39.6</v>
      </c>
      <c r="I61" s="292">
        <v>-2000</v>
      </c>
      <c r="J61" s="292">
        <f>交易[[#This Row],[價格]]*交易[[#This Row],[數量]]*-1</f>
        <v>79200</v>
      </c>
      <c r="L61" s="2"/>
    </row>
    <row r="62" spans="1:12">
      <c r="A62" s="330">
        <v>61</v>
      </c>
      <c r="B62" s="285">
        <v>44308</v>
      </c>
      <c r="C62" s="286">
        <v>2002</v>
      </c>
      <c r="D62" s="287" t="s">
        <v>2933</v>
      </c>
      <c r="E62" s="288" t="s">
        <v>2924</v>
      </c>
      <c r="F62" s="289" t="s">
        <v>2930</v>
      </c>
      <c r="G62" s="290">
        <v>3</v>
      </c>
      <c r="H62" s="291">
        <v>41.23</v>
      </c>
      <c r="I62" s="292">
        <v>-15000</v>
      </c>
      <c r="J62" s="292">
        <f>交易[[#This Row],[價格]]*交易[[#This Row],[數量]]*-1</f>
        <v>618450</v>
      </c>
      <c r="L62" s="2"/>
    </row>
    <row r="63" spans="1:12">
      <c r="A63" s="330">
        <v>62</v>
      </c>
      <c r="B63" s="285">
        <v>44308</v>
      </c>
      <c r="C63" s="286">
        <v>2002</v>
      </c>
      <c r="D63" s="287" t="s">
        <v>2933</v>
      </c>
      <c r="E63" s="288" t="s">
        <v>2924</v>
      </c>
      <c r="F63" s="289" t="s">
        <v>2925</v>
      </c>
      <c r="G63" s="290">
        <v>4</v>
      </c>
      <c r="H63" s="291">
        <v>41.23</v>
      </c>
      <c r="I63" s="292">
        <v>3000</v>
      </c>
      <c r="J63" s="292">
        <f>交易[[#This Row],[價格]]*交易[[#This Row],[數量]]*-1</f>
        <v>-123689.99999999999</v>
      </c>
      <c r="L63" s="2"/>
    </row>
    <row r="64" spans="1:12">
      <c r="A64" s="330">
        <v>63</v>
      </c>
      <c r="B64" s="285">
        <v>44308</v>
      </c>
      <c r="C64" s="286">
        <v>2345</v>
      </c>
      <c r="D64" s="287" t="s">
        <v>2940</v>
      </c>
      <c r="E64" s="288" t="s">
        <v>2924</v>
      </c>
      <c r="F64" s="289" t="s">
        <v>2925</v>
      </c>
      <c r="G64" s="290">
        <v>1</v>
      </c>
      <c r="H64" s="291">
        <v>276.5</v>
      </c>
      <c r="I64" s="292">
        <v>1000</v>
      </c>
      <c r="J64" s="292">
        <f>交易[[#This Row],[價格]]*交易[[#This Row],[數量]]*-1</f>
        <v>-276500</v>
      </c>
      <c r="L64" s="2"/>
    </row>
    <row r="65" spans="1:12">
      <c r="A65" s="330">
        <v>64</v>
      </c>
      <c r="B65" s="285">
        <v>44308</v>
      </c>
      <c r="C65" s="286">
        <v>6207</v>
      </c>
      <c r="D65" s="287" t="s">
        <v>2935</v>
      </c>
      <c r="E65" s="288" t="s">
        <v>2924</v>
      </c>
      <c r="F65" s="289" t="s">
        <v>2931</v>
      </c>
      <c r="G65" s="290">
        <v>2</v>
      </c>
      <c r="H65" s="291">
        <v>33.799999999999997</v>
      </c>
      <c r="I65" s="292">
        <v>-3000</v>
      </c>
      <c r="J65" s="292">
        <f>交易[[#This Row],[價格]]*交易[[#This Row],[數量]]*-1</f>
        <v>101399.99999999999</v>
      </c>
      <c r="L65" s="2"/>
    </row>
    <row r="66" spans="1:12">
      <c r="A66" s="330">
        <v>65</v>
      </c>
      <c r="B66" s="285">
        <v>44309</v>
      </c>
      <c r="C66" s="286">
        <v>2345</v>
      </c>
      <c r="D66" s="287" t="s">
        <v>2940</v>
      </c>
      <c r="E66" s="288" t="s">
        <v>2924</v>
      </c>
      <c r="F66" s="289" t="s">
        <v>2926</v>
      </c>
      <c r="G66" s="290">
        <v>1</v>
      </c>
      <c r="H66" s="291">
        <v>286.11500000000001</v>
      </c>
      <c r="I66" s="292">
        <v>1000</v>
      </c>
      <c r="J66" s="292">
        <f>交易[[#This Row],[價格]]*交易[[#This Row],[數量]]*-1</f>
        <v>-286115</v>
      </c>
      <c r="L66" s="2"/>
    </row>
    <row r="67" spans="1:12">
      <c r="A67" s="330">
        <v>66</v>
      </c>
      <c r="B67" s="285">
        <v>44312</v>
      </c>
      <c r="C67" s="286">
        <v>2345</v>
      </c>
      <c r="D67" s="287" t="s">
        <v>2940</v>
      </c>
      <c r="E67" s="288" t="s">
        <v>2924</v>
      </c>
      <c r="F67" s="289" t="s">
        <v>2926</v>
      </c>
      <c r="G67" s="290">
        <v>1</v>
      </c>
      <c r="H67" s="291">
        <v>295.5</v>
      </c>
      <c r="I67" s="292">
        <v>2000</v>
      </c>
      <c r="J67" s="292">
        <f>交易[[#This Row],[價格]]*交易[[#This Row],[數量]]*-1</f>
        <v>-591000</v>
      </c>
      <c r="L67" s="2"/>
    </row>
    <row r="68" spans="1:12">
      <c r="A68" s="330">
        <v>67</v>
      </c>
      <c r="B68" s="285">
        <v>44313</v>
      </c>
      <c r="C68" s="286">
        <v>2337</v>
      </c>
      <c r="D68" s="287" t="s">
        <v>2942</v>
      </c>
      <c r="E68" s="288" t="s">
        <v>2924</v>
      </c>
      <c r="F68" s="289" t="s">
        <v>2925</v>
      </c>
      <c r="G68" s="290">
        <v>1</v>
      </c>
      <c r="H68" s="291">
        <v>48.55</v>
      </c>
      <c r="I68" s="292">
        <v>10000</v>
      </c>
      <c r="J68" s="292">
        <f>交易[[#This Row],[價格]]*交易[[#This Row],[數量]]*-1</f>
        <v>-485500</v>
      </c>
      <c r="L68" s="2"/>
    </row>
    <row r="69" spans="1:12">
      <c r="A69" s="330">
        <v>68</v>
      </c>
      <c r="B69" s="285">
        <v>44313</v>
      </c>
      <c r="C69" s="286">
        <v>3533</v>
      </c>
      <c r="D69" s="287" t="s">
        <v>2939</v>
      </c>
      <c r="E69" s="288" t="s">
        <v>2924</v>
      </c>
      <c r="F69" s="289" t="s">
        <v>2926</v>
      </c>
      <c r="G69" s="290">
        <v>1</v>
      </c>
      <c r="H69" s="291">
        <v>518.41999999999996</v>
      </c>
      <c r="I69" s="292">
        <v>1000</v>
      </c>
      <c r="J69" s="292">
        <f>交易[[#This Row],[價格]]*交易[[#This Row],[數量]]*-1</f>
        <v>-518419.99999999994</v>
      </c>
      <c r="L69" s="2"/>
    </row>
    <row r="70" spans="1:12">
      <c r="A70" s="330">
        <v>69</v>
      </c>
      <c r="B70" s="285">
        <v>44314</v>
      </c>
      <c r="C70" s="286">
        <v>2337</v>
      </c>
      <c r="D70" s="287" t="s">
        <v>2942</v>
      </c>
      <c r="E70" s="288" t="s">
        <v>2924</v>
      </c>
      <c r="F70" s="289" t="s">
        <v>2941</v>
      </c>
      <c r="G70" s="290">
        <v>1</v>
      </c>
      <c r="H70" s="291">
        <v>46.8</v>
      </c>
      <c r="I70" s="292">
        <v>-10000</v>
      </c>
      <c r="J70" s="292">
        <f>交易[[#This Row],[價格]]*交易[[#This Row],[數量]]*-1</f>
        <v>468000</v>
      </c>
      <c r="L70" s="2"/>
    </row>
    <row r="71" spans="1:12">
      <c r="A71" s="330">
        <v>70</v>
      </c>
      <c r="B71" s="285">
        <v>44314</v>
      </c>
      <c r="C71" s="286">
        <v>3406</v>
      </c>
      <c r="D71" s="287" t="s">
        <v>2943</v>
      </c>
      <c r="E71" s="288" t="s">
        <v>2924</v>
      </c>
      <c r="F71" s="289" t="s">
        <v>2925</v>
      </c>
      <c r="G71" s="290">
        <v>1</v>
      </c>
      <c r="H71" s="291">
        <v>557</v>
      </c>
      <c r="I71" s="292">
        <v>1000</v>
      </c>
      <c r="J71" s="292">
        <f>交易[[#This Row],[價格]]*交易[[#This Row],[數量]]*-1</f>
        <v>-557000</v>
      </c>
      <c r="L71" s="2"/>
    </row>
    <row r="72" spans="1:12">
      <c r="A72" s="330">
        <v>71</v>
      </c>
      <c r="B72" s="285">
        <v>44315</v>
      </c>
      <c r="C72" s="286">
        <v>2345</v>
      </c>
      <c r="D72" s="287" t="s">
        <v>2940</v>
      </c>
      <c r="E72" s="288" t="s">
        <v>2924</v>
      </c>
      <c r="F72" s="289" t="s">
        <v>2929</v>
      </c>
      <c r="G72" s="290">
        <v>1</v>
      </c>
      <c r="H72" s="291">
        <v>307.16666666666669</v>
      </c>
      <c r="I72" s="292">
        <v>-3000</v>
      </c>
      <c r="J72" s="292">
        <f>交易[[#This Row],[價格]]*交易[[#This Row],[數量]]*-1</f>
        <v>921500</v>
      </c>
      <c r="L72" s="2"/>
    </row>
    <row r="73" spans="1:12">
      <c r="A73" s="330">
        <v>72</v>
      </c>
      <c r="B73" s="285">
        <v>44315</v>
      </c>
      <c r="C73" s="286">
        <v>2520</v>
      </c>
      <c r="D73" s="287" t="s">
        <v>2927</v>
      </c>
      <c r="E73" s="288" t="s">
        <v>2924</v>
      </c>
      <c r="F73" s="294" t="s">
        <v>2930</v>
      </c>
      <c r="G73" s="290">
        <v>1</v>
      </c>
      <c r="H73" s="291">
        <v>43.55</v>
      </c>
      <c r="I73" s="292">
        <v>-5000</v>
      </c>
      <c r="J73" s="292">
        <f>交易[[#This Row],[價格]]*交易[[#This Row],[數量]]*-1</f>
        <v>217750</v>
      </c>
      <c r="L73" s="2"/>
    </row>
    <row r="74" spans="1:12">
      <c r="A74" s="330">
        <v>73</v>
      </c>
      <c r="B74" s="285">
        <v>44315</v>
      </c>
      <c r="C74" s="286">
        <v>3533</v>
      </c>
      <c r="D74" s="287" t="s">
        <v>2939</v>
      </c>
      <c r="E74" s="288" t="s">
        <v>2924</v>
      </c>
      <c r="F74" s="289" t="s">
        <v>2929</v>
      </c>
      <c r="G74" s="290">
        <v>1</v>
      </c>
      <c r="H74" s="291">
        <v>544</v>
      </c>
      <c r="I74" s="292">
        <v>-1000</v>
      </c>
      <c r="J74" s="292">
        <f>交易[[#This Row],[價格]]*交易[[#This Row],[數量]]*-1</f>
        <v>544000</v>
      </c>
      <c r="L74" s="2"/>
    </row>
    <row r="75" spans="1:12">
      <c r="A75" s="330">
        <v>74</v>
      </c>
      <c r="B75" s="285">
        <v>44320</v>
      </c>
      <c r="C75" s="286">
        <v>2345</v>
      </c>
      <c r="D75" s="287" t="s">
        <v>2940</v>
      </c>
      <c r="E75" s="288" t="s">
        <v>2924</v>
      </c>
      <c r="F75" s="289" t="s">
        <v>2930</v>
      </c>
      <c r="G75" s="290">
        <v>1</v>
      </c>
      <c r="H75" s="291">
        <v>303</v>
      </c>
      <c r="I75" s="292">
        <v>-1000</v>
      </c>
      <c r="J75" s="292">
        <f>交易[[#This Row],[價格]]*交易[[#This Row],[數量]]*-1</f>
        <v>303000</v>
      </c>
      <c r="L75" s="2"/>
    </row>
    <row r="76" spans="1:12">
      <c r="A76" s="330">
        <v>75</v>
      </c>
      <c r="B76" s="285">
        <v>44320</v>
      </c>
      <c r="C76" s="286">
        <v>3533</v>
      </c>
      <c r="D76" s="287" t="s">
        <v>2939</v>
      </c>
      <c r="E76" s="288" t="s">
        <v>2924</v>
      </c>
      <c r="F76" s="289" t="s">
        <v>2926</v>
      </c>
      <c r="G76" s="290">
        <v>1</v>
      </c>
      <c r="H76" s="291">
        <v>525</v>
      </c>
      <c r="I76" s="292">
        <v>1000</v>
      </c>
      <c r="J76" s="292">
        <f>交易[[#This Row],[價格]]*交易[[#This Row],[數量]]*-1</f>
        <v>-525000</v>
      </c>
      <c r="L76" s="2"/>
    </row>
    <row r="77" spans="1:12">
      <c r="A77" s="330">
        <v>76</v>
      </c>
      <c r="B77" s="285">
        <v>44320</v>
      </c>
      <c r="C77" s="286">
        <v>8069</v>
      </c>
      <c r="D77" s="287" t="s">
        <v>2944</v>
      </c>
      <c r="E77" s="288" t="s">
        <v>2924</v>
      </c>
      <c r="F77" s="294" t="s">
        <v>2926</v>
      </c>
      <c r="G77" s="290">
        <v>1</v>
      </c>
      <c r="H77" s="291">
        <v>61.1</v>
      </c>
      <c r="I77" s="292">
        <v>5000</v>
      </c>
      <c r="J77" s="292">
        <f>交易[[#This Row],[價格]]*交易[[#This Row],[數量]]*-1</f>
        <v>-305500</v>
      </c>
      <c r="L77" s="2"/>
    </row>
    <row r="78" spans="1:12">
      <c r="A78" s="330">
        <v>77</v>
      </c>
      <c r="B78" s="285">
        <v>44322</v>
      </c>
      <c r="C78" s="286">
        <v>3406</v>
      </c>
      <c r="D78" s="287" t="s">
        <v>2943</v>
      </c>
      <c r="E78" s="288" t="s">
        <v>2924</v>
      </c>
      <c r="F78" s="289" t="s">
        <v>2941</v>
      </c>
      <c r="G78" s="290">
        <v>1</v>
      </c>
      <c r="H78" s="291">
        <v>465.5</v>
      </c>
      <c r="I78" s="292">
        <v>-1000</v>
      </c>
      <c r="J78" s="292">
        <f>交易[[#This Row],[價格]]*交易[[#This Row],[數量]]*-1</f>
        <v>465500</v>
      </c>
      <c r="L78" s="2"/>
    </row>
    <row r="79" spans="1:12">
      <c r="A79" s="330">
        <v>78</v>
      </c>
      <c r="B79" s="285">
        <v>44323</v>
      </c>
      <c r="C79" s="286">
        <v>8069</v>
      </c>
      <c r="D79" s="287" t="s">
        <v>2944</v>
      </c>
      <c r="E79" s="288" t="s">
        <v>2924</v>
      </c>
      <c r="F79" s="294" t="s">
        <v>2926</v>
      </c>
      <c r="G79" s="290">
        <v>1</v>
      </c>
      <c r="H79" s="291">
        <v>61.819999999999993</v>
      </c>
      <c r="I79" s="292">
        <v>5000</v>
      </c>
      <c r="J79" s="292">
        <f>交易[[#This Row],[價格]]*交易[[#This Row],[數量]]*-1</f>
        <v>-309099.99999999994</v>
      </c>
      <c r="L79" s="2"/>
    </row>
    <row r="80" spans="1:12">
      <c r="A80" s="330">
        <v>79</v>
      </c>
      <c r="B80" s="285">
        <v>44326</v>
      </c>
      <c r="C80" s="286">
        <v>2002</v>
      </c>
      <c r="D80" s="287" t="s">
        <v>2933</v>
      </c>
      <c r="E80" s="288" t="s">
        <v>2924</v>
      </c>
      <c r="F80" s="289" t="s">
        <v>2931</v>
      </c>
      <c r="G80" s="290">
        <v>4</v>
      </c>
      <c r="H80" s="291">
        <v>43.9</v>
      </c>
      <c r="I80" s="292">
        <v>-3000</v>
      </c>
      <c r="J80" s="292">
        <f>交易[[#This Row],[價格]]*交易[[#This Row],[數量]]*-1</f>
        <v>131700</v>
      </c>
      <c r="L80" s="2"/>
    </row>
    <row r="81" spans="1:12">
      <c r="A81" s="330">
        <v>80</v>
      </c>
      <c r="B81" s="285">
        <v>44326</v>
      </c>
      <c r="C81" s="286">
        <v>8069</v>
      </c>
      <c r="D81" s="287" t="s">
        <v>2944</v>
      </c>
      <c r="E81" s="288" t="s">
        <v>2924</v>
      </c>
      <c r="F81" s="294" t="s">
        <v>2929</v>
      </c>
      <c r="G81" s="290">
        <v>1</v>
      </c>
      <c r="H81" s="291">
        <v>60</v>
      </c>
      <c r="I81" s="292">
        <v>-5000</v>
      </c>
      <c r="J81" s="292">
        <f>交易[[#This Row],[價格]]*交易[[#This Row],[數量]]*-1</f>
        <v>300000</v>
      </c>
      <c r="L81" s="2"/>
    </row>
    <row r="82" spans="1:12">
      <c r="A82" s="330">
        <v>81</v>
      </c>
      <c r="B82" s="285">
        <v>44327</v>
      </c>
      <c r="C82" s="286">
        <v>1762</v>
      </c>
      <c r="D82" s="287" t="s">
        <v>2937</v>
      </c>
      <c r="E82" s="288" t="s">
        <v>2924</v>
      </c>
      <c r="F82" s="289" t="s">
        <v>2941</v>
      </c>
      <c r="G82" s="290">
        <v>1</v>
      </c>
      <c r="H82" s="291">
        <v>62.4</v>
      </c>
      <c r="I82" s="292">
        <v>-2000</v>
      </c>
      <c r="J82" s="292">
        <f>交易[[#This Row],[價格]]*交易[[#This Row],[數量]]*-1</f>
        <v>124800</v>
      </c>
      <c r="L82" s="2"/>
    </row>
    <row r="83" spans="1:12">
      <c r="A83" s="330">
        <v>82</v>
      </c>
      <c r="B83" s="285">
        <v>44327</v>
      </c>
      <c r="C83" s="286">
        <v>3533</v>
      </c>
      <c r="D83" s="287" t="s">
        <v>2939</v>
      </c>
      <c r="E83" s="288" t="s">
        <v>2924</v>
      </c>
      <c r="F83" s="289" t="s">
        <v>2931</v>
      </c>
      <c r="G83" s="290">
        <v>1</v>
      </c>
      <c r="H83" s="291">
        <v>503</v>
      </c>
      <c r="I83" s="292">
        <v>-2000</v>
      </c>
      <c r="J83" s="292">
        <f>交易[[#This Row],[價格]]*交易[[#This Row],[數量]]*-1</f>
        <v>1006000</v>
      </c>
      <c r="L83" s="2"/>
    </row>
    <row r="84" spans="1:12">
      <c r="A84" s="330">
        <v>83</v>
      </c>
      <c r="B84" s="285">
        <v>44327</v>
      </c>
      <c r="C84" s="286">
        <v>8069</v>
      </c>
      <c r="D84" s="287" t="s">
        <v>2944</v>
      </c>
      <c r="E84" s="288" t="s">
        <v>2924</v>
      </c>
      <c r="F84" s="294" t="s">
        <v>2941</v>
      </c>
      <c r="G84" s="290">
        <v>1</v>
      </c>
      <c r="H84" s="291">
        <v>57.9</v>
      </c>
      <c r="I84" s="292">
        <v>-5000</v>
      </c>
      <c r="J84" s="292">
        <f>交易[[#This Row],[價格]]*交易[[#This Row],[數量]]*-1</f>
        <v>289500</v>
      </c>
      <c r="L84" s="2"/>
    </row>
    <row r="85" spans="1:12">
      <c r="A85" s="330">
        <v>84</v>
      </c>
      <c r="B85" s="285">
        <v>44328</v>
      </c>
      <c r="C85" s="286">
        <v>1101</v>
      </c>
      <c r="D85" s="287" t="s">
        <v>2945</v>
      </c>
      <c r="E85" s="288" t="s">
        <v>2932</v>
      </c>
      <c r="F85" s="294" t="s">
        <v>2925</v>
      </c>
      <c r="G85" s="290">
        <v>1</v>
      </c>
      <c r="H85" s="291">
        <v>50.6</v>
      </c>
      <c r="I85" s="292">
        <v>1000</v>
      </c>
      <c r="J85" s="292">
        <f>交易[[#This Row],[價格]]*交易[[#This Row],[數量]]*-1</f>
        <v>-50600</v>
      </c>
      <c r="L85" s="2"/>
    </row>
    <row r="86" spans="1:12">
      <c r="A86" s="330">
        <v>85</v>
      </c>
      <c r="B86" s="285">
        <v>44328</v>
      </c>
      <c r="C86" s="286">
        <v>2527</v>
      </c>
      <c r="D86" s="287" t="s">
        <v>2946</v>
      </c>
      <c r="E86" s="288" t="s">
        <v>2924</v>
      </c>
      <c r="F86" s="289" t="s">
        <v>2925</v>
      </c>
      <c r="G86" s="290">
        <v>1</v>
      </c>
      <c r="H86" s="291">
        <v>23.15</v>
      </c>
      <c r="I86" s="292">
        <v>2000</v>
      </c>
      <c r="J86" s="292">
        <f>交易[[#This Row],[價格]]*交易[[#This Row],[數量]]*-1</f>
        <v>-46300</v>
      </c>
      <c r="L86" s="2"/>
    </row>
    <row r="87" spans="1:12">
      <c r="A87" s="330">
        <v>86</v>
      </c>
      <c r="B87" s="285">
        <v>44328</v>
      </c>
      <c r="C87" s="286">
        <v>2642</v>
      </c>
      <c r="D87" s="287" t="s">
        <v>2947</v>
      </c>
      <c r="E87" s="288" t="s">
        <v>2932</v>
      </c>
      <c r="F87" s="294" t="s">
        <v>2925</v>
      </c>
      <c r="G87" s="290">
        <v>1</v>
      </c>
      <c r="H87" s="291">
        <v>33.949999999999996</v>
      </c>
      <c r="I87" s="292">
        <v>3000</v>
      </c>
      <c r="J87" s="292">
        <f>交易[[#This Row],[價格]]*交易[[#This Row],[數量]]*-1</f>
        <v>-101849.99999999999</v>
      </c>
      <c r="L87" s="2"/>
    </row>
    <row r="88" spans="1:12">
      <c r="A88" s="330">
        <v>87</v>
      </c>
      <c r="B88" s="285">
        <v>44328</v>
      </c>
      <c r="C88" s="286">
        <v>4736</v>
      </c>
      <c r="D88" s="287" t="s">
        <v>2948</v>
      </c>
      <c r="E88" s="288" t="s">
        <v>2949</v>
      </c>
      <c r="F88" s="294" t="s">
        <v>2925</v>
      </c>
      <c r="G88" s="290">
        <v>1</v>
      </c>
      <c r="H88" s="291">
        <v>169.2</v>
      </c>
      <c r="I88" s="292">
        <v>5000</v>
      </c>
      <c r="J88" s="292">
        <f>交易[[#This Row],[價格]]*交易[[#This Row],[數量]]*-1</f>
        <v>-846000</v>
      </c>
      <c r="L88" s="2"/>
    </row>
    <row r="89" spans="1:12">
      <c r="A89" s="330">
        <v>88</v>
      </c>
      <c r="B89" s="285">
        <v>44330</v>
      </c>
      <c r="C89" s="286">
        <v>2642</v>
      </c>
      <c r="D89" s="287" t="s">
        <v>2947</v>
      </c>
      <c r="E89" s="288" t="s">
        <v>2949</v>
      </c>
      <c r="F89" s="294" t="s">
        <v>2925</v>
      </c>
      <c r="G89" s="290">
        <v>2</v>
      </c>
      <c r="H89" s="291">
        <v>37.35</v>
      </c>
      <c r="I89" s="292">
        <v>2000</v>
      </c>
      <c r="J89" s="292">
        <f>交易[[#This Row],[價格]]*交易[[#This Row],[數量]]*-1</f>
        <v>-74700</v>
      </c>
      <c r="L89" s="2"/>
    </row>
    <row r="90" spans="1:12">
      <c r="A90" s="330">
        <v>89</v>
      </c>
      <c r="B90" s="285">
        <v>44333</v>
      </c>
      <c r="C90" s="286">
        <v>4736</v>
      </c>
      <c r="D90" s="287" t="s">
        <v>2948</v>
      </c>
      <c r="E90" s="288" t="s">
        <v>2949</v>
      </c>
      <c r="F90" s="294" t="s">
        <v>2929</v>
      </c>
      <c r="G90" s="290">
        <v>1</v>
      </c>
      <c r="H90" s="291">
        <v>188.5</v>
      </c>
      <c r="I90" s="292">
        <v>-4000</v>
      </c>
      <c r="J90" s="292">
        <f>交易[[#This Row],[價格]]*交易[[#This Row],[數量]]*-1</f>
        <v>754000</v>
      </c>
      <c r="L90" s="2"/>
    </row>
    <row r="91" spans="1:12">
      <c r="A91" s="330">
        <v>90</v>
      </c>
      <c r="B91" s="285">
        <v>44333</v>
      </c>
      <c r="C91" s="286">
        <v>6509</v>
      </c>
      <c r="D91" s="287" t="s">
        <v>2950</v>
      </c>
      <c r="E91" s="288" t="s">
        <v>2924</v>
      </c>
      <c r="F91" s="294" t="s">
        <v>2925</v>
      </c>
      <c r="G91" s="290">
        <v>1</v>
      </c>
      <c r="H91" s="291">
        <v>28.024999999999999</v>
      </c>
      <c r="I91" s="292">
        <v>20000</v>
      </c>
      <c r="J91" s="292">
        <f>交易[[#This Row],[價格]]*交易[[#This Row],[數量]]*-1</f>
        <v>-560500</v>
      </c>
      <c r="L91" s="2"/>
    </row>
    <row r="92" spans="1:12">
      <c r="A92" s="330">
        <v>91</v>
      </c>
      <c r="B92" s="285">
        <v>44334</v>
      </c>
      <c r="C92" s="286">
        <v>1101</v>
      </c>
      <c r="D92" s="287" t="s">
        <v>2945</v>
      </c>
      <c r="E92" s="288" t="s">
        <v>2924</v>
      </c>
      <c r="F92" s="294" t="s">
        <v>2925</v>
      </c>
      <c r="G92" s="290">
        <v>2</v>
      </c>
      <c r="H92" s="291">
        <v>49.55</v>
      </c>
      <c r="I92" s="292">
        <v>1000</v>
      </c>
      <c r="J92" s="292">
        <f>交易[[#This Row],[價格]]*交易[[#This Row],[數量]]*-1</f>
        <v>-49550</v>
      </c>
      <c r="L92" s="2"/>
    </row>
    <row r="93" spans="1:12">
      <c r="A93" s="330">
        <v>92</v>
      </c>
      <c r="B93" s="285">
        <v>44334</v>
      </c>
      <c r="C93" s="286">
        <v>8069</v>
      </c>
      <c r="D93" s="287" t="s">
        <v>2944</v>
      </c>
      <c r="E93" s="288" t="s">
        <v>2924</v>
      </c>
      <c r="F93" s="294" t="s">
        <v>2925</v>
      </c>
      <c r="G93" s="290">
        <v>2</v>
      </c>
      <c r="H93" s="291">
        <v>56</v>
      </c>
      <c r="I93" s="292">
        <v>3000</v>
      </c>
      <c r="J93" s="292">
        <f>交易[[#This Row],[價格]]*交易[[#This Row],[數量]]*-1</f>
        <v>-168000</v>
      </c>
      <c r="L93" s="2"/>
    </row>
    <row r="94" spans="1:12">
      <c r="A94" s="330">
        <v>93</v>
      </c>
      <c r="B94" s="285">
        <v>44335</v>
      </c>
      <c r="C94" s="286">
        <v>2642</v>
      </c>
      <c r="D94" s="287" t="s">
        <v>2947</v>
      </c>
      <c r="E94" s="288" t="s">
        <v>2949</v>
      </c>
      <c r="F94" s="294" t="s">
        <v>2929</v>
      </c>
      <c r="G94" s="290">
        <v>2</v>
      </c>
      <c r="H94" s="291">
        <v>40.299999999999997</v>
      </c>
      <c r="I94" s="292">
        <v>-2000</v>
      </c>
      <c r="J94" s="292">
        <f>交易[[#This Row],[價格]]*交易[[#This Row],[數量]]*-1</f>
        <v>80600</v>
      </c>
      <c r="L94" s="2"/>
    </row>
    <row r="95" spans="1:12">
      <c r="A95" s="330">
        <v>94</v>
      </c>
      <c r="B95" s="285">
        <v>44335</v>
      </c>
      <c r="C95" s="286">
        <v>3005</v>
      </c>
      <c r="D95" s="287" t="s">
        <v>2951</v>
      </c>
      <c r="E95" s="288" t="s">
        <v>2932</v>
      </c>
      <c r="F95" s="294" t="s">
        <v>2925</v>
      </c>
      <c r="G95" s="290">
        <v>1</v>
      </c>
      <c r="H95" s="291">
        <v>50.1</v>
      </c>
      <c r="I95" s="292">
        <v>1000</v>
      </c>
      <c r="J95" s="292">
        <f>交易[[#This Row],[價格]]*交易[[#This Row],[數量]]*-1</f>
        <v>-50100</v>
      </c>
      <c r="L95" s="2"/>
    </row>
    <row r="96" spans="1:12">
      <c r="A96" s="330">
        <v>95</v>
      </c>
      <c r="B96" s="285">
        <v>44335</v>
      </c>
      <c r="C96" s="286">
        <v>4736</v>
      </c>
      <c r="D96" s="287" t="s">
        <v>2948</v>
      </c>
      <c r="E96" s="288" t="s">
        <v>2949</v>
      </c>
      <c r="F96" s="294" t="s">
        <v>2930</v>
      </c>
      <c r="G96" s="290">
        <v>1</v>
      </c>
      <c r="H96" s="291">
        <v>181.5</v>
      </c>
      <c r="I96" s="292">
        <v>-1000</v>
      </c>
      <c r="J96" s="292">
        <f>交易[[#This Row],[價格]]*交易[[#This Row],[數量]]*-1</f>
        <v>181500</v>
      </c>
      <c r="L96" s="2"/>
    </row>
    <row r="97" spans="1:12">
      <c r="A97" s="330">
        <v>96</v>
      </c>
      <c r="B97" s="285">
        <v>44337</v>
      </c>
      <c r="C97" s="286">
        <v>1599</v>
      </c>
      <c r="D97" s="287" t="s">
        <v>2952</v>
      </c>
      <c r="E97" s="288" t="s">
        <v>2932</v>
      </c>
      <c r="F97" s="294" t="s">
        <v>2925</v>
      </c>
      <c r="G97" s="290">
        <v>1</v>
      </c>
      <c r="H97" s="291">
        <v>38.799999999999997</v>
      </c>
      <c r="I97" s="292">
        <v>1000</v>
      </c>
      <c r="J97" s="292">
        <f>交易[[#This Row],[價格]]*交易[[#This Row],[數量]]*-1</f>
        <v>-38800</v>
      </c>
      <c r="L97" s="2"/>
    </row>
    <row r="98" spans="1:12">
      <c r="A98" s="330">
        <v>97</v>
      </c>
      <c r="B98" s="285">
        <v>44337</v>
      </c>
      <c r="C98" s="286">
        <v>1722</v>
      </c>
      <c r="D98" s="287" t="s">
        <v>2953</v>
      </c>
      <c r="E98" s="288" t="s">
        <v>2924</v>
      </c>
      <c r="F98" s="294" t="s">
        <v>2925</v>
      </c>
      <c r="G98" s="290">
        <v>1</v>
      </c>
      <c r="H98" s="291">
        <v>55.3</v>
      </c>
      <c r="I98" s="292">
        <v>3000</v>
      </c>
      <c r="J98" s="292">
        <f>交易[[#This Row],[價格]]*交易[[#This Row],[數量]]*-1</f>
        <v>-165900</v>
      </c>
      <c r="L98" s="2"/>
    </row>
    <row r="99" spans="1:12">
      <c r="A99" s="330">
        <v>98</v>
      </c>
      <c r="B99" s="285">
        <v>44337</v>
      </c>
      <c r="C99" s="286">
        <v>8069</v>
      </c>
      <c r="D99" s="287" t="s">
        <v>2944</v>
      </c>
      <c r="E99" s="288" t="s">
        <v>2924</v>
      </c>
      <c r="F99" s="294" t="s">
        <v>2931</v>
      </c>
      <c r="G99" s="290">
        <v>2</v>
      </c>
      <c r="H99" s="291">
        <v>58.1</v>
      </c>
      <c r="I99" s="292">
        <v>-3000</v>
      </c>
      <c r="J99" s="292">
        <f>交易[[#This Row],[價格]]*交易[[#This Row],[數量]]*-1</f>
        <v>174300</v>
      </c>
      <c r="L99" s="2"/>
    </row>
    <row r="100" spans="1:12">
      <c r="A100" s="330">
        <v>99</v>
      </c>
      <c r="B100" s="285">
        <v>44341</v>
      </c>
      <c r="C100" s="286">
        <v>6509</v>
      </c>
      <c r="D100" s="287" t="s">
        <v>2950</v>
      </c>
      <c r="E100" s="288" t="s">
        <v>2924</v>
      </c>
      <c r="F100" s="294" t="s">
        <v>2926</v>
      </c>
      <c r="G100" s="290">
        <v>1</v>
      </c>
      <c r="H100" s="291">
        <v>29.25</v>
      </c>
      <c r="I100" s="292">
        <v>10000</v>
      </c>
      <c r="J100" s="292">
        <f>交易[[#This Row],[價格]]*交易[[#This Row],[數量]]*-1</f>
        <v>-292500</v>
      </c>
      <c r="L100" s="2"/>
    </row>
    <row r="101" spans="1:12">
      <c r="A101" s="330">
        <v>100</v>
      </c>
      <c r="B101" s="285">
        <v>44342</v>
      </c>
      <c r="C101" s="286">
        <v>2103</v>
      </c>
      <c r="D101" s="287" t="s">
        <v>2954</v>
      </c>
      <c r="E101" s="288" t="s">
        <v>2924</v>
      </c>
      <c r="F101" s="294" t="s">
        <v>2925</v>
      </c>
      <c r="G101" s="290">
        <v>1</v>
      </c>
      <c r="H101" s="291">
        <v>30.25</v>
      </c>
      <c r="I101" s="292">
        <v>5000</v>
      </c>
      <c r="J101" s="292">
        <f>交易[[#This Row],[價格]]*交易[[#This Row],[數量]]*-1</f>
        <v>-151250</v>
      </c>
      <c r="L101" s="2"/>
    </row>
    <row r="102" spans="1:12">
      <c r="A102" s="330">
        <v>101</v>
      </c>
      <c r="B102" s="285">
        <v>44344</v>
      </c>
      <c r="C102" s="286">
        <v>2642</v>
      </c>
      <c r="D102" s="287" t="s">
        <v>2947</v>
      </c>
      <c r="E102" s="288" t="s">
        <v>2932</v>
      </c>
      <c r="F102" s="294" t="s">
        <v>2930</v>
      </c>
      <c r="G102" s="290">
        <v>1</v>
      </c>
      <c r="H102" s="291">
        <v>76.8</v>
      </c>
      <c r="I102" s="292">
        <v>-3000</v>
      </c>
      <c r="J102" s="292">
        <f>交易[[#This Row],[價格]]*交易[[#This Row],[數量]]*-1</f>
        <v>230400</v>
      </c>
      <c r="L102" s="2"/>
    </row>
    <row r="103" spans="1:12">
      <c r="A103" s="330">
        <v>102</v>
      </c>
      <c r="B103" s="285">
        <v>44347</v>
      </c>
      <c r="C103" s="286">
        <v>1784</v>
      </c>
      <c r="D103" s="287" t="s">
        <v>2955</v>
      </c>
      <c r="E103" s="288" t="s">
        <v>2924</v>
      </c>
      <c r="F103" s="289" t="s">
        <v>2925</v>
      </c>
      <c r="G103" s="290">
        <v>1</v>
      </c>
      <c r="H103" s="291">
        <v>41</v>
      </c>
      <c r="I103" s="292">
        <v>2000</v>
      </c>
      <c r="J103" s="292">
        <f>交易[[#This Row],[價格]]*交易[[#This Row],[數量]]*-1</f>
        <v>-82000</v>
      </c>
      <c r="L103" s="2"/>
    </row>
    <row r="104" spans="1:12">
      <c r="A104" s="330">
        <v>103</v>
      </c>
      <c r="B104" s="285">
        <v>44347</v>
      </c>
      <c r="C104" s="286">
        <v>2376</v>
      </c>
      <c r="D104" s="287" t="s">
        <v>2956</v>
      </c>
      <c r="E104" s="288" t="s">
        <v>2924</v>
      </c>
      <c r="F104" s="294" t="s">
        <v>2925</v>
      </c>
      <c r="G104" s="290">
        <v>1</v>
      </c>
      <c r="H104" s="291">
        <v>109</v>
      </c>
      <c r="I104" s="292">
        <v>1000</v>
      </c>
      <c r="J104" s="292">
        <f>交易[[#This Row],[價格]]*交易[[#This Row],[數量]]*-1</f>
        <v>-109000</v>
      </c>
      <c r="L104" s="2"/>
    </row>
    <row r="105" spans="1:12">
      <c r="A105" s="330">
        <v>104</v>
      </c>
      <c r="B105" s="285">
        <v>44348</v>
      </c>
      <c r="C105" s="286">
        <v>2103</v>
      </c>
      <c r="D105" s="287" t="s">
        <v>2954</v>
      </c>
      <c r="E105" s="288" t="s">
        <v>2924</v>
      </c>
      <c r="F105" s="294" t="s">
        <v>2930</v>
      </c>
      <c r="G105" s="290">
        <v>1</v>
      </c>
      <c r="H105" s="291">
        <v>31</v>
      </c>
      <c r="I105" s="292">
        <v>-5000</v>
      </c>
      <c r="J105" s="292">
        <f>交易[[#This Row],[價格]]*交易[[#This Row],[數量]]*-1</f>
        <v>155000</v>
      </c>
      <c r="L105" s="2"/>
    </row>
    <row r="106" spans="1:12">
      <c r="A106" s="330">
        <v>105</v>
      </c>
      <c r="B106" s="285">
        <v>44348</v>
      </c>
      <c r="C106" s="286">
        <v>3413</v>
      </c>
      <c r="D106" s="287" t="s">
        <v>2957</v>
      </c>
      <c r="E106" s="288" t="s">
        <v>2924</v>
      </c>
      <c r="F106" s="294" t="s">
        <v>2925</v>
      </c>
      <c r="G106" s="290">
        <v>1</v>
      </c>
      <c r="H106" s="291">
        <v>237.5</v>
      </c>
      <c r="I106" s="292">
        <v>1000</v>
      </c>
      <c r="J106" s="292">
        <f>交易[[#This Row],[價格]]*交易[[#This Row],[數量]]*-1</f>
        <v>-237500</v>
      </c>
      <c r="L106" s="2"/>
    </row>
    <row r="107" spans="1:12">
      <c r="A107" s="330">
        <v>106</v>
      </c>
      <c r="B107" s="285">
        <v>44348</v>
      </c>
      <c r="C107" s="286">
        <v>6509</v>
      </c>
      <c r="D107" s="287" t="s">
        <v>2950</v>
      </c>
      <c r="E107" s="288" t="s">
        <v>2924</v>
      </c>
      <c r="F107" s="294" t="s">
        <v>2926</v>
      </c>
      <c r="G107" s="290">
        <v>1</v>
      </c>
      <c r="H107" s="291">
        <v>31.25</v>
      </c>
      <c r="I107" s="292">
        <v>5000</v>
      </c>
      <c r="J107" s="292">
        <f>交易[[#This Row],[價格]]*交易[[#This Row],[數量]]*-1</f>
        <v>-156250</v>
      </c>
      <c r="L107" s="2"/>
    </row>
    <row r="108" spans="1:12">
      <c r="A108" s="330">
        <v>107</v>
      </c>
      <c r="B108" s="285">
        <v>44348</v>
      </c>
      <c r="C108" s="286">
        <v>6509</v>
      </c>
      <c r="D108" s="287" t="s">
        <v>2950</v>
      </c>
      <c r="E108" s="288" t="s">
        <v>2924</v>
      </c>
      <c r="F108" s="294" t="s">
        <v>2929</v>
      </c>
      <c r="G108" s="290">
        <v>1</v>
      </c>
      <c r="H108" s="291">
        <v>31.15</v>
      </c>
      <c r="I108" s="292">
        <v>-5000</v>
      </c>
      <c r="J108" s="292">
        <f>交易[[#This Row],[價格]]*交易[[#This Row],[數量]]*-1</f>
        <v>155750</v>
      </c>
      <c r="L108" s="2"/>
    </row>
    <row r="109" spans="1:12">
      <c r="A109" s="330">
        <v>108</v>
      </c>
      <c r="B109" s="285">
        <v>44349</v>
      </c>
      <c r="C109" s="286">
        <v>3413</v>
      </c>
      <c r="D109" s="287" t="s">
        <v>2957</v>
      </c>
      <c r="E109" s="288" t="s">
        <v>2924</v>
      </c>
      <c r="F109" s="294" t="s">
        <v>2941</v>
      </c>
      <c r="G109" s="290">
        <v>1</v>
      </c>
      <c r="H109" s="291">
        <v>233.25</v>
      </c>
      <c r="I109" s="292">
        <v>-1000</v>
      </c>
      <c r="J109" s="292">
        <f>交易[[#This Row],[價格]]*交易[[#This Row],[數量]]*-1</f>
        <v>233250</v>
      </c>
      <c r="L109" s="2"/>
    </row>
    <row r="110" spans="1:12">
      <c r="A110" s="330">
        <v>109</v>
      </c>
      <c r="B110" s="285">
        <v>44351</v>
      </c>
      <c r="C110" s="286">
        <v>1210</v>
      </c>
      <c r="D110" s="287" t="s">
        <v>2958</v>
      </c>
      <c r="E110" s="288" t="s">
        <v>2924</v>
      </c>
      <c r="F110" s="294" t="s">
        <v>2925</v>
      </c>
      <c r="G110" s="290">
        <v>1</v>
      </c>
      <c r="H110" s="291">
        <v>58</v>
      </c>
      <c r="I110" s="292">
        <v>2000</v>
      </c>
      <c r="J110" s="292">
        <f>交易[[#This Row],[價格]]*交易[[#This Row],[數量]]*-1</f>
        <v>-116000</v>
      </c>
      <c r="L110" s="2"/>
    </row>
    <row r="111" spans="1:12">
      <c r="A111" s="330">
        <v>110</v>
      </c>
      <c r="B111" s="285">
        <v>44351</v>
      </c>
      <c r="C111" s="286">
        <v>1605</v>
      </c>
      <c r="D111" s="287" t="s">
        <v>2959</v>
      </c>
      <c r="E111" s="288" t="s">
        <v>2924</v>
      </c>
      <c r="F111" s="294" t="s">
        <v>2925</v>
      </c>
      <c r="G111" s="290">
        <v>1</v>
      </c>
      <c r="H111" s="291">
        <v>26.9</v>
      </c>
      <c r="I111" s="292">
        <v>4000</v>
      </c>
      <c r="J111" s="292">
        <f>交易[[#This Row],[價格]]*交易[[#This Row],[數量]]*-1</f>
        <v>-107600</v>
      </c>
      <c r="L111" s="2"/>
    </row>
    <row r="112" spans="1:12">
      <c r="A112" s="330">
        <v>111</v>
      </c>
      <c r="B112" s="285">
        <v>44351</v>
      </c>
      <c r="C112" s="286">
        <v>6224</v>
      </c>
      <c r="D112" s="287" t="s">
        <v>2960</v>
      </c>
      <c r="E112" s="288" t="s">
        <v>2924</v>
      </c>
      <c r="F112" s="294" t="s">
        <v>2925</v>
      </c>
      <c r="G112" s="290">
        <v>1</v>
      </c>
      <c r="H112" s="291">
        <v>118.5</v>
      </c>
      <c r="I112" s="292">
        <v>2500</v>
      </c>
      <c r="J112" s="292">
        <f>交易[[#This Row],[價格]]*交易[[#This Row],[數量]]*-1</f>
        <v>-296250</v>
      </c>
      <c r="L112" s="2"/>
    </row>
    <row r="113" spans="1:12">
      <c r="A113" s="330">
        <v>112</v>
      </c>
      <c r="B113" s="285">
        <v>44351</v>
      </c>
      <c r="C113" s="286">
        <v>2376</v>
      </c>
      <c r="D113" s="287" t="s">
        <v>2956</v>
      </c>
      <c r="E113" s="288" t="s">
        <v>2924</v>
      </c>
      <c r="F113" s="294" t="s">
        <v>2961</v>
      </c>
      <c r="G113" s="290">
        <v>1</v>
      </c>
      <c r="H113" s="291">
        <v>112</v>
      </c>
      <c r="I113" s="292">
        <v>-1000</v>
      </c>
      <c r="J113" s="292">
        <f>交易[[#This Row],[價格]]*交易[[#This Row],[數量]]*-1</f>
        <v>112000</v>
      </c>
      <c r="L113" s="2"/>
    </row>
    <row r="114" spans="1:12">
      <c r="A114" s="330">
        <v>113</v>
      </c>
      <c r="B114" s="285">
        <v>44354</v>
      </c>
      <c r="C114" s="286">
        <v>1605</v>
      </c>
      <c r="D114" s="287" t="s">
        <v>2959</v>
      </c>
      <c r="E114" s="288" t="s">
        <v>2924</v>
      </c>
      <c r="F114" s="294" t="s">
        <v>2926</v>
      </c>
      <c r="G114" s="290">
        <v>1</v>
      </c>
      <c r="H114" s="291">
        <v>27</v>
      </c>
      <c r="I114" s="292">
        <v>4000</v>
      </c>
      <c r="J114" s="292">
        <f>交易[[#This Row],[價格]]*交易[[#This Row],[數量]]*-1</f>
        <v>-108000</v>
      </c>
      <c r="L114" s="2"/>
    </row>
    <row r="115" spans="1:12">
      <c r="A115" s="330">
        <v>114</v>
      </c>
      <c r="B115" s="285">
        <v>44354</v>
      </c>
      <c r="C115" s="286">
        <v>1605</v>
      </c>
      <c r="D115" s="287" t="s">
        <v>2959</v>
      </c>
      <c r="E115" s="288" t="s">
        <v>2924</v>
      </c>
      <c r="F115" s="294" t="s">
        <v>2964</v>
      </c>
      <c r="G115" s="290">
        <v>1</v>
      </c>
      <c r="H115" s="291">
        <v>26.3</v>
      </c>
      <c r="I115" s="292">
        <v>-4000</v>
      </c>
      <c r="J115" s="292">
        <f>交易[[#This Row],[價格]]*交易[[#This Row],[數量]]*-1</f>
        <v>105200</v>
      </c>
      <c r="L115" s="2"/>
    </row>
    <row r="116" spans="1:12">
      <c r="A116" s="330">
        <v>115</v>
      </c>
      <c r="B116" s="285">
        <v>44354</v>
      </c>
      <c r="C116" s="286">
        <v>1605</v>
      </c>
      <c r="D116" s="287" t="s">
        <v>2959</v>
      </c>
      <c r="E116" s="288" t="s">
        <v>2924</v>
      </c>
      <c r="F116" s="294" t="s">
        <v>2926</v>
      </c>
      <c r="G116" s="290">
        <v>1</v>
      </c>
      <c r="H116" s="291">
        <v>26.6</v>
      </c>
      <c r="I116" s="292">
        <v>5000</v>
      </c>
      <c r="J116" s="292">
        <f>交易[[#This Row],[價格]]*交易[[#This Row],[數量]]*-1</f>
        <v>-133000</v>
      </c>
      <c r="L116" s="2"/>
    </row>
    <row r="117" spans="1:12">
      <c r="A117" s="330">
        <v>116</v>
      </c>
      <c r="B117" s="285">
        <v>44354</v>
      </c>
      <c r="C117" s="286">
        <v>4736</v>
      </c>
      <c r="D117" s="287" t="s">
        <v>2948</v>
      </c>
      <c r="E117" s="288" t="s">
        <v>2924</v>
      </c>
      <c r="F117" s="294" t="s">
        <v>2962</v>
      </c>
      <c r="G117" s="290">
        <v>2</v>
      </c>
      <c r="H117" s="291">
        <v>220</v>
      </c>
      <c r="I117" s="292">
        <v>1000</v>
      </c>
      <c r="J117" s="292">
        <f>交易[[#This Row],[價格]]*交易[[#This Row],[數量]]*-1</f>
        <v>-220000</v>
      </c>
      <c r="L117" s="2"/>
    </row>
    <row r="118" spans="1:12">
      <c r="A118" s="330">
        <v>117</v>
      </c>
      <c r="B118" s="285">
        <v>44355</v>
      </c>
      <c r="C118" s="286">
        <v>4736</v>
      </c>
      <c r="D118" s="287" t="s">
        <v>2948</v>
      </c>
      <c r="E118" s="288" t="s">
        <v>2924</v>
      </c>
      <c r="F118" s="294" t="s">
        <v>2961</v>
      </c>
      <c r="G118" s="290">
        <v>2</v>
      </c>
      <c r="H118" s="291">
        <v>224.5</v>
      </c>
      <c r="I118" s="292">
        <v>-1000</v>
      </c>
      <c r="J118" s="292">
        <f>交易[[#This Row],[價格]]*交易[[#This Row],[數量]]*-1</f>
        <v>224500</v>
      </c>
      <c r="L118" s="2"/>
    </row>
    <row r="119" spans="1:12">
      <c r="A119" s="330">
        <v>118</v>
      </c>
      <c r="B119" s="285">
        <v>44355</v>
      </c>
      <c r="C119" s="286">
        <v>4736</v>
      </c>
      <c r="D119" s="287" t="s">
        <v>2948</v>
      </c>
      <c r="E119" s="288" t="s">
        <v>2924</v>
      </c>
      <c r="F119" s="294" t="s">
        <v>2962</v>
      </c>
      <c r="G119" s="290">
        <v>3</v>
      </c>
      <c r="H119" s="291">
        <v>232</v>
      </c>
      <c r="I119" s="292">
        <v>2000</v>
      </c>
      <c r="J119" s="292">
        <f>交易[[#This Row],[價格]]*交易[[#This Row],[數量]]*-1</f>
        <v>-464000</v>
      </c>
      <c r="L119" s="2"/>
    </row>
    <row r="120" spans="1:12">
      <c r="A120" s="330">
        <v>119</v>
      </c>
      <c r="B120" s="285">
        <v>44355</v>
      </c>
      <c r="C120" s="286">
        <v>4736</v>
      </c>
      <c r="D120" s="287" t="s">
        <v>2948</v>
      </c>
      <c r="E120" s="288" t="s">
        <v>2924</v>
      </c>
      <c r="F120" s="294" t="s">
        <v>2963</v>
      </c>
      <c r="G120" s="290">
        <v>3</v>
      </c>
      <c r="H120" s="291">
        <v>229.5</v>
      </c>
      <c r="I120" s="292">
        <v>-2000</v>
      </c>
      <c r="J120" s="292">
        <f>交易[[#This Row],[價格]]*交易[[#This Row],[數量]]*-1</f>
        <v>459000</v>
      </c>
      <c r="L120" s="2"/>
    </row>
    <row r="121" spans="1:12">
      <c r="A121" s="330">
        <v>120</v>
      </c>
      <c r="B121" s="285">
        <v>44355</v>
      </c>
      <c r="C121" s="286">
        <v>4736</v>
      </c>
      <c r="D121" s="287" t="s">
        <v>2948</v>
      </c>
      <c r="E121" s="288" t="s">
        <v>2924</v>
      </c>
      <c r="F121" s="294" t="s">
        <v>2962</v>
      </c>
      <c r="G121" s="290">
        <v>4</v>
      </c>
      <c r="H121" s="291">
        <v>231</v>
      </c>
      <c r="I121" s="292">
        <v>2000</v>
      </c>
      <c r="J121" s="292">
        <f>交易[[#This Row],[價格]]*交易[[#This Row],[數量]]*-1</f>
        <v>-462000</v>
      </c>
      <c r="L121" s="2"/>
    </row>
    <row r="122" spans="1:12">
      <c r="A122" s="330">
        <v>121</v>
      </c>
      <c r="B122" s="285">
        <v>44355</v>
      </c>
      <c r="C122" s="286">
        <v>3005</v>
      </c>
      <c r="D122" s="287" t="s">
        <v>2951</v>
      </c>
      <c r="E122" s="288" t="s">
        <v>2932</v>
      </c>
      <c r="F122" s="294" t="s">
        <v>2965</v>
      </c>
      <c r="G122" s="290">
        <v>1</v>
      </c>
      <c r="H122" s="291">
        <v>50.1</v>
      </c>
      <c r="I122" s="292">
        <v>-1000</v>
      </c>
      <c r="J122" s="292">
        <v>-50100</v>
      </c>
      <c r="L122" s="2"/>
    </row>
    <row r="123" spans="1:12">
      <c r="A123" s="330">
        <v>122</v>
      </c>
      <c r="B123" s="285">
        <v>44355</v>
      </c>
      <c r="C123" s="286">
        <v>6509</v>
      </c>
      <c r="D123" s="287" t="s">
        <v>2950</v>
      </c>
      <c r="E123" s="288" t="s">
        <v>2924</v>
      </c>
      <c r="F123" s="294" t="s">
        <v>2926</v>
      </c>
      <c r="G123" s="290">
        <v>1</v>
      </c>
      <c r="H123" s="291">
        <v>31.1</v>
      </c>
      <c r="I123" s="292">
        <v>5000</v>
      </c>
      <c r="J123" s="292">
        <f>交易[[#This Row],[價格]]*交易[[#This Row],[數量]]*-1</f>
        <v>-155500</v>
      </c>
      <c r="L123" s="2"/>
    </row>
    <row r="124" spans="1:12">
      <c r="A124" s="330">
        <v>123</v>
      </c>
      <c r="B124" s="285">
        <v>44356</v>
      </c>
      <c r="C124" s="286">
        <v>4736</v>
      </c>
      <c r="D124" s="287" t="s">
        <v>2948</v>
      </c>
      <c r="E124" s="288" t="s">
        <v>2924</v>
      </c>
      <c r="F124" s="294" t="s">
        <v>2963</v>
      </c>
      <c r="G124" s="290">
        <v>4</v>
      </c>
      <c r="H124" s="291">
        <v>223</v>
      </c>
      <c r="I124" s="292">
        <v>-2000</v>
      </c>
      <c r="J124" s="292">
        <f>交易[[#This Row],[價格]]*交易[[#This Row],[數量]]*-1</f>
        <v>446000</v>
      </c>
      <c r="L124" s="2"/>
    </row>
    <row r="125" spans="1:12">
      <c r="A125" s="330">
        <v>124</v>
      </c>
      <c r="B125" s="285">
        <v>44357</v>
      </c>
      <c r="C125" s="286">
        <v>2464</v>
      </c>
      <c r="D125" s="287" t="s">
        <v>2966</v>
      </c>
      <c r="E125" s="288" t="s">
        <v>2932</v>
      </c>
      <c r="F125" s="294" t="s">
        <v>2962</v>
      </c>
      <c r="G125" s="290">
        <v>1</v>
      </c>
      <c r="H125" s="291">
        <v>44.5</v>
      </c>
      <c r="I125" s="292">
        <v>1000</v>
      </c>
      <c r="J125" s="292">
        <f>交易[[#This Row],[價格]]*交易[[#This Row],[數量]]*-1</f>
        <v>-44500</v>
      </c>
      <c r="L125" s="2"/>
    </row>
    <row r="126" spans="1:12">
      <c r="A126" s="330">
        <v>125</v>
      </c>
      <c r="B126" s="285">
        <v>44357</v>
      </c>
      <c r="C126" s="286">
        <v>3413</v>
      </c>
      <c r="D126" s="287" t="s">
        <v>2957</v>
      </c>
      <c r="E126" s="288" t="s">
        <v>2924</v>
      </c>
      <c r="F126" s="294" t="s">
        <v>2925</v>
      </c>
      <c r="G126" s="290">
        <v>2</v>
      </c>
      <c r="H126" s="291">
        <v>233.5</v>
      </c>
      <c r="I126" s="292">
        <v>200</v>
      </c>
      <c r="J126" s="292">
        <f>交易[[#This Row],[價格]]*交易[[#This Row],[數量]]*-1</f>
        <v>-46700</v>
      </c>
      <c r="L126" s="2"/>
    </row>
    <row r="127" spans="1:12">
      <c r="A127" s="330">
        <v>126</v>
      </c>
      <c r="B127" s="285">
        <v>44358</v>
      </c>
      <c r="C127" s="286">
        <v>3413</v>
      </c>
      <c r="D127" s="287" t="s">
        <v>2957</v>
      </c>
      <c r="E127" s="288" t="s">
        <v>2924</v>
      </c>
      <c r="F127" s="294" t="s">
        <v>2929</v>
      </c>
      <c r="G127" s="290">
        <v>2</v>
      </c>
      <c r="H127" s="291">
        <v>239</v>
      </c>
      <c r="I127" s="292">
        <v>-200</v>
      </c>
      <c r="J127" s="292">
        <f>交易[[#This Row],[價格]]*交易[[#This Row],[數量]]*-1</f>
        <v>47800</v>
      </c>
      <c r="L127" s="2"/>
    </row>
    <row r="128" spans="1:12">
      <c r="A128" s="330">
        <v>127</v>
      </c>
      <c r="B128" s="285">
        <v>44358</v>
      </c>
      <c r="C128" s="286">
        <v>3413</v>
      </c>
      <c r="D128" s="287" t="s">
        <v>2957</v>
      </c>
      <c r="E128" s="288" t="s">
        <v>2924</v>
      </c>
      <c r="F128" s="294" t="s">
        <v>2926</v>
      </c>
      <c r="G128" s="290">
        <v>2</v>
      </c>
      <c r="H128" s="291">
        <v>240</v>
      </c>
      <c r="I128" s="292">
        <v>1000</v>
      </c>
      <c r="J128" s="292">
        <f>交易[[#This Row],[價格]]*交易[[#This Row],[數量]]*-1</f>
        <v>-240000</v>
      </c>
      <c r="L128" s="2"/>
    </row>
    <row r="129" spans="1:12">
      <c r="A129" s="330">
        <v>128</v>
      </c>
      <c r="B129" s="285">
        <v>44358</v>
      </c>
      <c r="C129" s="286">
        <v>2464</v>
      </c>
      <c r="D129" s="287" t="s">
        <v>2966</v>
      </c>
      <c r="E129" s="288" t="s">
        <v>2924</v>
      </c>
      <c r="F129" s="294" t="s">
        <v>2925</v>
      </c>
      <c r="G129" s="290">
        <v>2</v>
      </c>
      <c r="H129" s="291">
        <v>44.774999999999999</v>
      </c>
      <c r="I129" s="292">
        <v>2000</v>
      </c>
      <c r="J129" s="292">
        <f>交易[[#This Row],[價格]]*交易[[#This Row],[數量]]*-1</f>
        <v>-89550</v>
      </c>
      <c r="L129" s="2"/>
    </row>
    <row r="130" spans="1:12">
      <c r="A130" s="330">
        <v>129</v>
      </c>
      <c r="B130" s="285">
        <v>44358</v>
      </c>
      <c r="C130" s="286">
        <v>5434</v>
      </c>
      <c r="D130" s="287" t="s">
        <v>2967</v>
      </c>
      <c r="E130" s="288" t="s">
        <v>2932</v>
      </c>
      <c r="F130" s="294" t="s">
        <v>2925</v>
      </c>
      <c r="G130" s="290">
        <v>1</v>
      </c>
      <c r="H130" s="291">
        <v>124</v>
      </c>
      <c r="I130" s="292">
        <v>1000</v>
      </c>
      <c r="J130" s="292">
        <f>交易[[#This Row],[價格]]*交易[[#This Row],[數量]]*-1</f>
        <v>-124000</v>
      </c>
      <c r="L130" s="2"/>
    </row>
    <row r="131" spans="1:12">
      <c r="A131" s="330">
        <v>130</v>
      </c>
      <c r="B131" s="285">
        <v>44358</v>
      </c>
      <c r="C131" s="286">
        <v>6187</v>
      </c>
      <c r="D131" s="287" t="s">
        <v>2968</v>
      </c>
      <c r="E131" s="288" t="s">
        <v>2924</v>
      </c>
      <c r="F131" s="294" t="s">
        <v>2925</v>
      </c>
      <c r="G131" s="290">
        <v>1</v>
      </c>
      <c r="H131" s="291">
        <v>134.5</v>
      </c>
      <c r="I131" s="292">
        <v>1000</v>
      </c>
      <c r="J131" s="292">
        <f>交易[[#This Row],[價格]]*交易[[#This Row],[數量]]*-1</f>
        <v>-134500</v>
      </c>
      <c r="L131" s="2"/>
    </row>
    <row r="132" spans="1:12">
      <c r="A132" s="330">
        <v>131</v>
      </c>
      <c r="B132" s="285">
        <v>44358</v>
      </c>
      <c r="C132" s="286">
        <v>6196</v>
      </c>
      <c r="D132" s="287" t="s">
        <v>2969</v>
      </c>
      <c r="E132" s="288" t="s">
        <v>2924</v>
      </c>
      <c r="F132" s="294" t="s">
        <v>2925</v>
      </c>
      <c r="G132" s="290">
        <v>1</v>
      </c>
      <c r="H132" s="291">
        <v>105</v>
      </c>
      <c r="I132" s="292">
        <v>1000</v>
      </c>
      <c r="J132" s="292">
        <f>交易[[#This Row],[價格]]*交易[[#This Row],[數量]]*-1</f>
        <v>-105000</v>
      </c>
      <c r="L132" s="2"/>
    </row>
    <row r="133" spans="1:12">
      <c r="A133" s="330">
        <v>132</v>
      </c>
      <c r="B133" s="285">
        <v>44358</v>
      </c>
      <c r="C133" s="286">
        <v>1210</v>
      </c>
      <c r="D133" s="287" t="s">
        <v>2958</v>
      </c>
      <c r="E133" s="288" t="s">
        <v>2924</v>
      </c>
      <c r="F133" s="294" t="s">
        <v>2964</v>
      </c>
      <c r="G133" s="290">
        <v>1</v>
      </c>
      <c r="H133" s="291">
        <v>57.95</v>
      </c>
      <c r="I133" s="292">
        <v>-1000</v>
      </c>
      <c r="J133" s="292">
        <f>交易[[#This Row],[價格]]*交易[[#This Row],[數量]]*-1</f>
        <v>57950</v>
      </c>
      <c r="L133" s="2"/>
    </row>
    <row r="134" spans="1:12">
      <c r="A134" s="330">
        <v>133</v>
      </c>
      <c r="B134" s="285">
        <v>44358</v>
      </c>
      <c r="C134" s="286">
        <v>1784</v>
      </c>
      <c r="D134" s="287" t="s">
        <v>2955</v>
      </c>
      <c r="E134" s="288" t="s">
        <v>2924</v>
      </c>
      <c r="F134" s="294" t="s">
        <v>2930</v>
      </c>
      <c r="G134" s="290">
        <v>1</v>
      </c>
      <c r="H134" s="291">
        <v>44.3</v>
      </c>
      <c r="I134" s="292">
        <v>-2000</v>
      </c>
      <c r="J134" s="292">
        <f>交易[[#This Row],[價格]]*交易[[#This Row],[數量]]*-1</f>
        <v>88600</v>
      </c>
      <c r="L134" s="2"/>
    </row>
    <row r="135" spans="1:12">
      <c r="A135" s="330">
        <v>134</v>
      </c>
      <c r="B135" s="285">
        <v>44358</v>
      </c>
      <c r="C135" s="286">
        <v>6224</v>
      </c>
      <c r="D135" s="287" t="s">
        <v>2960</v>
      </c>
      <c r="E135" s="288" t="s">
        <v>2924</v>
      </c>
      <c r="F135" s="294" t="s">
        <v>2929</v>
      </c>
      <c r="G135" s="290">
        <v>1</v>
      </c>
      <c r="H135" s="291">
        <v>120.5</v>
      </c>
      <c r="I135" s="292">
        <v>-2000</v>
      </c>
      <c r="J135" s="292">
        <f>交易[[#This Row],[價格]]*交易[[#This Row],[數量]]*-1</f>
        <v>241000</v>
      </c>
      <c r="L135" s="2"/>
    </row>
    <row r="136" spans="1:12">
      <c r="A136" s="330">
        <v>135</v>
      </c>
      <c r="B136" s="285">
        <v>44362</v>
      </c>
      <c r="C136" s="286">
        <v>1599</v>
      </c>
      <c r="D136" s="287" t="s">
        <v>2952</v>
      </c>
      <c r="E136" s="288" t="s">
        <v>2924</v>
      </c>
      <c r="F136" s="294" t="s">
        <v>2925</v>
      </c>
      <c r="G136" s="290">
        <v>2</v>
      </c>
      <c r="H136" s="291">
        <v>42.35</v>
      </c>
      <c r="I136" s="292">
        <v>1000</v>
      </c>
      <c r="J136" s="292">
        <f>交易[[#This Row],[價格]]*交易[[#This Row],[數量]]*-1</f>
        <v>-42350</v>
      </c>
      <c r="L136" s="2"/>
    </row>
    <row r="137" spans="1:12">
      <c r="A137" s="330">
        <v>136</v>
      </c>
      <c r="B137" s="285">
        <v>44362</v>
      </c>
      <c r="C137" s="286">
        <v>1605</v>
      </c>
      <c r="D137" s="287" t="s">
        <v>2959</v>
      </c>
      <c r="E137" s="288" t="s">
        <v>2924</v>
      </c>
      <c r="F137" s="294" t="s">
        <v>2970</v>
      </c>
      <c r="G137" s="290">
        <v>1</v>
      </c>
      <c r="H137" s="291">
        <v>26.5</v>
      </c>
      <c r="I137" s="292">
        <v>6000</v>
      </c>
      <c r="J137" s="292">
        <f>交易[[#This Row],[價格]]*交易[[#This Row],[數量]]*-1</f>
        <v>-159000</v>
      </c>
      <c r="L137" s="2"/>
    </row>
    <row r="138" spans="1:12">
      <c r="A138" s="330">
        <v>137</v>
      </c>
      <c r="B138" s="285">
        <v>44362</v>
      </c>
      <c r="C138" s="286">
        <v>6224</v>
      </c>
      <c r="D138" s="287" t="s">
        <v>2960</v>
      </c>
      <c r="E138" s="288" t="s">
        <v>2924</v>
      </c>
      <c r="F138" s="294" t="s">
        <v>2930</v>
      </c>
      <c r="G138" s="290">
        <v>1</v>
      </c>
      <c r="H138" s="291">
        <v>118.5</v>
      </c>
      <c r="I138" s="292">
        <v>-500</v>
      </c>
      <c r="J138" s="292">
        <f>交易[[#This Row],[價格]]*交易[[#This Row],[數量]]*-1</f>
        <v>59250</v>
      </c>
      <c r="L138" s="2"/>
    </row>
    <row r="139" spans="1:12">
      <c r="A139" s="330">
        <v>138</v>
      </c>
      <c r="B139" s="285">
        <v>44362</v>
      </c>
      <c r="C139" s="286">
        <v>2464</v>
      </c>
      <c r="D139" s="287" t="s">
        <v>2966</v>
      </c>
      <c r="E139" s="288" t="s">
        <v>2924</v>
      </c>
      <c r="F139" s="294" t="s">
        <v>2926</v>
      </c>
      <c r="G139" s="290">
        <v>2</v>
      </c>
      <c r="H139" s="291">
        <v>45</v>
      </c>
      <c r="I139" s="292">
        <v>1000</v>
      </c>
      <c r="J139" s="292">
        <f>交易[[#This Row],[價格]]*交易[[#This Row],[數量]]*-1</f>
        <v>-45000</v>
      </c>
      <c r="L139" s="2"/>
    </row>
    <row r="140" spans="1:12">
      <c r="A140" s="330">
        <v>139</v>
      </c>
      <c r="B140" s="285">
        <v>44363</v>
      </c>
      <c r="C140" s="286">
        <v>6509</v>
      </c>
      <c r="D140" s="287" t="s">
        <v>2950</v>
      </c>
      <c r="E140" s="288" t="s">
        <v>2924</v>
      </c>
      <c r="F140" s="294" t="s">
        <v>2964</v>
      </c>
      <c r="G140" s="290">
        <v>1</v>
      </c>
      <c r="H140" s="291">
        <v>31.4</v>
      </c>
      <c r="I140" s="292">
        <v>-10000</v>
      </c>
      <c r="J140" s="292">
        <f>交易[[#This Row],[價格]]*交易[[#This Row],[數量]]*-1</f>
        <v>314000</v>
      </c>
      <c r="L140" s="2"/>
    </row>
    <row r="141" spans="1:12">
      <c r="A141" s="330">
        <v>140</v>
      </c>
      <c r="B141" s="285">
        <v>44363</v>
      </c>
      <c r="C141" s="286">
        <v>3413</v>
      </c>
      <c r="D141" s="287" t="s">
        <v>2957</v>
      </c>
      <c r="E141" s="288" t="s">
        <v>2924</v>
      </c>
      <c r="F141" s="294" t="s">
        <v>2929</v>
      </c>
      <c r="G141" s="290">
        <v>2</v>
      </c>
      <c r="H141" s="291">
        <v>232</v>
      </c>
      <c r="I141" s="292">
        <v>-600</v>
      </c>
      <c r="J141" s="292">
        <f>交易[[#This Row],[價格]]*交易[[#This Row],[數量]]*-1</f>
        <v>139200</v>
      </c>
      <c r="L141" s="2"/>
    </row>
    <row r="142" spans="1:12">
      <c r="A142" s="330">
        <v>141</v>
      </c>
      <c r="B142" s="285">
        <v>44363</v>
      </c>
      <c r="C142" s="286">
        <v>6505</v>
      </c>
      <c r="D142" s="287" t="s">
        <v>2971</v>
      </c>
      <c r="E142" s="288" t="s">
        <v>2924</v>
      </c>
      <c r="F142" s="294" t="s">
        <v>2962</v>
      </c>
      <c r="G142" s="290">
        <v>1</v>
      </c>
      <c r="H142" s="291">
        <v>111</v>
      </c>
      <c r="I142" s="292">
        <v>1000</v>
      </c>
      <c r="J142" s="292">
        <f>交易[[#This Row],[價格]]*交易[[#This Row],[數量]]*-1</f>
        <v>-111000</v>
      </c>
      <c r="L142" s="2"/>
    </row>
    <row r="143" spans="1:12">
      <c r="A143" s="330">
        <v>142</v>
      </c>
      <c r="B143" s="285">
        <v>44363</v>
      </c>
      <c r="C143" s="286">
        <v>1722</v>
      </c>
      <c r="D143" s="287" t="s">
        <v>2953</v>
      </c>
      <c r="E143" s="288" t="s">
        <v>2924</v>
      </c>
      <c r="F143" s="294" t="s">
        <v>2970</v>
      </c>
      <c r="G143" s="290">
        <v>1</v>
      </c>
      <c r="H143" s="291">
        <v>57.4</v>
      </c>
      <c r="I143" s="292">
        <v>1000</v>
      </c>
      <c r="J143" s="292">
        <f>交易[[#This Row],[價格]]*交易[[#This Row],[數量]]*-1</f>
        <v>-57400</v>
      </c>
      <c r="L143" s="2"/>
    </row>
    <row r="144" spans="1:12">
      <c r="A144" s="330">
        <v>143</v>
      </c>
      <c r="B144" s="285">
        <v>44364</v>
      </c>
      <c r="C144" s="286">
        <v>6505</v>
      </c>
      <c r="D144" s="287" t="s">
        <v>2971</v>
      </c>
      <c r="E144" s="288" t="s">
        <v>2924</v>
      </c>
      <c r="F144" s="294" t="s">
        <v>2963</v>
      </c>
      <c r="G144" s="290">
        <v>1</v>
      </c>
      <c r="H144" s="291">
        <v>108</v>
      </c>
      <c r="I144" s="292">
        <v>-1000</v>
      </c>
      <c r="J144" s="292">
        <f>交易[[#This Row],[價格]]*交易[[#This Row],[數量]]*-1</f>
        <v>108000</v>
      </c>
      <c r="L144" s="2"/>
    </row>
    <row r="145" spans="1:12">
      <c r="A145" s="330">
        <v>144</v>
      </c>
      <c r="B145" s="285">
        <v>44364</v>
      </c>
      <c r="C145" s="286">
        <v>3078</v>
      </c>
      <c r="D145" s="287" t="s">
        <v>2972</v>
      </c>
      <c r="E145" s="288" t="s">
        <v>2924</v>
      </c>
      <c r="F145" s="294" t="s">
        <v>2925</v>
      </c>
      <c r="G145" s="290">
        <v>1</v>
      </c>
      <c r="H145" s="291">
        <v>53</v>
      </c>
      <c r="I145" s="292">
        <v>2000</v>
      </c>
      <c r="J145" s="292">
        <f>交易[[#This Row],[價格]]*交易[[#This Row],[數量]]*-1</f>
        <v>-106000</v>
      </c>
      <c r="L145" s="2"/>
    </row>
    <row r="146" spans="1:12">
      <c r="A146" s="330">
        <v>145</v>
      </c>
      <c r="B146" s="285">
        <v>44364</v>
      </c>
      <c r="C146" s="286">
        <v>3227</v>
      </c>
      <c r="D146" s="287" t="s">
        <v>2973</v>
      </c>
      <c r="E146" s="288" t="s">
        <v>2924</v>
      </c>
      <c r="F146" s="294" t="s">
        <v>2925</v>
      </c>
      <c r="G146" s="290">
        <v>1</v>
      </c>
      <c r="H146" s="291">
        <v>197</v>
      </c>
      <c r="I146" s="292">
        <v>500</v>
      </c>
      <c r="J146" s="292">
        <f>交易[[#This Row],[價格]]*交易[[#This Row],[數量]]*-1</f>
        <v>-98500</v>
      </c>
      <c r="L146" s="2"/>
    </row>
    <row r="147" spans="1:12">
      <c r="A147" s="330">
        <v>146</v>
      </c>
      <c r="B147" s="285">
        <v>44365</v>
      </c>
      <c r="C147" s="286">
        <v>1605</v>
      </c>
      <c r="D147" s="287" t="s">
        <v>2959</v>
      </c>
      <c r="E147" s="288" t="s">
        <v>2924</v>
      </c>
      <c r="F147" s="294" t="s">
        <v>2963</v>
      </c>
      <c r="G147" s="290">
        <v>1</v>
      </c>
      <c r="H147" s="291">
        <v>24.891666666666666</v>
      </c>
      <c r="I147" s="292">
        <v>-15000</v>
      </c>
      <c r="J147" s="292">
        <f>交易[[#This Row],[價格]]*交易[[#This Row],[數量]]*-1</f>
        <v>373375</v>
      </c>
      <c r="L147" s="2"/>
    </row>
    <row r="148" spans="1:12">
      <c r="A148" s="330">
        <v>147</v>
      </c>
      <c r="B148" s="285">
        <v>44365</v>
      </c>
      <c r="C148" s="286">
        <v>6278</v>
      </c>
      <c r="D148" s="287" t="s">
        <v>2974</v>
      </c>
      <c r="E148" s="288" t="s">
        <v>2924</v>
      </c>
      <c r="F148" s="294" t="s">
        <v>2925</v>
      </c>
      <c r="G148" s="290">
        <v>1</v>
      </c>
      <c r="H148" s="291">
        <v>127.5</v>
      </c>
      <c r="I148" s="292">
        <v>1000</v>
      </c>
      <c r="J148" s="292">
        <f>交易[[#This Row],[價格]]*交易[[#This Row],[數量]]*-1</f>
        <v>-127500</v>
      </c>
      <c r="L148" s="2"/>
    </row>
    <row r="149" spans="1:12">
      <c r="A149" s="330">
        <v>148</v>
      </c>
      <c r="B149" s="285">
        <v>44365</v>
      </c>
      <c r="C149" s="286">
        <v>6224</v>
      </c>
      <c r="D149" s="287" t="s">
        <v>2960</v>
      </c>
      <c r="E149" s="288" t="s">
        <v>2924</v>
      </c>
      <c r="F149" s="294" t="s">
        <v>2925</v>
      </c>
      <c r="G149" s="290">
        <v>2</v>
      </c>
      <c r="H149" s="291">
        <v>131.25</v>
      </c>
      <c r="I149" s="292">
        <v>1000</v>
      </c>
      <c r="J149" s="292">
        <f>交易[[#This Row],[價格]]*交易[[#This Row],[數量]]*-1</f>
        <v>-131250</v>
      </c>
      <c r="L149" s="2"/>
    </row>
    <row r="150" spans="1:12">
      <c r="A150" s="330">
        <v>149</v>
      </c>
      <c r="B150" s="285">
        <v>44368</v>
      </c>
      <c r="C150" s="286">
        <v>1599</v>
      </c>
      <c r="D150" s="287" t="s">
        <v>2952</v>
      </c>
      <c r="E150" s="288" t="s">
        <v>2924</v>
      </c>
      <c r="F150" s="294" t="s">
        <v>2926</v>
      </c>
      <c r="G150" s="290">
        <v>2</v>
      </c>
      <c r="H150" s="291">
        <v>41.9</v>
      </c>
      <c r="I150" s="292">
        <v>1000</v>
      </c>
      <c r="J150" s="292">
        <f>交易[[#This Row],[價格]]*交易[[#This Row],[數量]]*-1</f>
        <v>-41900</v>
      </c>
      <c r="L150" s="2"/>
    </row>
    <row r="151" spans="1:12">
      <c r="A151" s="330">
        <v>150</v>
      </c>
      <c r="B151" s="285">
        <v>44368</v>
      </c>
      <c r="C151" s="286">
        <v>6683</v>
      </c>
      <c r="D151" s="287" t="s">
        <v>2975</v>
      </c>
      <c r="E151" s="288" t="s">
        <v>2924</v>
      </c>
      <c r="F151" s="294" t="s">
        <v>2925</v>
      </c>
      <c r="G151" s="290">
        <v>1</v>
      </c>
      <c r="H151" s="291">
        <v>326</v>
      </c>
      <c r="I151" s="292">
        <v>1000</v>
      </c>
      <c r="J151" s="292">
        <f>交易[[#This Row],[價格]]*交易[[#This Row],[數量]]*-1</f>
        <v>-326000</v>
      </c>
      <c r="L151" s="2"/>
    </row>
    <row r="152" spans="1:12">
      <c r="A152" s="330">
        <v>151</v>
      </c>
      <c r="B152" s="285">
        <v>44369</v>
      </c>
      <c r="C152" s="286">
        <v>2464</v>
      </c>
      <c r="D152" s="287" t="s">
        <v>2966</v>
      </c>
      <c r="E152" s="288" t="s">
        <v>2924</v>
      </c>
      <c r="F152" s="294" t="s">
        <v>2964</v>
      </c>
      <c r="G152" s="290">
        <v>2</v>
      </c>
      <c r="H152" s="291">
        <v>43.25</v>
      </c>
      <c r="I152" s="292">
        <v>-3000</v>
      </c>
      <c r="J152" s="292">
        <f>交易[[#This Row],[價格]]*交易[[#This Row],[數量]]*-1</f>
        <v>129750</v>
      </c>
      <c r="L152" s="2"/>
    </row>
    <row r="153" spans="1:12">
      <c r="A153" s="330">
        <v>152</v>
      </c>
      <c r="B153" s="285">
        <v>44369</v>
      </c>
      <c r="C153" s="286">
        <v>3227</v>
      </c>
      <c r="D153" s="287" t="s">
        <v>2973</v>
      </c>
      <c r="E153" s="288" t="s">
        <v>2924</v>
      </c>
      <c r="F153" s="294" t="s">
        <v>2963</v>
      </c>
      <c r="G153" s="290">
        <v>1</v>
      </c>
      <c r="H153" s="291">
        <v>190.8</v>
      </c>
      <c r="I153" s="292">
        <v>-500</v>
      </c>
      <c r="J153" s="292">
        <f>交易[[#This Row],[價格]]*交易[[#This Row],[數量]]*-1</f>
        <v>95400</v>
      </c>
      <c r="L153" s="2"/>
    </row>
    <row r="154" spans="1:12">
      <c r="A154" s="330">
        <v>153</v>
      </c>
      <c r="B154" s="285">
        <v>44369</v>
      </c>
      <c r="C154" s="286">
        <v>3413</v>
      </c>
      <c r="D154" s="287" t="s">
        <v>2957</v>
      </c>
      <c r="E154" s="288" t="s">
        <v>2924</v>
      </c>
      <c r="F154" s="294" t="s">
        <v>2963</v>
      </c>
      <c r="G154" s="290">
        <v>2</v>
      </c>
      <c r="H154" s="291">
        <v>230</v>
      </c>
      <c r="I154" s="292">
        <v>-400</v>
      </c>
      <c r="J154" s="292">
        <f>交易[[#This Row],[價格]]*交易[[#This Row],[數量]]*-1</f>
        <v>92000</v>
      </c>
      <c r="L154" s="2"/>
    </row>
    <row r="155" spans="1:12">
      <c r="A155" s="330">
        <v>154</v>
      </c>
      <c r="B155" s="285">
        <v>44369</v>
      </c>
      <c r="C155" s="286">
        <v>6187</v>
      </c>
      <c r="D155" s="287" t="s">
        <v>2968</v>
      </c>
      <c r="E155" s="288" t="s">
        <v>2924</v>
      </c>
      <c r="F155" s="294" t="s">
        <v>2963</v>
      </c>
      <c r="G155" s="290">
        <v>1</v>
      </c>
      <c r="H155" s="291">
        <v>129.5</v>
      </c>
      <c r="I155" s="292">
        <v>-1000</v>
      </c>
      <c r="J155" s="292">
        <f>交易[[#This Row],[價格]]*交易[[#This Row],[數量]]*-1</f>
        <v>129500</v>
      </c>
      <c r="L155" s="2"/>
    </row>
    <row r="156" spans="1:12">
      <c r="A156" s="330">
        <v>155</v>
      </c>
      <c r="B156" s="285">
        <v>44369</v>
      </c>
      <c r="C156" s="286">
        <v>6196</v>
      </c>
      <c r="D156" s="287" t="s">
        <v>2969</v>
      </c>
      <c r="E156" s="288" t="s">
        <v>2924</v>
      </c>
      <c r="F156" s="294" t="s">
        <v>2963</v>
      </c>
      <c r="G156" s="290">
        <v>1</v>
      </c>
      <c r="H156" s="291">
        <v>104</v>
      </c>
      <c r="I156" s="292">
        <v>-1000</v>
      </c>
      <c r="J156" s="292">
        <f>交易[[#This Row],[價格]]*交易[[#This Row],[數量]]*-1</f>
        <v>104000</v>
      </c>
      <c r="L156" s="2"/>
    </row>
    <row r="157" spans="1:12">
      <c r="A157" s="330">
        <v>156</v>
      </c>
      <c r="B157" s="285">
        <v>44369</v>
      </c>
      <c r="C157" s="286">
        <v>3078</v>
      </c>
      <c r="D157" s="287" t="s">
        <v>2972</v>
      </c>
      <c r="E157" s="288" t="s">
        <v>2924</v>
      </c>
      <c r="F157" s="294" t="s">
        <v>2941</v>
      </c>
      <c r="G157" s="290">
        <v>1</v>
      </c>
      <c r="H157" s="291">
        <v>52</v>
      </c>
      <c r="I157" s="292">
        <v>-2000</v>
      </c>
      <c r="J157" s="292">
        <f>交易[[#This Row],[價格]]*交易[[#This Row],[數量]]*-1</f>
        <v>104000</v>
      </c>
      <c r="L157" s="2"/>
    </row>
    <row r="158" spans="1:12">
      <c r="A158" s="330">
        <v>157</v>
      </c>
      <c r="B158" s="285">
        <v>44369</v>
      </c>
      <c r="C158" s="286">
        <v>6279</v>
      </c>
      <c r="D158" s="287" t="s">
        <v>2977</v>
      </c>
      <c r="E158" s="288" t="s">
        <v>2976</v>
      </c>
      <c r="F158" s="294" t="s">
        <v>2962</v>
      </c>
      <c r="G158" s="290">
        <v>1</v>
      </c>
      <c r="H158" s="291">
        <v>117.5</v>
      </c>
      <c r="I158" s="292">
        <v>2000</v>
      </c>
      <c r="J158" s="292">
        <f>交易[[#This Row],[價格]]*交易[[#This Row],[數量]]*-1</f>
        <v>-235000</v>
      </c>
      <c r="L158" s="2"/>
    </row>
    <row r="159" spans="1:12">
      <c r="A159" s="330">
        <v>158</v>
      </c>
      <c r="B159" s="285">
        <v>44370</v>
      </c>
      <c r="C159" s="286">
        <v>2527</v>
      </c>
      <c r="D159" s="287" t="s">
        <v>2946</v>
      </c>
      <c r="E159" s="288" t="s">
        <v>2924</v>
      </c>
      <c r="F159" s="289" t="s">
        <v>2961</v>
      </c>
      <c r="G159" s="290">
        <v>1</v>
      </c>
      <c r="H159" s="291">
        <v>27.9</v>
      </c>
      <c r="I159" s="292">
        <v>-2000</v>
      </c>
      <c r="J159" s="292">
        <f>交易[[#This Row],[價格]]*交易[[#This Row],[數量]]*-1</f>
        <v>55800</v>
      </c>
      <c r="L159" s="2"/>
    </row>
    <row r="160" spans="1:12">
      <c r="A160" s="330">
        <v>159</v>
      </c>
      <c r="B160" s="285">
        <v>44370</v>
      </c>
      <c r="C160" s="286">
        <v>6269</v>
      </c>
      <c r="D160" s="287" t="s">
        <v>2978</v>
      </c>
      <c r="E160" s="288" t="s">
        <v>2924</v>
      </c>
      <c r="F160" s="294" t="s">
        <v>2962</v>
      </c>
      <c r="G160" s="290">
        <v>1</v>
      </c>
      <c r="H160" s="291">
        <v>123.5</v>
      </c>
      <c r="I160" s="292">
        <v>2000</v>
      </c>
      <c r="J160" s="292">
        <f>交易[[#This Row],[價格]]*交易[[#This Row],[數量]]*-1</f>
        <v>-247000</v>
      </c>
      <c r="L160" s="2"/>
    </row>
    <row r="161" spans="1:12">
      <c r="A161" s="330">
        <v>160</v>
      </c>
      <c r="B161" s="285">
        <v>44371</v>
      </c>
      <c r="C161" s="286">
        <v>3587</v>
      </c>
      <c r="D161" s="287" t="s">
        <v>2979</v>
      </c>
      <c r="E161" s="288" t="s">
        <v>2949</v>
      </c>
      <c r="F161" s="294" t="s">
        <v>2962</v>
      </c>
      <c r="G161" s="290">
        <v>1</v>
      </c>
      <c r="H161" s="291">
        <v>127.5</v>
      </c>
      <c r="I161" s="292">
        <v>1000</v>
      </c>
      <c r="J161" s="292">
        <f>交易[[#This Row],[價格]]*交易[[#This Row],[數量]]*-1</f>
        <v>-127500</v>
      </c>
      <c r="L161" s="2"/>
    </row>
    <row r="162" spans="1:12">
      <c r="A162" s="330">
        <v>161</v>
      </c>
      <c r="B162" s="285">
        <v>44371</v>
      </c>
      <c r="C162" s="286">
        <v>8021</v>
      </c>
      <c r="D162" s="287" t="s">
        <v>2981</v>
      </c>
      <c r="E162" s="288" t="s">
        <v>2976</v>
      </c>
      <c r="F162" s="294" t="s">
        <v>2962</v>
      </c>
      <c r="G162" s="290">
        <v>1</v>
      </c>
      <c r="H162" s="291">
        <v>40.5</v>
      </c>
      <c r="I162" s="292">
        <v>4000</v>
      </c>
      <c r="J162" s="292">
        <f>交易[[#This Row],[價格]]*交易[[#This Row],[數量]]*-1</f>
        <v>-162000</v>
      </c>
      <c r="L162" s="2"/>
    </row>
    <row r="163" spans="1:12">
      <c r="A163" s="330">
        <v>162</v>
      </c>
      <c r="B163" s="285">
        <v>44371</v>
      </c>
      <c r="C163" s="286">
        <v>6224</v>
      </c>
      <c r="D163" s="287" t="s">
        <v>2960</v>
      </c>
      <c r="E163" s="288" t="s">
        <v>2924</v>
      </c>
      <c r="F163" s="294" t="s">
        <v>2930</v>
      </c>
      <c r="G163" s="290">
        <v>2</v>
      </c>
      <c r="H163" s="291">
        <v>136</v>
      </c>
      <c r="I163" s="292">
        <v>-1000</v>
      </c>
      <c r="J163" s="292">
        <f>交易[[#This Row],[價格]]*交易[[#This Row],[數量]]*-1</f>
        <v>136000</v>
      </c>
      <c r="L163" s="2"/>
    </row>
    <row r="164" spans="1:12">
      <c r="A164" s="330">
        <v>163</v>
      </c>
      <c r="B164" s="285">
        <v>44371</v>
      </c>
      <c r="C164" s="286">
        <v>6278</v>
      </c>
      <c r="D164" s="287" t="s">
        <v>2974</v>
      </c>
      <c r="E164" s="288" t="s">
        <v>2924</v>
      </c>
      <c r="F164" s="294" t="s">
        <v>2930</v>
      </c>
      <c r="G164" s="290">
        <v>1</v>
      </c>
      <c r="H164" s="291">
        <v>133.5</v>
      </c>
      <c r="I164" s="292">
        <v>-1000</v>
      </c>
      <c r="J164" s="292">
        <f>交易[[#This Row],[價格]]*交易[[#This Row],[數量]]*-1</f>
        <v>133500</v>
      </c>
      <c r="L164" s="2"/>
    </row>
    <row r="165" spans="1:12">
      <c r="A165" s="330">
        <v>164</v>
      </c>
      <c r="B165" s="285">
        <v>44371</v>
      </c>
      <c r="C165" s="286">
        <v>6683</v>
      </c>
      <c r="D165" s="287" t="s">
        <v>2975</v>
      </c>
      <c r="E165" s="288" t="s">
        <v>2924</v>
      </c>
      <c r="F165" s="294" t="s">
        <v>2930</v>
      </c>
      <c r="G165" s="290">
        <v>1</v>
      </c>
      <c r="H165" s="291">
        <v>352</v>
      </c>
      <c r="I165" s="292">
        <v>-1000</v>
      </c>
      <c r="J165" s="292">
        <f>交易[[#This Row],[價格]]*交易[[#This Row],[數量]]*-1</f>
        <v>352000</v>
      </c>
      <c r="L165" s="2"/>
    </row>
    <row r="166" spans="1:12">
      <c r="A166" s="330">
        <v>165</v>
      </c>
      <c r="B166" s="285">
        <v>44372</v>
      </c>
      <c r="C166" s="286">
        <v>1605</v>
      </c>
      <c r="D166" s="287" t="s">
        <v>2959</v>
      </c>
      <c r="E166" s="288" t="s">
        <v>2924</v>
      </c>
      <c r="F166" s="294" t="s">
        <v>2962</v>
      </c>
      <c r="G166" s="290">
        <v>2</v>
      </c>
      <c r="H166" s="291">
        <v>26.4</v>
      </c>
      <c r="I166" s="292">
        <v>6000</v>
      </c>
      <c r="J166" s="292">
        <f>交易[[#This Row],[價格]]*交易[[#This Row],[數量]]*-1</f>
        <v>-158400</v>
      </c>
      <c r="L166" s="2"/>
    </row>
    <row r="167" spans="1:12">
      <c r="A167" s="330">
        <v>166</v>
      </c>
      <c r="B167" s="285">
        <v>44372</v>
      </c>
      <c r="C167" s="286">
        <v>2464</v>
      </c>
      <c r="D167" s="287" t="s">
        <v>2966</v>
      </c>
      <c r="E167" s="288" t="s">
        <v>2924</v>
      </c>
      <c r="F167" s="294" t="s">
        <v>2970</v>
      </c>
      <c r="G167" s="290">
        <v>2</v>
      </c>
      <c r="H167" s="291">
        <v>44.25</v>
      </c>
      <c r="I167" s="292">
        <v>2000</v>
      </c>
      <c r="J167" s="292">
        <f>交易[[#This Row],[價格]]*交易[[#This Row],[數量]]*-1</f>
        <v>-88500</v>
      </c>
      <c r="L167" s="2"/>
    </row>
    <row r="168" spans="1:12">
      <c r="A168" s="330">
        <v>167</v>
      </c>
      <c r="B168" s="285">
        <v>44372</v>
      </c>
      <c r="C168" s="286">
        <v>3005</v>
      </c>
      <c r="D168" s="287" t="s">
        <v>2951</v>
      </c>
      <c r="E168" s="288" t="s">
        <v>2924</v>
      </c>
      <c r="F168" s="294" t="s">
        <v>2962</v>
      </c>
      <c r="G168" s="290">
        <v>2</v>
      </c>
      <c r="H168" s="291">
        <v>54.6</v>
      </c>
      <c r="I168" s="292">
        <v>2000</v>
      </c>
      <c r="J168" s="292">
        <f>交易[[#This Row],[價格]]*交易[[#This Row],[數量]]*-1</f>
        <v>-109200</v>
      </c>
      <c r="L168" s="2"/>
    </row>
    <row r="169" spans="1:12">
      <c r="A169" s="330">
        <v>168</v>
      </c>
      <c r="B169" s="285">
        <v>44372</v>
      </c>
      <c r="C169" s="286">
        <v>6196</v>
      </c>
      <c r="D169" s="287" t="s">
        <v>2969</v>
      </c>
      <c r="E169" s="288" t="s">
        <v>2924</v>
      </c>
      <c r="F169" s="294" t="s">
        <v>2962</v>
      </c>
      <c r="G169" s="290">
        <v>2</v>
      </c>
      <c r="H169" s="291">
        <v>112</v>
      </c>
      <c r="I169" s="292">
        <v>1552</v>
      </c>
      <c r="J169" s="292">
        <f>交易[[#This Row],[價格]]*交易[[#This Row],[數量]]*-1</f>
        <v>-173824</v>
      </c>
      <c r="L169" s="2"/>
    </row>
    <row r="170" spans="1:12">
      <c r="A170" s="330">
        <v>169</v>
      </c>
      <c r="B170" s="285">
        <v>44372</v>
      </c>
      <c r="C170" s="286">
        <v>3587</v>
      </c>
      <c r="D170" s="287" t="s">
        <v>2979</v>
      </c>
      <c r="E170" s="288" t="s">
        <v>2949</v>
      </c>
      <c r="F170" s="294" t="s">
        <v>2930</v>
      </c>
      <c r="G170" s="290">
        <v>1</v>
      </c>
      <c r="H170" s="291">
        <v>131</v>
      </c>
      <c r="I170" s="292">
        <v>-1000</v>
      </c>
      <c r="J170" s="292">
        <f>交易[[#This Row],[價格]]*交易[[#This Row],[數量]]*-1</f>
        <v>131000</v>
      </c>
      <c r="L170" s="2"/>
    </row>
    <row r="171" spans="1:12">
      <c r="A171" s="330">
        <v>170</v>
      </c>
      <c r="B171" s="285">
        <v>44372</v>
      </c>
      <c r="C171" s="286">
        <v>6509</v>
      </c>
      <c r="D171" s="287" t="s">
        <v>2950</v>
      </c>
      <c r="E171" s="288" t="s">
        <v>2924</v>
      </c>
      <c r="F171" s="294" t="s">
        <v>2929</v>
      </c>
      <c r="G171" s="290">
        <v>1</v>
      </c>
      <c r="H171" s="291">
        <v>35.35</v>
      </c>
      <c r="I171" s="292">
        <v>-5000</v>
      </c>
      <c r="J171" s="292">
        <f>交易[[#This Row],[價格]]*交易[[#This Row],[數量]]*-1</f>
        <v>176750</v>
      </c>
      <c r="L171" s="2"/>
    </row>
    <row r="172" spans="1:12">
      <c r="A172" s="330">
        <v>171</v>
      </c>
      <c r="B172" s="285">
        <v>44372</v>
      </c>
      <c r="C172" s="286">
        <v>8021</v>
      </c>
      <c r="D172" s="287" t="s">
        <v>2981</v>
      </c>
      <c r="E172" s="288" t="s">
        <v>2976</v>
      </c>
      <c r="F172" s="294" t="s">
        <v>2930</v>
      </c>
      <c r="G172" s="290">
        <v>1</v>
      </c>
      <c r="H172" s="291">
        <v>41.5</v>
      </c>
      <c r="I172" s="292">
        <v>-4000</v>
      </c>
      <c r="J172" s="292">
        <f>交易[[#This Row],[價格]]*交易[[#This Row],[數量]]*-1</f>
        <v>166000</v>
      </c>
      <c r="L172" s="2"/>
    </row>
    <row r="173" spans="1:12">
      <c r="A173" s="330">
        <v>172</v>
      </c>
      <c r="B173" s="285">
        <v>44375</v>
      </c>
      <c r="C173" s="286">
        <v>2408</v>
      </c>
      <c r="D173" s="287" t="s">
        <v>2982</v>
      </c>
      <c r="E173" s="288" t="s">
        <v>2976</v>
      </c>
      <c r="F173" s="294" t="s">
        <v>2962</v>
      </c>
      <c r="G173" s="290">
        <v>1</v>
      </c>
      <c r="H173" s="291">
        <v>81.599999999999994</v>
      </c>
      <c r="I173" s="292">
        <v>1000</v>
      </c>
      <c r="J173" s="292">
        <f>交易[[#This Row],[價格]]*交易[[#This Row],[數量]]*-1</f>
        <v>-81600</v>
      </c>
      <c r="L173" s="2"/>
    </row>
    <row r="174" spans="1:12">
      <c r="A174" s="330">
        <v>173</v>
      </c>
      <c r="B174" s="285">
        <v>44375</v>
      </c>
      <c r="C174" s="286">
        <v>1409</v>
      </c>
      <c r="D174" s="287" t="s">
        <v>2923</v>
      </c>
      <c r="E174" s="288" t="s">
        <v>2976</v>
      </c>
      <c r="F174" s="294" t="s">
        <v>2962</v>
      </c>
      <c r="G174" s="290">
        <v>5</v>
      </c>
      <c r="H174" s="291">
        <v>22.35</v>
      </c>
      <c r="I174" s="292">
        <v>5000</v>
      </c>
      <c r="J174" s="292">
        <f>交易[[#This Row],[價格]]*交易[[#This Row],[數量]]*-1</f>
        <v>-111750</v>
      </c>
      <c r="L174" s="2"/>
    </row>
    <row r="175" spans="1:12">
      <c r="A175" s="330">
        <v>174</v>
      </c>
      <c r="B175" s="285">
        <v>44375</v>
      </c>
      <c r="C175" s="286">
        <v>2408</v>
      </c>
      <c r="D175" s="287" t="s">
        <v>2982</v>
      </c>
      <c r="E175" s="288" t="s">
        <v>2976</v>
      </c>
      <c r="F175" s="294" t="s">
        <v>2962</v>
      </c>
      <c r="G175" s="290">
        <v>1</v>
      </c>
      <c r="H175" s="291">
        <v>81.5</v>
      </c>
      <c r="I175" s="292">
        <v>1000</v>
      </c>
      <c r="J175" s="292">
        <f>交易[[#This Row],[價格]]*交易[[#This Row],[數量]]*-1</f>
        <v>-81500</v>
      </c>
      <c r="L175" s="2"/>
    </row>
    <row r="176" spans="1:12">
      <c r="A176" s="330">
        <v>175</v>
      </c>
      <c r="B176" s="285">
        <v>44375</v>
      </c>
      <c r="C176" s="286">
        <v>2408</v>
      </c>
      <c r="D176" s="287" t="s">
        <v>2982</v>
      </c>
      <c r="E176" s="288" t="s">
        <v>2976</v>
      </c>
      <c r="F176" s="294" t="s">
        <v>2962</v>
      </c>
      <c r="G176" s="290">
        <v>1</v>
      </c>
      <c r="H176" s="291">
        <v>81.599999999999994</v>
      </c>
      <c r="I176" s="292">
        <v>1000</v>
      </c>
      <c r="J176" s="292">
        <f>交易[[#This Row],[價格]]*交易[[#This Row],[數量]]*-1</f>
        <v>-81600</v>
      </c>
      <c r="L176" s="2"/>
    </row>
    <row r="177" spans="1:12">
      <c r="A177" s="330">
        <v>176</v>
      </c>
      <c r="B177" s="285">
        <v>44375</v>
      </c>
      <c r="C177" s="286">
        <v>2408</v>
      </c>
      <c r="D177" s="287" t="s">
        <v>2982</v>
      </c>
      <c r="E177" s="288" t="s">
        <v>2976</v>
      </c>
      <c r="F177" s="294" t="s">
        <v>2964</v>
      </c>
      <c r="G177" s="290">
        <v>1</v>
      </c>
      <c r="H177" s="291">
        <v>80.400000000000006</v>
      </c>
      <c r="I177" s="292">
        <v>-2000</v>
      </c>
      <c r="J177" s="292">
        <f>交易[[#This Row],[價格]]*交易[[#This Row],[數量]]*-1</f>
        <v>160800</v>
      </c>
      <c r="L177" s="2"/>
    </row>
    <row r="178" spans="1:12">
      <c r="A178" s="330">
        <v>177</v>
      </c>
      <c r="B178" s="285">
        <v>44375</v>
      </c>
      <c r="C178" s="286">
        <v>1609</v>
      </c>
      <c r="D178" s="287" t="s">
        <v>2983</v>
      </c>
      <c r="E178" s="288" t="s">
        <v>2949</v>
      </c>
      <c r="F178" s="294" t="s">
        <v>2928</v>
      </c>
      <c r="G178" s="290">
        <v>1</v>
      </c>
      <c r="H178" s="291">
        <v>28.9</v>
      </c>
      <c r="I178" s="292">
        <v>-4000</v>
      </c>
      <c r="J178" s="292">
        <f>交易[[#This Row],[價格]]*交易[[#This Row],[數量]]*-1</f>
        <v>115600</v>
      </c>
      <c r="L178" s="2"/>
    </row>
    <row r="179" spans="1:12">
      <c r="A179" s="330">
        <v>178</v>
      </c>
      <c r="B179" s="285">
        <v>44375</v>
      </c>
      <c r="C179" s="286">
        <v>1609</v>
      </c>
      <c r="D179" s="287" t="s">
        <v>2983</v>
      </c>
      <c r="E179" s="288" t="s">
        <v>2949</v>
      </c>
      <c r="F179" s="294" t="s">
        <v>2928</v>
      </c>
      <c r="G179" s="290">
        <v>1</v>
      </c>
      <c r="H179" s="291">
        <v>29.2</v>
      </c>
      <c r="I179" s="292">
        <v>4000</v>
      </c>
      <c r="J179" s="292">
        <f>交易[[#This Row],[價格]]*交易[[#This Row],[數量]]*-1</f>
        <v>-116800</v>
      </c>
      <c r="L179" s="2"/>
    </row>
    <row r="180" spans="1:12">
      <c r="A180" s="330">
        <v>179</v>
      </c>
      <c r="B180" s="285">
        <v>44375</v>
      </c>
      <c r="C180" s="286">
        <v>2408</v>
      </c>
      <c r="D180" s="287" t="s">
        <v>2982</v>
      </c>
      <c r="E180" s="288" t="s">
        <v>2976</v>
      </c>
      <c r="F180" s="294" t="s">
        <v>2970</v>
      </c>
      <c r="G180" s="290">
        <v>1</v>
      </c>
      <c r="H180" s="291">
        <v>80.7</v>
      </c>
      <c r="I180" s="292">
        <v>1000</v>
      </c>
      <c r="J180" s="292">
        <f>交易[[#This Row],[價格]]*交易[[#This Row],[數量]]*-1</f>
        <v>-80700</v>
      </c>
      <c r="L180" s="2"/>
    </row>
    <row r="181" spans="1:12">
      <c r="A181" s="330">
        <v>180</v>
      </c>
      <c r="B181" s="285">
        <v>44375</v>
      </c>
      <c r="C181" s="286">
        <v>6257</v>
      </c>
      <c r="D181" s="287" t="s">
        <v>2984</v>
      </c>
      <c r="E181" s="288" t="s">
        <v>2976</v>
      </c>
      <c r="F181" s="294" t="s">
        <v>2925</v>
      </c>
      <c r="G181" s="290">
        <v>1</v>
      </c>
      <c r="H181" s="291">
        <v>55.9</v>
      </c>
      <c r="I181" s="292">
        <v>2000</v>
      </c>
      <c r="J181" s="292">
        <f>交易[[#This Row],[價格]]*交易[[#This Row],[數量]]*-1</f>
        <v>-111800</v>
      </c>
      <c r="L181" s="2"/>
    </row>
    <row r="182" spans="1:12">
      <c r="A182" s="330">
        <v>181</v>
      </c>
      <c r="B182" s="285">
        <v>44375</v>
      </c>
      <c r="C182" s="286">
        <v>2344</v>
      </c>
      <c r="D182" s="287" t="s">
        <v>2985</v>
      </c>
      <c r="E182" s="288" t="s">
        <v>2976</v>
      </c>
      <c r="F182" s="294" t="s">
        <v>2928</v>
      </c>
      <c r="G182" s="290">
        <v>1</v>
      </c>
      <c r="H182" s="291">
        <v>34.85</v>
      </c>
      <c r="I182" s="292">
        <v>-3000</v>
      </c>
      <c r="J182" s="292">
        <f>交易[[#This Row],[價格]]*交易[[#This Row],[數量]]*-1</f>
        <v>104550</v>
      </c>
      <c r="L182" s="2"/>
    </row>
    <row r="183" spans="1:12">
      <c r="A183" s="330">
        <v>182</v>
      </c>
      <c r="B183" s="285">
        <v>44375</v>
      </c>
      <c r="C183" s="286">
        <v>2344</v>
      </c>
      <c r="D183" s="287" t="s">
        <v>2985</v>
      </c>
      <c r="E183" s="288" t="s">
        <v>2976</v>
      </c>
      <c r="F183" s="294" t="s">
        <v>2928</v>
      </c>
      <c r="G183" s="290">
        <v>1</v>
      </c>
      <c r="H183" s="291">
        <v>35.4</v>
      </c>
      <c r="I183" s="292">
        <v>3000</v>
      </c>
      <c r="J183" s="292">
        <f>交易[[#This Row],[價格]]*交易[[#This Row],[數量]]*-1</f>
        <v>-106200</v>
      </c>
      <c r="L183" s="2"/>
    </row>
    <row r="184" spans="1:12">
      <c r="A184" s="330">
        <v>183</v>
      </c>
      <c r="B184" s="285">
        <v>44376</v>
      </c>
      <c r="C184" s="286">
        <v>3030</v>
      </c>
      <c r="D184" s="287" t="s">
        <v>2986</v>
      </c>
      <c r="E184" s="288" t="s">
        <v>2976</v>
      </c>
      <c r="F184" s="294" t="s">
        <v>2925</v>
      </c>
      <c r="G184" s="290">
        <v>1</v>
      </c>
      <c r="H184" s="291">
        <v>59.2</v>
      </c>
      <c r="I184" s="292">
        <v>1000</v>
      </c>
      <c r="J184" s="292">
        <f>交易[[#This Row],[價格]]*交易[[#This Row],[數量]]*-1</f>
        <v>-59200</v>
      </c>
      <c r="L184" s="2"/>
    </row>
    <row r="185" spans="1:12">
      <c r="A185" s="330">
        <v>184</v>
      </c>
      <c r="B185" s="285">
        <v>44376</v>
      </c>
      <c r="C185" s="286">
        <v>6213</v>
      </c>
      <c r="D185" s="287" t="s">
        <v>2987</v>
      </c>
      <c r="E185" s="288" t="s">
        <v>2976</v>
      </c>
      <c r="F185" s="294" t="s">
        <v>2925</v>
      </c>
      <c r="G185" s="290">
        <v>1</v>
      </c>
      <c r="H185" s="291">
        <v>142</v>
      </c>
      <c r="I185" s="292">
        <v>1000</v>
      </c>
      <c r="J185" s="292">
        <f>交易[[#This Row],[價格]]*交易[[#This Row],[數量]]*-1</f>
        <v>-142000</v>
      </c>
      <c r="L185" s="2"/>
    </row>
    <row r="186" spans="1:12">
      <c r="A186" s="330">
        <v>185</v>
      </c>
      <c r="B186" s="285">
        <v>44376</v>
      </c>
      <c r="C186" s="286">
        <v>8074</v>
      </c>
      <c r="D186" s="287" t="s">
        <v>2988</v>
      </c>
      <c r="E186" s="288" t="s">
        <v>2976</v>
      </c>
      <c r="F186" s="294" t="s">
        <v>2925</v>
      </c>
      <c r="G186" s="290">
        <v>1</v>
      </c>
      <c r="H186" s="291">
        <v>21</v>
      </c>
      <c r="I186" s="292">
        <v>2000</v>
      </c>
      <c r="J186" s="292">
        <f>交易[[#This Row],[價格]]*交易[[#This Row],[數量]]*-1</f>
        <v>-42000</v>
      </c>
      <c r="L186" s="2"/>
    </row>
    <row r="187" spans="1:12">
      <c r="A187" s="330">
        <v>186</v>
      </c>
      <c r="B187" s="285">
        <v>44376</v>
      </c>
      <c r="C187" s="286">
        <v>6285</v>
      </c>
      <c r="D187" s="287" t="s">
        <v>2989</v>
      </c>
      <c r="E187" s="288" t="s">
        <v>2980</v>
      </c>
      <c r="F187" s="294" t="s">
        <v>2990</v>
      </c>
      <c r="G187" s="290">
        <v>1</v>
      </c>
      <c r="H187" s="291">
        <v>75.011700000000005</v>
      </c>
      <c r="I187" s="292">
        <v>17000</v>
      </c>
      <c r="J187" s="292">
        <f>交易[[#This Row],[價格]]*交易[[#This Row],[數量]]*-1</f>
        <v>-1275198.9000000001</v>
      </c>
      <c r="L187" s="2"/>
    </row>
    <row r="188" spans="1:12">
      <c r="A188" s="330">
        <v>187</v>
      </c>
      <c r="B188" s="285">
        <v>44376</v>
      </c>
      <c r="C188" s="286">
        <v>6285</v>
      </c>
      <c r="D188" s="287" t="s">
        <v>2989</v>
      </c>
      <c r="E188" s="288" t="s">
        <v>2980</v>
      </c>
      <c r="F188" s="294" t="s">
        <v>2990</v>
      </c>
      <c r="G188" s="290">
        <v>1</v>
      </c>
      <c r="H188" s="291">
        <v>74.970500000000001</v>
      </c>
      <c r="I188" s="292">
        <v>-17000</v>
      </c>
      <c r="J188" s="292">
        <f>交易[[#This Row],[價格]]*交易[[#This Row],[數量]]*-1</f>
        <v>1274498.5</v>
      </c>
      <c r="L188" s="2"/>
    </row>
    <row r="189" spans="1:12">
      <c r="A189" s="330">
        <v>188</v>
      </c>
      <c r="B189" s="285">
        <v>44376</v>
      </c>
      <c r="C189" s="286">
        <v>1605</v>
      </c>
      <c r="D189" s="287" t="s">
        <v>2959</v>
      </c>
      <c r="E189" s="288" t="s">
        <v>2976</v>
      </c>
      <c r="F189" s="294" t="s">
        <v>2961</v>
      </c>
      <c r="G189" s="290">
        <v>2</v>
      </c>
      <c r="H189" s="291">
        <v>30</v>
      </c>
      <c r="I189" s="292">
        <v>-6000</v>
      </c>
      <c r="J189" s="292">
        <f>交易[[#This Row],[價格]]*交易[[#This Row],[數量]]*-1</f>
        <v>180000</v>
      </c>
      <c r="L189" s="2"/>
    </row>
    <row r="190" spans="1:12">
      <c r="A190" s="330">
        <v>189</v>
      </c>
      <c r="B190" s="285">
        <v>44376</v>
      </c>
      <c r="C190" s="286">
        <v>6269</v>
      </c>
      <c r="D190" s="287" t="s">
        <v>2978</v>
      </c>
      <c r="E190" s="288" t="s">
        <v>2976</v>
      </c>
      <c r="F190" s="294" t="s">
        <v>2961</v>
      </c>
      <c r="G190" s="290">
        <v>1</v>
      </c>
      <c r="H190" s="291">
        <v>138.5</v>
      </c>
      <c r="I190" s="292">
        <v>-2000</v>
      </c>
      <c r="J190" s="292">
        <f>交易[[#This Row],[價格]]*交易[[#This Row],[數量]]*-1</f>
        <v>277000</v>
      </c>
      <c r="L190" s="2"/>
    </row>
    <row r="191" spans="1:12">
      <c r="A191" s="330">
        <v>190</v>
      </c>
      <c r="B191" s="285">
        <v>44377</v>
      </c>
      <c r="C191" s="286">
        <v>1909</v>
      </c>
      <c r="D191" s="287" t="s">
        <v>2991</v>
      </c>
      <c r="E191" s="288" t="s">
        <v>2949</v>
      </c>
      <c r="F191" s="294" t="s">
        <v>2925</v>
      </c>
      <c r="G191" s="290">
        <v>1</v>
      </c>
      <c r="H191" s="291">
        <v>28.7666</v>
      </c>
      <c r="I191" s="292">
        <v>15000</v>
      </c>
      <c r="J191" s="292">
        <f>交易[[#This Row],[價格]]*交易[[#This Row],[數量]]*-1</f>
        <v>-431499</v>
      </c>
      <c r="L191" s="2"/>
    </row>
    <row r="192" spans="1:12">
      <c r="A192" s="330">
        <v>191</v>
      </c>
      <c r="B192" s="285">
        <v>44377</v>
      </c>
      <c r="C192" s="286">
        <v>1909</v>
      </c>
      <c r="D192" s="287" t="s">
        <v>2991</v>
      </c>
      <c r="E192" s="288" t="s">
        <v>2949</v>
      </c>
      <c r="F192" s="294" t="s">
        <v>2965</v>
      </c>
      <c r="G192" s="290">
        <v>1</v>
      </c>
      <c r="H192" s="291">
        <v>28.85</v>
      </c>
      <c r="I192" s="292">
        <v>-15000</v>
      </c>
      <c r="J192" s="292">
        <f>交易[[#This Row],[價格]]*交易[[#This Row],[數量]]*-1</f>
        <v>432750</v>
      </c>
      <c r="L192" s="2"/>
    </row>
    <row r="193" spans="1:12">
      <c r="A193" s="330">
        <v>192</v>
      </c>
      <c r="B193" s="285">
        <v>44377</v>
      </c>
      <c r="C193" s="286">
        <v>1210</v>
      </c>
      <c r="D193" s="287" t="s">
        <v>2958</v>
      </c>
      <c r="E193" s="288" t="s">
        <v>2924</v>
      </c>
      <c r="F193" s="294" t="s">
        <v>2930</v>
      </c>
      <c r="G193" s="290">
        <v>1</v>
      </c>
      <c r="H193" s="291">
        <v>60.3</v>
      </c>
      <c r="I193" s="292">
        <v>-1000</v>
      </c>
      <c r="J193" s="292">
        <f>交易[[#This Row],[價格]]*交易[[#This Row],[數量]]*-1</f>
        <v>60300</v>
      </c>
      <c r="L193" s="2"/>
    </row>
    <row r="194" spans="1:12">
      <c r="A194" s="330">
        <v>193</v>
      </c>
      <c r="B194" s="285">
        <v>44377</v>
      </c>
      <c r="C194" s="286">
        <v>6196</v>
      </c>
      <c r="D194" s="287" t="s">
        <v>2969</v>
      </c>
      <c r="E194" s="288" t="s">
        <v>2924</v>
      </c>
      <c r="F194" s="294" t="s">
        <v>2941</v>
      </c>
      <c r="G194" s="290">
        <v>2</v>
      </c>
      <c r="H194" s="291">
        <v>109.8221649484536</v>
      </c>
      <c r="I194" s="292">
        <v>-1552</v>
      </c>
      <c r="J194" s="292">
        <f>交易[[#This Row],[價格]]*交易[[#This Row],[數量]]*-1</f>
        <v>170444</v>
      </c>
      <c r="L194" s="2"/>
    </row>
    <row r="195" spans="1:12">
      <c r="A195" s="330">
        <v>194</v>
      </c>
      <c r="B195" s="285">
        <v>44377</v>
      </c>
      <c r="C195" s="286">
        <v>6213</v>
      </c>
      <c r="D195" s="287" t="s">
        <v>2987</v>
      </c>
      <c r="E195" s="288" t="s">
        <v>2924</v>
      </c>
      <c r="F195" s="294" t="s">
        <v>2941</v>
      </c>
      <c r="G195" s="290">
        <v>1</v>
      </c>
      <c r="H195" s="291">
        <v>141</v>
      </c>
      <c r="I195" s="292">
        <v>-1000</v>
      </c>
      <c r="J195" s="292">
        <f>交易[[#This Row],[價格]]*交易[[#This Row],[數量]]*-1</f>
        <v>141000</v>
      </c>
      <c r="L195" s="2"/>
    </row>
    <row r="196" spans="1:12">
      <c r="A196" s="330">
        <v>195</v>
      </c>
      <c r="B196" s="285">
        <v>44377</v>
      </c>
      <c r="C196" s="286">
        <v>1599</v>
      </c>
      <c r="D196" s="287" t="s">
        <v>2952</v>
      </c>
      <c r="E196" s="288" t="s">
        <v>2924</v>
      </c>
      <c r="F196" s="294" t="s">
        <v>2926</v>
      </c>
      <c r="G196" s="290">
        <v>2</v>
      </c>
      <c r="H196" s="291">
        <v>42.4</v>
      </c>
      <c r="I196" s="292">
        <v>1000</v>
      </c>
      <c r="J196" s="292">
        <f>交易[[#This Row],[價格]]*交易[[#This Row],[數量]]*-1</f>
        <v>-42400</v>
      </c>
      <c r="L196" s="2"/>
    </row>
    <row r="197" spans="1:12">
      <c r="A197" s="330">
        <v>196</v>
      </c>
      <c r="B197" s="285">
        <v>44378</v>
      </c>
      <c r="C197" s="286">
        <v>1101</v>
      </c>
      <c r="D197" s="287" t="s">
        <v>2945</v>
      </c>
      <c r="E197" s="288" t="s">
        <v>2924</v>
      </c>
      <c r="F197" s="294" t="s">
        <v>2930</v>
      </c>
      <c r="G197" s="290">
        <v>2</v>
      </c>
      <c r="H197" s="291">
        <v>51</v>
      </c>
      <c r="I197" s="292">
        <v>-1000</v>
      </c>
      <c r="J197" s="292">
        <f>交易[[#This Row],[價格]]*交易[[#This Row],[數量]]*-1</f>
        <v>51000</v>
      </c>
      <c r="L197" s="2"/>
    </row>
    <row r="198" spans="1:12">
      <c r="A198" s="330">
        <v>197</v>
      </c>
      <c r="B198" s="285">
        <v>44378</v>
      </c>
      <c r="C198" s="286">
        <v>2706</v>
      </c>
      <c r="D198" s="287" t="s">
        <v>2992</v>
      </c>
      <c r="E198" s="288" t="s">
        <v>2949</v>
      </c>
      <c r="F198" s="294" t="s">
        <v>2962</v>
      </c>
      <c r="G198" s="290">
        <v>1</v>
      </c>
      <c r="H198" s="291">
        <v>15.1</v>
      </c>
      <c r="I198" s="292">
        <v>10000</v>
      </c>
      <c r="J198" s="292">
        <f>交易[[#This Row],[價格]]*交易[[#This Row],[數量]]*-1</f>
        <v>-151000</v>
      </c>
      <c r="L198" s="2"/>
    </row>
    <row r="199" spans="1:12">
      <c r="A199" s="330">
        <v>198</v>
      </c>
      <c r="B199" s="285">
        <v>44379</v>
      </c>
      <c r="C199" s="286">
        <v>1301</v>
      </c>
      <c r="D199" s="287" t="s">
        <v>2993</v>
      </c>
      <c r="E199" s="288" t="s">
        <v>2924</v>
      </c>
      <c r="F199" s="294" t="s">
        <v>2962</v>
      </c>
      <c r="G199" s="290">
        <v>1</v>
      </c>
      <c r="H199" s="291">
        <v>105</v>
      </c>
      <c r="I199" s="292">
        <v>1477</v>
      </c>
      <c r="J199" s="292">
        <f>交易[[#This Row],[價格]]*交易[[#This Row],[數量]]*-1</f>
        <v>-155085</v>
      </c>
      <c r="L199" s="2"/>
    </row>
    <row r="200" spans="1:12">
      <c r="A200" s="330">
        <v>199</v>
      </c>
      <c r="B200" s="285">
        <v>44379</v>
      </c>
      <c r="C200" s="286">
        <v>1301</v>
      </c>
      <c r="D200" s="287" t="s">
        <v>2993</v>
      </c>
      <c r="E200" s="288" t="s">
        <v>2924</v>
      </c>
      <c r="F200" s="294" t="s">
        <v>2962</v>
      </c>
      <c r="G200" s="290">
        <v>1</v>
      </c>
      <c r="H200" s="291">
        <v>106.5</v>
      </c>
      <c r="I200" s="292">
        <v>523</v>
      </c>
      <c r="J200" s="292">
        <f>交易[[#This Row],[價格]]*交易[[#This Row],[數量]]*-1</f>
        <v>-55699.5</v>
      </c>
      <c r="L200" s="2"/>
    </row>
    <row r="201" spans="1:12">
      <c r="A201" s="330">
        <v>200</v>
      </c>
      <c r="B201" s="285">
        <v>44379</v>
      </c>
      <c r="C201" s="286">
        <v>1301</v>
      </c>
      <c r="D201" s="287" t="s">
        <v>2993</v>
      </c>
      <c r="E201" s="288" t="s">
        <v>2924</v>
      </c>
      <c r="F201" s="294" t="s">
        <v>2962</v>
      </c>
      <c r="G201" s="290">
        <v>1</v>
      </c>
      <c r="H201" s="291">
        <v>106</v>
      </c>
      <c r="I201" s="292">
        <v>2000</v>
      </c>
      <c r="J201" s="292">
        <f>交易[[#This Row],[價格]]*交易[[#This Row],[數量]]*-1</f>
        <v>-212000</v>
      </c>
      <c r="L201" s="2"/>
    </row>
    <row r="202" spans="1:12">
      <c r="A202" s="330">
        <v>201</v>
      </c>
      <c r="B202" s="285">
        <v>44379</v>
      </c>
      <c r="C202" s="286">
        <v>1301</v>
      </c>
      <c r="D202" s="287" t="s">
        <v>2993</v>
      </c>
      <c r="E202" s="288" t="s">
        <v>2924</v>
      </c>
      <c r="F202" s="294" t="s">
        <v>2962</v>
      </c>
      <c r="G202" s="290">
        <v>1</v>
      </c>
      <c r="H202" s="291">
        <v>106</v>
      </c>
      <c r="I202" s="292">
        <v>1000</v>
      </c>
      <c r="J202" s="292">
        <f>交易[[#This Row],[價格]]*交易[[#This Row],[數量]]*-1</f>
        <v>-106000</v>
      </c>
      <c r="L202" s="2"/>
    </row>
    <row r="203" spans="1:12">
      <c r="A203" s="330">
        <v>202</v>
      </c>
      <c r="B203" s="285">
        <v>44379</v>
      </c>
      <c r="C203" s="286">
        <v>1301</v>
      </c>
      <c r="D203" s="287" t="s">
        <v>2993</v>
      </c>
      <c r="E203" s="288" t="s">
        <v>2924</v>
      </c>
      <c r="F203" s="294" t="s">
        <v>2964</v>
      </c>
      <c r="G203" s="290">
        <v>1</v>
      </c>
      <c r="H203" s="291">
        <v>105</v>
      </c>
      <c r="I203" s="292">
        <v>-3000</v>
      </c>
      <c r="J203" s="292">
        <f>交易[[#This Row],[價格]]*交易[[#This Row],[數量]]*-1</f>
        <v>315000</v>
      </c>
      <c r="L203" s="2"/>
    </row>
    <row r="204" spans="1:12">
      <c r="A204" s="330">
        <v>203</v>
      </c>
      <c r="B204" s="285">
        <v>44379</v>
      </c>
      <c r="C204" s="286">
        <v>1409</v>
      </c>
      <c r="D204" s="287" t="s">
        <v>2923</v>
      </c>
      <c r="E204" s="288" t="s">
        <v>2924</v>
      </c>
      <c r="F204" s="294" t="s">
        <v>2963</v>
      </c>
      <c r="G204" s="290">
        <v>5</v>
      </c>
      <c r="H204" s="291">
        <v>22.2</v>
      </c>
      <c r="I204" s="292">
        <v>-5000</v>
      </c>
      <c r="J204" s="292">
        <f>交易[[#This Row],[價格]]*交易[[#This Row],[數量]]*-1</f>
        <v>111000</v>
      </c>
      <c r="L204" s="2"/>
    </row>
    <row r="205" spans="1:12">
      <c r="A205" s="330">
        <v>204</v>
      </c>
      <c r="B205" s="285">
        <v>44379</v>
      </c>
      <c r="C205" s="286">
        <v>2408</v>
      </c>
      <c r="D205" s="287" t="s">
        <v>2982</v>
      </c>
      <c r="E205" s="288" t="s">
        <v>2924</v>
      </c>
      <c r="F205" s="294" t="s">
        <v>2970</v>
      </c>
      <c r="G205" s="290">
        <v>1</v>
      </c>
      <c r="H205" s="291">
        <v>80.099999999999994</v>
      </c>
      <c r="I205" s="292">
        <v>2000</v>
      </c>
      <c r="J205" s="292">
        <f>交易[[#This Row],[價格]]*交易[[#This Row],[數量]]*-1</f>
        <v>-160200</v>
      </c>
      <c r="L205" s="2"/>
    </row>
    <row r="206" spans="1:12">
      <c r="A206" s="330">
        <v>205</v>
      </c>
      <c r="B206" s="285">
        <v>44379</v>
      </c>
      <c r="C206" s="286">
        <v>2706</v>
      </c>
      <c r="D206" s="287" t="s">
        <v>2992</v>
      </c>
      <c r="E206" s="288" t="s">
        <v>2949</v>
      </c>
      <c r="F206" s="294" t="s">
        <v>2965</v>
      </c>
      <c r="G206" s="290">
        <v>1</v>
      </c>
      <c r="H206" s="291">
        <v>15.25</v>
      </c>
      <c r="I206" s="292">
        <v>-10000</v>
      </c>
      <c r="J206" s="292">
        <f>交易[[#This Row],[價格]]*交易[[#This Row],[數量]]*-1</f>
        <v>152500</v>
      </c>
      <c r="L206" s="2"/>
    </row>
    <row r="207" spans="1:12">
      <c r="A207" s="330">
        <v>206</v>
      </c>
      <c r="B207" s="285">
        <v>44379</v>
      </c>
      <c r="C207" s="286">
        <v>3005</v>
      </c>
      <c r="D207" s="287" t="s">
        <v>2951</v>
      </c>
      <c r="E207" s="288" t="s">
        <v>2924</v>
      </c>
      <c r="F207" s="294" t="s">
        <v>2963</v>
      </c>
      <c r="G207" s="290">
        <v>2</v>
      </c>
      <c r="H207" s="291">
        <v>53.9</v>
      </c>
      <c r="I207" s="292">
        <v>-2000</v>
      </c>
      <c r="J207" s="292">
        <f>交易[[#This Row],[價格]]*交易[[#This Row],[數量]]*-1</f>
        <v>107800</v>
      </c>
      <c r="L207" s="2"/>
    </row>
    <row r="208" spans="1:12">
      <c r="A208" s="330">
        <v>207</v>
      </c>
      <c r="B208" s="285">
        <v>44382</v>
      </c>
      <c r="C208" s="286">
        <v>1586</v>
      </c>
      <c r="D208" s="287" t="s">
        <v>2994</v>
      </c>
      <c r="E208" s="288" t="s">
        <v>2924</v>
      </c>
      <c r="F208" s="294" t="s">
        <v>2925</v>
      </c>
      <c r="G208" s="290">
        <v>1</v>
      </c>
      <c r="H208" s="291">
        <v>44.15</v>
      </c>
      <c r="I208" s="292">
        <v>2000</v>
      </c>
      <c r="J208" s="292">
        <f>交易[[#This Row],[價格]]*交易[[#This Row],[數量]]*-1</f>
        <v>-88300</v>
      </c>
      <c r="L208" s="2"/>
    </row>
    <row r="209" spans="1:12">
      <c r="A209" s="330">
        <v>208</v>
      </c>
      <c r="B209" s="285">
        <v>44382</v>
      </c>
      <c r="C209" s="286">
        <v>2464</v>
      </c>
      <c r="D209" s="287" t="s">
        <v>2966</v>
      </c>
      <c r="E209" s="288" t="s">
        <v>2924</v>
      </c>
      <c r="F209" s="294" t="s">
        <v>2970</v>
      </c>
      <c r="G209" s="290">
        <v>2</v>
      </c>
      <c r="H209" s="291">
        <v>44.65</v>
      </c>
      <c r="I209" s="292">
        <v>2000</v>
      </c>
      <c r="J209" s="292">
        <f>交易[[#This Row],[價格]]*交易[[#This Row],[數量]]*-1</f>
        <v>-89300</v>
      </c>
      <c r="L209" s="2"/>
    </row>
    <row r="210" spans="1:12">
      <c r="A210" s="330">
        <v>209</v>
      </c>
      <c r="B210" s="285">
        <v>44382</v>
      </c>
      <c r="C210" s="286">
        <v>6239</v>
      </c>
      <c r="D210" s="287" t="s">
        <v>2995</v>
      </c>
      <c r="E210" s="288" t="s">
        <v>2924</v>
      </c>
      <c r="F210" s="294" t="s">
        <v>2925</v>
      </c>
      <c r="G210" s="290">
        <v>1</v>
      </c>
      <c r="H210" s="291">
        <v>109.5</v>
      </c>
      <c r="I210" s="292">
        <v>2000</v>
      </c>
      <c r="J210" s="292">
        <f>交易[[#This Row],[價格]]*交易[[#This Row],[數量]]*-1</f>
        <v>-219000</v>
      </c>
      <c r="L210" s="2"/>
    </row>
    <row r="211" spans="1:12">
      <c r="A211" s="330">
        <v>210</v>
      </c>
      <c r="B211" s="285">
        <v>44382</v>
      </c>
      <c r="C211" s="286">
        <v>2408</v>
      </c>
      <c r="D211" s="287" t="s">
        <v>2982</v>
      </c>
      <c r="E211" s="288" t="s">
        <v>2924</v>
      </c>
      <c r="F211" s="294" t="s">
        <v>2941</v>
      </c>
      <c r="G211" s="290">
        <v>1</v>
      </c>
      <c r="H211" s="291">
        <v>79.8</v>
      </c>
      <c r="I211" s="292">
        <v>-4000</v>
      </c>
      <c r="J211" s="292">
        <f>交易[[#This Row],[價格]]*交易[[#This Row],[數量]]*-1</f>
        <v>319200</v>
      </c>
      <c r="L211" s="2"/>
    </row>
    <row r="212" spans="1:12">
      <c r="A212" s="330">
        <v>211</v>
      </c>
      <c r="B212" s="285">
        <v>44382</v>
      </c>
      <c r="C212" s="286">
        <v>6509</v>
      </c>
      <c r="D212" s="287" t="s">
        <v>2950</v>
      </c>
      <c r="E212" s="288" t="s">
        <v>2924</v>
      </c>
      <c r="F212" s="294" t="s">
        <v>2929</v>
      </c>
      <c r="G212" s="290">
        <v>1</v>
      </c>
      <c r="H212" s="291">
        <v>49.95</v>
      </c>
      <c r="I212" s="292">
        <v>-10000</v>
      </c>
      <c r="J212" s="292">
        <f>交易[[#This Row],[價格]]*交易[[#This Row],[數量]]*-1</f>
        <v>499500</v>
      </c>
      <c r="L212" s="2"/>
    </row>
    <row r="213" spans="1:12">
      <c r="A213" s="330">
        <v>212</v>
      </c>
      <c r="B213" s="285">
        <v>44383</v>
      </c>
      <c r="C213" s="286">
        <v>6257</v>
      </c>
      <c r="D213" s="287" t="s">
        <v>2984</v>
      </c>
      <c r="E213" s="288" t="s">
        <v>2924</v>
      </c>
      <c r="F213" s="294" t="s">
        <v>2926</v>
      </c>
      <c r="G213" s="290">
        <v>1</v>
      </c>
      <c r="H213" s="291">
        <v>58.9</v>
      </c>
      <c r="I213" s="292">
        <v>1000</v>
      </c>
      <c r="J213" s="292">
        <f>交易[[#This Row],[價格]]*交易[[#This Row],[數量]]*-1</f>
        <v>-58900</v>
      </c>
      <c r="L213" s="2"/>
    </row>
    <row r="214" spans="1:12">
      <c r="A214" s="330">
        <v>213</v>
      </c>
      <c r="B214" s="285">
        <v>44383</v>
      </c>
      <c r="C214" s="286">
        <v>4906</v>
      </c>
      <c r="D214" s="287" t="s">
        <v>2996</v>
      </c>
      <c r="E214" s="288" t="s">
        <v>2924</v>
      </c>
      <c r="F214" s="294" t="s">
        <v>2928</v>
      </c>
      <c r="G214" s="290">
        <v>1</v>
      </c>
      <c r="H214" s="291">
        <v>33.299999999999997</v>
      </c>
      <c r="I214" s="292">
        <v>6000</v>
      </c>
      <c r="J214" s="292">
        <f>交易[[#This Row],[價格]]*交易[[#This Row],[數量]]*-1</f>
        <v>-199799.99999999997</v>
      </c>
      <c r="L214" s="2"/>
    </row>
    <row r="215" spans="1:12">
      <c r="A215" s="330">
        <v>214</v>
      </c>
      <c r="B215" s="285">
        <v>44383</v>
      </c>
      <c r="C215" s="286">
        <v>4906</v>
      </c>
      <c r="D215" s="287" t="s">
        <v>2996</v>
      </c>
      <c r="E215" s="288" t="s">
        <v>2924</v>
      </c>
      <c r="F215" s="294" t="s">
        <v>2928</v>
      </c>
      <c r="G215" s="290">
        <v>1</v>
      </c>
      <c r="H215" s="291">
        <v>32.9</v>
      </c>
      <c r="I215" s="292">
        <v>-6000</v>
      </c>
      <c r="J215" s="292">
        <f>交易[[#This Row],[價格]]*交易[[#This Row],[數量]]*-1</f>
        <v>197400</v>
      </c>
      <c r="L215" s="2"/>
    </row>
    <row r="216" spans="1:12">
      <c r="A216" s="330">
        <v>215</v>
      </c>
      <c r="B216" s="285">
        <v>44383</v>
      </c>
      <c r="C216" s="286">
        <v>6279</v>
      </c>
      <c r="D216" s="287" t="s">
        <v>2977</v>
      </c>
      <c r="E216" s="288" t="s">
        <v>2924</v>
      </c>
      <c r="F216" s="294" t="s">
        <v>2930</v>
      </c>
      <c r="G216" s="290">
        <v>1</v>
      </c>
      <c r="H216" s="291">
        <v>142</v>
      </c>
      <c r="I216" s="292">
        <v>-2000</v>
      </c>
      <c r="J216" s="292">
        <f>交易[[#This Row],[價格]]*交易[[#This Row],[數量]]*-1</f>
        <v>284000</v>
      </c>
      <c r="L216" s="2"/>
    </row>
    <row r="217" spans="1:12">
      <c r="A217" s="330">
        <v>216</v>
      </c>
      <c r="B217" s="285">
        <v>44384</v>
      </c>
      <c r="C217" s="286">
        <v>6257</v>
      </c>
      <c r="D217" s="287" t="s">
        <v>2984</v>
      </c>
      <c r="E217" s="288" t="s">
        <v>2924</v>
      </c>
      <c r="F217" s="294" t="s">
        <v>2965</v>
      </c>
      <c r="G217" s="290">
        <v>1</v>
      </c>
      <c r="H217" s="291">
        <v>57.3</v>
      </c>
      <c r="I217" s="292">
        <v>-3000</v>
      </c>
      <c r="J217" s="292">
        <f>交易[[#This Row],[價格]]*交易[[#This Row],[數量]]*-1</f>
        <v>171900</v>
      </c>
      <c r="L217" s="2"/>
    </row>
    <row r="218" spans="1:12">
      <c r="A218" s="330">
        <v>217</v>
      </c>
      <c r="B218" s="285">
        <v>44384</v>
      </c>
      <c r="C218" s="286">
        <v>2723</v>
      </c>
      <c r="D218" s="287" t="s">
        <v>2997</v>
      </c>
      <c r="E218" s="288" t="s">
        <v>2924</v>
      </c>
      <c r="F218" s="294" t="s">
        <v>2962</v>
      </c>
      <c r="G218" s="290">
        <v>1</v>
      </c>
      <c r="H218" s="291">
        <v>175.5</v>
      </c>
      <c r="I218" s="292">
        <v>2000</v>
      </c>
      <c r="J218" s="292">
        <f>交易[[#This Row],[價格]]*交易[[#This Row],[數量]]*-1</f>
        <v>-351000</v>
      </c>
      <c r="L218" s="2"/>
    </row>
    <row r="219" spans="1:12">
      <c r="A219" s="330">
        <v>218</v>
      </c>
      <c r="B219" s="285">
        <v>44384</v>
      </c>
      <c r="C219" s="286">
        <v>4906</v>
      </c>
      <c r="D219" s="287" t="s">
        <v>2996</v>
      </c>
      <c r="E219" s="288" t="s">
        <v>2924</v>
      </c>
      <c r="F219" s="294" t="s">
        <v>2962</v>
      </c>
      <c r="G219" s="290">
        <v>1</v>
      </c>
      <c r="H219" s="291">
        <v>33.25</v>
      </c>
      <c r="I219" s="292">
        <v>3000</v>
      </c>
      <c r="J219" s="292">
        <f>交易[[#This Row],[價格]]*交易[[#This Row],[數量]]*-1</f>
        <v>-99750</v>
      </c>
      <c r="L219" s="2"/>
    </row>
    <row r="220" spans="1:12">
      <c r="A220" s="330">
        <v>219</v>
      </c>
      <c r="B220" s="285">
        <v>44384</v>
      </c>
      <c r="C220" s="286">
        <v>1599</v>
      </c>
      <c r="D220" s="287" t="s">
        <v>2952</v>
      </c>
      <c r="E220" s="288" t="s">
        <v>2924</v>
      </c>
      <c r="F220" s="294" t="s">
        <v>2970</v>
      </c>
      <c r="G220" s="290">
        <v>2</v>
      </c>
      <c r="H220" s="291">
        <v>43.45</v>
      </c>
      <c r="I220" s="292">
        <v>1000</v>
      </c>
      <c r="J220" s="292">
        <f>交易[[#This Row],[價格]]*交易[[#This Row],[數量]]*-1</f>
        <v>-43450</v>
      </c>
      <c r="L220" s="2"/>
    </row>
    <row r="221" spans="1:12">
      <c r="A221" s="330">
        <v>220</v>
      </c>
      <c r="B221" s="285">
        <v>44385</v>
      </c>
      <c r="C221" s="286">
        <v>4906</v>
      </c>
      <c r="D221" s="287" t="s">
        <v>2996</v>
      </c>
      <c r="E221" s="288" t="s">
        <v>2924</v>
      </c>
      <c r="F221" s="294" t="s">
        <v>2926</v>
      </c>
      <c r="G221" s="290">
        <v>1</v>
      </c>
      <c r="H221" s="291">
        <v>33.049999999999997</v>
      </c>
      <c r="I221" s="292">
        <v>3000</v>
      </c>
      <c r="J221" s="292">
        <f>交易[[#This Row],[價格]]*交易[[#This Row],[數量]]*-1</f>
        <v>-99149.999999999985</v>
      </c>
      <c r="L221" s="2"/>
    </row>
    <row r="222" spans="1:12">
      <c r="A222" s="330">
        <v>221</v>
      </c>
      <c r="B222" s="285">
        <v>44385</v>
      </c>
      <c r="C222" s="286">
        <v>8074</v>
      </c>
      <c r="D222" s="287" t="s">
        <v>2988</v>
      </c>
      <c r="E222" s="288" t="s">
        <v>2924</v>
      </c>
      <c r="F222" s="294" t="s">
        <v>2926</v>
      </c>
      <c r="G222" s="290">
        <v>1</v>
      </c>
      <c r="H222" s="291">
        <v>20.9</v>
      </c>
      <c r="I222" s="292">
        <v>2000</v>
      </c>
      <c r="J222" s="292">
        <f>交易[[#This Row],[價格]]*交易[[#This Row],[數量]]*-1</f>
        <v>-41800</v>
      </c>
      <c r="L222" s="2"/>
    </row>
    <row r="223" spans="1:12">
      <c r="A223" s="330">
        <v>222</v>
      </c>
      <c r="B223" s="285">
        <v>44386</v>
      </c>
      <c r="C223" s="286">
        <v>4906</v>
      </c>
      <c r="D223" s="287" t="s">
        <v>2996</v>
      </c>
      <c r="E223" s="288" t="s">
        <v>2924</v>
      </c>
      <c r="F223" s="294" t="s">
        <v>2926</v>
      </c>
      <c r="G223" s="290">
        <v>1</v>
      </c>
      <c r="H223" s="291">
        <v>33.6</v>
      </c>
      <c r="I223" s="292">
        <v>2000</v>
      </c>
      <c r="J223" s="292">
        <f>交易[[#This Row],[價格]]*交易[[#This Row],[數量]]*-1</f>
        <v>-67200</v>
      </c>
      <c r="L223" s="2"/>
    </row>
    <row r="224" spans="1:12">
      <c r="A224" s="330">
        <v>223</v>
      </c>
      <c r="B224" s="285">
        <v>44386</v>
      </c>
      <c r="C224" s="286">
        <v>6438</v>
      </c>
      <c r="D224" s="287" t="s">
        <v>2998</v>
      </c>
      <c r="E224" s="288" t="s">
        <v>2924</v>
      </c>
      <c r="F224" s="294" t="s">
        <v>2925</v>
      </c>
      <c r="G224" s="290">
        <v>1</v>
      </c>
      <c r="H224" s="291">
        <v>115</v>
      </c>
      <c r="I224" s="292">
        <v>2000</v>
      </c>
      <c r="J224" s="292">
        <f>交易[[#This Row],[價格]]*交易[[#This Row],[數量]]*-1</f>
        <v>-230000</v>
      </c>
      <c r="L224" s="2"/>
    </row>
    <row r="225" spans="1:12">
      <c r="A225" s="330">
        <v>224</v>
      </c>
      <c r="B225" s="285">
        <v>44386</v>
      </c>
      <c r="C225" s="286">
        <v>1301</v>
      </c>
      <c r="D225" s="287" t="s">
        <v>2993</v>
      </c>
      <c r="E225" s="288" t="s">
        <v>2924</v>
      </c>
      <c r="F225" s="294" t="s">
        <v>2941</v>
      </c>
      <c r="G225" s="290">
        <v>1</v>
      </c>
      <c r="H225" s="291">
        <v>101.5</v>
      </c>
      <c r="I225" s="292">
        <v>-2000</v>
      </c>
      <c r="J225" s="292">
        <f>交易[[#This Row],[價格]]*交易[[#This Row],[數量]]*-1</f>
        <v>203000</v>
      </c>
      <c r="L225" s="2"/>
    </row>
    <row r="226" spans="1:12">
      <c r="A226" s="330">
        <v>225</v>
      </c>
      <c r="B226" s="285">
        <v>44386</v>
      </c>
      <c r="C226" s="286">
        <v>1722</v>
      </c>
      <c r="D226" s="287" t="s">
        <v>2953</v>
      </c>
      <c r="E226" s="288" t="s">
        <v>2924</v>
      </c>
      <c r="F226" s="294" t="s">
        <v>2961</v>
      </c>
      <c r="G226" s="290">
        <v>1</v>
      </c>
      <c r="H226" s="291">
        <v>57.7</v>
      </c>
      <c r="I226" s="292">
        <v>-4000</v>
      </c>
      <c r="J226" s="292">
        <f>交易[[#This Row],[價格]]*交易[[#This Row],[數量]]*-1</f>
        <v>230800</v>
      </c>
      <c r="L226" s="2"/>
    </row>
    <row r="227" spans="1:12">
      <c r="A227" s="330">
        <v>226</v>
      </c>
      <c r="B227" s="285">
        <v>44389</v>
      </c>
      <c r="C227" s="286">
        <v>1717</v>
      </c>
      <c r="D227" s="287" t="s">
        <v>2999</v>
      </c>
      <c r="E227" s="288" t="s">
        <v>2976</v>
      </c>
      <c r="F227" s="294" t="s">
        <v>2962</v>
      </c>
      <c r="G227" s="290">
        <v>1</v>
      </c>
      <c r="H227" s="291">
        <v>42.05</v>
      </c>
      <c r="I227" s="292">
        <v>5000</v>
      </c>
      <c r="J227" s="292">
        <f>交易[[#This Row],[價格]]*交易[[#This Row],[數量]]*-1</f>
        <v>-210250</v>
      </c>
      <c r="L227" s="2"/>
    </row>
    <row r="228" spans="1:12">
      <c r="A228" s="330">
        <v>227</v>
      </c>
      <c r="B228" s="285">
        <v>44389</v>
      </c>
      <c r="C228" s="286">
        <v>6187</v>
      </c>
      <c r="D228" s="287" t="s">
        <v>2968</v>
      </c>
      <c r="E228" s="288" t="s">
        <v>2976</v>
      </c>
      <c r="F228" s="294" t="s">
        <v>2962</v>
      </c>
      <c r="G228" s="290">
        <v>2</v>
      </c>
      <c r="H228" s="291">
        <v>136</v>
      </c>
      <c r="I228" s="292">
        <v>2000</v>
      </c>
      <c r="J228" s="292">
        <f>交易[[#This Row],[價格]]*交易[[#This Row],[數量]]*-1</f>
        <v>-272000</v>
      </c>
      <c r="L228" s="2"/>
    </row>
    <row r="229" spans="1:12">
      <c r="A229" s="330">
        <v>228</v>
      </c>
      <c r="B229" s="285">
        <v>44389</v>
      </c>
      <c r="C229" s="286">
        <v>6213</v>
      </c>
      <c r="D229" s="287" t="s">
        <v>2987</v>
      </c>
      <c r="E229" s="288" t="s">
        <v>2976</v>
      </c>
      <c r="F229" s="294" t="s">
        <v>2925</v>
      </c>
      <c r="G229" s="290">
        <v>2</v>
      </c>
      <c r="H229" s="291">
        <v>150</v>
      </c>
      <c r="I229" s="292">
        <v>2000</v>
      </c>
      <c r="J229" s="292">
        <f>交易[[#This Row],[價格]]*交易[[#This Row],[數量]]*-1</f>
        <v>-300000</v>
      </c>
      <c r="L229" s="2"/>
    </row>
    <row r="230" spans="1:12">
      <c r="A230" s="330">
        <v>229</v>
      </c>
      <c r="B230" s="285">
        <v>44389</v>
      </c>
      <c r="C230" s="286">
        <v>2723</v>
      </c>
      <c r="D230" s="287" t="s">
        <v>2997</v>
      </c>
      <c r="E230" s="288" t="s">
        <v>2976</v>
      </c>
      <c r="F230" s="294" t="s">
        <v>2963</v>
      </c>
      <c r="G230" s="290">
        <v>1</v>
      </c>
      <c r="H230" s="291">
        <v>167</v>
      </c>
      <c r="I230" s="292">
        <v>-2000</v>
      </c>
      <c r="J230" s="292">
        <f>交易[[#This Row],[價格]]*交易[[#This Row],[數量]]*-1</f>
        <v>334000</v>
      </c>
      <c r="L230" s="2"/>
    </row>
    <row r="231" spans="1:12">
      <c r="A231" s="330">
        <v>230</v>
      </c>
      <c r="B231" s="285">
        <v>44389</v>
      </c>
      <c r="C231" s="286">
        <v>3030</v>
      </c>
      <c r="D231" s="287" t="s">
        <v>2986</v>
      </c>
      <c r="E231" s="288" t="s">
        <v>2976</v>
      </c>
      <c r="F231" s="294" t="s">
        <v>2961</v>
      </c>
      <c r="G231" s="290">
        <v>1</v>
      </c>
      <c r="H231" s="291">
        <v>61</v>
      </c>
      <c r="I231" s="292">
        <v>-1000</v>
      </c>
      <c r="J231" s="292">
        <f>交易[[#This Row],[價格]]*交易[[#This Row],[數量]]*-1</f>
        <v>61000</v>
      </c>
      <c r="L231" s="2"/>
    </row>
    <row r="232" spans="1:12">
      <c r="A232" s="330">
        <v>231</v>
      </c>
      <c r="B232" s="285">
        <v>44389</v>
      </c>
      <c r="C232" s="286">
        <v>4906</v>
      </c>
      <c r="D232" s="287" t="s">
        <v>2996</v>
      </c>
      <c r="E232" s="288" t="s">
        <v>2976</v>
      </c>
      <c r="F232" s="294" t="s">
        <v>2964</v>
      </c>
      <c r="G232" s="290">
        <v>1</v>
      </c>
      <c r="H232" s="291">
        <v>34.549999999999997</v>
      </c>
      <c r="I232" s="292">
        <v>-6000</v>
      </c>
      <c r="J232" s="292">
        <f>交易[[#This Row],[價格]]*交易[[#This Row],[數量]]*-1</f>
        <v>207299.99999999997</v>
      </c>
      <c r="L232" s="2"/>
    </row>
    <row r="233" spans="1:12">
      <c r="A233" s="330">
        <v>232</v>
      </c>
      <c r="B233" s="285">
        <v>44390</v>
      </c>
      <c r="C233" s="286">
        <v>1785</v>
      </c>
      <c r="D233" s="287" t="s">
        <v>3000</v>
      </c>
      <c r="E233" s="288" t="s">
        <v>2949</v>
      </c>
      <c r="F233" s="294" t="s">
        <v>2962</v>
      </c>
      <c r="G233" s="290">
        <v>1</v>
      </c>
      <c r="H233" s="291">
        <v>48.25</v>
      </c>
      <c r="I233" s="292">
        <v>3000</v>
      </c>
      <c r="J233" s="292">
        <f>交易[[#This Row],[價格]]*交易[[#This Row],[數量]]*-1</f>
        <v>-144750</v>
      </c>
      <c r="L233" s="2"/>
    </row>
    <row r="234" spans="1:12">
      <c r="A234" s="330">
        <v>233</v>
      </c>
      <c r="B234" s="285">
        <v>44390</v>
      </c>
      <c r="C234" s="286">
        <v>4906</v>
      </c>
      <c r="D234" s="287" t="s">
        <v>2996</v>
      </c>
      <c r="E234" s="288" t="s">
        <v>2976</v>
      </c>
      <c r="F234" s="294" t="s">
        <v>2961</v>
      </c>
      <c r="G234" s="290">
        <v>1</v>
      </c>
      <c r="H234" s="291">
        <v>34.15</v>
      </c>
      <c r="I234" s="292">
        <v>-2000</v>
      </c>
      <c r="J234" s="292">
        <f>交易[[#This Row],[價格]]*交易[[#This Row],[數量]]*-1</f>
        <v>68300</v>
      </c>
      <c r="L234" s="2"/>
    </row>
    <row r="235" spans="1:12">
      <c r="A235" s="330">
        <v>234</v>
      </c>
      <c r="B235" s="285">
        <v>44390</v>
      </c>
      <c r="C235" s="286">
        <v>6213</v>
      </c>
      <c r="D235" s="287" t="s">
        <v>2987</v>
      </c>
      <c r="E235" s="288" t="s">
        <v>2976</v>
      </c>
      <c r="F235" s="294" t="s">
        <v>2963</v>
      </c>
      <c r="G235" s="290">
        <v>2</v>
      </c>
      <c r="H235" s="291">
        <v>149.5</v>
      </c>
      <c r="I235" s="292">
        <v>-2000</v>
      </c>
      <c r="J235" s="292">
        <f>交易[[#This Row],[價格]]*交易[[#This Row],[數量]]*-1</f>
        <v>299000</v>
      </c>
      <c r="L235" s="2"/>
    </row>
    <row r="236" spans="1:12">
      <c r="A236" s="330">
        <v>235</v>
      </c>
      <c r="B236" s="285">
        <v>44390</v>
      </c>
      <c r="C236" s="286">
        <v>6239</v>
      </c>
      <c r="D236" s="287" t="s">
        <v>2995</v>
      </c>
      <c r="E236" s="288" t="s">
        <v>2976</v>
      </c>
      <c r="F236" s="294" t="s">
        <v>2961</v>
      </c>
      <c r="G236" s="290">
        <v>1</v>
      </c>
      <c r="H236" s="291">
        <v>111</v>
      </c>
      <c r="I236" s="292">
        <v>-2000</v>
      </c>
      <c r="J236" s="292">
        <f>交易[[#This Row],[價格]]*交易[[#This Row],[數量]]*-1</f>
        <v>222000</v>
      </c>
      <c r="L236" s="2"/>
    </row>
    <row r="237" spans="1:12">
      <c r="A237" s="330">
        <v>236</v>
      </c>
      <c r="B237" s="285">
        <v>44390</v>
      </c>
      <c r="C237" s="286">
        <v>6438</v>
      </c>
      <c r="D237" s="287" t="s">
        <v>2998</v>
      </c>
      <c r="E237" s="288" t="s">
        <v>2976</v>
      </c>
      <c r="F237" s="294" t="s">
        <v>2963</v>
      </c>
      <c r="G237" s="290">
        <v>1</v>
      </c>
      <c r="H237" s="291">
        <v>110.5</v>
      </c>
      <c r="I237" s="292">
        <v>-2000</v>
      </c>
      <c r="J237" s="292">
        <f>交易[[#This Row],[價格]]*交易[[#This Row],[數量]]*-1</f>
        <v>221000</v>
      </c>
      <c r="L237" s="2"/>
    </row>
    <row r="238" spans="1:12">
      <c r="A238" s="330">
        <v>237</v>
      </c>
      <c r="B238" s="285">
        <v>44390</v>
      </c>
      <c r="C238" s="286">
        <v>1785</v>
      </c>
      <c r="D238" s="287" t="s">
        <v>3000</v>
      </c>
      <c r="E238" s="288" t="s">
        <v>2949</v>
      </c>
      <c r="F238" s="294" t="s">
        <v>2990</v>
      </c>
      <c r="G238" s="290">
        <v>1</v>
      </c>
      <c r="H238" s="291">
        <v>48</v>
      </c>
      <c r="I238" s="292">
        <v>3000</v>
      </c>
      <c r="J238" s="292">
        <f>交易[[#This Row],[價格]]*交易[[#This Row],[數量]]*-1</f>
        <v>-144000</v>
      </c>
      <c r="L238" s="2"/>
    </row>
    <row r="239" spans="1:12">
      <c r="A239" s="330">
        <v>238</v>
      </c>
      <c r="B239" s="285">
        <v>44390</v>
      </c>
      <c r="C239" s="286">
        <v>6213</v>
      </c>
      <c r="D239" s="287" t="s">
        <v>2987</v>
      </c>
      <c r="E239" s="288" t="s">
        <v>2976</v>
      </c>
      <c r="F239" s="294" t="s">
        <v>2990</v>
      </c>
      <c r="G239" s="290">
        <v>2</v>
      </c>
      <c r="H239" s="291">
        <v>152.5</v>
      </c>
      <c r="I239" s="292">
        <v>2000</v>
      </c>
      <c r="J239" s="292">
        <f>交易[[#This Row],[價格]]*交易[[#This Row],[數量]]*-1</f>
        <v>-305000</v>
      </c>
      <c r="L239" s="2"/>
    </row>
    <row r="240" spans="1:12">
      <c r="A240" s="330">
        <v>239</v>
      </c>
      <c r="B240" s="285">
        <v>44390</v>
      </c>
      <c r="C240" s="286">
        <v>8215</v>
      </c>
      <c r="D240" s="287" t="s">
        <v>3001</v>
      </c>
      <c r="E240" s="288" t="s">
        <v>2976</v>
      </c>
      <c r="F240" s="294" t="s">
        <v>2990</v>
      </c>
      <c r="G240" s="290">
        <v>1</v>
      </c>
      <c r="H240" s="291">
        <v>28.4</v>
      </c>
      <c r="I240" s="292">
        <v>5000</v>
      </c>
      <c r="J240" s="292">
        <f>交易[[#This Row],[價格]]*交易[[#This Row],[數量]]*-1</f>
        <v>-142000</v>
      </c>
      <c r="L240" s="2"/>
    </row>
    <row r="241" spans="1:12">
      <c r="A241" s="330">
        <v>240</v>
      </c>
      <c r="B241" s="285">
        <v>44390</v>
      </c>
      <c r="C241" s="286">
        <v>1785</v>
      </c>
      <c r="D241" s="287" t="s">
        <v>3000</v>
      </c>
      <c r="E241" s="288" t="s">
        <v>2949</v>
      </c>
      <c r="F241" s="294" t="s">
        <v>2990</v>
      </c>
      <c r="G241" s="290">
        <v>1</v>
      </c>
      <c r="H241" s="291">
        <v>47.6</v>
      </c>
      <c r="I241" s="292">
        <v>-3000</v>
      </c>
      <c r="J241" s="292">
        <f>交易[[#This Row],[價格]]*交易[[#This Row],[數量]]*-1</f>
        <v>142800</v>
      </c>
      <c r="L241" s="2"/>
    </row>
    <row r="242" spans="1:12">
      <c r="A242" s="330">
        <v>241</v>
      </c>
      <c r="B242" s="285">
        <v>44390</v>
      </c>
      <c r="C242" s="286">
        <v>6213</v>
      </c>
      <c r="D242" s="287" t="s">
        <v>2987</v>
      </c>
      <c r="E242" s="288" t="s">
        <v>2976</v>
      </c>
      <c r="F242" s="294" t="s">
        <v>2990</v>
      </c>
      <c r="G242" s="290">
        <v>2</v>
      </c>
      <c r="H242" s="291">
        <v>150.5</v>
      </c>
      <c r="I242" s="292">
        <v>-2000</v>
      </c>
      <c r="J242" s="292">
        <f>交易[[#This Row],[價格]]*交易[[#This Row],[數量]]*-1</f>
        <v>301000</v>
      </c>
      <c r="L242" s="2"/>
    </row>
    <row r="243" spans="1:12">
      <c r="A243" s="330">
        <v>242</v>
      </c>
      <c r="B243" s="285">
        <v>44390</v>
      </c>
      <c r="C243" s="286">
        <v>8215</v>
      </c>
      <c r="D243" s="287" t="s">
        <v>3001</v>
      </c>
      <c r="E243" s="288" t="s">
        <v>2976</v>
      </c>
      <c r="F243" s="294" t="s">
        <v>2990</v>
      </c>
      <c r="G243" s="290">
        <v>1</v>
      </c>
      <c r="H243" s="291">
        <v>28.2</v>
      </c>
      <c r="I243" s="292">
        <v>-5000</v>
      </c>
      <c r="J243" s="292">
        <f>交易[[#This Row],[價格]]*交易[[#This Row],[數量]]*-1</f>
        <v>141000</v>
      </c>
      <c r="L243" s="2"/>
    </row>
    <row r="244" spans="1:12">
      <c r="A244" s="330">
        <v>243</v>
      </c>
      <c r="B244" s="285">
        <v>44391</v>
      </c>
      <c r="C244" s="286">
        <v>1711</v>
      </c>
      <c r="D244" s="287" t="s">
        <v>3002</v>
      </c>
      <c r="E244" s="288" t="s">
        <v>2976</v>
      </c>
      <c r="F244" s="294" t="s">
        <v>2925</v>
      </c>
      <c r="G244" s="290">
        <v>1</v>
      </c>
      <c r="H244" s="291">
        <v>20.8</v>
      </c>
      <c r="I244" s="292">
        <v>10000</v>
      </c>
      <c r="J244" s="292">
        <f>交易[[#This Row],[價格]]*交易[[#This Row],[數量]]*-1</f>
        <v>-208000</v>
      </c>
      <c r="L244" s="2"/>
    </row>
    <row r="245" spans="1:12">
      <c r="A245" s="330">
        <v>244</v>
      </c>
      <c r="B245" s="285">
        <v>44391</v>
      </c>
      <c r="C245" s="286">
        <v>1717</v>
      </c>
      <c r="D245" s="287" t="s">
        <v>2999</v>
      </c>
      <c r="E245" s="288" t="s">
        <v>2976</v>
      </c>
      <c r="F245" s="294" t="s">
        <v>2970</v>
      </c>
      <c r="G245" s="290">
        <v>1</v>
      </c>
      <c r="H245" s="291">
        <v>42.3</v>
      </c>
      <c r="I245" s="292">
        <v>2000</v>
      </c>
      <c r="J245" s="292">
        <f>交易[[#This Row],[價格]]*交易[[#This Row],[數量]]*-1</f>
        <v>-84600</v>
      </c>
      <c r="L245" s="2"/>
    </row>
    <row r="246" spans="1:12">
      <c r="A246" s="330">
        <v>245</v>
      </c>
      <c r="B246" s="285">
        <v>44391</v>
      </c>
      <c r="C246" s="286">
        <v>4755</v>
      </c>
      <c r="D246" s="287" t="s">
        <v>3003</v>
      </c>
      <c r="E246" s="288" t="s">
        <v>2976</v>
      </c>
      <c r="F246" s="294" t="s">
        <v>2925</v>
      </c>
      <c r="G246" s="290">
        <v>1</v>
      </c>
      <c r="H246" s="291">
        <v>65</v>
      </c>
      <c r="I246" s="292">
        <v>2000</v>
      </c>
      <c r="J246" s="292">
        <f>交易[[#This Row],[價格]]*交易[[#This Row],[數量]]*-1</f>
        <v>-130000</v>
      </c>
      <c r="L246" s="2"/>
    </row>
    <row r="247" spans="1:12">
      <c r="A247" s="330">
        <v>246</v>
      </c>
      <c r="B247" s="285">
        <v>44391</v>
      </c>
      <c r="C247" s="286">
        <v>1785</v>
      </c>
      <c r="D247" s="287" t="s">
        <v>3000</v>
      </c>
      <c r="E247" s="288" t="s">
        <v>2949</v>
      </c>
      <c r="F247" s="294" t="s">
        <v>2931</v>
      </c>
      <c r="G247" s="290">
        <v>1</v>
      </c>
      <c r="H247" s="291">
        <v>50.6</v>
      </c>
      <c r="I247" s="292">
        <v>-3000</v>
      </c>
      <c r="J247" s="292">
        <f>交易[[#This Row],[價格]]*交易[[#This Row],[數量]]*-1</f>
        <v>151800</v>
      </c>
      <c r="L247" s="2"/>
    </row>
    <row r="248" spans="1:12">
      <c r="A248" s="330">
        <v>247</v>
      </c>
      <c r="B248" s="285">
        <v>44391</v>
      </c>
      <c r="C248" s="286">
        <v>1785</v>
      </c>
      <c r="D248" s="287" t="s">
        <v>3000</v>
      </c>
      <c r="E248" s="288" t="s">
        <v>2949</v>
      </c>
      <c r="F248" s="294" t="s">
        <v>2925</v>
      </c>
      <c r="G248" s="290">
        <v>2</v>
      </c>
      <c r="H248" s="291">
        <v>51.7</v>
      </c>
      <c r="I248" s="292">
        <v>6000</v>
      </c>
      <c r="J248" s="292">
        <f>交易[[#This Row],[價格]]*交易[[#This Row],[數量]]*-1</f>
        <v>-310200</v>
      </c>
      <c r="L248" s="2"/>
    </row>
    <row r="249" spans="1:12">
      <c r="A249" s="330">
        <v>248</v>
      </c>
      <c r="B249" s="285">
        <v>44391</v>
      </c>
      <c r="C249" s="286">
        <v>1785</v>
      </c>
      <c r="D249" s="287" t="s">
        <v>3000</v>
      </c>
      <c r="E249" s="288" t="s">
        <v>2949</v>
      </c>
      <c r="F249" s="294" t="s">
        <v>2931</v>
      </c>
      <c r="G249" s="290">
        <v>2</v>
      </c>
      <c r="H249" s="291">
        <v>50.2</v>
      </c>
      <c r="I249" s="292">
        <v>-6000</v>
      </c>
      <c r="J249" s="292">
        <f>交易[[#This Row],[價格]]*交易[[#This Row],[數量]]*-1</f>
        <v>301200</v>
      </c>
      <c r="L249" s="2"/>
    </row>
    <row r="250" spans="1:12">
      <c r="A250" s="330">
        <v>249</v>
      </c>
      <c r="B250" s="285">
        <v>44391</v>
      </c>
      <c r="C250" s="286">
        <v>2303</v>
      </c>
      <c r="D250" s="287" t="s">
        <v>3004</v>
      </c>
      <c r="E250" s="288" t="s">
        <v>2949</v>
      </c>
      <c r="F250" s="294" t="s">
        <v>2928</v>
      </c>
      <c r="G250" s="290">
        <v>1</v>
      </c>
      <c r="H250" s="291">
        <v>54.75</v>
      </c>
      <c r="I250" s="292">
        <v>8000</v>
      </c>
      <c r="J250" s="292">
        <f>交易[[#This Row],[價格]]*交易[[#This Row],[數量]]*-1</f>
        <v>-438000</v>
      </c>
      <c r="L250" s="2"/>
    </row>
    <row r="251" spans="1:12">
      <c r="A251" s="330">
        <v>250</v>
      </c>
      <c r="B251" s="285">
        <v>44391</v>
      </c>
      <c r="C251" s="286">
        <v>2303</v>
      </c>
      <c r="D251" s="287" t="s">
        <v>3004</v>
      </c>
      <c r="E251" s="288" t="s">
        <v>2949</v>
      </c>
      <c r="F251" s="294" t="s">
        <v>2928</v>
      </c>
      <c r="G251" s="290">
        <v>1</v>
      </c>
      <c r="H251" s="291">
        <v>54.25</v>
      </c>
      <c r="I251" s="292">
        <v>-8000</v>
      </c>
      <c r="J251" s="292">
        <f>交易[[#This Row],[價格]]*交易[[#This Row],[數量]]*-1</f>
        <v>434000</v>
      </c>
      <c r="L251" s="2"/>
    </row>
    <row r="252" spans="1:12">
      <c r="A252" s="330">
        <v>251</v>
      </c>
      <c r="B252" s="285">
        <v>44391</v>
      </c>
      <c r="C252" s="286">
        <v>6187</v>
      </c>
      <c r="D252" s="287" t="s">
        <v>2968</v>
      </c>
      <c r="E252" s="288" t="s">
        <v>2976</v>
      </c>
      <c r="F252" s="294" t="s">
        <v>2928</v>
      </c>
      <c r="G252" s="290">
        <v>2</v>
      </c>
      <c r="H252" s="291">
        <v>146.5</v>
      </c>
      <c r="I252" s="292">
        <v>-2000</v>
      </c>
      <c r="J252" s="292">
        <f>交易[[#This Row],[價格]]*交易[[#This Row],[數量]]*-1</f>
        <v>293000</v>
      </c>
      <c r="L252" s="2"/>
    </row>
    <row r="253" spans="1:12">
      <c r="A253" s="330">
        <v>252</v>
      </c>
      <c r="B253" s="285">
        <v>44391</v>
      </c>
      <c r="C253" s="286">
        <v>6187</v>
      </c>
      <c r="D253" s="287" t="s">
        <v>2968</v>
      </c>
      <c r="E253" s="288" t="s">
        <v>2976</v>
      </c>
      <c r="F253" s="294" t="s">
        <v>2928</v>
      </c>
      <c r="G253" s="290">
        <v>2</v>
      </c>
      <c r="H253" s="291">
        <v>149</v>
      </c>
      <c r="I253" s="292">
        <v>2000</v>
      </c>
      <c r="J253" s="292">
        <f>交易[[#This Row],[價格]]*交易[[#This Row],[數量]]*-1</f>
        <v>-298000</v>
      </c>
      <c r="L253" s="2"/>
    </row>
    <row r="254" spans="1:12">
      <c r="A254" s="330">
        <v>253</v>
      </c>
      <c r="B254" s="285">
        <v>44391</v>
      </c>
      <c r="C254" s="286">
        <v>6683</v>
      </c>
      <c r="D254" s="287" t="s">
        <v>2975</v>
      </c>
      <c r="E254" s="288" t="s">
        <v>2976</v>
      </c>
      <c r="F254" s="294" t="s">
        <v>2928</v>
      </c>
      <c r="G254" s="290">
        <v>2</v>
      </c>
      <c r="H254" s="291">
        <v>388</v>
      </c>
      <c r="I254" s="292">
        <v>1000</v>
      </c>
      <c r="J254" s="292">
        <f>交易[[#This Row],[價格]]*交易[[#This Row],[數量]]*-1</f>
        <v>-388000</v>
      </c>
      <c r="L254" s="2"/>
    </row>
    <row r="255" spans="1:12">
      <c r="A255" s="330">
        <v>254</v>
      </c>
      <c r="B255" s="285">
        <v>44391</v>
      </c>
      <c r="C255" s="286">
        <v>6683</v>
      </c>
      <c r="D255" s="287" t="s">
        <v>2975</v>
      </c>
      <c r="E255" s="288" t="s">
        <v>2976</v>
      </c>
      <c r="F255" s="294" t="s">
        <v>2928</v>
      </c>
      <c r="G255" s="290">
        <v>2</v>
      </c>
      <c r="H255" s="291">
        <v>387.5</v>
      </c>
      <c r="I255" s="292">
        <v>-1000</v>
      </c>
      <c r="J255" s="292">
        <f>交易[[#This Row],[價格]]*交易[[#This Row],[數量]]*-1</f>
        <v>387500</v>
      </c>
      <c r="L255" s="2"/>
    </row>
    <row r="256" spans="1:12">
      <c r="A256" s="330">
        <v>255</v>
      </c>
      <c r="B256" s="285">
        <v>44391</v>
      </c>
      <c r="C256" s="286">
        <v>1599</v>
      </c>
      <c r="D256" s="287" t="s">
        <v>2952</v>
      </c>
      <c r="E256" s="288" t="s">
        <v>2976</v>
      </c>
      <c r="F256" s="294" t="s">
        <v>2931</v>
      </c>
      <c r="G256" s="290">
        <v>2</v>
      </c>
      <c r="H256" s="291">
        <v>41.6</v>
      </c>
      <c r="I256" s="292">
        <v>-4000</v>
      </c>
      <c r="J256" s="292">
        <f>交易[[#This Row],[價格]]*交易[[#This Row],[數量]]*-1</f>
        <v>166400</v>
      </c>
      <c r="L256" s="2"/>
    </row>
    <row r="257" spans="1:12">
      <c r="A257" s="330">
        <v>256</v>
      </c>
      <c r="B257" s="285">
        <v>44392</v>
      </c>
      <c r="C257" s="286">
        <v>1711</v>
      </c>
      <c r="D257" s="287" t="s">
        <v>3002</v>
      </c>
      <c r="E257" s="288" t="s">
        <v>2976</v>
      </c>
      <c r="F257" s="294" t="s">
        <v>2926</v>
      </c>
      <c r="G257" s="290">
        <v>1</v>
      </c>
      <c r="H257" s="291">
        <v>21.05</v>
      </c>
      <c r="I257" s="292">
        <v>4000</v>
      </c>
      <c r="J257" s="292">
        <f>交易[[#This Row],[價格]]*交易[[#This Row],[數量]]*-1</f>
        <v>-84200</v>
      </c>
      <c r="L257" s="2"/>
    </row>
    <row r="258" spans="1:12">
      <c r="A258" s="330">
        <v>257</v>
      </c>
      <c r="B258" s="285">
        <v>44392</v>
      </c>
      <c r="C258" s="286">
        <v>2464</v>
      </c>
      <c r="D258" s="287" t="s">
        <v>2966</v>
      </c>
      <c r="E258" s="288" t="s">
        <v>2976</v>
      </c>
      <c r="F258" s="294" t="s">
        <v>2926</v>
      </c>
      <c r="G258" s="290">
        <v>2</v>
      </c>
      <c r="H258" s="291">
        <v>45.05</v>
      </c>
      <c r="I258" s="292">
        <v>4000</v>
      </c>
      <c r="J258" s="292">
        <f>交易[[#This Row],[價格]]*交易[[#This Row],[數量]]*-1</f>
        <v>-180200</v>
      </c>
      <c r="L258" s="2"/>
    </row>
    <row r="259" spans="1:12">
      <c r="A259" s="330">
        <v>258</v>
      </c>
      <c r="B259" s="285">
        <v>44392</v>
      </c>
      <c r="C259" s="286">
        <v>1717</v>
      </c>
      <c r="D259" s="287" t="s">
        <v>2999</v>
      </c>
      <c r="E259" s="288" t="s">
        <v>2976</v>
      </c>
      <c r="F259" s="294" t="s">
        <v>2929</v>
      </c>
      <c r="G259" s="290">
        <v>1</v>
      </c>
      <c r="H259" s="291">
        <v>42.3</v>
      </c>
      <c r="I259" s="292">
        <v>-2000</v>
      </c>
      <c r="J259" s="292">
        <f>交易[[#This Row],[價格]]*交易[[#This Row],[數量]]*-1</f>
        <v>84600</v>
      </c>
      <c r="L259" s="2"/>
    </row>
    <row r="260" spans="1:12">
      <c r="A260" s="330">
        <v>259</v>
      </c>
      <c r="B260" s="285">
        <v>44393</v>
      </c>
      <c r="C260" s="286">
        <v>1303</v>
      </c>
      <c r="D260" s="287" t="s">
        <v>3005</v>
      </c>
      <c r="E260" s="288" t="s">
        <v>2976</v>
      </c>
      <c r="F260" s="294" t="s">
        <v>2925</v>
      </c>
      <c r="G260" s="290">
        <v>1</v>
      </c>
      <c r="H260" s="291">
        <v>89.2</v>
      </c>
      <c r="I260" s="292">
        <v>2000</v>
      </c>
      <c r="J260" s="292">
        <f>交易[[#This Row],[價格]]*交易[[#This Row],[數量]]*-1</f>
        <v>-178400</v>
      </c>
      <c r="L260" s="2"/>
    </row>
    <row r="261" spans="1:12">
      <c r="A261" s="330">
        <v>260</v>
      </c>
      <c r="B261" s="285">
        <v>44393</v>
      </c>
      <c r="C261" s="286">
        <v>1586</v>
      </c>
      <c r="D261" s="287" t="s">
        <v>2994</v>
      </c>
      <c r="E261" s="288" t="s">
        <v>2976</v>
      </c>
      <c r="F261" s="294" t="s">
        <v>2926</v>
      </c>
      <c r="G261" s="290">
        <v>1</v>
      </c>
      <c r="H261" s="291">
        <v>45</v>
      </c>
      <c r="I261" s="292">
        <v>4000</v>
      </c>
      <c r="J261" s="292">
        <f>交易[[#This Row],[價格]]*交易[[#This Row],[數量]]*-1</f>
        <v>-180000</v>
      </c>
      <c r="L261" s="2"/>
    </row>
    <row r="262" spans="1:12">
      <c r="A262" s="330">
        <v>261</v>
      </c>
      <c r="B262" s="285">
        <v>44393</v>
      </c>
      <c r="C262" s="286">
        <v>8927</v>
      </c>
      <c r="D262" s="287" t="s">
        <v>3006</v>
      </c>
      <c r="E262" s="288" t="s">
        <v>2976</v>
      </c>
      <c r="F262" s="294" t="s">
        <v>2925</v>
      </c>
      <c r="G262" s="290">
        <v>1</v>
      </c>
      <c r="H262" s="291">
        <v>35.979999999999997</v>
      </c>
      <c r="I262" s="292">
        <v>5000</v>
      </c>
      <c r="J262" s="292">
        <f>交易[[#This Row],[價格]]*交易[[#This Row],[數量]]*-1</f>
        <v>-179899.99999999997</v>
      </c>
      <c r="L262" s="2"/>
    </row>
    <row r="263" spans="1:12">
      <c r="A263" s="330">
        <v>262</v>
      </c>
      <c r="B263" s="285">
        <v>44393</v>
      </c>
      <c r="C263" s="286">
        <v>1711</v>
      </c>
      <c r="D263" s="287" t="s">
        <v>3002</v>
      </c>
      <c r="E263" s="288" t="s">
        <v>2976</v>
      </c>
      <c r="F263" s="294" t="s">
        <v>2929</v>
      </c>
      <c r="G263" s="290">
        <v>1</v>
      </c>
      <c r="H263" s="291">
        <v>20.8062</v>
      </c>
      <c r="I263" s="292">
        <v>-8000</v>
      </c>
      <c r="J263" s="292">
        <f>交易[[#This Row],[價格]]*交易[[#This Row],[數量]]*-1</f>
        <v>166449.60000000001</v>
      </c>
      <c r="L263" s="2"/>
    </row>
    <row r="264" spans="1:12">
      <c r="A264" s="330">
        <v>263</v>
      </c>
      <c r="B264" s="285">
        <v>44393</v>
      </c>
      <c r="C264" s="286">
        <v>1717</v>
      </c>
      <c r="D264" s="287" t="s">
        <v>2999</v>
      </c>
      <c r="E264" s="288" t="s">
        <v>2976</v>
      </c>
      <c r="F264" s="294" t="s">
        <v>2929</v>
      </c>
      <c r="G264" s="290">
        <v>1</v>
      </c>
      <c r="H264" s="291">
        <v>42.333300000000001</v>
      </c>
      <c r="I264" s="292">
        <v>-3000</v>
      </c>
      <c r="J264" s="292">
        <f>交易[[#This Row],[價格]]*交易[[#This Row],[數量]]*-1</f>
        <v>126999.90000000001</v>
      </c>
      <c r="L264" s="2"/>
    </row>
    <row r="265" spans="1:12">
      <c r="A265" s="330">
        <v>264</v>
      </c>
      <c r="B265" s="285">
        <v>44393</v>
      </c>
      <c r="C265" s="286">
        <v>2464</v>
      </c>
      <c r="D265" s="287" t="s">
        <v>2966</v>
      </c>
      <c r="E265" s="288" t="s">
        <v>2976</v>
      </c>
      <c r="F265" s="294" t="s">
        <v>2929</v>
      </c>
      <c r="G265" s="290">
        <v>2</v>
      </c>
      <c r="H265" s="291">
        <v>44.6</v>
      </c>
      <c r="I265" s="292">
        <v>-8000</v>
      </c>
      <c r="J265" s="292">
        <f>交易[[#This Row],[價格]]*交易[[#This Row],[數量]]*-1</f>
        <v>356800</v>
      </c>
      <c r="L265" s="2"/>
    </row>
    <row r="266" spans="1:12">
      <c r="A266" s="330">
        <v>265</v>
      </c>
      <c r="B266" s="285">
        <v>44396</v>
      </c>
      <c r="C266" s="286">
        <v>8927</v>
      </c>
      <c r="D266" s="287" t="s">
        <v>3006</v>
      </c>
      <c r="E266" s="288" t="s">
        <v>2976</v>
      </c>
      <c r="F266" s="294" t="s">
        <v>2926</v>
      </c>
      <c r="G266" s="290">
        <v>1</v>
      </c>
      <c r="H266" s="291">
        <v>36.450000000000003</v>
      </c>
      <c r="I266" s="292">
        <v>2000</v>
      </c>
      <c r="J266" s="292">
        <f>交易[[#This Row],[價格]]*交易[[#This Row],[數量]]*-1</f>
        <v>-72900</v>
      </c>
      <c r="L266" s="2"/>
    </row>
    <row r="267" spans="1:12">
      <c r="A267" s="330">
        <v>266</v>
      </c>
      <c r="B267" s="285">
        <v>44396</v>
      </c>
      <c r="C267" s="286">
        <v>2723</v>
      </c>
      <c r="D267" s="287" t="s">
        <v>2997</v>
      </c>
      <c r="E267" s="288" t="s">
        <v>2924</v>
      </c>
      <c r="F267" s="294" t="s">
        <v>2928</v>
      </c>
      <c r="G267" s="290">
        <v>2</v>
      </c>
      <c r="H267" s="291">
        <v>171.25</v>
      </c>
      <c r="I267" s="292">
        <v>2000</v>
      </c>
      <c r="J267" s="292">
        <f>交易[[#This Row],[價格]]*交易[[#This Row],[數量]]*-1</f>
        <v>-342500</v>
      </c>
      <c r="L267" s="2"/>
    </row>
    <row r="268" spans="1:12">
      <c r="A268" s="330">
        <v>267</v>
      </c>
      <c r="B268" s="285">
        <v>44396</v>
      </c>
      <c r="C268" s="286">
        <v>2723</v>
      </c>
      <c r="D268" s="287" t="s">
        <v>2997</v>
      </c>
      <c r="E268" s="288" t="s">
        <v>2924</v>
      </c>
      <c r="F268" s="294" t="s">
        <v>2928</v>
      </c>
      <c r="G268" s="290">
        <v>2</v>
      </c>
      <c r="H268" s="291">
        <v>167</v>
      </c>
      <c r="I268" s="292">
        <v>-2000</v>
      </c>
      <c r="J268" s="292">
        <f>交易[[#This Row],[價格]]*交易[[#This Row],[數量]]*-1</f>
        <v>334000</v>
      </c>
      <c r="L268" s="2"/>
    </row>
    <row r="269" spans="1:12">
      <c r="A269" s="330">
        <v>268</v>
      </c>
      <c r="B269" s="285">
        <v>44396</v>
      </c>
      <c r="C269" s="286">
        <v>1303</v>
      </c>
      <c r="D269" s="287" t="s">
        <v>3005</v>
      </c>
      <c r="E269" s="288" t="s">
        <v>2924</v>
      </c>
      <c r="F269" s="294" t="s">
        <v>2941</v>
      </c>
      <c r="G269" s="290">
        <v>1</v>
      </c>
      <c r="H269" s="291">
        <v>86.9</v>
      </c>
      <c r="I269" s="292">
        <v>-2000</v>
      </c>
      <c r="J269" s="292">
        <f>交易[[#This Row],[價格]]*交易[[#This Row],[數量]]*-1</f>
        <v>173800</v>
      </c>
      <c r="L269" s="2"/>
    </row>
    <row r="270" spans="1:12">
      <c r="A270" s="330">
        <v>269</v>
      </c>
      <c r="B270" s="285">
        <v>44396</v>
      </c>
      <c r="C270" s="286">
        <v>1717</v>
      </c>
      <c r="D270" s="287" t="s">
        <v>2999</v>
      </c>
      <c r="E270" s="288" t="s">
        <v>2924</v>
      </c>
      <c r="F270" s="294" t="s">
        <v>2941</v>
      </c>
      <c r="G270" s="290">
        <v>1</v>
      </c>
      <c r="H270" s="291">
        <v>41.55</v>
      </c>
      <c r="I270" s="292">
        <v>-2000</v>
      </c>
      <c r="J270" s="292">
        <f>交易[[#This Row],[價格]]*交易[[#This Row],[數量]]*-1</f>
        <v>83100</v>
      </c>
      <c r="L270" s="2"/>
    </row>
    <row r="271" spans="1:12">
      <c r="A271" s="330">
        <v>270</v>
      </c>
      <c r="B271" s="285">
        <v>44396</v>
      </c>
      <c r="C271" s="286">
        <v>6187</v>
      </c>
      <c r="D271" s="287" t="s">
        <v>2968</v>
      </c>
      <c r="E271" s="288" t="s">
        <v>2924</v>
      </c>
      <c r="F271" s="294" t="s">
        <v>2930</v>
      </c>
      <c r="G271" s="290">
        <v>2</v>
      </c>
      <c r="H271" s="291">
        <v>159.5</v>
      </c>
      <c r="I271" s="292">
        <v>-2000</v>
      </c>
      <c r="J271" s="292">
        <f>交易[[#This Row],[價格]]*交易[[#This Row],[數量]]*-1</f>
        <v>319000</v>
      </c>
      <c r="L271" s="2"/>
    </row>
    <row r="272" spans="1:12">
      <c r="A272" s="330">
        <v>271</v>
      </c>
      <c r="B272" s="285">
        <v>44396</v>
      </c>
      <c r="C272" s="286">
        <v>8074</v>
      </c>
      <c r="D272" s="287" t="s">
        <v>2988</v>
      </c>
      <c r="E272" s="288" t="s">
        <v>2924</v>
      </c>
      <c r="F272" s="294" t="s">
        <v>2941</v>
      </c>
      <c r="G272" s="290">
        <v>1</v>
      </c>
      <c r="H272" s="291">
        <v>20.8</v>
      </c>
      <c r="I272" s="292">
        <v>-4000</v>
      </c>
      <c r="J272" s="292">
        <f>交易[[#This Row],[價格]]*交易[[#This Row],[數量]]*-1</f>
        <v>83200</v>
      </c>
      <c r="L272" s="2"/>
    </row>
    <row r="273" spans="1:12">
      <c r="A273" s="330">
        <v>272</v>
      </c>
      <c r="B273" s="285">
        <v>44397</v>
      </c>
      <c r="C273" s="286">
        <v>1586</v>
      </c>
      <c r="D273" s="287" t="s">
        <v>2994</v>
      </c>
      <c r="E273" s="288" t="s">
        <v>2924</v>
      </c>
      <c r="F273" s="294" t="s">
        <v>2941</v>
      </c>
      <c r="G273" s="290">
        <v>1</v>
      </c>
      <c r="H273" s="291">
        <v>43.433300000000003</v>
      </c>
      <c r="I273" s="292">
        <v>-6000</v>
      </c>
      <c r="J273" s="292">
        <f>交易[[#This Row],[價格]]*交易[[#This Row],[數量]]*-1</f>
        <v>260599.80000000002</v>
      </c>
      <c r="L273" s="2"/>
    </row>
    <row r="274" spans="1:12">
      <c r="A274" s="330">
        <v>273</v>
      </c>
      <c r="B274" s="285">
        <v>44397</v>
      </c>
      <c r="C274" s="286">
        <v>1711</v>
      </c>
      <c r="D274" s="287" t="s">
        <v>3002</v>
      </c>
      <c r="E274" s="288" t="s">
        <v>2924</v>
      </c>
      <c r="F274" s="294" t="s">
        <v>2941</v>
      </c>
      <c r="G274" s="290">
        <v>1</v>
      </c>
      <c r="H274" s="291">
        <v>20.3</v>
      </c>
      <c r="I274" s="292">
        <v>-6000</v>
      </c>
      <c r="J274" s="292">
        <f>交易[[#This Row],[價格]]*交易[[#This Row],[數量]]*-1</f>
        <v>121800</v>
      </c>
      <c r="L274" s="2"/>
    </row>
    <row r="275" spans="1:12">
      <c r="A275" s="330">
        <v>274</v>
      </c>
      <c r="B275" s="285">
        <v>44397</v>
      </c>
      <c r="C275" s="286">
        <v>4755</v>
      </c>
      <c r="D275" s="287" t="s">
        <v>3003</v>
      </c>
      <c r="E275" s="288" t="s">
        <v>2924</v>
      </c>
      <c r="F275" s="294" t="s">
        <v>2941</v>
      </c>
      <c r="G275" s="290">
        <v>1</v>
      </c>
      <c r="H275" s="291">
        <v>64.7</v>
      </c>
      <c r="I275" s="292">
        <v>-2000</v>
      </c>
      <c r="J275" s="292">
        <f>交易[[#This Row],[價格]]*交易[[#This Row],[數量]]*-1</f>
        <v>129400</v>
      </c>
      <c r="L275" s="2"/>
    </row>
    <row r="276" spans="1:12">
      <c r="A276" s="330">
        <v>275</v>
      </c>
      <c r="B276" s="285">
        <v>44397</v>
      </c>
      <c r="C276" s="286">
        <v>6509</v>
      </c>
      <c r="D276" s="287" t="s">
        <v>2950</v>
      </c>
      <c r="E276" s="288" t="s">
        <v>2924</v>
      </c>
      <c r="F276" s="294" t="s">
        <v>2929</v>
      </c>
      <c r="G276" s="290">
        <v>1</v>
      </c>
      <c r="H276" s="291">
        <v>63.9</v>
      </c>
      <c r="I276" s="292">
        <v>-5000</v>
      </c>
      <c r="J276" s="292">
        <f>交易[[#This Row],[價格]]*交易[[#This Row],[數量]]*-1</f>
        <v>319500</v>
      </c>
      <c r="L276" s="2"/>
    </row>
    <row r="277" spans="1:12">
      <c r="A277" s="330">
        <v>276</v>
      </c>
      <c r="B277" s="285">
        <v>44398</v>
      </c>
      <c r="C277" s="286">
        <v>1101</v>
      </c>
      <c r="D277" s="287" t="s">
        <v>2945</v>
      </c>
      <c r="E277" s="288" t="s">
        <v>2976</v>
      </c>
      <c r="F277" s="294" t="s">
        <v>2925</v>
      </c>
      <c r="G277" s="290">
        <v>3</v>
      </c>
      <c r="H277" s="291">
        <v>52.1</v>
      </c>
      <c r="I277" s="292">
        <v>2000</v>
      </c>
      <c r="J277" s="292">
        <f>交易[[#This Row],[價格]]*交易[[#This Row],[數量]]*-1</f>
        <v>-104200</v>
      </c>
      <c r="L277" s="2"/>
    </row>
    <row r="278" spans="1:12">
      <c r="A278" s="330">
        <v>277</v>
      </c>
      <c r="B278" s="285">
        <v>44398</v>
      </c>
      <c r="C278" s="286">
        <v>1101</v>
      </c>
      <c r="D278" s="287" t="s">
        <v>2945</v>
      </c>
      <c r="E278" s="288" t="s">
        <v>2924</v>
      </c>
      <c r="F278" s="294" t="s">
        <v>2931</v>
      </c>
      <c r="G278" s="290">
        <v>3</v>
      </c>
      <c r="H278" s="291">
        <v>51.7</v>
      </c>
      <c r="I278" s="292">
        <v>-2000</v>
      </c>
      <c r="J278" s="292">
        <f>交易[[#This Row],[價格]]*交易[[#This Row],[數量]]*-1</f>
        <v>103400</v>
      </c>
      <c r="L278" s="2"/>
    </row>
    <row r="279" spans="1:12">
      <c r="A279" s="330">
        <v>278</v>
      </c>
      <c r="B279" s="285">
        <v>44398</v>
      </c>
      <c r="C279" s="286">
        <v>3357</v>
      </c>
      <c r="D279" s="287" t="s">
        <v>3007</v>
      </c>
      <c r="E279" s="288" t="s">
        <v>2976</v>
      </c>
      <c r="F279" s="294" t="s">
        <v>2928</v>
      </c>
      <c r="G279" s="290">
        <v>1</v>
      </c>
      <c r="H279" s="291">
        <v>158</v>
      </c>
      <c r="I279" s="292">
        <v>1000</v>
      </c>
      <c r="J279" s="292">
        <f>交易[[#This Row],[價格]]*交易[[#This Row],[數量]]*-1</f>
        <v>-158000</v>
      </c>
      <c r="L279" s="2"/>
    </row>
    <row r="280" spans="1:12">
      <c r="A280" s="330">
        <v>279</v>
      </c>
      <c r="B280" s="285">
        <v>44398</v>
      </c>
      <c r="C280" s="286">
        <v>3357</v>
      </c>
      <c r="D280" s="287" t="s">
        <v>3007</v>
      </c>
      <c r="E280" s="288" t="s">
        <v>2976</v>
      </c>
      <c r="F280" s="294" t="s">
        <v>2928</v>
      </c>
      <c r="G280" s="290">
        <v>1</v>
      </c>
      <c r="H280" s="291">
        <v>155</v>
      </c>
      <c r="I280" s="292">
        <v>-1000</v>
      </c>
      <c r="J280" s="292">
        <f>交易[[#This Row],[價格]]*交易[[#This Row],[數量]]*-1</f>
        <v>155000</v>
      </c>
      <c r="L280" s="2"/>
    </row>
    <row r="281" spans="1:12">
      <c r="A281" s="330">
        <v>280</v>
      </c>
      <c r="B281" s="285">
        <v>44399</v>
      </c>
      <c r="C281" s="286">
        <v>1722</v>
      </c>
      <c r="D281" s="287" t="s">
        <v>2953</v>
      </c>
      <c r="E281" s="288" t="s">
        <v>2976</v>
      </c>
      <c r="F281" s="294" t="s">
        <v>2925</v>
      </c>
      <c r="G281" s="290">
        <v>2</v>
      </c>
      <c r="H281" s="291">
        <v>60.7</v>
      </c>
      <c r="I281" s="292">
        <v>3000</v>
      </c>
      <c r="J281" s="292">
        <f>交易[[#This Row],[價格]]*交易[[#This Row],[數量]]*-1</f>
        <v>-182100</v>
      </c>
      <c r="L281" s="2"/>
    </row>
    <row r="282" spans="1:12">
      <c r="A282" s="330">
        <v>281</v>
      </c>
      <c r="B282" s="285">
        <v>44399</v>
      </c>
      <c r="C282" s="286">
        <v>8927</v>
      </c>
      <c r="D282" s="287" t="s">
        <v>3006</v>
      </c>
      <c r="E282" s="288" t="s">
        <v>2976</v>
      </c>
      <c r="F282" s="294" t="s">
        <v>2930</v>
      </c>
      <c r="G282" s="290">
        <v>1</v>
      </c>
      <c r="H282" s="291">
        <v>37.25</v>
      </c>
      <c r="I282" s="292">
        <v>-7000</v>
      </c>
      <c r="J282" s="292">
        <f>交易[[#This Row],[價格]]*交易[[#This Row],[數量]]*-1</f>
        <v>260750</v>
      </c>
      <c r="L282" s="2"/>
    </row>
    <row r="283" spans="1:12">
      <c r="A283" s="330">
        <v>282</v>
      </c>
      <c r="B283" s="285">
        <v>44400</v>
      </c>
      <c r="C283" s="286">
        <v>1101</v>
      </c>
      <c r="D283" s="287" t="s">
        <v>2945</v>
      </c>
      <c r="E283" s="288" t="s">
        <v>2976</v>
      </c>
      <c r="F283" s="294" t="s">
        <v>2925</v>
      </c>
      <c r="G283" s="290">
        <v>3</v>
      </c>
      <c r="H283" s="291">
        <v>53</v>
      </c>
      <c r="I283" s="292">
        <v>6000</v>
      </c>
      <c r="J283" s="292">
        <f>交易[[#This Row],[價格]]*交易[[#This Row],[數量]]*-1</f>
        <v>-318000</v>
      </c>
      <c r="L283" s="2"/>
    </row>
    <row r="284" spans="1:12">
      <c r="A284" s="330">
        <v>283</v>
      </c>
      <c r="B284" s="285">
        <v>44400</v>
      </c>
      <c r="C284" s="286">
        <v>2313</v>
      </c>
      <c r="D284" s="287" t="s">
        <v>3008</v>
      </c>
      <c r="E284" s="288" t="s">
        <v>2924</v>
      </c>
      <c r="F284" s="294" t="s">
        <v>2928</v>
      </c>
      <c r="G284" s="290">
        <v>1</v>
      </c>
      <c r="H284" s="291">
        <v>45.6</v>
      </c>
      <c r="I284" s="292">
        <v>4000</v>
      </c>
      <c r="J284" s="292">
        <f>交易[[#This Row],[價格]]*交易[[#This Row],[數量]]*-1</f>
        <v>-182400</v>
      </c>
      <c r="L284" s="2"/>
    </row>
    <row r="285" spans="1:12">
      <c r="A285" s="330">
        <v>284</v>
      </c>
      <c r="B285" s="285">
        <v>44400</v>
      </c>
      <c r="C285" s="286">
        <v>2313</v>
      </c>
      <c r="D285" s="287" t="s">
        <v>3008</v>
      </c>
      <c r="E285" s="288" t="s">
        <v>2976</v>
      </c>
      <c r="F285" s="294" t="s">
        <v>2928</v>
      </c>
      <c r="G285" s="290">
        <v>1</v>
      </c>
      <c r="H285" s="291">
        <v>45</v>
      </c>
      <c r="I285" s="292">
        <v>-4000</v>
      </c>
      <c r="J285" s="292">
        <f>交易[[#This Row],[價格]]*交易[[#This Row],[數量]]*-1</f>
        <v>180000</v>
      </c>
      <c r="L285" s="2"/>
    </row>
    <row r="286" spans="1:12">
      <c r="A286" s="330">
        <v>285</v>
      </c>
      <c r="B286" s="285">
        <v>44400</v>
      </c>
      <c r="C286" s="286">
        <v>6509</v>
      </c>
      <c r="D286" s="287" t="s">
        <v>2950</v>
      </c>
      <c r="E286" s="288" t="s">
        <v>2976</v>
      </c>
      <c r="F286" s="294" t="s">
        <v>2929</v>
      </c>
      <c r="G286" s="290">
        <v>1</v>
      </c>
      <c r="H286" s="291">
        <v>61.25</v>
      </c>
      <c r="I286" s="292">
        <v>-2000</v>
      </c>
      <c r="J286" s="292">
        <f>交易[[#This Row],[價格]]*交易[[#This Row],[數量]]*-1</f>
        <v>122500</v>
      </c>
      <c r="L286" s="2"/>
    </row>
    <row r="287" spans="1:12">
      <c r="A287" s="330">
        <v>286</v>
      </c>
      <c r="B287" s="285">
        <v>44403</v>
      </c>
      <c r="C287" s="286">
        <v>3587</v>
      </c>
      <c r="D287" s="287" t="s">
        <v>2979</v>
      </c>
      <c r="E287" s="288" t="s">
        <v>2949</v>
      </c>
      <c r="F287" s="294" t="s">
        <v>2925</v>
      </c>
      <c r="G287" s="290">
        <v>2</v>
      </c>
      <c r="H287" s="291">
        <v>156.5</v>
      </c>
      <c r="I287" s="292">
        <v>4000</v>
      </c>
      <c r="J287" s="292">
        <f>交易[[#This Row],[價格]]*交易[[#This Row],[數量]]*-1</f>
        <v>-626000</v>
      </c>
      <c r="L287" s="2"/>
    </row>
    <row r="288" spans="1:12">
      <c r="A288" s="330">
        <v>287</v>
      </c>
      <c r="B288" s="285">
        <v>44403</v>
      </c>
      <c r="C288" s="286">
        <v>8016</v>
      </c>
      <c r="D288" s="287" t="s">
        <v>3009</v>
      </c>
      <c r="E288" s="288" t="s">
        <v>2949</v>
      </c>
      <c r="F288" s="294" t="s">
        <v>2925</v>
      </c>
      <c r="G288" s="290">
        <v>1</v>
      </c>
      <c r="H288" s="291">
        <v>342.5</v>
      </c>
      <c r="I288" s="292">
        <v>2000</v>
      </c>
      <c r="J288" s="292">
        <f>交易[[#This Row],[價格]]*交易[[#This Row],[數量]]*-1</f>
        <v>-685000</v>
      </c>
      <c r="L288" s="2"/>
    </row>
    <row r="289" spans="1:12">
      <c r="A289" s="330">
        <v>288</v>
      </c>
      <c r="B289" s="285">
        <v>44404</v>
      </c>
      <c r="C289" s="286">
        <v>3587</v>
      </c>
      <c r="D289" s="287" t="s">
        <v>2979</v>
      </c>
      <c r="E289" s="288" t="s">
        <v>2949</v>
      </c>
      <c r="F289" s="294" t="s">
        <v>2941</v>
      </c>
      <c r="G289" s="290">
        <v>2</v>
      </c>
      <c r="H289" s="291">
        <v>155.5</v>
      </c>
      <c r="I289" s="292">
        <v>-4000</v>
      </c>
      <c r="J289" s="292">
        <f>交易[[#This Row],[價格]]*交易[[#This Row],[數量]]*-1</f>
        <v>622000</v>
      </c>
      <c r="L289" s="2"/>
    </row>
    <row r="290" spans="1:12">
      <c r="A290" s="330">
        <v>289</v>
      </c>
      <c r="B290" s="285">
        <v>44404</v>
      </c>
      <c r="C290" s="286">
        <v>8016</v>
      </c>
      <c r="D290" s="287" t="s">
        <v>3009</v>
      </c>
      <c r="E290" s="288" t="s">
        <v>2949</v>
      </c>
      <c r="F290" s="294" t="s">
        <v>2930</v>
      </c>
      <c r="G290" s="290">
        <v>1</v>
      </c>
      <c r="H290" s="291">
        <v>367.75</v>
      </c>
      <c r="I290" s="292">
        <v>-2000</v>
      </c>
      <c r="J290" s="292">
        <f>交易[[#This Row],[價格]]*交易[[#This Row],[數量]]*-1</f>
        <v>735500</v>
      </c>
      <c r="L290" s="2"/>
    </row>
    <row r="291" spans="1:12">
      <c r="A291" s="330">
        <v>290</v>
      </c>
      <c r="B291" s="285">
        <v>44404</v>
      </c>
      <c r="C291" s="286">
        <v>2376</v>
      </c>
      <c r="D291" s="287" t="s">
        <v>2956</v>
      </c>
      <c r="E291" s="288" t="s">
        <v>2924</v>
      </c>
      <c r="F291" s="294" t="s">
        <v>2925</v>
      </c>
      <c r="G291" s="290">
        <v>2</v>
      </c>
      <c r="H291" s="291">
        <v>104.5</v>
      </c>
      <c r="I291" s="292">
        <v>4000</v>
      </c>
      <c r="J291" s="292">
        <f>交易[[#This Row],[價格]]*交易[[#This Row],[數量]]*-1</f>
        <v>-418000</v>
      </c>
      <c r="L291" s="2"/>
    </row>
    <row r="292" spans="1:12">
      <c r="A292" s="330">
        <v>291</v>
      </c>
      <c r="B292" s="285">
        <v>44404</v>
      </c>
      <c r="C292" s="286">
        <v>2376</v>
      </c>
      <c r="D292" s="287" t="s">
        <v>2956</v>
      </c>
      <c r="E292" s="288" t="s">
        <v>2924</v>
      </c>
      <c r="F292" s="294" t="s">
        <v>2941</v>
      </c>
      <c r="G292" s="290">
        <v>2</v>
      </c>
      <c r="H292" s="291">
        <v>102.5</v>
      </c>
      <c r="I292" s="292">
        <v>-4000</v>
      </c>
      <c r="J292" s="292">
        <f>交易[[#This Row],[價格]]*交易[[#This Row],[數量]]*-1</f>
        <v>410000</v>
      </c>
      <c r="L292" s="2"/>
    </row>
    <row r="293" spans="1:12">
      <c r="A293" s="330">
        <v>292</v>
      </c>
      <c r="B293" s="285">
        <v>44404</v>
      </c>
      <c r="C293" s="286">
        <v>6224</v>
      </c>
      <c r="D293" s="287" t="s">
        <v>2960</v>
      </c>
      <c r="E293" s="288" t="s">
        <v>2924</v>
      </c>
      <c r="F293" s="294" t="s">
        <v>2925</v>
      </c>
      <c r="G293" s="290">
        <v>3</v>
      </c>
      <c r="H293" s="291">
        <v>167.5</v>
      </c>
      <c r="I293" s="292">
        <v>2000</v>
      </c>
      <c r="J293" s="292">
        <f>交易[[#This Row],[價格]]*交易[[#This Row],[數量]]*-1</f>
        <v>-335000</v>
      </c>
      <c r="L293" s="2"/>
    </row>
    <row r="294" spans="1:12">
      <c r="A294" s="330">
        <v>293</v>
      </c>
      <c r="B294" s="285">
        <v>44404</v>
      </c>
      <c r="C294" s="286">
        <v>6224</v>
      </c>
      <c r="D294" s="287" t="s">
        <v>2960</v>
      </c>
      <c r="E294" s="288" t="s">
        <v>2924</v>
      </c>
      <c r="F294" s="294" t="s">
        <v>2941</v>
      </c>
      <c r="G294" s="290">
        <v>3</v>
      </c>
      <c r="H294" s="291">
        <v>165</v>
      </c>
      <c r="I294" s="292">
        <v>-2000</v>
      </c>
      <c r="J294" s="292">
        <f>交易[[#This Row],[價格]]*交易[[#This Row],[數量]]*-1</f>
        <v>330000</v>
      </c>
      <c r="L294" s="2"/>
    </row>
    <row r="295" spans="1:12">
      <c r="A295" s="330">
        <v>294</v>
      </c>
      <c r="B295" s="285">
        <v>44404</v>
      </c>
      <c r="C295" s="286">
        <v>6282</v>
      </c>
      <c r="D295" s="287" t="s">
        <v>3010</v>
      </c>
      <c r="E295" s="288" t="s">
        <v>2949</v>
      </c>
      <c r="F295" s="294" t="s">
        <v>2931</v>
      </c>
      <c r="G295" s="290">
        <v>1</v>
      </c>
      <c r="H295" s="291">
        <v>27.55</v>
      </c>
      <c r="I295" s="292">
        <v>4000</v>
      </c>
      <c r="J295" s="292">
        <f>交易[[#This Row],[價格]]*交易[[#This Row],[數量]]*-1</f>
        <v>-110200</v>
      </c>
      <c r="L295" s="2"/>
    </row>
    <row r="296" spans="1:12">
      <c r="A296" s="330">
        <v>295</v>
      </c>
      <c r="B296" s="285">
        <v>44404</v>
      </c>
      <c r="C296" s="286">
        <v>6282</v>
      </c>
      <c r="D296" s="287" t="s">
        <v>3010</v>
      </c>
      <c r="E296" s="288" t="s">
        <v>2949</v>
      </c>
      <c r="F296" s="294" t="s">
        <v>2925</v>
      </c>
      <c r="G296" s="290">
        <v>1</v>
      </c>
      <c r="H296" s="291">
        <v>27.6</v>
      </c>
      <c r="I296" s="292">
        <v>-4000</v>
      </c>
      <c r="J296" s="292">
        <f>交易[[#This Row],[價格]]*交易[[#This Row],[數量]]*-1</f>
        <v>110400</v>
      </c>
      <c r="L296" s="2"/>
    </row>
    <row r="297" spans="1:12">
      <c r="A297" s="330">
        <v>296</v>
      </c>
      <c r="B297" s="285">
        <v>44404</v>
      </c>
      <c r="C297" s="286">
        <v>1101</v>
      </c>
      <c r="D297" s="287" t="s">
        <v>2945</v>
      </c>
      <c r="E297" s="288" t="s">
        <v>2924</v>
      </c>
      <c r="F297" s="294" t="s">
        <v>2926</v>
      </c>
      <c r="G297" s="290">
        <v>3</v>
      </c>
      <c r="H297" s="291">
        <v>53</v>
      </c>
      <c r="I297" s="292">
        <v>4000</v>
      </c>
      <c r="J297" s="292">
        <f>交易[[#This Row],[價格]]*交易[[#This Row],[數量]]*-1</f>
        <v>-212000</v>
      </c>
      <c r="L297" s="2"/>
    </row>
    <row r="298" spans="1:12">
      <c r="A298" s="330">
        <v>297</v>
      </c>
      <c r="B298" s="285">
        <v>44405</v>
      </c>
      <c r="C298" s="286">
        <v>1101</v>
      </c>
      <c r="D298" s="287" t="s">
        <v>2945</v>
      </c>
      <c r="E298" s="288" t="s">
        <v>2924</v>
      </c>
      <c r="F298" s="294" t="s">
        <v>2926</v>
      </c>
      <c r="G298" s="290">
        <v>3</v>
      </c>
      <c r="H298" s="291">
        <v>52.4</v>
      </c>
      <c r="I298" s="292">
        <v>2000</v>
      </c>
      <c r="J298" s="292">
        <f>交易[[#This Row],[價格]]*交易[[#This Row],[數量]]*-1</f>
        <v>-104800</v>
      </c>
      <c r="L298" s="2"/>
    </row>
    <row r="299" spans="1:12">
      <c r="A299" s="330">
        <v>298</v>
      </c>
      <c r="B299" s="285">
        <v>44405</v>
      </c>
      <c r="C299" s="286">
        <v>1303</v>
      </c>
      <c r="D299" s="287" t="s">
        <v>3005</v>
      </c>
      <c r="E299" s="288" t="s">
        <v>2924</v>
      </c>
      <c r="F299" s="294" t="s">
        <v>2925</v>
      </c>
      <c r="G299" s="290">
        <v>2</v>
      </c>
      <c r="H299" s="291">
        <v>84.266660000000002</v>
      </c>
      <c r="I299" s="292">
        <v>6000</v>
      </c>
      <c r="J299" s="292">
        <f>交易[[#This Row],[價格]]*交易[[#This Row],[數量]]*-1</f>
        <v>-505599.96</v>
      </c>
      <c r="L299" s="2"/>
    </row>
    <row r="300" spans="1:12">
      <c r="A300" s="330">
        <v>299</v>
      </c>
      <c r="B300" s="285">
        <v>44405</v>
      </c>
      <c r="C300" s="286">
        <v>1722</v>
      </c>
      <c r="D300" s="287" t="s">
        <v>2953</v>
      </c>
      <c r="E300" s="288" t="s">
        <v>2924</v>
      </c>
      <c r="F300" s="294" t="s">
        <v>2926</v>
      </c>
      <c r="G300" s="290">
        <v>2</v>
      </c>
      <c r="H300" s="291">
        <v>58.4</v>
      </c>
      <c r="I300" s="292">
        <v>3000</v>
      </c>
      <c r="J300" s="292">
        <f>交易[[#This Row],[價格]]*交易[[#This Row],[數量]]*-1</f>
        <v>-175200</v>
      </c>
      <c r="L300" s="2"/>
    </row>
    <row r="301" spans="1:12">
      <c r="A301" s="330">
        <v>300</v>
      </c>
      <c r="B301" s="285">
        <v>44406</v>
      </c>
      <c r="C301" s="286">
        <v>1605</v>
      </c>
      <c r="D301" s="287" t="s">
        <v>2959</v>
      </c>
      <c r="E301" s="288" t="s">
        <v>2924</v>
      </c>
      <c r="F301" s="294" t="s">
        <v>2925</v>
      </c>
      <c r="G301" s="290">
        <v>3</v>
      </c>
      <c r="H301" s="291">
        <v>28.5</v>
      </c>
      <c r="I301" s="292">
        <v>4000</v>
      </c>
      <c r="J301" s="292">
        <f>交易[[#This Row],[價格]]*交易[[#This Row],[數量]]*-1</f>
        <v>-114000</v>
      </c>
      <c r="L301" s="2"/>
    </row>
    <row r="302" spans="1:12">
      <c r="A302" s="330">
        <v>301</v>
      </c>
      <c r="B302" s="285">
        <v>44406</v>
      </c>
      <c r="C302" s="286">
        <v>1605</v>
      </c>
      <c r="D302" s="287" t="s">
        <v>2959</v>
      </c>
      <c r="E302" s="288" t="s">
        <v>2924</v>
      </c>
      <c r="F302" s="294" t="s">
        <v>2931</v>
      </c>
      <c r="G302" s="290">
        <v>3</v>
      </c>
      <c r="H302" s="291">
        <v>28.3</v>
      </c>
      <c r="I302" s="292">
        <v>-4000</v>
      </c>
      <c r="J302" s="292">
        <f>交易[[#This Row],[價格]]*交易[[#This Row],[數量]]*-1</f>
        <v>113200</v>
      </c>
      <c r="L302" s="2"/>
    </row>
    <row r="303" spans="1:12">
      <c r="A303" s="330">
        <v>302</v>
      </c>
      <c r="B303" s="285">
        <v>44406</v>
      </c>
      <c r="C303" s="286">
        <v>8927</v>
      </c>
      <c r="D303" s="287" t="s">
        <v>3006</v>
      </c>
      <c r="E303" s="288" t="s">
        <v>2949</v>
      </c>
      <c r="F303" s="294" t="s">
        <v>2925</v>
      </c>
      <c r="G303" s="290">
        <v>2</v>
      </c>
      <c r="H303" s="291">
        <v>37.5</v>
      </c>
      <c r="I303" s="292">
        <v>3000</v>
      </c>
      <c r="J303" s="292">
        <f>交易[[#This Row],[價格]]*交易[[#This Row],[數量]]*-1</f>
        <v>-112500</v>
      </c>
      <c r="L303" s="2"/>
    </row>
    <row r="304" spans="1:12">
      <c r="A304" s="330">
        <v>303</v>
      </c>
      <c r="B304" s="285">
        <v>44406</v>
      </c>
      <c r="C304" s="286">
        <v>8927</v>
      </c>
      <c r="D304" s="287" t="s">
        <v>3006</v>
      </c>
      <c r="E304" s="288" t="s">
        <v>2949</v>
      </c>
      <c r="F304" s="294" t="s">
        <v>2931</v>
      </c>
      <c r="G304" s="290">
        <v>2</v>
      </c>
      <c r="H304" s="291">
        <v>36.950000000000003</v>
      </c>
      <c r="I304" s="292">
        <v>-3000</v>
      </c>
      <c r="J304" s="292">
        <f>交易[[#This Row],[價格]]*交易[[#This Row],[數量]]*-1</f>
        <v>110850.00000000001</v>
      </c>
      <c r="L304" s="2"/>
    </row>
    <row r="305" spans="1:12">
      <c r="A305" s="330">
        <v>304</v>
      </c>
      <c r="B305" s="285">
        <v>44407</v>
      </c>
      <c r="C305" s="286">
        <v>1605</v>
      </c>
      <c r="D305" s="287" t="s">
        <v>2959</v>
      </c>
      <c r="E305" s="288" t="s">
        <v>2924</v>
      </c>
      <c r="F305" s="294" t="s">
        <v>2925</v>
      </c>
      <c r="G305" s="290">
        <v>3</v>
      </c>
      <c r="H305" s="291">
        <v>28.585699999999999</v>
      </c>
      <c r="I305" s="292">
        <v>7000</v>
      </c>
      <c r="J305" s="292">
        <f>交易[[#This Row],[價格]]*交易[[#This Row],[數量]]*-1</f>
        <v>-200099.9</v>
      </c>
      <c r="L305" s="2"/>
    </row>
    <row r="306" spans="1:12">
      <c r="A306" s="330">
        <v>305</v>
      </c>
      <c r="B306" s="285">
        <v>44407</v>
      </c>
      <c r="C306" s="286">
        <v>1101</v>
      </c>
      <c r="D306" s="287" t="s">
        <v>2945</v>
      </c>
      <c r="E306" s="288" t="s">
        <v>2924</v>
      </c>
      <c r="F306" s="294" t="s">
        <v>2929</v>
      </c>
      <c r="G306" s="290">
        <v>3</v>
      </c>
      <c r="H306" s="291">
        <v>52.6</v>
      </c>
      <c r="I306" s="292">
        <v>-4000</v>
      </c>
      <c r="J306" s="292">
        <f>交易[[#This Row],[價格]]*交易[[#This Row],[數量]]*-1</f>
        <v>210400</v>
      </c>
      <c r="L306" s="2"/>
    </row>
    <row r="307" spans="1:12">
      <c r="A307" s="330">
        <v>306</v>
      </c>
      <c r="B307" s="285">
        <v>44407</v>
      </c>
      <c r="C307" s="286">
        <v>1303</v>
      </c>
      <c r="D307" s="287" t="s">
        <v>3005</v>
      </c>
      <c r="E307" s="288" t="s">
        <v>2924</v>
      </c>
      <c r="F307" s="294" t="s">
        <v>2929</v>
      </c>
      <c r="G307" s="290">
        <v>2</v>
      </c>
      <c r="H307" s="291">
        <v>86.9</v>
      </c>
      <c r="I307" s="292">
        <v>-3000</v>
      </c>
      <c r="J307" s="292">
        <f>交易[[#This Row],[價格]]*交易[[#This Row],[數量]]*-1</f>
        <v>260700.00000000003</v>
      </c>
      <c r="L307" s="2"/>
    </row>
    <row r="308" spans="1:12">
      <c r="A308" s="330">
        <v>307</v>
      </c>
      <c r="B308" s="285">
        <v>44410</v>
      </c>
      <c r="C308" s="286">
        <v>2913</v>
      </c>
      <c r="D308" s="287" t="s">
        <v>3011</v>
      </c>
      <c r="E308" s="288" t="s">
        <v>2976</v>
      </c>
      <c r="F308" s="294" t="s">
        <v>2962</v>
      </c>
      <c r="G308" s="290">
        <v>1</v>
      </c>
      <c r="H308" s="291">
        <v>21.05</v>
      </c>
      <c r="I308" s="292">
        <v>5000</v>
      </c>
      <c r="J308" s="292">
        <f>交易[[#This Row],[價格]]*交易[[#This Row],[數量]]*-1</f>
        <v>-105250</v>
      </c>
      <c r="L308" s="2"/>
    </row>
    <row r="309" spans="1:12">
      <c r="A309" s="330">
        <v>308</v>
      </c>
      <c r="B309" s="285">
        <v>44410</v>
      </c>
      <c r="C309" s="286">
        <v>1605</v>
      </c>
      <c r="D309" s="287" t="s">
        <v>2959</v>
      </c>
      <c r="E309" s="288" t="s">
        <v>2924</v>
      </c>
      <c r="F309" s="294" t="s">
        <v>2926</v>
      </c>
      <c r="G309" s="290">
        <v>3</v>
      </c>
      <c r="H309" s="291">
        <v>27.4</v>
      </c>
      <c r="I309" s="292">
        <v>1000</v>
      </c>
      <c r="J309" s="292">
        <f>交易[[#This Row],[價格]]*交易[[#This Row],[數量]]*-1</f>
        <v>-27400</v>
      </c>
      <c r="L309" s="2"/>
    </row>
    <row r="310" spans="1:12">
      <c r="A310" s="330">
        <v>309</v>
      </c>
      <c r="B310" s="285">
        <v>44411</v>
      </c>
      <c r="C310" s="286">
        <v>1101</v>
      </c>
      <c r="D310" s="287" t="s">
        <v>2945</v>
      </c>
      <c r="E310" s="288" t="s">
        <v>2924</v>
      </c>
      <c r="F310" s="294" t="s">
        <v>2926</v>
      </c>
      <c r="G310" s="290">
        <v>3</v>
      </c>
      <c r="H310" s="291">
        <v>53.2</v>
      </c>
      <c r="I310" s="292">
        <v>2000</v>
      </c>
      <c r="J310" s="292">
        <f>交易[[#This Row],[價格]]*交易[[#This Row],[數量]]*-1</f>
        <v>-106400</v>
      </c>
      <c r="L310" s="2"/>
    </row>
    <row r="311" spans="1:12">
      <c r="A311" s="330">
        <v>310</v>
      </c>
      <c r="B311" s="285">
        <v>44411</v>
      </c>
      <c r="C311" s="286">
        <v>1101</v>
      </c>
      <c r="D311" s="287" t="s">
        <v>2945</v>
      </c>
      <c r="E311" s="288" t="s">
        <v>2924</v>
      </c>
      <c r="F311" s="294" t="s">
        <v>2926</v>
      </c>
      <c r="G311" s="290">
        <v>3</v>
      </c>
      <c r="H311" s="291">
        <v>53.3</v>
      </c>
      <c r="I311" s="292">
        <v>2000</v>
      </c>
      <c r="J311" s="292">
        <f>交易[[#This Row],[價格]]*交易[[#This Row],[數量]]*-1</f>
        <v>-106600</v>
      </c>
      <c r="L311" s="2"/>
    </row>
    <row r="312" spans="1:12">
      <c r="A312" s="330">
        <v>311</v>
      </c>
      <c r="B312" s="285">
        <v>44413</v>
      </c>
      <c r="C312" s="286">
        <v>1102</v>
      </c>
      <c r="D312" s="287" t="s">
        <v>3012</v>
      </c>
      <c r="E312" s="288" t="s">
        <v>2949</v>
      </c>
      <c r="F312" s="294" t="s">
        <v>2925</v>
      </c>
      <c r="G312" s="290">
        <v>1</v>
      </c>
      <c r="H312" s="291">
        <v>46.55</v>
      </c>
      <c r="I312" s="292">
        <v>5000</v>
      </c>
      <c r="J312" s="292">
        <f>交易[[#This Row],[價格]]*交易[[#This Row],[數量]]*-1</f>
        <v>-232750</v>
      </c>
      <c r="L312" s="2"/>
    </row>
    <row r="313" spans="1:12">
      <c r="A313" s="330">
        <v>312</v>
      </c>
      <c r="B313" s="285">
        <v>44413</v>
      </c>
      <c r="C313" s="286">
        <v>1605</v>
      </c>
      <c r="D313" s="287" t="s">
        <v>2959</v>
      </c>
      <c r="E313" s="288" t="s">
        <v>2924</v>
      </c>
      <c r="F313" s="294" t="s">
        <v>2926</v>
      </c>
      <c r="G313" s="290">
        <v>3</v>
      </c>
      <c r="H313" s="291">
        <v>29.25</v>
      </c>
      <c r="I313" s="292">
        <v>4000</v>
      </c>
      <c r="J313" s="292">
        <f>交易[[#This Row],[價格]]*交易[[#This Row],[數量]]*-1</f>
        <v>-117000</v>
      </c>
      <c r="L313" s="2"/>
    </row>
    <row r="314" spans="1:12">
      <c r="A314" s="330">
        <v>313</v>
      </c>
      <c r="B314" s="285">
        <v>44413</v>
      </c>
      <c r="C314" s="286">
        <v>1101</v>
      </c>
      <c r="D314" s="287" t="s">
        <v>2945</v>
      </c>
      <c r="E314" s="288" t="s">
        <v>2924</v>
      </c>
      <c r="F314" s="294" t="s">
        <v>2926</v>
      </c>
      <c r="G314" s="290">
        <v>3</v>
      </c>
      <c r="H314" s="291">
        <v>53.2</v>
      </c>
      <c r="I314" s="292">
        <v>4000</v>
      </c>
      <c r="J314" s="292">
        <f>交易[[#This Row],[價格]]*交易[[#This Row],[數量]]*-1</f>
        <v>-212800</v>
      </c>
      <c r="L314" s="2"/>
    </row>
    <row r="315" spans="1:12">
      <c r="A315" s="330">
        <v>314</v>
      </c>
      <c r="B315" s="285">
        <v>44413</v>
      </c>
      <c r="C315" s="286">
        <v>1102</v>
      </c>
      <c r="D315" s="287" t="s">
        <v>3012</v>
      </c>
      <c r="E315" s="288" t="s">
        <v>2949</v>
      </c>
      <c r="F315" s="294" t="s">
        <v>2941</v>
      </c>
      <c r="G315" s="290">
        <v>1</v>
      </c>
      <c r="H315" s="291">
        <v>46.25</v>
      </c>
      <c r="I315" s="292">
        <v>-5000</v>
      </c>
      <c r="J315" s="292">
        <f>交易[[#This Row],[價格]]*交易[[#This Row],[數量]]*-1</f>
        <v>231250</v>
      </c>
      <c r="L315" s="2"/>
    </row>
    <row r="316" spans="1:12">
      <c r="A316" s="330">
        <v>315</v>
      </c>
      <c r="B316" s="285">
        <v>44414</v>
      </c>
      <c r="C316" s="286">
        <v>1605</v>
      </c>
      <c r="D316" s="287" t="s">
        <v>2959</v>
      </c>
      <c r="E316" s="288" t="s">
        <v>2924</v>
      </c>
      <c r="F316" s="294" t="s">
        <v>2931</v>
      </c>
      <c r="G316" s="290">
        <v>3</v>
      </c>
      <c r="H316" s="291">
        <v>28.541599999999999</v>
      </c>
      <c r="I316" s="292">
        <v>-12000</v>
      </c>
      <c r="J316" s="292">
        <f>交易[[#This Row],[價格]]*交易[[#This Row],[數量]]*-1</f>
        <v>342499.2</v>
      </c>
      <c r="L316" s="2"/>
    </row>
    <row r="317" spans="1:12">
      <c r="A317" s="330">
        <v>316</v>
      </c>
      <c r="B317" s="285">
        <v>44414</v>
      </c>
      <c r="C317" s="286">
        <v>6251</v>
      </c>
      <c r="D317" s="287" t="s">
        <v>3013</v>
      </c>
      <c r="E317" s="288" t="s">
        <v>2924</v>
      </c>
      <c r="F317" s="294" t="s">
        <v>2925</v>
      </c>
      <c r="G317" s="290">
        <v>1</v>
      </c>
      <c r="H317" s="291">
        <v>23.774999999999999</v>
      </c>
      <c r="I317" s="292">
        <v>8000</v>
      </c>
      <c r="J317" s="292">
        <f>交易[[#This Row],[價格]]*交易[[#This Row],[數量]]*-1</f>
        <v>-190200</v>
      </c>
      <c r="L317" s="2"/>
    </row>
    <row r="318" spans="1:12">
      <c r="A318" s="330">
        <v>317</v>
      </c>
      <c r="B318" s="285">
        <v>44414</v>
      </c>
      <c r="C318" s="286">
        <v>6251</v>
      </c>
      <c r="D318" s="287" t="s">
        <v>3013</v>
      </c>
      <c r="E318" s="288" t="s">
        <v>2924</v>
      </c>
      <c r="F318" s="294" t="s">
        <v>2941</v>
      </c>
      <c r="G318" s="290">
        <v>1</v>
      </c>
      <c r="H318" s="291">
        <v>23.35</v>
      </c>
      <c r="I318" s="292">
        <v>-8000</v>
      </c>
      <c r="J318" s="292">
        <f>交易[[#This Row],[價格]]*交易[[#This Row],[數量]]*-1</f>
        <v>186800</v>
      </c>
      <c r="L318" s="2"/>
    </row>
    <row r="319" spans="1:12">
      <c r="A319" s="330">
        <v>318</v>
      </c>
      <c r="B319" s="285">
        <v>44417</v>
      </c>
      <c r="C319" s="286">
        <v>1605</v>
      </c>
      <c r="D319" s="287" t="s">
        <v>2959</v>
      </c>
      <c r="E319" s="288" t="s">
        <v>2924</v>
      </c>
      <c r="F319" s="294" t="s">
        <v>2925</v>
      </c>
      <c r="G319" s="290">
        <v>4</v>
      </c>
      <c r="H319" s="291">
        <v>27.85</v>
      </c>
      <c r="I319" s="292">
        <v>10000</v>
      </c>
      <c r="J319" s="292">
        <f>交易[[#This Row],[價格]]*交易[[#This Row],[數量]]*-1</f>
        <v>-278500</v>
      </c>
      <c r="L319" s="2"/>
    </row>
    <row r="320" spans="1:12">
      <c r="A320" s="330">
        <v>319</v>
      </c>
      <c r="B320" s="285">
        <v>44417</v>
      </c>
      <c r="C320" s="286">
        <v>1762</v>
      </c>
      <c r="D320" s="287" t="s">
        <v>2937</v>
      </c>
      <c r="E320" s="288" t="s">
        <v>2924</v>
      </c>
      <c r="F320" s="294" t="s">
        <v>2925</v>
      </c>
      <c r="G320" s="290">
        <v>2</v>
      </c>
      <c r="H320" s="291">
        <v>64</v>
      </c>
      <c r="I320" s="292">
        <v>2000</v>
      </c>
      <c r="J320" s="292">
        <f>交易[[#This Row],[價格]]*交易[[#This Row],[數量]]*-1</f>
        <v>-128000</v>
      </c>
      <c r="L320" s="2"/>
    </row>
    <row r="321" spans="1:12">
      <c r="A321" s="330">
        <v>320</v>
      </c>
      <c r="B321" s="285">
        <v>44417</v>
      </c>
      <c r="C321" s="286">
        <v>2013</v>
      </c>
      <c r="D321" s="287" t="s">
        <v>3014</v>
      </c>
      <c r="E321" s="288" t="s">
        <v>2924</v>
      </c>
      <c r="F321" s="294" t="s">
        <v>2925</v>
      </c>
      <c r="G321" s="290">
        <v>1</v>
      </c>
      <c r="H321" s="291">
        <v>45.325000000000003</v>
      </c>
      <c r="I321" s="292">
        <v>4000</v>
      </c>
      <c r="J321" s="292">
        <f>交易[[#This Row],[價格]]*交易[[#This Row],[數量]]*-1</f>
        <v>-181300</v>
      </c>
      <c r="L321" s="2"/>
    </row>
    <row r="322" spans="1:12">
      <c r="A322" s="330">
        <v>321</v>
      </c>
      <c r="B322" s="285">
        <v>44417</v>
      </c>
      <c r="C322" s="286">
        <v>2520</v>
      </c>
      <c r="D322" s="287" t="s">
        <v>2927</v>
      </c>
      <c r="E322" s="288" t="s">
        <v>2932</v>
      </c>
      <c r="F322" s="294" t="s">
        <v>2926</v>
      </c>
      <c r="G322" s="290">
        <v>2</v>
      </c>
      <c r="H322" s="291">
        <v>37.799999999999997</v>
      </c>
      <c r="I322" s="292">
        <v>500</v>
      </c>
      <c r="J322" s="292">
        <f>交易[[#This Row],[價格]]*交易[[#This Row],[數量]]*-1</f>
        <v>-18900</v>
      </c>
      <c r="L322" s="2"/>
    </row>
    <row r="323" spans="1:12">
      <c r="A323" s="330">
        <v>322</v>
      </c>
      <c r="B323" s="285">
        <v>44417</v>
      </c>
      <c r="C323" s="286">
        <v>3563</v>
      </c>
      <c r="D323" s="287" t="s">
        <v>3015</v>
      </c>
      <c r="E323" s="288" t="s">
        <v>2924</v>
      </c>
      <c r="F323" s="294" t="s">
        <v>2925</v>
      </c>
      <c r="G323" s="290">
        <v>1</v>
      </c>
      <c r="H323" s="291">
        <v>291.5</v>
      </c>
      <c r="I323" s="292">
        <v>1000</v>
      </c>
      <c r="J323" s="292">
        <f>交易[[#This Row],[價格]]*交易[[#This Row],[數量]]*-1</f>
        <v>-291500</v>
      </c>
      <c r="L323" s="2"/>
    </row>
    <row r="324" spans="1:12">
      <c r="A324" s="330">
        <v>323</v>
      </c>
      <c r="B324" s="285">
        <v>44417</v>
      </c>
      <c r="C324" s="286">
        <v>1101</v>
      </c>
      <c r="D324" s="287" t="s">
        <v>2945</v>
      </c>
      <c r="E324" s="288" t="s">
        <v>2924</v>
      </c>
      <c r="F324" s="294" t="s">
        <v>2929</v>
      </c>
      <c r="G324" s="290">
        <v>3</v>
      </c>
      <c r="H324" s="291">
        <v>52.133333333333333</v>
      </c>
      <c r="I324" s="292">
        <v>-6000</v>
      </c>
      <c r="J324" s="292">
        <f>交易[[#This Row],[價格]]*交易[[#This Row],[數量]]*-1</f>
        <v>312800</v>
      </c>
      <c r="L324" s="2"/>
    </row>
    <row r="325" spans="1:12">
      <c r="A325" s="330">
        <v>324</v>
      </c>
      <c r="B325" s="285">
        <v>44417</v>
      </c>
      <c r="C325" s="286">
        <v>2371</v>
      </c>
      <c r="D325" s="287" t="s">
        <v>3016</v>
      </c>
      <c r="E325" s="288" t="s">
        <v>2924</v>
      </c>
      <c r="F325" s="294" t="s">
        <v>2925</v>
      </c>
      <c r="G325" s="290">
        <v>1</v>
      </c>
      <c r="H325" s="291">
        <v>27.475000000000001</v>
      </c>
      <c r="I325" s="292">
        <v>10000</v>
      </c>
      <c r="J325" s="292">
        <f>交易[[#This Row],[價格]]*交易[[#This Row],[數量]]*-1</f>
        <v>-274750</v>
      </c>
      <c r="L325" s="2"/>
    </row>
    <row r="326" spans="1:12">
      <c r="A326" s="330">
        <v>325</v>
      </c>
      <c r="B326" s="285">
        <v>44417</v>
      </c>
      <c r="C326" s="286">
        <v>2371</v>
      </c>
      <c r="D326" s="287" t="s">
        <v>3016</v>
      </c>
      <c r="E326" s="288" t="s">
        <v>2924</v>
      </c>
      <c r="F326" s="294" t="s">
        <v>2929</v>
      </c>
      <c r="G326" s="290">
        <v>1</v>
      </c>
      <c r="H326" s="291">
        <v>26.981249999999999</v>
      </c>
      <c r="I326" s="292">
        <v>-8000</v>
      </c>
      <c r="J326" s="292">
        <f>交易[[#This Row],[價格]]*交易[[#This Row],[數量]]*-1</f>
        <v>215850</v>
      </c>
      <c r="L326" s="2"/>
    </row>
    <row r="327" spans="1:12">
      <c r="A327" s="330">
        <v>326</v>
      </c>
      <c r="B327" s="285">
        <v>44417</v>
      </c>
      <c r="C327" s="286">
        <v>2371</v>
      </c>
      <c r="D327" s="287" t="s">
        <v>3016</v>
      </c>
      <c r="E327" s="288" t="s">
        <v>2924</v>
      </c>
      <c r="F327" s="294" t="s">
        <v>2926</v>
      </c>
      <c r="G327" s="290">
        <v>1</v>
      </c>
      <c r="H327" s="291">
        <v>26.9</v>
      </c>
      <c r="I327" s="292">
        <v>3000</v>
      </c>
      <c r="J327" s="292">
        <f>交易[[#This Row],[價格]]*交易[[#This Row],[數量]]*-1</f>
        <v>-80700</v>
      </c>
      <c r="L327" s="2"/>
    </row>
    <row r="328" spans="1:12">
      <c r="A328" s="330">
        <v>327</v>
      </c>
      <c r="B328" s="285">
        <v>44417</v>
      </c>
      <c r="C328" s="286">
        <v>2371</v>
      </c>
      <c r="D328" s="287" t="s">
        <v>3016</v>
      </c>
      <c r="E328" s="288" t="s">
        <v>2924</v>
      </c>
      <c r="F328" s="294" t="s">
        <v>2929</v>
      </c>
      <c r="G328" s="290">
        <v>1</v>
      </c>
      <c r="H328" s="291">
        <v>26.3</v>
      </c>
      <c r="I328" s="292">
        <v>-3000</v>
      </c>
      <c r="J328" s="292">
        <f>交易[[#This Row],[價格]]*交易[[#This Row],[數量]]*-1</f>
        <v>78900</v>
      </c>
      <c r="L328" s="2"/>
    </row>
    <row r="329" spans="1:12">
      <c r="A329" s="330">
        <v>328</v>
      </c>
      <c r="B329" s="285">
        <v>44418</v>
      </c>
      <c r="C329" s="286">
        <v>1762</v>
      </c>
      <c r="D329" s="287" t="s">
        <v>2937</v>
      </c>
      <c r="E329" s="288" t="s">
        <v>2924</v>
      </c>
      <c r="F329" s="294" t="s">
        <v>2926</v>
      </c>
      <c r="G329" s="290">
        <v>2</v>
      </c>
      <c r="H329" s="291">
        <v>63</v>
      </c>
      <c r="I329" s="292">
        <v>2000</v>
      </c>
      <c r="J329" s="292">
        <f>交易[[#This Row],[價格]]*交易[[#This Row],[數量]]*-1</f>
        <v>-126000</v>
      </c>
      <c r="L329" s="2"/>
    </row>
    <row r="330" spans="1:12">
      <c r="A330" s="330">
        <v>329</v>
      </c>
      <c r="B330" s="285">
        <v>44418</v>
      </c>
      <c r="C330" s="286">
        <v>6509</v>
      </c>
      <c r="D330" s="287" t="s">
        <v>2950</v>
      </c>
      <c r="E330" s="288" t="s">
        <v>3017</v>
      </c>
      <c r="F330" s="294" t="s">
        <v>2930</v>
      </c>
      <c r="G330" s="290">
        <v>1</v>
      </c>
      <c r="H330" s="291">
        <v>61.8</v>
      </c>
      <c r="I330" s="292">
        <v>-3000</v>
      </c>
      <c r="J330" s="292">
        <f>交易[[#This Row],[價格]]*交易[[#This Row],[數量]]*-1</f>
        <v>185400</v>
      </c>
      <c r="L330" s="2"/>
    </row>
    <row r="331" spans="1:12">
      <c r="A331" s="330">
        <v>330</v>
      </c>
      <c r="B331" s="285">
        <v>44418</v>
      </c>
      <c r="C331" s="286">
        <v>3563</v>
      </c>
      <c r="D331" s="287" t="s">
        <v>3015</v>
      </c>
      <c r="E331" s="288" t="s">
        <v>2924</v>
      </c>
      <c r="F331" s="294" t="s">
        <v>2941</v>
      </c>
      <c r="G331" s="290">
        <v>1</v>
      </c>
      <c r="H331" s="291">
        <v>282</v>
      </c>
      <c r="I331" s="292">
        <v>-1000</v>
      </c>
      <c r="J331" s="292">
        <f>交易[[#This Row],[價格]]*交易[[#This Row],[數量]]*-1</f>
        <v>282000</v>
      </c>
      <c r="L331" s="2"/>
    </row>
    <row r="332" spans="1:12">
      <c r="A332" s="330">
        <v>331</v>
      </c>
      <c r="B332" s="285">
        <v>44418</v>
      </c>
      <c r="C332" s="286">
        <v>3563</v>
      </c>
      <c r="D332" s="287" t="s">
        <v>3015</v>
      </c>
      <c r="E332" s="288" t="s">
        <v>2924</v>
      </c>
      <c r="F332" s="294" t="s">
        <v>2928</v>
      </c>
      <c r="G332" s="290">
        <v>1</v>
      </c>
      <c r="H332" s="291">
        <v>275.5</v>
      </c>
      <c r="I332" s="292">
        <v>1000</v>
      </c>
      <c r="J332" s="292">
        <f>交易[[#This Row],[價格]]*交易[[#This Row],[數量]]*-1</f>
        <v>-275500</v>
      </c>
      <c r="L332" s="2"/>
    </row>
    <row r="333" spans="1:12">
      <c r="A333" s="330">
        <v>332</v>
      </c>
      <c r="B333" s="285">
        <v>44418</v>
      </c>
      <c r="C333" s="286">
        <v>3563</v>
      </c>
      <c r="D333" s="287" t="s">
        <v>3015</v>
      </c>
      <c r="E333" s="288" t="s">
        <v>2924</v>
      </c>
      <c r="F333" s="294" t="s">
        <v>2928</v>
      </c>
      <c r="G333" s="290">
        <v>1</v>
      </c>
      <c r="H333" s="291">
        <v>277</v>
      </c>
      <c r="I333" s="292">
        <v>-1000</v>
      </c>
      <c r="J333" s="292">
        <f>交易[[#This Row],[價格]]*交易[[#This Row],[數量]]*-1</f>
        <v>277000</v>
      </c>
      <c r="L333" s="2"/>
    </row>
    <row r="334" spans="1:12">
      <c r="A334" s="330">
        <v>333</v>
      </c>
      <c r="B334" s="285">
        <v>44418</v>
      </c>
      <c r="C334" s="286">
        <v>1101</v>
      </c>
      <c r="D334" s="287" t="s">
        <v>2945</v>
      </c>
      <c r="E334" s="288" t="s">
        <v>2924</v>
      </c>
      <c r="F334" s="294" t="s">
        <v>2929</v>
      </c>
      <c r="G334" s="290">
        <v>3</v>
      </c>
      <c r="H334" s="291">
        <v>52</v>
      </c>
      <c r="I334" s="292">
        <v>-4000</v>
      </c>
      <c r="J334" s="292">
        <f>交易[[#This Row],[價格]]*交易[[#This Row],[數量]]*-1</f>
        <v>208000</v>
      </c>
      <c r="L334" s="2"/>
    </row>
    <row r="335" spans="1:12">
      <c r="A335" s="330">
        <v>334</v>
      </c>
      <c r="B335" s="285">
        <v>44418</v>
      </c>
      <c r="C335" s="286">
        <v>1605</v>
      </c>
      <c r="D335" s="287" t="s">
        <v>2959</v>
      </c>
      <c r="E335" s="288" t="s">
        <v>2924</v>
      </c>
      <c r="F335" s="294" t="s">
        <v>2941</v>
      </c>
      <c r="G335" s="290">
        <v>4</v>
      </c>
      <c r="H335" s="291">
        <v>27.35</v>
      </c>
      <c r="I335" s="292">
        <v>-10000</v>
      </c>
      <c r="J335" s="292">
        <f>交易[[#This Row],[價格]]*交易[[#This Row],[數量]]*-1</f>
        <v>273500</v>
      </c>
      <c r="L335" s="2"/>
    </row>
    <row r="336" spans="1:12">
      <c r="A336" s="330">
        <v>335</v>
      </c>
      <c r="B336" s="285">
        <v>44418</v>
      </c>
      <c r="C336" s="286">
        <v>2371</v>
      </c>
      <c r="D336" s="287" t="s">
        <v>3016</v>
      </c>
      <c r="E336" s="288" t="s">
        <v>2924</v>
      </c>
      <c r="F336" s="294" t="s">
        <v>2941</v>
      </c>
      <c r="G336" s="290">
        <v>1</v>
      </c>
      <c r="H336" s="291">
        <v>26.15</v>
      </c>
      <c r="I336" s="292">
        <v>-2000</v>
      </c>
      <c r="J336" s="292">
        <f>交易[[#This Row],[價格]]*交易[[#This Row],[數量]]*-1</f>
        <v>52300</v>
      </c>
      <c r="L336" s="2"/>
    </row>
    <row r="337" spans="1:12">
      <c r="A337" s="330">
        <v>336</v>
      </c>
      <c r="B337" s="285">
        <v>44418</v>
      </c>
      <c r="C337" s="286">
        <v>2913</v>
      </c>
      <c r="D337" s="287" t="s">
        <v>3011</v>
      </c>
      <c r="E337" s="288" t="s">
        <v>2924</v>
      </c>
      <c r="F337" s="294" t="s">
        <v>2941</v>
      </c>
      <c r="G337" s="290">
        <v>1</v>
      </c>
      <c r="H337" s="291">
        <v>20.100000000000001</v>
      </c>
      <c r="I337" s="292">
        <v>-5000</v>
      </c>
      <c r="J337" s="292">
        <f>交易[[#This Row],[價格]]*交易[[#This Row],[數量]]*-1</f>
        <v>100500</v>
      </c>
      <c r="L337" s="2"/>
    </row>
    <row r="338" spans="1:12">
      <c r="A338" s="330">
        <v>337</v>
      </c>
      <c r="B338" s="285">
        <v>44419</v>
      </c>
      <c r="C338" s="286">
        <v>1722</v>
      </c>
      <c r="D338" s="287" t="s">
        <v>2953</v>
      </c>
      <c r="E338" s="288" t="s">
        <v>2924</v>
      </c>
      <c r="F338" s="294" t="s">
        <v>2929</v>
      </c>
      <c r="G338" s="290">
        <v>2</v>
      </c>
      <c r="H338" s="291">
        <v>58.1</v>
      </c>
      <c r="I338" s="292">
        <v>-2000</v>
      </c>
      <c r="J338" s="292">
        <f>交易[[#This Row],[價格]]*交易[[#This Row],[數量]]*-1</f>
        <v>116200</v>
      </c>
      <c r="L338" s="2"/>
    </row>
    <row r="339" spans="1:12">
      <c r="A339" s="330">
        <v>338</v>
      </c>
      <c r="B339" s="285">
        <v>44419</v>
      </c>
      <c r="C339" s="286">
        <v>1310</v>
      </c>
      <c r="D339" s="287" t="s">
        <v>3018</v>
      </c>
      <c r="E339" s="288" t="s">
        <v>2924</v>
      </c>
      <c r="F339" s="294" t="s">
        <v>2925</v>
      </c>
      <c r="G339" s="290">
        <v>1</v>
      </c>
      <c r="H339" s="291">
        <v>20.149999999999999</v>
      </c>
      <c r="I339" s="292">
        <v>20000</v>
      </c>
      <c r="J339" s="292">
        <f>交易[[#This Row],[價格]]*交易[[#This Row],[數量]]*-1</f>
        <v>-403000</v>
      </c>
      <c r="L339" s="2"/>
    </row>
    <row r="340" spans="1:12">
      <c r="A340" s="330">
        <v>339</v>
      </c>
      <c r="B340" s="285">
        <v>44420</v>
      </c>
      <c r="C340" s="286">
        <v>1101</v>
      </c>
      <c r="D340" s="287" t="s">
        <v>2945</v>
      </c>
      <c r="E340" s="288" t="s">
        <v>2924</v>
      </c>
      <c r="F340" s="294" t="s">
        <v>2970</v>
      </c>
      <c r="G340" s="290">
        <v>3</v>
      </c>
      <c r="H340" s="291">
        <v>46.55</v>
      </c>
      <c r="I340" s="292">
        <v>2000</v>
      </c>
      <c r="J340" s="292">
        <f>交易[[#This Row],[價格]]*交易[[#This Row],[數量]]*-1</f>
        <v>-93100</v>
      </c>
      <c r="L340" s="2"/>
    </row>
    <row r="341" spans="1:12">
      <c r="A341" s="330">
        <v>340</v>
      </c>
      <c r="B341" s="285">
        <v>44420</v>
      </c>
      <c r="C341" s="286">
        <v>2027</v>
      </c>
      <c r="D341" s="287" t="s">
        <v>3019</v>
      </c>
      <c r="E341" s="288" t="s">
        <v>2924</v>
      </c>
      <c r="F341" s="294" t="s">
        <v>2925</v>
      </c>
      <c r="G341" s="290">
        <v>2</v>
      </c>
      <c r="H341" s="291">
        <v>52.6</v>
      </c>
      <c r="I341" s="292">
        <v>4000</v>
      </c>
      <c r="J341" s="292">
        <f>交易[[#This Row],[價格]]*交易[[#This Row],[數量]]*-1</f>
        <v>-210400</v>
      </c>
      <c r="L341" s="2"/>
    </row>
    <row r="342" spans="1:12">
      <c r="A342" s="330">
        <v>341</v>
      </c>
      <c r="B342" s="285">
        <v>44420</v>
      </c>
      <c r="C342" s="286">
        <v>8213</v>
      </c>
      <c r="D342" s="287" t="s">
        <v>3020</v>
      </c>
      <c r="E342" s="288" t="s">
        <v>2924</v>
      </c>
      <c r="F342" s="294" t="s">
        <v>2925</v>
      </c>
      <c r="G342" s="290">
        <v>1</v>
      </c>
      <c r="H342" s="291">
        <v>49.458333333333336</v>
      </c>
      <c r="I342" s="292">
        <v>6000</v>
      </c>
      <c r="J342" s="292">
        <f>交易[[#This Row],[價格]]*交易[[#This Row],[數量]]*-1</f>
        <v>-296750</v>
      </c>
      <c r="L342" s="2"/>
    </row>
    <row r="343" spans="1:12">
      <c r="A343" s="330">
        <v>342</v>
      </c>
      <c r="B343" s="285">
        <v>44420</v>
      </c>
      <c r="C343" s="286">
        <v>1310</v>
      </c>
      <c r="D343" s="287" t="s">
        <v>3018</v>
      </c>
      <c r="E343" s="288" t="s">
        <v>2924</v>
      </c>
      <c r="F343" s="294" t="s">
        <v>2941</v>
      </c>
      <c r="G343" s="290">
        <v>1</v>
      </c>
      <c r="H343" s="291">
        <v>19.484999999999999</v>
      </c>
      <c r="I343" s="292">
        <v>-20000</v>
      </c>
      <c r="J343" s="292">
        <f>交易[[#This Row],[價格]]*交易[[#This Row],[數量]]*-1</f>
        <v>389700</v>
      </c>
      <c r="L343" s="2"/>
    </row>
    <row r="344" spans="1:12">
      <c r="A344" s="330">
        <v>343</v>
      </c>
      <c r="B344" s="285">
        <v>44421</v>
      </c>
      <c r="C344" s="286">
        <v>1101</v>
      </c>
      <c r="D344" s="287" t="s">
        <v>2945</v>
      </c>
      <c r="E344" s="288" t="s">
        <v>2924</v>
      </c>
      <c r="F344" s="294" t="s">
        <v>2970</v>
      </c>
      <c r="G344" s="290">
        <v>3</v>
      </c>
      <c r="H344" s="291">
        <v>48.35</v>
      </c>
      <c r="I344" s="292">
        <v>2000</v>
      </c>
      <c r="J344" s="292">
        <f>交易[[#This Row],[價格]]*交易[[#This Row],[數量]]*-1</f>
        <v>-96700</v>
      </c>
      <c r="L344" s="2"/>
    </row>
    <row r="345" spans="1:12">
      <c r="A345" s="330">
        <v>344</v>
      </c>
      <c r="B345" s="285">
        <v>44421</v>
      </c>
      <c r="C345" s="286">
        <v>1303</v>
      </c>
      <c r="D345" s="287" t="s">
        <v>3005</v>
      </c>
      <c r="E345" s="288" t="s">
        <v>2924</v>
      </c>
      <c r="F345" s="294" t="s">
        <v>2930</v>
      </c>
      <c r="G345" s="290">
        <v>2</v>
      </c>
      <c r="H345" s="291">
        <v>86.233329999999995</v>
      </c>
      <c r="I345" s="292">
        <v>-3000</v>
      </c>
      <c r="J345" s="292">
        <f>交易[[#This Row],[價格]]*交易[[#This Row],[數量]]*-1</f>
        <v>258699.99</v>
      </c>
      <c r="L345" s="2"/>
    </row>
    <row r="346" spans="1:12">
      <c r="A346" s="330">
        <v>345</v>
      </c>
      <c r="B346" s="285">
        <v>44421</v>
      </c>
      <c r="C346" s="286">
        <v>2338</v>
      </c>
      <c r="D346" s="287" t="s">
        <v>3021</v>
      </c>
      <c r="E346" s="288" t="s">
        <v>2924</v>
      </c>
      <c r="F346" s="294" t="s">
        <v>2928</v>
      </c>
      <c r="G346" s="290">
        <v>1</v>
      </c>
      <c r="H346" s="291">
        <v>76.8</v>
      </c>
      <c r="I346" s="292">
        <v>4000</v>
      </c>
      <c r="J346" s="292">
        <f>交易[[#This Row],[價格]]*交易[[#This Row],[數量]]*-1</f>
        <v>-307200</v>
      </c>
      <c r="L346" s="2"/>
    </row>
    <row r="347" spans="1:12">
      <c r="A347" s="330">
        <v>346</v>
      </c>
      <c r="B347" s="285">
        <v>44421</v>
      </c>
      <c r="C347" s="286">
        <v>2338</v>
      </c>
      <c r="D347" s="287" t="s">
        <v>3021</v>
      </c>
      <c r="E347" s="288" t="s">
        <v>2924</v>
      </c>
      <c r="F347" s="294" t="s">
        <v>2928</v>
      </c>
      <c r="G347" s="290">
        <v>1</v>
      </c>
      <c r="H347" s="291">
        <v>78.724999999999994</v>
      </c>
      <c r="I347" s="292">
        <v>-4000</v>
      </c>
      <c r="J347" s="292">
        <f>交易[[#This Row],[價格]]*交易[[#This Row],[數量]]*-1</f>
        <v>314900</v>
      </c>
      <c r="L347" s="2"/>
    </row>
    <row r="348" spans="1:12">
      <c r="A348" s="330">
        <v>347</v>
      </c>
      <c r="B348" s="285">
        <v>44424</v>
      </c>
      <c r="C348" s="286">
        <v>8255</v>
      </c>
      <c r="D348" s="287" t="s">
        <v>3022</v>
      </c>
      <c r="E348" s="288" t="s">
        <v>3023</v>
      </c>
      <c r="F348" s="294" t="s">
        <v>2925</v>
      </c>
      <c r="G348" s="290">
        <v>1</v>
      </c>
      <c r="H348" s="291">
        <v>0.76500000000000001</v>
      </c>
      <c r="I348" s="292">
        <v>0</v>
      </c>
      <c r="J348" s="292">
        <v>-15321</v>
      </c>
      <c r="L348" s="2"/>
    </row>
    <row r="349" spans="1:12">
      <c r="A349" s="330">
        <v>348</v>
      </c>
      <c r="B349" s="285">
        <v>44424</v>
      </c>
      <c r="C349" s="286">
        <v>2369</v>
      </c>
      <c r="D349" s="287" t="s">
        <v>3024</v>
      </c>
      <c r="E349" s="288" t="s">
        <v>3017</v>
      </c>
      <c r="F349" s="294" t="s">
        <v>2925</v>
      </c>
      <c r="G349" s="290">
        <v>1</v>
      </c>
      <c r="H349" s="291">
        <v>25.85</v>
      </c>
      <c r="I349" s="292">
        <v>-6000</v>
      </c>
      <c r="J349" s="292">
        <f>交易[[#This Row],[價格]]*交易[[#This Row],[數量]]*-1</f>
        <v>155100</v>
      </c>
      <c r="L349" s="2"/>
    </row>
    <row r="350" spans="1:12">
      <c r="A350" s="330">
        <v>349</v>
      </c>
      <c r="B350" s="285">
        <v>44424</v>
      </c>
      <c r="C350" s="286">
        <v>2369</v>
      </c>
      <c r="D350" s="287" t="s">
        <v>3024</v>
      </c>
      <c r="E350" s="288" t="s">
        <v>3017</v>
      </c>
      <c r="F350" s="294" t="s">
        <v>2931</v>
      </c>
      <c r="G350" s="290">
        <v>1</v>
      </c>
      <c r="H350" s="291">
        <v>25.65</v>
      </c>
      <c r="I350" s="292">
        <v>6000</v>
      </c>
      <c r="J350" s="292">
        <f>交易[[#This Row],[價格]]*交易[[#This Row],[數量]]*-1</f>
        <v>-153900</v>
      </c>
      <c r="L350" s="2"/>
    </row>
    <row r="351" spans="1:12">
      <c r="A351" s="330">
        <v>350</v>
      </c>
      <c r="B351" s="285">
        <v>44424</v>
      </c>
      <c r="C351" s="286">
        <v>4119</v>
      </c>
      <c r="D351" s="287" t="s">
        <v>3025</v>
      </c>
      <c r="E351" s="288" t="s">
        <v>2924</v>
      </c>
      <c r="F351" s="294" t="s">
        <v>2925</v>
      </c>
      <c r="G351" s="290">
        <v>1</v>
      </c>
      <c r="H351" s="291">
        <v>92.6</v>
      </c>
      <c r="I351" s="292">
        <v>2000</v>
      </c>
      <c r="J351" s="292">
        <f>交易[[#This Row],[價格]]*交易[[#This Row],[數量]]*-1</f>
        <v>-185200</v>
      </c>
      <c r="L351" s="2"/>
    </row>
    <row r="352" spans="1:12">
      <c r="A352" s="330">
        <v>351</v>
      </c>
      <c r="B352" s="285">
        <v>44424</v>
      </c>
      <c r="C352" s="286">
        <v>4119</v>
      </c>
      <c r="D352" s="287" t="s">
        <v>3025</v>
      </c>
      <c r="E352" s="288" t="s">
        <v>2924</v>
      </c>
      <c r="F352" s="294" t="s">
        <v>2931</v>
      </c>
      <c r="G352" s="290">
        <v>1</v>
      </c>
      <c r="H352" s="291">
        <v>91.6</v>
      </c>
      <c r="I352" s="292">
        <v>-2000</v>
      </c>
      <c r="J352" s="292">
        <f>交易[[#This Row],[價格]]*交易[[#This Row],[數量]]*-1</f>
        <v>183200</v>
      </c>
      <c r="L352" s="2"/>
    </row>
    <row r="353" spans="1:12">
      <c r="A353" s="330">
        <v>352</v>
      </c>
      <c r="B353" s="285">
        <v>44424</v>
      </c>
      <c r="C353" s="286">
        <v>6509</v>
      </c>
      <c r="D353" s="287" t="s">
        <v>2950</v>
      </c>
      <c r="E353" s="288" t="s">
        <v>3017</v>
      </c>
      <c r="F353" s="294" t="s">
        <v>2925</v>
      </c>
      <c r="G353" s="290">
        <v>2</v>
      </c>
      <c r="H353" s="291">
        <v>53.1</v>
      </c>
      <c r="I353" s="292">
        <v>-3000</v>
      </c>
      <c r="J353" s="292">
        <f>交易[[#This Row],[價格]]*交易[[#This Row],[數量]]*-1</f>
        <v>159300</v>
      </c>
      <c r="L353" s="2"/>
    </row>
    <row r="354" spans="1:12">
      <c r="A354" s="330">
        <v>353</v>
      </c>
      <c r="B354" s="285">
        <v>44424</v>
      </c>
      <c r="C354" s="286">
        <v>6509</v>
      </c>
      <c r="D354" s="287" t="s">
        <v>2950</v>
      </c>
      <c r="E354" s="288" t="s">
        <v>3017</v>
      </c>
      <c r="F354" s="294" t="s">
        <v>2929</v>
      </c>
      <c r="G354" s="290">
        <v>2</v>
      </c>
      <c r="H354" s="291">
        <v>51.8</v>
      </c>
      <c r="I354" s="292">
        <v>3000</v>
      </c>
      <c r="J354" s="292">
        <f>交易[[#This Row],[價格]]*交易[[#This Row],[數量]]*-1</f>
        <v>-155400</v>
      </c>
      <c r="L354" s="2"/>
    </row>
    <row r="355" spans="1:12">
      <c r="A355" s="330">
        <v>354</v>
      </c>
      <c r="B355" s="285">
        <v>44424</v>
      </c>
      <c r="C355" s="286">
        <v>1101</v>
      </c>
      <c r="D355" s="287" t="s">
        <v>2945</v>
      </c>
      <c r="E355" s="288" t="s">
        <v>2924</v>
      </c>
      <c r="F355" s="294" t="s">
        <v>2929</v>
      </c>
      <c r="G355" s="290">
        <v>3</v>
      </c>
      <c r="H355" s="291">
        <v>47.95</v>
      </c>
      <c r="I355" s="292">
        <v>-1000</v>
      </c>
      <c r="J355" s="292">
        <f>交易[[#This Row],[價格]]*交易[[#This Row],[數量]]*-1</f>
        <v>47950</v>
      </c>
      <c r="L355" s="2"/>
    </row>
    <row r="356" spans="1:12">
      <c r="A356" s="330">
        <v>355</v>
      </c>
      <c r="B356" s="285">
        <v>44424</v>
      </c>
      <c r="C356" s="286">
        <v>1762</v>
      </c>
      <c r="D356" s="287" t="s">
        <v>2937</v>
      </c>
      <c r="E356" s="288" t="s">
        <v>2924</v>
      </c>
      <c r="F356" s="294" t="s">
        <v>2930</v>
      </c>
      <c r="G356" s="290">
        <v>2</v>
      </c>
      <c r="H356" s="291">
        <v>68.099999999999994</v>
      </c>
      <c r="I356" s="292">
        <v>-4000</v>
      </c>
      <c r="J356" s="292">
        <f>交易[[#This Row],[價格]]*交易[[#This Row],[數量]]*-1</f>
        <v>272400</v>
      </c>
      <c r="L356" s="2"/>
    </row>
    <row r="357" spans="1:12">
      <c r="A357" s="330">
        <v>356</v>
      </c>
      <c r="B357" s="285">
        <v>44424</v>
      </c>
      <c r="C357" s="286">
        <v>2027</v>
      </c>
      <c r="D357" s="287" t="s">
        <v>3019</v>
      </c>
      <c r="E357" s="288" t="s">
        <v>2924</v>
      </c>
      <c r="F357" s="294" t="s">
        <v>2941</v>
      </c>
      <c r="G357" s="290">
        <v>2</v>
      </c>
      <c r="H357" s="291">
        <v>51.1</v>
      </c>
      <c r="I357" s="292">
        <v>-4000</v>
      </c>
      <c r="J357" s="292">
        <f>交易[[#This Row],[價格]]*交易[[#This Row],[數量]]*-1</f>
        <v>204400</v>
      </c>
      <c r="L357" s="2"/>
    </row>
    <row r="358" spans="1:12">
      <c r="A358" s="330">
        <v>357</v>
      </c>
      <c r="B358" s="285">
        <v>44424</v>
      </c>
      <c r="C358" s="286">
        <v>8213</v>
      </c>
      <c r="D358" s="287" t="s">
        <v>3020</v>
      </c>
      <c r="E358" s="288" t="s">
        <v>2924</v>
      </c>
      <c r="F358" s="294" t="s">
        <v>2941</v>
      </c>
      <c r="G358" s="290">
        <v>1</v>
      </c>
      <c r="H358" s="291">
        <v>47.475000000000001</v>
      </c>
      <c r="I358" s="292">
        <v>-6000</v>
      </c>
      <c r="J358" s="292">
        <f>交易[[#This Row],[價格]]*交易[[#This Row],[數量]]*-1</f>
        <v>284850</v>
      </c>
      <c r="L358" s="2"/>
    </row>
    <row r="359" spans="1:12">
      <c r="A359" s="330">
        <v>358</v>
      </c>
      <c r="B359" s="285">
        <v>44424</v>
      </c>
      <c r="C359" s="286">
        <v>2013</v>
      </c>
      <c r="D359" s="287" t="s">
        <v>3014</v>
      </c>
      <c r="E359" s="288" t="s">
        <v>2924</v>
      </c>
      <c r="F359" s="294" t="s">
        <v>2930</v>
      </c>
      <c r="G359" s="290">
        <v>1</v>
      </c>
      <c r="H359" s="291">
        <v>49.6</v>
      </c>
      <c r="I359" s="292">
        <v>-4000</v>
      </c>
      <c r="J359" s="292">
        <f>交易[[#This Row],[價格]]*交易[[#This Row],[數量]]*-1</f>
        <v>198400</v>
      </c>
      <c r="L359" s="2"/>
    </row>
    <row r="360" spans="1:12">
      <c r="A360" s="330">
        <v>359</v>
      </c>
      <c r="B360" s="285">
        <v>44424</v>
      </c>
      <c r="C360" s="286">
        <v>2013</v>
      </c>
      <c r="D360" s="287" t="s">
        <v>3014</v>
      </c>
      <c r="E360" s="288" t="s">
        <v>2924</v>
      </c>
      <c r="F360" s="294" t="s">
        <v>2925</v>
      </c>
      <c r="G360" s="290">
        <v>2</v>
      </c>
      <c r="H360" s="291">
        <v>50</v>
      </c>
      <c r="I360" s="292">
        <v>8000</v>
      </c>
      <c r="J360" s="292">
        <f>交易[[#This Row],[價格]]*交易[[#This Row],[數量]]*-1</f>
        <v>-400000</v>
      </c>
      <c r="L360" s="2"/>
    </row>
    <row r="361" spans="1:12">
      <c r="A361" s="330">
        <v>360</v>
      </c>
      <c r="B361" s="285">
        <v>44424</v>
      </c>
      <c r="C361" s="286">
        <v>2013</v>
      </c>
      <c r="D361" s="287" t="s">
        <v>3014</v>
      </c>
      <c r="E361" s="288" t="s">
        <v>2924</v>
      </c>
      <c r="F361" s="294" t="s">
        <v>2931</v>
      </c>
      <c r="G361" s="290">
        <v>2</v>
      </c>
      <c r="H361" s="291">
        <v>50.1</v>
      </c>
      <c r="I361" s="292">
        <v>-8000</v>
      </c>
      <c r="J361" s="292">
        <f>交易[[#This Row],[價格]]*交易[[#This Row],[數量]]*-1</f>
        <v>400800</v>
      </c>
      <c r="L361" s="2"/>
    </row>
    <row r="362" spans="1:12">
      <c r="A362" s="330">
        <v>361</v>
      </c>
      <c r="B362" s="285">
        <v>44425</v>
      </c>
      <c r="C362" s="286">
        <v>1101</v>
      </c>
      <c r="D362" s="287" t="s">
        <v>2945</v>
      </c>
      <c r="E362" s="288" t="s">
        <v>2924</v>
      </c>
      <c r="F362" s="294" t="s">
        <v>2929</v>
      </c>
      <c r="G362" s="290">
        <v>3</v>
      </c>
      <c r="H362" s="291">
        <v>47.54</v>
      </c>
      <c r="I362" s="292">
        <v>-5000</v>
      </c>
      <c r="J362" s="292">
        <f>交易[[#This Row],[價格]]*交易[[#This Row],[數量]]*-1</f>
        <v>237700</v>
      </c>
      <c r="L362" s="2"/>
    </row>
    <row r="363" spans="1:12">
      <c r="A363" s="330">
        <v>362</v>
      </c>
      <c r="B363" s="285">
        <v>44425</v>
      </c>
      <c r="C363" s="286">
        <v>2369</v>
      </c>
      <c r="D363" s="287" t="s">
        <v>3024</v>
      </c>
      <c r="E363" s="288" t="s">
        <v>3017</v>
      </c>
      <c r="F363" s="294" t="s">
        <v>2925</v>
      </c>
      <c r="G363" s="290">
        <v>2</v>
      </c>
      <c r="H363" s="291">
        <v>25.3</v>
      </c>
      <c r="I363" s="292">
        <v>-8000</v>
      </c>
      <c r="J363" s="292">
        <f>交易[[#This Row],[價格]]*交易[[#This Row],[數量]]*-1</f>
        <v>202400</v>
      </c>
      <c r="L363" s="2"/>
    </row>
    <row r="364" spans="1:12">
      <c r="A364" s="330">
        <v>363</v>
      </c>
      <c r="B364" s="285">
        <v>44425</v>
      </c>
      <c r="C364" s="286">
        <v>3041</v>
      </c>
      <c r="D364" s="287" t="s">
        <v>3026</v>
      </c>
      <c r="E364" s="288" t="s">
        <v>3017</v>
      </c>
      <c r="F364" s="294" t="s">
        <v>2925</v>
      </c>
      <c r="G364" s="290">
        <v>1</v>
      </c>
      <c r="H364" s="291">
        <v>26.75</v>
      </c>
      <c r="I364" s="292">
        <v>-6000</v>
      </c>
      <c r="J364" s="292">
        <f>交易[[#This Row],[價格]]*交易[[#This Row],[數量]]*-1</f>
        <v>160500</v>
      </c>
      <c r="L364" s="2"/>
    </row>
    <row r="365" spans="1:12">
      <c r="A365" s="330">
        <v>364</v>
      </c>
      <c r="B365" s="285">
        <v>44425</v>
      </c>
      <c r="C365" s="286">
        <v>6509</v>
      </c>
      <c r="D365" s="287" t="s">
        <v>2950</v>
      </c>
      <c r="E365" s="288" t="s">
        <v>3017</v>
      </c>
      <c r="F365" s="294" t="s">
        <v>2925</v>
      </c>
      <c r="G365" s="290">
        <v>2</v>
      </c>
      <c r="H365" s="291">
        <v>51.9</v>
      </c>
      <c r="I365" s="292">
        <v>-4000</v>
      </c>
      <c r="J365" s="292">
        <f>交易[[#This Row],[價格]]*交易[[#This Row],[數量]]*-1</f>
        <v>207600</v>
      </c>
      <c r="L365" s="2"/>
    </row>
    <row r="366" spans="1:12">
      <c r="A366" s="330">
        <v>365</v>
      </c>
      <c r="B366" s="285">
        <v>44426</v>
      </c>
      <c r="C366" s="286">
        <v>1303</v>
      </c>
      <c r="D366" s="287" t="s">
        <v>3005</v>
      </c>
      <c r="E366" s="288" t="s">
        <v>2924</v>
      </c>
      <c r="F366" s="294" t="s">
        <v>2925</v>
      </c>
      <c r="G366" s="290">
        <v>3</v>
      </c>
      <c r="H366" s="291">
        <v>86.2</v>
      </c>
      <c r="I366" s="292">
        <v>2000</v>
      </c>
      <c r="J366" s="292">
        <f>交易[[#This Row],[價格]]*交易[[#This Row],[數量]]*-1</f>
        <v>-172400</v>
      </c>
      <c r="L366" s="2"/>
    </row>
    <row r="367" spans="1:12">
      <c r="A367" s="330">
        <v>366</v>
      </c>
      <c r="B367" s="285">
        <v>44426</v>
      </c>
      <c r="C367" s="286">
        <v>2354</v>
      </c>
      <c r="D367" s="287" t="s">
        <v>3027</v>
      </c>
      <c r="E367" s="288" t="s">
        <v>2924</v>
      </c>
      <c r="F367" s="294" t="s">
        <v>2925</v>
      </c>
      <c r="G367" s="290">
        <v>1</v>
      </c>
      <c r="H367" s="291">
        <v>65.3</v>
      </c>
      <c r="I367" s="292">
        <v>4000</v>
      </c>
      <c r="J367" s="292">
        <f>交易[[#This Row],[價格]]*交易[[#This Row],[數量]]*-1</f>
        <v>-261200</v>
      </c>
      <c r="L367" s="2"/>
    </row>
    <row r="368" spans="1:12">
      <c r="A368" s="330">
        <v>367</v>
      </c>
      <c r="B368" s="285">
        <v>44426</v>
      </c>
      <c r="C368" s="286">
        <v>3551</v>
      </c>
      <c r="D368" s="287" t="s">
        <v>3028</v>
      </c>
      <c r="E368" s="288" t="s">
        <v>2924</v>
      </c>
      <c r="F368" s="294" t="s">
        <v>2925</v>
      </c>
      <c r="G368" s="290">
        <v>1</v>
      </c>
      <c r="H368" s="291">
        <v>61.2</v>
      </c>
      <c r="I368" s="292">
        <v>4000</v>
      </c>
      <c r="J368" s="292">
        <f>交易[[#This Row],[價格]]*交易[[#This Row],[數量]]*-1</f>
        <v>-244800</v>
      </c>
      <c r="L368" s="2"/>
    </row>
    <row r="369" spans="1:12">
      <c r="A369" s="330">
        <v>368</v>
      </c>
      <c r="B369" s="285">
        <v>44426</v>
      </c>
      <c r="C369" s="286">
        <v>3714</v>
      </c>
      <c r="D369" s="287" t="s">
        <v>3029</v>
      </c>
      <c r="E369" s="288" t="s">
        <v>2924</v>
      </c>
      <c r="F369" s="294" t="s">
        <v>2925</v>
      </c>
      <c r="G369" s="290">
        <v>1</v>
      </c>
      <c r="H369" s="291">
        <v>81</v>
      </c>
      <c r="I369" s="292">
        <v>3000</v>
      </c>
      <c r="J369" s="292">
        <f>交易[[#This Row],[價格]]*交易[[#This Row],[數量]]*-1</f>
        <v>-243000</v>
      </c>
      <c r="L369" s="2"/>
    </row>
    <row r="370" spans="1:12">
      <c r="A370" s="330">
        <v>369</v>
      </c>
      <c r="B370" s="285">
        <v>44426</v>
      </c>
      <c r="C370" s="286">
        <v>8016</v>
      </c>
      <c r="D370" s="287" t="s">
        <v>3009</v>
      </c>
      <c r="E370" s="288" t="s">
        <v>3017</v>
      </c>
      <c r="F370" s="294" t="s">
        <v>2925</v>
      </c>
      <c r="G370" s="290">
        <v>2</v>
      </c>
      <c r="H370" s="291">
        <v>317.5</v>
      </c>
      <c r="I370" s="292">
        <v>-1000</v>
      </c>
      <c r="J370" s="292">
        <f>交易[[#This Row],[價格]]*交易[[#This Row],[數量]]*-1</f>
        <v>317500</v>
      </c>
      <c r="L370" s="2"/>
    </row>
    <row r="371" spans="1:12">
      <c r="A371" s="330">
        <v>370</v>
      </c>
      <c r="B371" s="285">
        <v>44426</v>
      </c>
      <c r="C371" s="286">
        <v>8016</v>
      </c>
      <c r="D371" s="287" t="s">
        <v>3009</v>
      </c>
      <c r="E371" s="288" t="s">
        <v>3017</v>
      </c>
      <c r="F371" s="294" t="s">
        <v>2941</v>
      </c>
      <c r="G371" s="290">
        <v>2</v>
      </c>
      <c r="H371" s="291">
        <v>320</v>
      </c>
      <c r="I371" s="292">
        <v>1000</v>
      </c>
      <c r="J371" s="292">
        <f>交易[[#This Row],[價格]]*交易[[#This Row],[數量]]*-1</f>
        <v>-320000</v>
      </c>
      <c r="L371" s="2"/>
    </row>
    <row r="372" spans="1:12">
      <c r="A372" s="330">
        <v>371</v>
      </c>
      <c r="B372" s="285">
        <v>44426</v>
      </c>
      <c r="C372" s="286">
        <v>2369</v>
      </c>
      <c r="D372" s="287" t="s">
        <v>3024</v>
      </c>
      <c r="E372" s="288" t="s">
        <v>3017</v>
      </c>
      <c r="F372" s="294" t="s">
        <v>2930</v>
      </c>
      <c r="G372" s="290">
        <v>2</v>
      </c>
      <c r="H372" s="291">
        <v>24.843699999999998</v>
      </c>
      <c r="I372" s="292">
        <v>8000</v>
      </c>
      <c r="J372" s="292">
        <f>交易[[#This Row],[價格]]*交易[[#This Row],[數量]]*-1</f>
        <v>-198749.59999999998</v>
      </c>
      <c r="L372" s="2"/>
    </row>
    <row r="373" spans="1:12">
      <c r="A373" s="330">
        <v>372</v>
      </c>
      <c r="B373" s="285">
        <v>44426</v>
      </c>
      <c r="C373" s="286">
        <v>3041</v>
      </c>
      <c r="D373" s="287" t="s">
        <v>3026</v>
      </c>
      <c r="E373" s="288" t="s">
        <v>3017</v>
      </c>
      <c r="F373" s="294" t="s">
        <v>2930</v>
      </c>
      <c r="G373" s="290">
        <v>1</v>
      </c>
      <c r="H373" s="291">
        <v>26.291599999999999</v>
      </c>
      <c r="I373" s="292">
        <v>6000</v>
      </c>
      <c r="J373" s="292">
        <f>交易[[#This Row],[價格]]*交易[[#This Row],[數量]]*-1</f>
        <v>-157749.6</v>
      </c>
      <c r="L373" s="2"/>
    </row>
    <row r="374" spans="1:12">
      <c r="A374" s="330">
        <v>373</v>
      </c>
      <c r="B374" s="285">
        <v>44426</v>
      </c>
      <c r="C374" s="286">
        <v>6509</v>
      </c>
      <c r="D374" s="287" t="s">
        <v>2950</v>
      </c>
      <c r="E374" s="288" t="s">
        <v>3017</v>
      </c>
      <c r="F374" s="294" t="s">
        <v>2930</v>
      </c>
      <c r="G374" s="290">
        <v>2</v>
      </c>
      <c r="H374" s="291">
        <v>50.75</v>
      </c>
      <c r="I374" s="292">
        <v>4000</v>
      </c>
      <c r="J374" s="292">
        <f>交易[[#This Row],[價格]]*交易[[#This Row],[數量]]*-1</f>
        <v>-203000</v>
      </c>
      <c r="L374" s="2"/>
    </row>
    <row r="375" spans="1:12">
      <c r="A375" s="330">
        <v>374</v>
      </c>
      <c r="B375" s="285">
        <v>44426</v>
      </c>
      <c r="C375" s="286">
        <v>8255</v>
      </c>
      <c r="D375" s="287" t="s">
        <v>3022</v>
      </c>
      <c r="E375" s="288" t="s">
        <v>3023</v>
      </c>
      <c r="F375" s="294" t="s">
        <v>2930</v>
      </c>
      <c r="G375" s="290">
        <v>1</v>
      </c>
      <c r="H375" s="291">
        <v>0.88</v>
      </c>
      <c r="I375" s="292">
        <v>0</v>
      </c>
      <c r="J375" s="292">
        <v>17558</v>
      </c>
      <c r="L375" s="2"/>
    </row>
    <row r="376" spans="1:12">
      <c r="A376" s="330">
        <v>375</v>
      </c>
      <c r="B376" s="285">
        <v>44426</v>
      </c>
      <c r="C376" s="286">
        <v>8255</v>
      </c>
      <c r="D376" s="287" t="s">
        <v>3022</v>
      </c>
      <c r="E376" s="288" t="s">
        <v>3017</v>
      </c>
      <c r="F376" s="294" t="s">
        <v>2925</v>
      </c>
      <c r="G376" s="290">
        <v>2</v>
      </c>
      <c r="H376" s="291">
        <v>187</v>
      </c>
      <c r="I376" s="292">
        <v>-1000</v>
      </c>
      <c r="J376" s="292">
        <f>交易[[#This Row],[價格]]*交易[[#This Row],[數量]]*-1</f>
        <v>187000</v>
      </c>
      <c r="L376" s="2"/>
    </row>
    <row r="377" spans="1:12">
      <c r="A377" s="330">
        <v>376</v>
      </c>
      <c r="B377" s="285">
        <v>44426</v>
      </c>
      <c r="C377" s="286">
        <v>8255</v>
      </c>
      <c r="D377" s="287" t="s">
        <v>3022</v>
      </c>
      <c r="E377" s="288" t="s">
        <v>3017</v>
      </c>
      <c r="F377" s="294" t="s">
        <v>2941</v>
      </c>
      <c r="G377" s="290">
        <v>2</v>
      </c>
      <c r="H377" s="291">
        <v>189.5</v>
      </c>
      <c r="I377" s="292">
        <v>1000</v>
      </c>
      <c r="J377" s="292">
        <f>交易[[#This Row],[價格]]*交易[[#This Row],[數量]]*-1</f>
        <v>-189500</v>
      </c>
      <c r="L377" s="2"/>
    </row>
    <row r="378" spans="1:12">
      <c r="A378" s="330">
        <v>377</v>
      </c>
      <c r="B378" s="285">
        <v>44426</v>
      </c>
      <c r="C378" s="286">
        <v>8255</v>
      </c>
      <c r="D378" s="287" t="s">
        <v>3022</v>
      </c>
      <c r="E378" s="288" t="s">
        <v>3017</v>
      </c>
      <c r="F378" s="294" t="s">
        <v>2925</v>
      </c>
      <c r="G378" s="290">
        <v>2</v>
      </c>
      <c r="H378" s="291">
        <v>191.5</v>
      </c>
      <c r="I378" s="292">
        <v>1000</v>
      </c>
      <c r="J378" s="292">
        <f>交易[[#This Row],[價格]]*交易[[#This Row],[數量]]*-1</f>
        <v>-191500</v>
      </c>
      <c r="L378" s="2"/>
    </row>
    <row r="379" spans="1:12">
      <c r="A379" s="330">
        <v>378</v>
      </c>
      <c r="B379" s="285">
        <v>44426</v>
      </c>
      <c r="C379" s="286">
        <v>8255</v>
      </c>
      <c r="D379" s="287" t="s">
        <v>3022</v>
      </c>
      <c r="E379" s="288" t="s">
        <v>3017</v>
      </c>
      <c r="F379" s="294" t="s">
        <v>2930</v>
      </c>
      <c r="G379" s="290">
        <v>2</v>
      </c>
      <c r="H379" s="291">
        <v>197</v>
      </c>
      <c r="I379" s="292">
        <v>-1000</v>
      </c>
      <c r="J379" s="292">
        <f>交易[[#This Row],[價格]]*交易[[#This Row],[數量]]*-1</f>
        <v>197000</v>
      </c>
      <c r="L379" s="2"/>
    </row>
    <row r="380" spans="1:12">
      <c r="A380" s="330">
        <v>379</v>
      </c>
      <c r="B380" s="285">
        <v>44427</v>
      </c>
      <c r="C380" s="286">
        <v>1708</v>
      </c>
      <c r="D380" s="287" t="s">
        <v>3030</v>
      </c>
      <c r="E380" s="288" t="s">
        <v>2924</v>
      </c>
      <c r="F380" s="294" t="s">
        <v>2925</v>
      </c>
      <c r="G380" s="290">
        <v>1</v>
      </c>
      <c r="H380" s="291">
        <v>35.825000000000003</v>
      </c>
      <c r="I380" s="292">
        <v>8000</v>
      </c>
      <c r="J380" s="292">
        <f>交易[[#This Row],[價格]]*交易[[#This Row],[數量]]*-1</f>
        <v>-286600</v>
      </c>
      <c r="L380" s="2"/>
    </row>
    <row r="381" spans="1:12">
      <c r="A381" s="330">
        <v>380</v>
      </c>
      <c r="B381" s="285">
        <v>44427</v>
      </c>
      <c r="C381" s="286">
        <v>2354</v>
      </c>
      <c r="D381" s="287" t="s">
        <v>3027</v>
      </c>
      <c r="E381" s="288" t="s">
        <v>2924</v>
      </c>
      <c r="F381" s="294" t="s">
        <v>2926</v>
      </c>
      <c r="G381" s="290">
        <v>1</v>
      </c>
      <c r="H381" s="291">
        <v>64.099999999999994</v>
      </c>
      <c r="I381" s="292">
        <v>4000</v>
      </c>
      <c r="J381" s="292">
        <f>交易[[#This Row],[價格]]*交易[[#This Row],[數量]]*-1</f>
        <v>-256399.99999999997</v>
      </c>
      <c r="L381" s="2"/>
    </row>
    <row r="382" spans="1:12">
      <c r="A382" s="330">
        <v>381</v>
      </c>
      <c r="B382" s="285">
        <v>44427</v>
      </c>
      <c r="C382" s="286">
        <v>3551</v>
      </c>
      <c r="D382" s="287" t="s">
        <v>3028</v>
      </c>
      <c r="E382" s="288" t="s">
        <v>2924</v>
      </c>
      <c r="F382" s="294" t="s">
        <v>2970</v>
      </c>
      <c r="G382" s="290">
        <v>1</v>
      </c>
      <c r="H382" s="291">
        <v>63.25</v>
      </c>
      <c r="I382" s="292">
        <v>2000</v>
      </c>
      <c r="J382" s="292">
        <f>交易[[#This Row],[價格]]*交易[[#This Row],[數量]]*-1</f>
        <v>-126500</v>
      </c>
      <c r="L382" s="2"/>
    </row>
    <row r="383" spans="1:12">
      <c r="A383" s="330">
        <v>382</v>
      </c>
      <c r="B383" s="285">
        <v>44427</v>
      </c>
      <c r="C383" s="286">
        <v>1101</v>
      </c>
      <c r="D383" s="287" t="s">
        <v>2945</v>
      </c>
      <c r="E383" s="288" t="s">
        <v>2924</v>
      </c>
      <c r="F383" s="294" t="s">
        <v>2929</v>
      </c>
      <c r="G383" s="290">
        <v>3</v>
      </c>
      <c r="H383" s="291">
        <v>46.6</v>
      </c>
      <c r="I383" s="292">
        <v>-2000</v>
      </c>
      <c r="J383" s="292">
        <f>交易[[#This Row],[價格]]*交易[[#This Row],[數量]]*-1</f>
        <v>93200</v>
      </c>
      <c r="L383" s="2"/>
    </row>
    <row r="384" spans="1:12">
      <c r="A384" s="330">
        <v>383</v>
      </c>
      <c r="B384" s="285">
        <v>44427</v>
      </c>
      <c r="C384" s="286">
        <v>1303</v>
      </c>
      <c r="D384" s="287" t="s">
        <v>3005</v>
      </c>
      <c r="E384" s="288" t="s">
        <v>2924</v>
      </c>
      <c r="F384" s="294" t="s">
        <v>2926</v>
      </c>
      <c r="G384" s="290">
        <v>3</v>
      </c>
      <c r="H384" s="291">
        <v>84.5</v>
      </c>
      <c r="I384" s="292">
        <v>2000</v>
      </c>
      <c r="J384" s="292">
        <f>交易[[#This Row],[價格]]*交易[[#This Row],[數量]]*-1</f>
        <v>-169000</v>
      </c>
      <c r="L384" s="2"/>
    </row>
    <row r="385" spans="1:12">
      <c r="A385" s="330">
        <v>384</v>
      </c>
      <c r="B385" s="285">
        <v>44427</v>
      </c>
      <c r="C385" s="286">
        <v>1303</v>
      </c>
      <c r="D385" s="287" t="s">
        <v>3005</v>
      </c>
      <c r="E385" s="288" t="s">
        <v>2924</v>
      </c>
      <c r="F385" s="294" t="s">
        <v>2941</v>
      </c>
      <c r="G385" s="290">
        <v>3</v>
      </c>
      <c r="H385" s="291">
        <v>84</v>
      </c>
      <c r="I385" s="292">
        <v>-4000</v>
      </c>
      <c r="J385" s="292">
        <f>交易[[#This Row],[價格]]*交易[[#This Row],[數量]]*-1</f>
        <v>336000</v>
      </c>
      <c r="L385" s="2"/>
    </row>
    <row r="386" spans="1:12">
      <c r="A386" s="330">
        <v>385</v>
      </c>
      <c r="B386" s="285">
        <v>44427</v>
      </c>
      <c r="C386" s="286">
        <v>1722</v>
      </c>
      <c r="D386" s="287" t="s">
        <v>2953</v>
      </c>
      <c r="E386" s="288" t="s">
        <v>2924</v>
      </c>
      <c r="F386" s="294" t="s">
        <v>2941</v>
      </c>
      <c r="G386" s="290">
        <v>2</v>
      </c>
      <c r="H386" s="291">
        <v>57.1</v>
      </c>
      <c r="I386" s="292">
        <v>-4000</v>
      </c>
      <c r="J386" s="292">
        <f>交易[[#This Row],[價格]]*交易[[#This Row],[數量]]*-1</f>
        <v>228400</v>
      </c>
      <c r="L386" s="2"/>
    </row>
    <row r="387" spans="1:12">
      <c r="A387" s="330">
        <v>386</v>
      </c>
      <c r="B387" s="285">
        <v>44427</v>
      </c>
      <c r="C387" s="286">
        <v>3714</v>
      </c>
      <c r="D387" s="287" t="s">
        <v>3029</v>
      </c>
      <c r="E387" s="288" t="s">
        <v>2924</v>
      </c>
      <c r="F387" s="294" t="s">
        <v>2929</v>
      </c>
      <c r="G387" s="290">
        <v>1</v>
      </c>
      <c r="H387" s="291">
        <v>78.8</v>
      </c>
      <c r="I387" s="292">
        <v>-2000</v>
      </c>
      <c r="J387" s="292">
        <f>交易[[#This Row],[價格]]*交易[[#This Row],[數量]]*-1</f>
        <v>157600</v>
      </c>
      <c r="L387" s="2"/>
    </row>
    <row r="388" spans="1:12">
      <c r="A388" s="330">
        <v>387</v>
      </c>
      <c r="B388" s="285">
        <v>44427</v>
      </c>
      <c r="C388" s="286">
        <v>3714</v>
      </c>
      <c r="D388" s="287" t="s">
        <v>3029</v>
      </c>
      <c r="E388" s="288" t="s">
        <v>2924</v>
      </c>
      <c r="F388" s="294" t="s">
        <v>2926</v>
      </c>
      <c r="G388" s="290">
        <v>1</v>
      </c>
      <c r="H388" s="291">
        <v>79.3</v>
      </c>
      <c r="I388" s="292">
        <v>2000</v>
      </c>
      <c r="J388" s="292">
        <f>交易[[#This Row],[價格]]*交易[[#This Row],[數量]]*-1</f>
        <v>-158600</v>
      </c>
      <c r="L388" s="2"/>
    </row>
    <row r="389" spans="1:12">
      <c r="A389" s="330">
        <v>388</v>
      </c>
      <c r="B389" s="285">
        <v>44427</v>
      </c>
      <c r="C389" s="286">
        <v>3714</v>
      </c>
      <c r="D389" s="287" t="s">
        <v>3029</v>
      </c>
      <c r="E389" s="288" t="s">
        <v>2924</v>
      </c>
      <c r="F389" s="294" t="s">
        <v>2941</v>
      </c>
      <c r="G389" s="290">
        <v>1</v>
      </c>
      <c r="H389" s="291">
        <v>78.5</v>
      </c>
      <c r="I389" s="292">
        <v>-3000</v>
      </c>
      <c r="J389" s="292">
        <f>交易[[#This Row],[價格]]*交易[[#This Row],[數量]]*-1</f>
        <v>235500</v>
      </c>
      <c r="L389" s="2"/>
    </row>
    <row r="390" spans="1:12">
      <c r="A390" s="330">
        <v>389</v>
      </c>
      <c r="B390" s="285">
        <v>44428</v>
      </c>
      <c r="C390" s="286">
        <v>3551</v>
      </c>
      <c r="D390" s="287" t="s">
        <v>3028</v>
      </c>
      <c r="E390" s="288" t="s">
        <v>2924</v>
      </c>
      <c r="F390" s="294" t="s">
        <v>2931</v>
      </c>
      <c r="G390" s="290">
        <v>1</v>
      </c>
      <c r="H390" s="291">
        <v>61.7</v>
      </c>
      <c r="I390" s="292">
        <v>-1000</v>
      </c>
      <c r="J390" s="292">
        <f>交易[[#This Row],[價格]]*交易[[#This Row],[數量]]*-1</f>
        <v>61700</v>
      </c>
      <c r="L390" s="2"/>
    </row>
    <row r="391" spans="1:12">
      <c r="A391" s="330">
        <v>390</v>
      </c>
      <c r="B391" s="285">
        <v>44428</v>
      </c>
      <c r="C391" s="286">
        <v>3551</v>
      </c>
      <c r="D391" s="287" t="s">
        <v>3028</v>
      </c>
      <c r="E391" s="288" t="s">
        <v>2924</v>
      </c>
      <c r="F391" s="294" t="s">
        <v>2931</v>
      </c>
      <c r="G391" s="290">
        <v>1</v>
      </c>
      <c r="H391" s="291">
        <v>61.6</v>
      </c>
      <c r="I391" s="292">
        <v>-5000</v>
      </c>
      <c r="J391" s="292">
        <f>交易[[#This Row],[價格]]*交易[[#This Row],[數量]]*-1</f>
        <v>308000</v>
      </c>
      <c r="L391" s="2"/>
    </row>
    <row r="392" spans="1:12">
      <c r="A392" s="330">
        <v>391</v>
      </c>
      <c r="B392" s="285">
        <v>44428</v>
      </c>
      <c r="C392" s="286">
        <v>1708</v>
      </c>
      <c r="D392" s="287" t="s">
        <v>3030</v>
      </c>
      <c r="E392" s="288" t="s">
        <v>2924</v>
      </c>
      <c r="F392" s="294" t="s">
        <v>2926</v>
      </c>
      <c r="G392" s="290">
        <v>1</v>
      </c>
      <c r="H392" s="291">
        <v>35.65</v>
      </c>
      <c r="I392" s="292">
        <v>8000</v>
      </c>
      <c r="J392" s="292">
        <f>交易[[#This Row],[價格]]*交易[[#This Row],[數量]]*-1</f>
        <v>-285200</v>
      </c>
      <c r="L392" s="2"/>
    </row>
    <row r="393" spans="1:12">
      <c r="A393" s="330">
        <v>392</v>
      </c>
      <c r="B393" s="285">
        <v>44428</v>
      </c>
      <c r="C393" s="286">
        <v>1708</v>
      </c>
      <c r="D393" s="287" t="s">
        <v>3030</v>
      </c>
      <c r="E393" s="288" t="s">
        <v>2924</v>
      </c>
      <c r="F393" s="294" t="s">
        <v>2941</v>
      </c>
      <c r="G393" s="290">
        <v>1</v>
      </c>
      <c r="H393" s="291">
        <v>35.25</v>
      </c>
      <c r="I393" s="292">
        <v>-8000</v>
      </c>
      <c r="J393" s="292">
        <f>交易[[#This Row],[價格]]*交易[[#This Row],[數量]]*-1</f>
        <v>282000</v>
      </c>
      <c r="L393" s="2"/>
    </row>
    <row r="394" spans="1:12">
      <c r="A394" s="330">
        <v>393</v>
      </c>
      <c r="B394" s="285">
        <v>44428</v>
      </c>
      <c r="C394" s="286">
        <v>1708</v>
      </c>
      <c r="D394" s="287" t="s">
        <v>3030</v>
      </c>
      <c r="E394" s="288" t="s">
        <v>2924</v>
      </c>
      <c r="F394" s="294" t="s">
        <v>2941</v>
      </c>
      <c r="G394" s="290">
        <v>1</v>
      </c>
      <c r="H394" s="291">
        <v>35.299999999999997</v>
      </c>
      <c r="I394" s="292">
        <v>-8000</v>
      </c>
      <c r="J394" s="292">
        <f>交易[[#This Row],[價格]]*交易[[#This Row],[數量]]*-1</f>
        <v>282400</v>
      </c>
      <c r="L394" s="2"/>
    </row>
    <row r="395" spans="1:12">
      <c r="A395" s="330">
        <v>394</v>
      </c>
      <c r="B395" s="285">
        <v>44428</v>
      </c>
      <c r="C395" s="286">
        <v>4976</v>
      </c>
      <c r="D395" s="287" t="s">
        <v>3031</v>
      </c>
      <c r="E395" s="288" t="s">
        <v>3017</v>
      </c>
      <c r="F395" s="294" t="s">
        <v>2925</v>
      </c>
      <c r="G395" s="290">
        <v>1</v>
      </c>
      <c r="H395" s="291">
        <v>60.7</v>
      </c>
      <c r="I395" s="292">
        <v>-4000</v>
      </c>
      <c r="J395" s="292">
        <f>交易[[#This Row],[價格]]*交易[[#This Row],[數量]]*-1</f>
        <v>242800</v>
      </c>
      <c r="L395" s="2"/>
    </row>
    <row r="396" spans="1:12">
      <c r="A396" s="330">
        <v>395</v>
      </c>
      <c r="B396" s="285">
        <v>44431</v>
      </c>
      <c r="C396" s="286">
        <v>6257</v>
      </c>
      <c r="D396" s="287" t="s">
        <v>2984</v>
      </c>
      <c r="E396" s="288" t="s">
        <v>2924</v>
      </c>
      <c r="F396" s="294" t="s">
        <v>2925</v>
      </c>
      <c r="G396" s="290">
        <v>2</v>
      </c>
      <c r="H396" s="291">
        <v>61.7</v>
      </c>
      <c r="I396" s="292">
        <v>2000</v>
      </c>
      <c r="J396" s="292">
        <f>交易[[#This Row],[價格]]*交易[[#This Row],[數量]]*-1</f>
        <v>-123400</v>
      </c>
      <c r="L396" s="2"/>
    </row>
    <row r="397" spans="1:12">
      <c r="A397" s="330">
        <v>396</v>
      </c>
      <c r="B397" s="297">
        <v>44433</v>
      </c>
      <c r="C397" s="298">
        <v>6257</v>
      </c>
      <c r="D397" s="287" t="s">
        <v>2984</v>
      </c>
      <c r="E397" s="288" t="s">
        <v>2924</v>
      </c>
      <c r="F397" s="294" t="s">
        <v>2931</v>
      </c>
      <c r="G397" s="290">
        <v>2</v>
      </c>
      <c r="H397" s="291">
        <v>62.1</v>
      </c>
      <c r="I397" s="292">
        <v>-1000</v>
      </c>
      <c r="J397" s="292">
        <f>交易[[#This Row],[價格]]*交易[[#This Row],[數量]]*-1</f>
        <v>62100</v>
      </c>
      <c r="L397" s="2"/>
    </row>
    <row r="398" spans="1:12">
      <c r="A398" s="330">
        <v>397</v>
      </c>
      <c r="B398" s="297">
        <v>44433</v>
      </c>
      <c r="C398" s="298">
        <v>6257</v>
      </c>
      <c r="D398" s="287" t="s">
        <v>2984</v>
      </c>
      <c r="E398" s="288" t="s">
        <v>2924</v>
      </c>
      <c r="F398" s="294" t="s">
        <v>2931</v>
      </c>
      <c r="G398" s="290">
        <v>2</v>
      </c>
      <c r="H398" s="291">
        <v>62.2</v>
      </c>
      <c r="I398" s="292">
        <v>-1000</v>
      </c>
      <c r="J398" s="292">
        <f>交易[[#This Row],[價格]]*交易[[#This Row],[數量]]*-1</f>
        <v>62200</v>
      </c>
      <c r="L398" s="2"/>
    </row>
    <row r="399" spans="1:12">
      <c r="A399" s="330">
        <v>398</v>
      </c>
      <c r="B399" s="297">
        <v>44434</v>
      </c>
      <c r="C399" s="298">
        <v>4976</v>
      </c>
      <c r="D399" s="287" t="s">
        <v>3031</v>
      </c>
      <c r="E399" s="288" t="s">
        <v>3017</v>
      </c>
      <c r="F399" s="294" t="s">
        <v>2941</v>
      </c>
      <c r="G399" s="290">
        <v>1</v>
      </c>
      <c r="H399" s="291">
        <v>74.099999999999994</v>
      </c>
      <c r="I399" s="292">
        <v>4000</v>
      </c>
      <c r="J399" s="292">
        <f>交易[[#This Row],[價格]]*交易[[#This Row],[數量]]*-1</f>
        <v>-296400</v>
      </c>
      <c r="L399" s="2"/>
    </row>
    <row r="400" spans="1:12">
      <c r="A400" s="330">
        <v>399</v>
      </c>
      <c r="B400" s="297">
        <v>44438</v>
      </c>
      <c r="C400" s="298">
        <v>2880</v>
      </c>
      <c r="D400" s="287" t="s">
        <v>3032</v>
      </c>
      <c r="E400" s="288" t="s">
        <v>2924</v>
      </c>
      <c r="F400" s="294" t="s">
        <v>2925</v>
      </c>
      <c r="G400" s="290">
        <v>1</v>
      </c>
      <c r="H400" s="291">
        <v>20.5</v>
      </c>
      <c r="I400" s="292">
        <v>15000</v>
      </c>
      <c r="J400" s="292">
        <f>交易[[#This Row],[價格]]*交易[[#This Row],[數量]]*-1</f>
        <v>-307500</v>
      </c>
      <c r="L400" s="2"/>
    </row>
    <row r="401" spans="1:12">
      <c r="A401" s="330">
        <v>400</v>
      </c>
      <c r="B401" s="297">
        <v>44438</v>
      </c>
      <c r="C401" s="298">
        <v>1101</v>
      </c>
      <c r="D401" s="287" t="s">
        <v>2945</v>
      </c>
      <c r="E401" s="288" t="s">
        <v>2924</v>
      </c>
      <c r="F401" s="294" t="s">
        <v>2941</v>
      </c>
      <c r="G401" s="290">
        <v>3</v>
      </c>
      <c r="H401" s="291">
        <v>47.55</v>
      </c>
      <c r="I401" s="292">
        <v>-500</v>
      </c>
      <c r="J401" s="292">
        <f>交易[[#This Row],[價格]]*交易[[#This Row],[數量]]*-1</f>
        <v>23775</v>
      </c>
      <c r="L401" s="2"/>
    </row>
    <row r="402" spans="1:12">
      <c r="A402" s="330">
        <v>401</v>
      </c>
      <c r="B402" s="297">
        <v>44438</v>
      </c>
      <c r="C402" s="298">
        <v>1101</v>
      </c>
      <c r="D402" s="287" t="s">
        <v>2945</v>
      </c>
      <c r="E402" s="288" t="s">
        <v>2924</v>
      </c>
      <c r="F402" s="294" t="s">
        <v>2941</v>
      </c>
      <c r="G402" s="290">
        <v>3</v>
      </c>
      <c r="H402" s="291">
        <v>47.55</v>
      </c>
      <c r="I402" s="292">
        <v>-500</v>
      </c>
      <c r="J402" s="292">
        <f>交易[[#This Row],[價格]]*交易[[#This Row],[數量]]*-1</f>
        <v>23775</v>
      </c>
      <c r="L402" s="2"/>
    </row>
    <row r="403" spans="1:12">
      <c r="A403" s="330">
        <v>402</v>
      </c>
      <c r="B403" s="297">
        <v>44438</v>
      </c>
      <c r="C403" s="298">
        <v>1101</v>
      </c>
      <c r="D403" s="287" t="s">
        <v>2945</v>
      </c>
      <c r="E403" s="288" t="s">
        <v>2924</v>
      </c>
      <c r="F403" s="294" t="s">
        <v>2941</v>
      </c>
      <c r="G403" s="290">
        <v>3</v>
      </c>
      <c r="H403" s="291">
        <v>47.55</v>
      </c>
      <c r="I403" s="292">
        <v>-192</v>
      </c>
      <c r="J403" s="292">
        <f>交易[[#This Row],[價格]]*交易[[#This Row],[數量]]*-1</f>
        <v>9129.5999999999985</v>
      </c>
      <c r="L403" s="2"/>
    </row>
    <row r="404" spans="1:12">
      <c r="A404" s="330">
        <v>403</v>
      </c>
      <c r="B404" s="297">
        <v>44438</v>
      </c>
      <c r="C404" s="298">
        <v>1101</v>
      </c>
      <c r="D404" s="287" t="s">
        <v>2945</v>
      </c>
      <c r="E404" s="288" t="s">
        <v>2924</v>
      </c>
      <c r="F404" s="294" t="s">
        <v>2941</v>
      </c>
      <c r="G404" s="290">
        <v>3</v>
      </c>
      <c r="H404" s="291">
        <v>47.5</v>
      </c>
      <c r="I404" s="292">
        <v>-500</v>
      </c>
      <c r="J404" s="292">
        <f>交易[[#This Row],[價格]]*交易[[#This Row],[數量]]*-1</f>
        <v>23750</v>
      </c>
      <c r="L404" s="2"/>
    </row>
    <row r="405" spans="1:12">
      <c r="A405" s="330">
        <v>404</v>
      </c>
      <c r="B405" s="297">
        <v>44438</v>
      </c>
      <c r="C405" s="298">
        <v>2354</v>
      </c>
      <c r="D405" s="287" t="s">
        <v>3027</v>
      </c>
      <c r="E405" s="288" t="s">
        <v>2924</v>
      </c>
      <c r="F405" s="294" t="s">
        <v>2929</v>
      </c>
      <c r="G405" s="290">
        <v>1</v>
      </c>
      <c r="H405" s="291">
        <v>65.7</v>
      </c>
      <c r="I405" s="292">
        <v>-500</v>
      </c>
      <c r="J405" s="292">
        <f>交易[[#This Row],[價格]]*交易[[#This Row],[數量]]*-1</f>
        <v>32850</v>
      </c>
      <c r="L405" s="2"/>
    </row>
    <row r="406" spans="1:12">
      <c r="A406" s="330">
        <v>405</v>
      </c>
      <c r="B406" s="297">
        <v>44438</v>
      </c>
      <c r="C406" s="298">
        <v>2354</v>
      </c>
      <c r="D406" s="287" t="s">
        <v>3027</v>
      </c>
      <c r="E406" s="288" t="s">
        <v>2924</v>
      </c>
      <c r="F406" s="294" t="s">
        <v>2929</v>
      </c>
      <c r="G406" s="290">
        <v>1</v>
      </c>
      <c r="H406" s="291">
        <v>65.7</v>
      </c>
      <c r="I406" s="292">
        <v>-500</v>
      </c>
      <c r="J406" s="292">
        <f>交易[[#This Row],[價格]]*交易[[#This Row],[數量]]*-1</f>
        <v>32850</v>
      </c>
      <c r="L406" s="2"/>
    </row>
    <row r="407" spans="1:12">
      <c r="A407" s="330">
        <v>406</v>
      </c>
      <c r="B407" s="297">
        <v>44438</v>
      </c>
      <c r="C407" s="298">
        <v>2354</v>
      </c>
      <c r="D407" s="287" t="s">
        <v>3027</v>
      </c>
      <c r="E407" s="288" t="s">
        <v>2924</v>
      </c>
      <c r="F407" s="294" t="s">
        <v>2929</v>
      </c>
      <c r="G407" s="290">
        <v>1</v>
      </c>
      <c r="H407" s="291">
        <v>65.7</v>
      </c>
      <c r="I407" s="292">
        <v>-336</v>
      </c>
      <c r="J407" s="292">
        <f>交易[[#This Row],[價格]]*交易[[#This Row],[數量]]*-1</f>
        <v>22075.200000000001</v>
      </c>
      <c r="L407" s="2"/>
    </row>
    <row r="408" spans="1:12">
      <c r="A408" s="330">
        <v>407</v>
      </c>
      <c r="B408" s="297">
        <v>44438</v>
      </c>
      <c r="C408" s="298">
        <v>2354</v>
      </c>
      <c r="D408" s="287" t="s">
        <v>3027</v>
      </c>
      <c r="E408" s="288" t="s">
        <v>2924</v>
      </c>
      <c r="F408" s="294" t="s">
        <v>2929</v>
      </c>
      <c r="G408" s="290">
        <v>1</v>
      </c>
      <c r="H408" s="291">
        <v>65.599999999999994</v>
      </c>
      <c r="I408" s="292">
        <v>-3000</v>
      </c>
      <c r="J408" s="292">
        <f>交易[[#This Row],[價格]]*交易[[#This Row],[數量]]*-1</f>
        <v>196799.99999999997</v>
      </c>
      <c r="L408" s="2"/>
    </row>
    <row r="409" spans="1:12">
      <c r="A409" s="330">
        <v>408</v>
      </c>
      <c r="B409" s="297">
        <v>44438</v>
      </c>
      <c r="C409" s="298">
        <v>2354</v>
      </c>
      <c r="D409" s="287" t="s">
        <v>3027</v>
      </c>
      <c r="E409" s="288" t="s">
        <v>2924</v>
      </c>
      <c r="F409" s="294" t="s">
        <v>2929</v>
      </c>
      <c r="G409" s="290">
        <v>1</v>
      </c>
      <c r="H409" s="291">
        <v>65.7</v>
      </c>
      <c r="I409" s="292">
        <v>-164</v>
      </c>
      <c r="J409" s="292">
        <f>交易[[#This Row],[價格]]*交易[[#This Row],[數量]]*-1</f>
        <v>10774.800000000001</v>
      </c>
      <c r="L409" s="2"/>
    </row>
    <row r="410" spans="1:12">
      <c r="A410" s="330">
        <v>409</v>
      </c>
      <c r="B410" s="297">
        <v>44438</v>
      </c>
      <c r="C410" s="298">
        <v>2354</v>
      </c>
      <c r="D410" s="287" t="s">
        <v>3027</v>
      </c>
      <c r="E410" s="288" t="s">
        <v>2924</v>
      </c>
      <c r="F410" s="294" t="s">
        <v>2929</v>
      </c>
      <c r="G410" s="290">
        <v>1</v>
      </c>
      <c r="H410" s="291">
        <v>65.7</v>
      </c>
      <c r="I410" s="292">
        <v>-500</v>
      </c>
      <c r="J410" s="292">
        <f>交易[[#This Row],[價格]]*交易[[#This Row],[數量]]*-1</f>
        <v>32850</v>
      </c>
      <c r="L410" s="2"/>
    </row>
    <row r="411" spans="1:12">
      <c r="A411" s="330">
        <v>410</v>
      </c>
      <c r="B411" s="297">
        <v>44439</v>
      </c>
      <c r="C411" s="298">
        <v>6509</v>
      </c>
      <c r="D411" s="287" t="s">
        <v>2950</v>
      </c>
      <c r="E411" s="288" t="s">
        <v>3017</v>
      </c>
      <c r="F411" s="294" t="s">
        <v>2925</v>
      </c>
      <c r="G411" s="290">
        <v>3</v>
      </c>
      <c r="H411" s="291">
        <v>62.3</v>
      </c>
      <c r="I411" s="292">
        <v>3000</v>
      </c>
      <c r="J411" s="292">
        <f>交易[[#This Row],[價格]]*交易[[#This Row],[數量]]*-1</f>
        <v>-186900</v>
      </c>
      <c r="L411" s="2"/>
    </row>
    <row r="412" spans="1:12">
      <c r="A412" s="330">
        <v>411</v>
      </c>
      <c r="B412" s="297">
        <v>44439</v>
      </c>
      <c r="C412" s="298">
        <v>1785</v>
      </c>
      <c r="D412" s="287" t="s">
        <v>3000</v>
      </c>
      <c r="E412" s="288" t="s">
        <v>2924</v>
      </c>
      <c r="F412" s="294" t="s">
        <v>2925</v>
      </c>
      <c r="G412" s="290">
        <v>3</v>
      </c>
      <c r="H412" s="291">
        <v>49.15</v>
      </c>
      <c r="I412" s="292">
        <v>4000</v>
      </c>
      <c r="J412" s="292">
        <f>交易[[#This Row],[價格]]*交易[[#This Row],[數量]]*-1</f>
        <v>-196600</v>
      </c>
      <c r="L412" s="2"/>
    </row>
    <row r="413" spans="1:12">
      <c r="A413" s="330">
        <v>412</v>
      </c>
      <c r="B413" s="297">
        <v>44439</v>
      </c>
      <c r="C413" s="298">
        <v>2354</v>
      </c>
      <c r="D413" s="287" t="s">
        <v>3027</v>
      </c>
      <c r="E413" s="288" t="s">
        <v>2924</v>
      </c>
      <c r="F413" s="294" t="s">
        <v>2930</v>
      </c>
      <c r="G413" s="290">
        <v>1</v>
      </c>
      <c r="H413" s="291">
        <v>66.3</v>
      </c>
      <c r="I413" s="292">
        <v>-3000</v>
      </c>
      <c r="J413" s="292">
        <f>交易[[#This Row],[價格]]*交易[[#This Row],[數量]]*-1</f>
        <v>198900</v>
      </c>
      <c r="L413" s="2"/>
    </row>
    <row r="414" spans="1:12">
      <c r="A414" s="330">
        <v>413</v>
      </c>
      <c r="B414" s="297">
        <v>44439</v>
      </c>
      <c r="C414" s="298">
        <v>2520</v>
      </c>
      <c r="D414" s="287" t="s">
        <v>2927</v>
      </c>
      <c r="E414" s="288" t="s">
        <v>2932</v>
      </c>
      <c r="F414" s="294" t="s">
        <v>2929</v>
      </c>
      <c r="G414" s="290">
        <v>2</v>
      </c>
      <c r="H414" s="291">
        <v>42.5</v>
      </c>
      <c r="I414" s="292">
        <v>-3000</v>
      </c>
      <c r="J414" s="292">
        <f>交易[[#This Row],[價格]]*交易[[#This Row],[數量]]*-1</f>
        <v>127500</v>
      </c>
      <c r="L414" s="2"/>
    </row>
    <row r="415" spans="1:12">
      <c r="A415" s="330">
        <v>414</v>
      </c>
      <c r="B415" s="297">
        <v>44440</v>
      </c>
      <c r="C415" s="298">
        <v>1101</v>
      </c>
      <c r="D415" s="287" t="s">
        <v>2945</v>
      </c>
      <c r="E415" s="288" t="s">
        <v>2924</v>
      </c>
      <c r="F415" s="294" t="s">
        <v>2941</v>
      </c>
      <c r="G415" s="290">
        <v>3</v>
      </c>
      <c r="H415" s="291">
        <v>48.15</v>
      </c>
      <c r="I415" s="292">
        <v>-308</v>
      </c>
      <c r="J415" s="292">
        <f>交易[[#This Row],[價格]]*交易[[#This Row],[數量]]*-1</f>
        <v>14830.199999999999</v>
      </c>
      <c r="L415" s="2"/>
    </row>
    <row r="416" spans="1:12">
      <c r="A416" s="330">
        <v>415</v>
      </c>
      <c r="B416" s="297">
        <v>44440</v>
      </c>
      <c r="C416" s="298">
        <v>2002</v>
      </c>
      <c r="D416" s="287" t="s">
        <v>2933</v>
      </c>
      <c r="E416" s="288" t="s">
        <v>2924</v>
      </c>
      <c r="F416" s="294" t="s">
        <v>2925</v>
      </c>
      <c r="G416" s="290">
        <v>5</v>
      </c>
      <c r="H416" s="291">
        <v>38.4</v>
      </c>
      <c r="I416" s="292">
        <v>4000</v>
      </c>
      <c r="J416" s="292">
        <f>交易[[#This Row],[價格]]*交易[[#This Row],[數量]]*-1</f>
        <v>-153600</v>
      </c>
      <c r="L416" s="2"/>
    </row>
    <row r="417" spans="1:12">
      <c r="A417" s="330">
        <v>416</v>
      </c>
      <c r="B417" s="297">
        <v>44441</v>
      </c>
      <c r="C417" s="298">
        <v>1785</v>
      </c>
      <c r="D417" s="287" t="s">
        <v>3000</v>
      </c>
      <c r="E417" s="288" t="s">
        <v>2924</v>
      </c>
      <c r="F417" s="294" t="s">
        <v>2931</v>
      </c>
      <c r="G417" s="290">
        <v>3</v>
      </c>
      <c r="H417" s="291">
        <v>48.85</v>
      </c>
      <c r="I417" s="292">
        <v>-4000</v>
      </c>
      <c r="J417" s="292">
        <f>交易[[#This Row],[價格]]*交易[[#This Row],[數量]]*-1</f>
        <v>195400</v>
      </c>
      <c r="L417" s="2"/>
    </row>
    <row r="418" spans="1:12">
      <c r="A418" s="330">
        <v>417</v>
      </c>
      <c r="B418" s="297">
        <v>44441</v>
      </c>
      <c r="C418" s="298">
        <v>2002</v>
      </c>
      <c r="D418" s="287" t="s">
        <v>2933</v>
      </c>
      <c r="E418" s="288" t="s">
        <v>2924</v>
      </c>
      <c r="F418" s="294" t="s">
        <v>2941</v>
      </c>
      <c r="G418" s="290">
        <v>5</v>
      </c>
      <c r="H418" s="291">
        <v>37.450000000000003</v>
      </c>
      <c r="I418" s="292">
        <v>-800</v>
      </c>
      <c r="J418" s="292">
        <f>交易[[#This Row],[價格]]*交易[[#This Row],[數量]]*-1</f>
        <v>29960.000000000004</v>
      </c>
      <c r="L418" s="2"/>
    </row>
    <row r="419" spans="1:12">
      <c r="A419" s="330">
        <v>418</v>
      </c>
      <c r="B419" s="297">
        <v>44441</v>
      </c>
      <c r="C419" s="298">
        <v>2002</v>
      </c>
      <c r="D419" s="287" t="s">
        <v>2933</v>
      </c>
      <c r="E419" s="288" t="s">
        <v>2924</v>
      </c>
      <c r="F419" s="294" t="s">
        <v>2941</v>
      </c>
      <c r="G419" s="290">
        <v>5</v>
      </c>
      <c r="H419" s="291">
        <v>37.450000000000003</v>
      </c>
      <c r="I419" s="292">
        <v>-800</v>
      </c>
      <c r="J419" s="292">
        <f>交易[[#This Row],[價格]]*交易[[#This Row],[數量]]*-1</f>
        <v>29960.000000000004</v>
      </c>
      <c r="L419" s="2"/>
    </row>
    <row r="420" spans="1:12">
      <c r="A420" s="330">
        <v>419</v>
      </c>
      <c r="B420" s="297">
        <v>44441</v>
      </c>
      <c r="C420" s="298">
        <v>2002</v>
      </c>
      <c r="D420" s="287" t="s">
        <v>2933</v>
      </c>
      <c r="E420" s="288" t="s">
        <v>2924</v>
      </c>
      <c r="F420" s="294" t="s">
        <v>2941</v>
      </c>
      <c r="G420" s="290">
        <v>5</v>
      </c>
      <c r="H420" s="291">
        <v>37.450000000000003</v>
      </c>
      <c r="I420" s="292">
        <v>-800</v>
      </c>
      <c r="J420" s="292">
        <f>交易[[#This Row],[價格]]*交易[[#This Row],[數量]]*-1</f>
        <v>29960.000000000004</v>
      </c>
      <c r="L420" s="2"/>
    </row>
    <row r="421" spans="1:12">
      <c r="A421" s="330">
        <v>420</v>
      </c>
      <c r="B421" s="297">
        <v>44441</v>
      </c>
      <c r="C421" s="298">
        <v>2002</v>
      </c>
      <c r="D421" s="287" t="s">
        <v>2933</v>
      </c>
      <c r="E421" s="288" t="s">
        <v>2924</v>
      </c>
      <c r="F421" s="294" t="s">
        <v>2941</v>
      </c>
      <c r="G421" s="290">
        <v>5</v>
      </c>
      <c r="H421" s="291">
        <v>37.450000000000003</v>
      </c>
      <c r="I421" s="292">
        <v>-800</v>
      </c>
      <c r="J421" s="292">
        <f>交易[[#This Row],[價格]]*交易[[#This Row],[數量]]*-1</f>
        <v>29960.000000000004</v>
      </c>
      <c r="L421" s="2"/>
    </row>
    <row r="422" spans="1:12">
      <c r="A422" s="330">
        <v>421</v>
      </c>
      <c r="B422" s="297">
        <v>44441</v>
      </c>
      <c r="C422" s="298">
        <v>2002</v>
      </c>
      <c r="D422" s="287" t="s">
        <v>2933</v>
      </c>
      <c r="E422" s="288" t="s">
        <v>2924</v>
      </c>
      <c r="F422" s="294" t="s">
        <v>2941</v>
      </c>
      <c r="G422" s="290">
        <v>5</v>
      </c>
      <c r="H422" s="291">
        <v>37.450000000000003</v>
      </c>
      <c r="I422" s="292">
        <v>-800</v>
      </c>
      <c r="J422" s="292">
        <f>交易[[#This Row],[價格]]*交易[[#This Row],[數量]]*-1</f>
        <v>29960.000000000004</v>
      </c>
      <c r="L422" s="2"/>
    </row>
    <row r="423" spans="1:12">
      <c r="A423" s="330">
        <v>422</v>
      </c>
      <c r="B423" s="285">
        <v>44441</v>
      </c>
      <c r="C423" s="286">
        <v>2520</v>
      </c>
      <c r="D423" s="287" t="s">
        <v>2927</v>
      </c>
      <c r="E423" s="288" t="s">
        <v>2932</v>
      </c>
      <c r="F423" s="294" t="s">
        <v>2926</v>
      </c>
      <c r="G423" s="290">
        <v>2</v>
      </c>
      <c r="H423" s="291">
        <v>0</v>
      </c>
      <c r="I423" s="292">
        <v>500</v>
      </c>
      <c r="J423" s="292">
        <f>交易[[#This Row],[價格]]*交易[[#This Row],[數量]]*-1</f>
        <v>0</v>
      </c>
      <c r="L423" s="2"/>
    </row>
    <row r="424" spans="1:12">
      <c r="A424" s="330">
        <v>423</v>
      </c>
      <c r="B424" s="297">
        <v>44441</v>
      </c>
      <c r="C424" s="298">
        <v>2534</v>
      </c>
      <c r="D424" s="287" t="s">
        <v>3033</v>
      </c>
      <c r="E424" s="288" t="s">
        <v>2924</v>
      </c>
      <c r="F424" s="294" t="s">
        <v>2925</v>
      </c>
      <c r="G424" s="290">
        <v>1</v>
      </c>
      <c r="H424" s="291">
        <v>20.85</v>
      </c>
      <c r="I424" s="292">
        <v>5000</v>
      </c>
      <c r="J424" s="292">
        <f>交易[[#This Row],[價格]]*交易[[#This Row],[數量]]*-1</f>
        <v>-104250</v>
      </c>
      <c r="L424" s="2"/>
    </row>
    <row r="425" spans="1:12">
      <c r="A425" s="330">
        <v>424</v>
      </c>
      <c r="B425" s="297">
        <v>44441</v>
      </c>
      <c r="C425" s="298">
        <v>2880</v>
      </c>
      <c r="D425" s="287" t="s">
        <v>3032</v>
      </c>
      <c r="E425" s="288" t="s">
        <v>2924</v>
      </c>
      <c r="F425" s="294" t="s">
        <v>2929</v>
      </c>
      <c r="G425" s="290">
        <v>1</v>
      </c>
      <c r="H425" s="291">
        <v>20.5</v>
      </c>
      <c r="I425" s="292">
        <v>-800</v>
      </c>
      <c r="J425" s="292">
        <f>交易[[#This Row],[價格]]*交易[[#This Row],[數量]]*-1</f>
        <v>16400</v>
      </c>
      <c r="L425" s="2"/>
    </row>
    <row r="426" spans="1:12">
      <c r="A426" s="330">
        <v>425</v>
      </c>
      <c r="B426" s="297">
        <v>44441</v>
      </c>
      <c r="C426" s="298">
        <v>2880</v>
      </c>
      <c r="D426" s="287" t="s">
        <v>3032</v>
      </c>
      <c r="E426" s="288" t="s">
        <v>2924</v>
      </c>
      <c r="F426" s="294" t="s">
        <v>2929</v>
      </c>
      <c r="G426" s="290">
        <v>1</v>
      </c>
      <c r="H426" s="291">
        <v>20.5</v>
      </c>
      <c r="I426" s="292">
        <v>-800</v>
      </c>
      <c r="J426" s="292">
        <f>交易[[#This Row],[價格]]*交易[[#This Row],[數量]]*-1</f>
        <v>16400</v>
      </c>
      <c r="L426" s="2"/>
    </row>
    <row r="427" spans="1:12">
      <c r="A427" s="330">
        <v>426</v>
      </c>
      <c r="B427" s="297">
        <v>44441</v>
      </c>
      <c r="C427" s="298">
        <v>2880</v>
      </c>
      <c r="D427" s="287" t="s">
        <v>3032</v>
      </c>
      <c r="E427" s="288" t="s">
        <v>2924</v>
      </c>
      <c r="F427" s="294" t="s">
        <v>2929</v>
      </c>
      <c r="G427" s="290">
        <v>1</v>
      </c>
      <c r="H427" s="291">
        <v>20.5</v>
      </c>
      <c r="I427" s="292">
        <v>-800</v>
      </c>
      <c r="J427" s="292">
        <f>交易[[#This Row],[價格]]*交易[[#This Row],[數量]]*-1</f>
        <v>16400</v>
      </c>
      <c r="L427" s="2"/>
    </row>
    <row r="428" spans="1:12">
      <c r="A428" s="330">
        <v>427</v>
      </c>
      <c r="B428" s="297">
        <v>44441</v>
      </c>
      <c r="C428" s="298">
        <v>2880</v>
      </c>
      <c r="D428" s="287" t="s">
        <v>3032</v>
      </c>
      <c r="E428" s="288" t="s">
        <v>2924</v>
      </c>
      <c r="F428" s="294" t="s">
        <v>2929</v>
      </c>
      <c r="G428" s="290">
        <v>1</v>
      </c>
      <c r="H428" s="291">
        <v>20.5</v>
      </c>
      <c r="I428" s="292">
        <v>-800</v>
      </c>
      <c r="J428" s="292">
        <f>交易[[#This Row],[價格]]*交易[[#This Row],[數量]]*-1</f>
        <v>16400</v>
      </c>
      <c r="L428" s="2"/>
    </row>
    <row r="429" spans="1:12">
      <c r="A429" s="330">
        <v>428</v>
      </c>
      <c r="B429" s="297">
        <v>44441</v>
      </c>
      <c r="C429" s="298">
        <v>2880</v>
      </c>
      <c r="D429" s="287" t="s">
        <v>3032</v>
      </c>
      <c r="E429" s="288" t="s">
        <v>2924</v>
      </c>
      <c r="F429" s="294" t="s">
        <v>2929</v>
      </c>
      <c r="G429" s="290">
        <v>1</v>
      </c>
      <c r="H429" s="291">
        <v>20.5</v>
      </c>
      <c r="I429" s="292">
        <v>-800</v>
      </c>
      <c r="J429" s="292">
        <f>交易[[#This Row],[價格]]*交易[[#This Row],[數量]]*-1</f>
        <v>16400</v>
      </c>
      <c r="L429" s="2"/>
    </row>
    <row r="430" spans="1:12">
      <c r="A430" s="330">
        <v>429</v>
      </c>
      <c r="B430" s="297">
        <v>44441</v>
      </c>
      <c r="C430" s="298">
        <v>2880</v>
      </c>
      <c r="D430" s="287" t="s">
        <v>3032</v>
      </c>
      <c r="E430" s="288" t="s">
        <v>2924</v>
      </c>
      <c r="F430" s="294" t="s">
        <v>2929</v>
      </c>
      <c r="G430" s="290">
        <v>1</v>
      </c>
      <c r="H430" s="291">
        <v>20.5</v>
      </c>
      <c r="I430" s="292">
        <v>-10000</v>
      </c>
      <c r="J430" s="292">
        <f>交易[[#This Row],[價格]]*交易[[#This Row],[數量]]*-1</f>
        <v>205000</v>
      </c>
      <c r="L430" s="2"/>
    </row>
    <row r="431" spans="1:12">
      <c r="A431" s="330">
        <v>430</v>
      </c>
      <c r="B431" s="297">
        <v>44441</v>
      </c>
      <c r="C431" s="298">
        <v>2880</v>
      </c>
      <c r="D431" s="287" t="s">
        <v>3032</v>
      </c>
      <c r="E431" s="288" t="s">
        <v>2924</v>
      </c>
      <c r="F431" s="294" t="s">
        <v>2929</v>
      </c>
      <c r="G431" s="290">
        <v>1</v>
      </c>
      <c r="H431" s="291">
        <v>20.55</v>
      </c>
      <c r="I431" s="292">
        <v>-500</v>
      </c>
      <c r="J431" s="292">
        <f>交易[[#This Row],[價格]]*交易[[#This Row],[數量]]*-1</f>
        <v>10275</v>
      </c>
      <c r="L431" s="2"/>
    </row>
    <row r="432" spans="1:12">
      <c r="A432" s="330">
        <v>431</v>
      </c>
      <c r="B432" s="297">
        <v>44441</v>
      </c>
      <c r="C432" s="298">
        <v>2880</v>
      </c>
      <c r="D432" s="287" t="s">
        <v>3032</v>
      </c>
      <c r="E432" s="288" t="s">
        <v>2924</v>
      </c>
      <c r="F432" s="294" t="s">
        <v>2929</v>
      </c>
      <c r="G432" s="290">
        <v>1</v>
      </c>
      <c r="H432" s="291">
        <v>20.55</v>
      </c>
      <c r="I432" s="292">
        <v>-500</v>
      </c>
      <c r="J432" s="292">
        <f>交易[[#This Row],[價格]]*交易[[#This Row],[數量]]*-1</f>
        <v>10275</v>
      </c>
      <c r="L432" s="2"/>
    </row>
    <row r="433" spans="1:12">
      <c r="A433" s="330">
        <v>432</v>
      </c>
      <c r="B433" s="297">
        <v>44441</v>
      </c>
      <c r="C433" s="298">
        <v>2913</v>
      </c>
      <c r="D433" s="287" t="s">
        <v>3011</v>
      </c>
      <c r="E433" s="288" t="s">
        <v>2924</v>
      </c>
      <c r="F433" s="294" t="s">
        <v>2925</v>
      </c>
      <c r="G433" s="290">
        <v>2</v>
      </c>
      <c r="H433" s="291">
        <v>20.5</v>
      </c>
      <c r="I433" s="292">
        <v>5000</v>
      </c>
      <c r="J433" s="292">
        <f>交易[[#This Row],[價格]]*交易[[#This Row],[數量]]*-1</f>
        <v>-102500</v>
      </c>
      <c r="L433" s="2"/>
    </row>
    <row r="434" spans="1:12">
      <c r="A434" s="330">
        <v>433</v>
      </c>
      <c r="B434" s="297">
        <v>44442</v>
      </c>
      <c r="C434" s="298">
        <v>1785</v>
      </c>
      <c r="D434" s="287" t="s">
        <v>3000</v>
      </c>
      <c r="E434" s="288" t="s">
        <v>2924</v>
      </c>
      <c r="F434" s="294" t="s">
        <v>2925</v>
      </c>
      <c r="G434" s="290">
        <v>4</v>
      </c>
      <c r="H434" s="291">
        <v>49.3</v>
      </c>
      <c r="I434" s="292">
        <v>5000</v>
      </c>
      <c r="J434" s="292">
        <f>交易[[#This Row],[價格]]*交易[[#This Row],[數量]]*-1</f>
        <v>-246500</v>
      </c>
      <c r="L434" s="2"/>
    </row>
    <row r="435" spans="1:12">
      <c r="A435" s="330">
        <v>434</v>
      </c>
      <c r="B435" s="297">
        <v>44442</v>
      </c>
      <c r="C435" s="298">
        <v>1785</v>
      </c>
      <c r="D435" s="287" t="s">
        <v>3000</v>
      </c>
      <c r="E435" s="288" t="s">
        <v>2924</v>
      </c>
      <c r="F435" s="294" t="s">
        <v>2925</v>
      </c>
      <c r="G435" s="290">
        <v>4</v>
      </c>
      <c r="H435" s="291">
        <v>49.15</v>
      </c>
      <c r="I435" s="292">
        <v>5000</v>
      </c>
      <c r="J435" s="292">
        <f>交易[[#This Row],[價格]]*交易[[#This Row],[數量]]*-1</f>
        <v>-245750</v>
      </c>
      <c r="L435" s="2"/>
    </row>
    <row r="436" spans="1:12">
      <c r="A436" s="330">
        <v>435</v>
      </c>
      <c r="B436" s="297">
        <v>44442</v>
      </c>
      <c r="C436" s="298">
        <v>2303</v>
      </c>
      <c r="D436" s="287" t="s">
        <v>3004</v>
      </c>
      <c r="E436" s="288" t="s">
        <v>2924</v>
      </c>
      <c r="F436" s="294" t="s">
        <v>2925</v>
      </c>
      <c r="G436" s="290">
        <v>2</v>
      </c>
      <c r="H436" s="291">
        <v>67.599999999999994</v>
      </c>
      <c r="I436" s="292">
        <v>5000</v>
      </c>
      <c r="J436" s="292">
        <f>交易[[#This Row],[價格]]*交易[[#This Row],[數量]]*-1</f>
        <v>-338000</v>
      </c>
      <c r="L436" s="2"/>
    </row>
    <row r="437" spans="1:12">
      <c r="A437" s="330">
        <v>436</v>
      </c>
      <c r="B437" s="297">
        <v>44442</v>
      </c>
      <c r="C437" s="298">
        <v>2880</v>
      </c>
      <c r="D437" s="287" t="s">
        <v>3032</v>
      </c>
      <c r="E437" s="288" t="s">
        <v>2924</v>
      </c>
      <c r="F437" s="294" t="s">
        <v>2926</v>
      </c>
      <c r="G437" s="290">
        <v>1</v>
      </c>
      <c r="H437" s="291">
        <v>20.85</v>
      </c>
      <c r="I437" s="292">
        <v>700</v>
      </c>
      <c r="J437" s="292">
        <f>交易[[#This Row],[價格]]*交易[[#This Row],[數量]]*-1</f>
        <v>-14595.000000000002</v>
      </c>
      <c r="L437" s="2"/>
    </row>
    <row r="438" spans="1:12">
      <c r="A438" s="330">
        <v>437</v>
      </c>
      <c r="B438" s="297">
        <v>44442</v>
      </c>
      <c r="C438" s="298">
        <v>2880</v>
      </c>
      <c r="D438" s="287" t="s">
        <v>3032</v>
      </c>
      <c r="E438" s="288" t="s">
        <v>2924</v>
      </c>
      <c r="F438" s="294" t="s">
        <v>2926</v>
      </c>
      <c r="G438" s="290">
        <v>1</v>
      </c>
      <c r="H438" s="291">
        <v>20.85</v>
      </c>
      <c r="I438" s="292">
        <v>700</v>
      </c>
      <c r="J438" s="292">
        <f>交易[[#This Row],[價格]]*交易[[#This Row],[數量]]*-1</f>
        <v>-14595.000000000002</v>
      </c>
      <c r="L438" s="2"/>
    </row>
    <row r="439" spans="1:12">
      <c r="A439" s="330">
        <v>438</v>
      </c>
      <c r="B439" s="297">
        <v>44442</v>
      </c>
      <c r="C439" s="298">
        <v>2880</v>
      </c>
      <c r="D439" s="287" t="s">
        <v>3032</v>
      </c>
      <c r="E439" s="288" t="s">
        <v>2924</v>
      </c>
      <c r="F439" s="294" t="s">
        <v>2926</v>
      </c>
      <c r="G439" s="290">
        <v>1</v>
      </c>
      <c r="H439" s="291">
        <v>20.85</v>
      </c>
      <c r="I439" s="292">
        <v>700</v>
      </c>
      <c r="J439" s="292">
        <f>交易[[#This Row],[價格]]*交易[[#This Row],[數量]]*-1</f>
        <v>-14595.000000000002</v>
      </c>
      <c r="L439" s="2"/>
    </row>
    <row r="440" spans="1:12">
      <c r="A440" s="330">
        <v>439</v>
      </c>
      <c r="B440" s="297">
        <v>44442</v>
      </c>
      <c r="C440" s="298">
        <v>2880</v>
      </c>
      <c r="D440" s="287" t="s">
        <v>3032</v>
      </c>
      <c r="E440" s="288" t="s">
        <v>2924</v>
      </c>
      <c r="F440" s="294" t="s">
        <v>2926</v>
      </c>
      <c r="G440" s="290">
        <v>1</v>
      </c>
      <c r="H440" s="291">
        <v>20.85</v>
      </c>
      <c r="I440" s="292">
        <v>700</v>
      </c>
      <c r="J440" s="292">
        <f>交易[[#This Row],[價格]]*交易[[#This Row],[數量]]*-1</f>
        <v>-14595.000000000002</v>
      </c>
      <c r="L440" s="2"/>
    </row>
    <row r="441" spans="1:12">
      <c r="A441" s="330">
        <v>440</v>
      </c>
      <c r="B441" s="297">
        <v>44442</v>
      </c>
      <c r="C441" s="298">
        <v>2880</v>
      </c>
      <c r="D441" s="287" t="s">
        <v>3032</v>
      </c>
      <c r="E441" s="288" t="s">
        <v>2924</v>
      </c>
      <c r="F441" s="294" t="s">
        <v>2926</v>
      </c>
      <c r="G441" s="290">
        <v>1</v>
      </c>
      <c r="H441" s="291">
        <v>20.85</v>
      </c>
      <c r="I441" s="292">
        <v>700</v>
      </c>
      <c r="J441" s="292">
        <f>交易[[#This Row],[價格]]*交易[[#This Row],[數量]]*-1</f>
        <v>-14595.000000000002</v>
      </c>
      <c r="L441" s="2"/>
    </row>
    <row r="442" spans="1:12">
      <c r="A442" s="330">
        <v>441</v>
      </c>
      <c r="B442" s="297">
        <v>44442</v>
      </c>
      <c r="C442" s="298">
        <v>2880</v>
      </c>
      <c r="D442" s="287" t="s">
        <v>3032</v>
      </c>
      <c r="E442" s="288" t="s">
        <v>2924</v>
      </c>
      <c r="F442" s="294" t="s">
        <v>2926</v>
      </c>
      <c r="G442" s="290">
        <v>1</v>
      </c>
      <c r="H442" s="291">
        <v>20.85</v>
      </c>
      <c r="I442" s="292">
        <v>700</v>
      </c>
      <c r="J442" s="292">
        <f>交易[[#This Row],[價格]]*交易[[#This Row],[數量]]*-1</f>
        <v>-14595.000000000002</v>
      </c>
      <c r="L442" s="2"/>
    </row>
    <row r="443" spans="1:12">
      <c r="A443" s="330">
        <v>442</v>
      </c>
      <c r="B443" s="297">
        <v>44442</v>
      </c>
      <c r="C443" s="298">
        <v>2880</v>
      </c>
      <c r="D443" s="287" t="s">
        <v>3032</v>
      </c>
      <c r="E443" s="288" t="s">
        <v>2924</v>
      </c>
      <c r="F443" s="294" t="s">
        <v>2926</v>
      </c>
      <c r="G443" s="290">
        <v>1</v>
      </c>
      <c r="H443" s="291">
        <v>20.85</v>
      </c>
      <c r="I443" s="292">
        <v>700</v>
      </c>
      <c r="J443" s="292">
        <f>交易[[#This Row],[價格]]*交易[[#This Row],[數量]]*-1</f>
        <v>-14595.000000000002</v>
      </c>
      <c r="L443" s="2"/>
    </row>
    <row r="444" spans="1:12">
      <c r="A444" s="330">
        <v>443</v>
      </c>
      <c r="B444" s="297">
        <v>44442</v>
      </c>
      <c r="C444" s="298">
        <v>2880</v>
      </c>
      <c r="D444" s="287" t="s">
        <v>3032</v>
      </c>
      <c r="E444" s="288" t="s">
        <v>2924</v>
      </c>
      <c r="F444" s="294" t="s">
        <v>2926</v>
      </c>
      <c r="G444" s="290">
        <v>1</v>
      </c>
      <c r="H444" s="291">
        <v>20.85</v>
      </c>
      <c r="I444" s="292">
        <v>700</v>
      </c>
      <c r="J444" s="292">
        <f>交易[[#This Row],[價格]]*交易[[#This Row],[數量]]*-1</f>
        <v>-14595.000000000002</v>
      </c>
      <c r="L444" s="2"/>
    </row>
    <row r="445" spans="1:12">
      <c r="A445" s="330">
        <v>444</v>
      </c>
      <c r="B445" s="297">
        <v>44442</v>
      </c>
      <c r="C445" s="298">
        <v>2880</v>
      </c>
      <c r="D445" s="287" t="s">
        <v>3032</v>
      </c>
      <c r="E445" s="288" t="s">
        <v>2924</v>
      </c>
      <c r="F445" s="294" t="s">
        <v>2926</v>
      </c>
      <c r="G445" s="290">
        <v>1</v>
      </c>
      <c r="H445" s="291">
        <v>20.85</v>
      </c>
      <c r="I445" s="292">
        <v>700</v>
      </c>
      <c r="J445" s="292">
        <f>交易[[#This Row],[價格]]*交易[[#This Row],[數量]]*-1</f>
        <v>-14595.000000000002</v>
      </c>
      <c r="L445" s="2"/>
    </row>
    <row r="446" spans="1:12">
      <c r="A446" s="330">
        <v>445</v>
      </c>
      <c r="B446" s="297">
        <v>44442</v>
      </c>
      <c r="C446" s="298">
        <v>2880</v>
      </c>
      <c r="D446" s="287" t="s">
        <v>3032</v>
      </c>
      <c r="E446" s="288" t="s">
        <v>2924</v>
      </c>
      <c r="F446" s="294" t="s">
        <v>2926</v>
      </c>
      <c r="G446" s="290">
        <v>1</v>
      </c>
      <c r="H446" s="291">
        <v>20.85</v>
      </c>
      <c r="I446" s="292">
        <v>700</v>
      </c>
      <c r="J446" s="292">
        <f>交易[[#This Row],[價格]]*交易[[#This Row],[數量]]*-1</f>
        <v>-14595.000000000002</v>
      </c>
      <c r="L446" s="2"/>
    </row>
    <row r="447" spans="1:12">
      <c r="A447" s="330">
        <v>446</v>
      </c>
      <c r="B447" s="297">
        <v>44442</v>
      </c>
      <c r="C447" s="298">
        <v>2880</v>
      </c>
      <c r="D447" s="287" t="s">
        <v>3032</v>
      </c>
      <c r="E447" s="288" t="s">
        <v>2924</v>
      </c>
      <c r="F447" s="294" t="s">
        <v>2926</v>
      </c>
      <c r="G447" s="290">
        <v>1</v>
      </c>
      <c r="H447" s="291">
        <v>20.85</v>
      </c>
      <c r="I447" s="292">
        <v>500</v>
      </c>
      <c r="J447" s="292">
        <f>交易[[#This Row],[價格]]*交易[[#This Row],[數量]]*-1</f>
        <v>-10425</v>
      </c>
      <c r="L447" s="2"/>
    </row>
    <row r="448" spans="1:12">
      <c r="A448" s="330">
        <v>447</v>
      </c>
      <c r="B448" s="297">
        <v>44442</v>
      </c>
      <c r="C448" s="298">
        <v>2880</v>
      </c>
      <c r="D448" s="287" t="s">
        <v>3032</v>
      </c>
      <c r="E448" s="288" t="s">
        <v>2924</v>
      </c>
      <c r="F448" s="294" t="s">
        <v>2926</v>
      </c>
      <c r="G448" s="290">
        <v>1</v>
      </c>
      <c r="H448" s="291">
        <v>20.85</v>
      </c>
      <c r="I448" s="292">
        <v>500</v>
      </c>
      <c r="J448" s="292">
        <f>交易[[#This Row],[價格]]*交易[[#This Row],[數量]]*-1</f>
        <v>-10425</v>
      </c>
      <c r="L448" s="2"/>
    </row>
    <row r="449" spans="1:12">
      <c r="A449" s="330">
        <v>448</v>
      </c>
      <c r="B449" s="297">
        <v>44442</v>
      </c>
      <c r="C449" s="298">
        <v>2880</v>
      </c>
      <c r="D449" s="287" t="s">
        <v>3032</v>
      </c>
      <c r="E449" s="288" t="s">
        <v>2924</v>
      </c>
      <c r="F449" s="294" t="s">
        <v>2926</v>
      </c>
      <c r="G449" s="290">
        <v>1</v>
      </c>
      <c r="H449" s="291">
        <v>20.85</v>
      </c>
      <c r="I449" s="292">
        <v>500</v>
      </c>
      <c r="J449" s="292">
        <f>交易[[#This Row],[價格]]*交易[[#This Row],[數量]]*-1</f>
        <v>-10425</v>
      </c>
      <c r="L449" s="2"/>
    </row>
    <row r="450" spans="1:12">
      <c r="A450" s="330">
        <v>449</v>
      </c>
      <c r="B450" s="297">
        <v>44442</v>
      </c>
      <c r="C450" s="298">
        <v>2880</v>
      </c>
      <c r="D450" s="287" t="s">
        <v>3032</v>
      </c>
      <c r="E450" s="288" t="s">
        <v>2924</v>
      </c>
      <c r="F450" s="294" t="s">
        <v>2926</v>
      </c>
      <c r="G450" s="290">
        <v>1</v>
      </c>
      <c r="H450" s="291">
        <v>20.85</v>
      </c>
      <c r="I450" s="292">
        <v>500</v>
      </c>
      <c r="J450" s="292">
        <f>交易[[#This Row],[價格]]*交易[[#This Row],[數量]]*-1</f>
        <v>-10425</v>
      </c>
      <c r="L450" s="2"/>
    </row>
    <row r="451" spans="1:12">
      <c r="A451" s="330">
        <v>450</v>
      </c>
      <c r="B451" s="297">
        <v>44442</v>
      </c>
      <c r="C451" s="298">
        <v>2880</v>
      </c>
      <c r="D451" s="287" t="s">
        <v>3032</v>
      </c>
      <c r="E451" s="288" t="s">
        <v>2924</v>
      </c>
      <c r="F451" s="294" t="s">
        <v>2926</v>
      </c>
      <c r="G451" s="290">
        <v>1</v>
      </c>
      <c r="H451" s="291">
        <v>20.85</v>
      </c>
      <c r="I451" s="292">
        <v>500</v>
      </c>
      <c r="J451" s="292">
        <f>交易[[#This Row],[價格]]*交易[[#This Row],[數量]]*-1</f>
        <v>-10425</v>
      </c>
      <c r="L451" s="2"/>
    </row>
    <row r="452" spans="1:12">
      <c r="A452" s="330">
        <v>451</v>
      </c>
      <c r="B452" s="297">
        <v>44442</v>
      </c>
      <c r="C452" s="298">
        <v>2880</v>
      </c>
      <c r="D452" s="287" t="s">
        <v>3032</v>
      </c>
      <c r="E452" s="288" t="s">
        <v>2924</v>
      </c>
      <c r="F452" s="294" t="s">
        <v>2926</v>
      </c>
      <c r="G452" s="290">
        <v>1</v>
      </c>
      <c r="H452" s="291">
        <v>20.85</v>
      </c>
      <c r="I452" s="292">
        <v>500</v>
      </c>
      <c r="J452" s="292">
        <f>交易[[#This Row],[價格]]*交易[[#This Row],[數量]]*-1</f>
        <v>-10425</v>
      </c>
      <c r="L452" s="2"/>
    </row>
    <row r="453" spans="1:12">
      <c r="A453" s="330">
        <v>452</v>
      </c>
      <c r="B453" s="297">
        <v>44442</v>
      </c>
      <c r="C453" s="298">
        <v>6509</v>
      </c>
      <c r="D453" s="287" t="s">
        <v>2950</v>
      </c>
      <c r="E453" s="288" t="s">
        <v>3017</v>
      </c>
      <c r="F453" s="294" t="s">
        <v>2930</v>
      </c>
      <c r="G453" s="290">
        <v>3</v>
      </c>
      <c r="H453" s="291">
        <v>56.5</v>
      </c>
      <c r="I453" s="292">
        <v>-3000</v>
      </c>
      <c r="J453" s="292">
        <f>交易[[#This Row],[價格]]*交易[[#This Row],[數量]]*-1</f>
        <v>169500</v>
      </c>
      <c r="L453" s="2"/>
    </row>
    <row r="454" spans="1:12">
      <c r="A454" s="330">
        <v>453</v>
      </c>
      <c r="B454" s="297">
        <v>44442</v>
      </c>
      <c r="C454" s="298">
        <v>6509</v>
      </c>
      <c r="D454" s="287" t="s">
        <v>2950</v>
      </c>
      <c r="E454" s="288" t="s">
        <v>3017</v>
      </c>
      <c r="F454" s="294" t="s">
        <v>2941</v>
      </c>
      <c r="G454" s="290">
        <v>4</v>
      </c>
      <c r="H454" s="291">
        <v>57</v>
      </c>
      <c r="I454" s="292">
        <v>-3000</v>
      </c>
      <c r="J454" s="292">
        <f>交易[[#This Row],[價格]]*交易[[#This Row],[數量]]*-1</f>
        <v>171000</v>
      </c>
      <c r="L454" s="2"/>
    </row>
    <row r="455" spans="1:12">
      <c r="A455" s="330">
        <v>454</v>
      </c>
      <c r="B455" s="297">
        <v>44442</v>
      </c>
      <c r="C455" s="298">
        <v>6509</v>
      </c>
      <c r="D455" s="287" t="s">
        <v>2950</v>
      </c>
      <c r="E455" s="288" t="s">
        <v>3017</v>
      </c>
      <c r="F455" s="294" t="s">
        <v>2941</v>
      </c>
      <c r="G455" s="290">
        <v>4</v>
      </c>
      <c r="H455" s="291">
        <v>56.7</v>
      </c>
      <c r="I455" s="292">
        <v>-1000</v>
      </c>
      <c r="J455" s="292">
        <f>交易[[#This Row],[價格]]*交易[[#This Row],[數量]]*-1</f>
        <v>56700</v>
      </c>
      <c r="L455" s="2"/>
    </row>
    <row r="456" spans="1:12">
      <c r="A456" s="330">
        <v>455</v>
      </c>
      <c r="B456" s="297">
        <v>44442</v>
      </c>
      <c r="C456" s="298">
        <v>6509</v>
      </c>
      <c r="D456" s="287" t="s">
        <v>2950</v>
      </c>
      <c r="E456" s="288" t="s">
        <v>3017</v>
      </c>
      <c r="F456" s="294" t="s">
        <v>2925</v>
      </c>
      <c r="G456" s="290">
        <v>4</v>
      </c>
      <c r="H456" s="291">
        <v>57.1</v>
      </c>
      <c r="I456" s="292">
        <v>4000</v>
      </c>
      <c r="J456" s="292">
        <f>交易[[#This Row],[價格]]*交易[[#This Row],[數量]]*-1</f>
        <v>-228400</v>
      </c>
      <c r="L456" s="2"/>
    </row>
    <row r="457" spans="1:12">
      <c r="A457" s="330">
        <v>456</v>
      </c>
      <c r="B457" s="297">
        <v>44445</v>
      </c>
      <c r="C457" s="298">
        <v>2002</v>
      </c>
      <c r="D457" s="287" t="s">
        <v>2933</v>
      </c>
      <c r="E457" s="288" t="s">
        <v>2924</v>
      </c>
      <c r="F457" s="294" t="s">
        <v>2925</v>
      </c>
      <c r="G457" s="290">
        <v>6</v>
      </c>
      <c r="H457" s="291">
        <v>38.6</v>
      </c>
      <c r="I457" s="292">
        <v>5000</v>
      </c>
      <c r="J457" s="292">
        <f>交易[[#This Row],[價格]]*交易[[#This Row],[數量]]*-1</f>
        <v>-193000</v>
      </c>
      <c r="L457" s="2"/>
    </row>
    <row r="458" spans="1:12">
      <c r="A458" s="330">
        <v>457</v>
      </c>
      <c r="B458" s="297">
        <v>44445</v>
      </c>
      <c r="C458" s="298">
        <v>2303</v>
      </c>
      <c r="D458" s="287" t="s">
        <v>3004</v>
      </c>
      <c r="E458" s="288" t="s">
        <v>2924</v>
      </c>
      <c r="F458" s="294" t="s">
        <v>2930</v>
      </c>
      <c r="G458" s="290">
        <v>2</v>
      </c>
      <c r="H458" s="291">
        <v>68.599999999999994</v>
      </c>
      <c r="I458" s="292">
        <v>-5000</v>
      </c>
      <c r="J458" s="292">
        <f>交易[[#This Row],[價格]]*交易[[#This Row],[數量]]*-1</f>
        <v>343000</v>
      </c>
      <c r="L458" s="2"/>
    </row>
    <row r="459" spans="1:12">
      <c r="A459" s="330">
        <v>458</v>
      </c>
      <c r="B459" s="297">
        <v>44445</v>
      </c>
      <c r="C459" s="298">
        <v>2303</v>
      </c>
      <c r="D459" s="287" t="s">
        <v>3004</v>
      </c>
      <c r="E459" s="288" t="s">
        <v>2924</v>
      </c>
      <c r="F459" s="294" t="s">
        <v>2925</v>
      </c>
      <c r="G459" s="290">
        <v>3</v>
      </c>
      <c r="H459" s="291">
        <v>69.5</v>
      </c>
      <c r="I459" s="292">
        <v>5000</v>
      </c>
      <c r="J459" s="292">
        <f>交易[[#This Row],[價格]]*交易[[#This Row],[數量]]*-1</f>
        <v>-347500</v>
      </c>
      <c r="L459" s="2"/>
    </row>
    <row r="460" spans="1:12">
      <c r="A460" s="330">
        <v>459</v>
      </c>
      <c r="B460" s="297">
        <v>44445</v>
      </c>
      <c r="C460" s="298">
        <v>2913</v>
      </c>
      <c r="D460" s="287" t="s">
        <v>3011</v>
      </c>
      <c r="E460" s="288" t="s">
        <v>2924</v>
      </c>
      <c r="F460" s="294" t="s">
        <v>2941</v>
      </c>
      <c r="G460" s="290">
        <v>2</v>
      </c>
      <c r="H460" s="291">
        <v>20.05</v>
      </c>
      <c r="I460" s="292">
        <v>-5000</v>
      </c>
      <c r="J460" s="292">
        <f>交易[[#This Row],[價格]]*交易[[#This Row],[數量]]*-1</f>
        <v>100250</v>
      </c>
      <c r="L460" s="2"/>
    </row>
    <row r="461" spans="1:12">
      <c r="A461" s="330">
        <v>460</v>
      </c>
      <c r="B461" s="297">
        <v>44445</v>
      </c>
      <c r="C461" s="298">
        <v>3078</v>
      </c>
      <c r="D461" s="287" t="s">
        <v>2972</v>
      </c>
      <c r="E461" s="288" t="s">
        <v>3017</v>
      </c>
      <c r="F461" s="294" t="s">
        <v>2925</v>
      </c>
      <c r="G461" s="290">
        <v>1</v>
      </c>
      <c r="H461" s="291">
        <v>41.65</v>
      </c>
      <c r="I461" s="292">
        <v>-3000</v>
      </c>
      <c r="J461" s="292">
        <f>交易[[#This Row],[價格]]*交易[[#This Row],[數量]]*-1</f>
        <v>124950</v>
      </c>
      <c r="L461" s="2"/>
    </row>
    <row r="462" spans="1:12">
      <c r="A462" s="330">
        <v>461</v>
      </c>
      <c r="B462" s="297">
        <v>44446</v>
      </c>
      <c r="C462" s="298">
        <v>1785</v>
      </c>
      <c r="D462" s="287" t="s">
        <v>3000</v>
      </c>
      <c r="E462" s="288" t="s">
        <v>2924</v>
      </c>
      <c r="F462" s="294" t="s">
        <v>2941</v>
      </c>
      <c r="G462" s="290">
        <v>4</v>
      </c>
      <c r="H462" s="291">
        <v>48.95</v>
      </c>
      <c r="I462" s="292">
        <v>-4000</v>
      </c>
      <c r="J462" s="292">
        <f>交易[[#This Row],[價格]]*交易[[#This Row],[數量]]*-1</f>
        <v>195800</v>
      </c>
      <c r="L462" s="2"/>
    </row>
    <row r="463" spans="1:12">
      <c r="A463" s="330">
        <v>462</v>
      </c>
      <c r="B463" s="297">
        <v>44446</v>
      </c>
      <c r="C463" s="298">
        <v>1785</v>
      </c>
      <c r="D463" s="287" t="s">
        <v>3000</v>
      </c>
      <c r="E463" s="288" t="s">
        <v>2924</v>
      </c>
      <c r="F463" s="294" t="s">
        <v>2941</v>
      </c>
      <c r="G463" s="290">
        <v>4</v>
      </c>
      <c r="H463" s="291">
        <v>49</v>
      </c>
      <c r="I463" s="292">
        <v>-3000</v>
      </c>
      <c r="J463" s="292">
        <f>交易[[#This Row],[價格]]*交易[[#This Row],[數量]]*-1</f>
        <v>147000</v>
      </c>
      <c r="L463" s="2"/>
    </row>
    <row r="464" spans="1:12">
      <c r="A464" s="330">
        <v>463</v>
      </c>
      <c r="B464" s="297">
        <v>44446</v>
      </c>
      <c r="C464" s="298">
        <v>1785</v>
      </c>
      <c r="D464" s="287" t="s">
        <v>3000</v>
      </c>
      <c r="E464" s="288" t="s">
        <v>2924</v>
      </c>
      <c r="F464" s="294" t="s">
        <v>2941</v>
      </c>
      <c r="G464" s="290">
        <v>4</v>
      </c>
      <c r="H464" s="291">
        <v>48.9</v>
      </c>
      <c r="I464" s="292">
        <v>-3000</v>
      </c>
      <c r="J464" s="292">
        <f>交易[[#This Row],[價格]]*交易[[#This Row],[數量]]*-1</f>
        <v>146700</v>
      </c>
      <c r="L464" s="2"/>
    </row>
    <row r="465" spans="1:12">
      <c r="A465" s="330">
        <v>464</v>
      </c>
      <c r="B465" s="297">
        <v>44446</v>
      </c>
      <c r="C465" s="298">
        <v>2002</v>
      </c>
      <c r="D465" s="287" t="s">
        <v>2933</v>
      </c>
      <c r="E465" s="288" t="s">
        <v>2924</v>
      </c>
      <c r="F465" s="294" t="s">
        <v>2941</v>
      </c>
      <c r="G465" s="290">
        <v>6</v>
      </c>
      <c r="H465" s="291">
        <v>38.25</v>
      </c>
      <c r="I465" s="292">
        <v>-1000</v>
      </c>
      <c r="J465" s="292">
        <f>交易[[#This Row],[價格]]*交易[[#This Row],[數量]]*-1</f>
        <v>38250</v>
      </c>
      <c r="L465" s="2"/>
    </row>
    <row r="466" spans="1:12">
      <c r="A466" s="330">
        <v>465</v>
      </c>
      <c r="B466" s="297">
        <v>44446</v>
      </c>
      <c r="C466" s="298">
        <v>2002</v>
      </c>
      <c r="D466" s="287" t="s">
        <v>2933</v>
      </c>
      <c r="E466" s="288" t="s">
        <v>2924</v>
      </c>
      <c r="F466" s="294" t="s">
        <v>2926</v>
      </c>
      <c r="G466" s="290">
        <v>6</v>
      </c>
      <c r="H466" s="291">
        <v>38.700000000000003</v>
      </c>
      <c r="I466" s="292">
        <v>1000</v>
      </c>
      <c r="J466" s="292">
        <f>交易[[#This Row],[價格]]*交易[[#This Row],[數量]]*-1</f>
        <v>-38700</v>
      </c>
      <c r="L466" s="2"/>
    </row>
    <row r="467" spans="1:12">
      <c r="A467" s="330">
        <v>466</v>
      </c>
      <c r="B467" s="297">
        <v>44446</v>
      </c>
      <c r="C467" s="298">
        <v>2002</v>
      </c>
      <c r="D467" s="287" t="s">
        <v>2933</v>
      </c>
      <c r="E467" s="288" t="s">
        <v>2924</v>
      </c>
      <c r="F467" s="294" t="s">
        <v>2941</v>
      </c>
      <c r="G467" s="290">
        <v>6</v>
      </c>
      <c r="H467" s="291">
        <v>38.200000000000003</v>
      </c>
      <c r="I467" s="292">
        <v>-4000</v>
      </c>
      <c r="J467" s="292">
        <f>交易[[#This Row],[價格]]*交易[[#This Row],[數量]]*-1</f>
        <v>152800</v>
      </c>
      <c r="L467" s="2"/>
    </row>
    <row r="468" spans="1:12">
      <c r="A468" s="330">
        <v>467</v>
      </c>
      <c r="B468" s="297">
        <v>44446</v>
      </c>
      <c r="C468" s="298">
        <v>2002</v>
      </c>
      <c r="D468" s="287" t="s">
        <v>2933</v>
      </c>
      <c r="E468" s="288" t="s">
        <v>2924</v>
      </c>
      <c r="F468" s="294" t="s">
        <v>2926</v>
      </c>
      <c r="G468" s="290">
        <v>6</v>
      </c>
      <c r="H468" s="291">
        <v>38.700000000000003</v>
      </c>
      <c r="I468" s="292">
        <v>4000</v>
      </c>
      <c r="J468" s="292">
        <f>交易[[#This Row],[價格]]*交易[[#This Row],[數量]]*-1</f>
        <v>-154800</v>
      </c>
      <c r="L468" s="2"/>
    </row>
    <row r="469" spans="1:12">
      <c r="A469" s="330">
        <v>468</v>
      </c>
      <c r="B469" s="297">
        <v>44446</v>
      </c>
      <c r="C469" s="298">
        <v>2002</v>
      </c>
      <c r="D469" s="287" t="s">
        <v>2933</v>
      </c>
      <c r="E469" s="288" t="s">
        <v>2924</v>
      </c>
      <c r="F469" s="294" t="s">
        <v>2941</v>
      </c>
      <c r="G469" s="290">
        <v>6</v>
      </c>
      <c r="H469" s="291">
        <v>38.25</v>
      </c>
      <c r="I469" s="292">
        <v>-5000</v>
      </c>
      <c r="J469" s="292">
        <f>交易[[#This Row],[價格]]*交易[[#This Row],[數量]]*-1</f>
        <v>191250</v>
      </c>
      <c r="L469" s="2"/>
    </row>
    <row r="470" spans="1:12">
      <c r="A470" s="330">
        <v>469</v>
      </c>
      <c r="B470" s="297">
        <v>44446</v>
      </c>
      <c r="C470" s="298">
        <v>2303</v>
      </c>
      <c r="D470" s="287" t="s">
        <v>3004</v>
      </c>
      <c r="E470" s="288" t="s">
        <v>2924</v>
      </c>
      <c r="F470" s="294" t="s">
        <v>2931</v>
      </c>
      <c r="G470" s="290">
        <v>3</v>
      </c>
      <c r="H470" s="291">
        <v>69.7</v>
      </c>
      <c r="I470" s="292">
        <v>-5000</v>
      </c>
      <c r="J470" s="292">
        <f>交易[[#This Row],[價格]]*交易[[#This Row],[數量]]*-1</f>
        <v>348500</v>
      </c>
      <c r="L470" s="2"/>
    </row>
    <row r="471" spans="1:12">
      <c r="A471" s="330">
        <v>470</v>
      </c>
      <c r="B471" s="297">
        <v>44446</v>
      </c>
      <c r="C471" s="298">
        <v>2329</v>
      </c>
      <c r="D471" s="287" t="s">
        <v>3034</v>
      </c>
      <c r="E471" s="288" t="s">
        <v>3017</v>
      </c>
      <c r="F471" s="294" t="s">
        <v>2925</v>
      </c>
      <c r="G471" s="290">
        <v>2</v>
      </c>
      <c r="H471" s="291">
        <v>27.7</v>
      </c>
      <c r="I471" s="292">
        <v>-8000</v>
      </c>
      <c r="J471" s="292">
        <f>交易[[#This Row],[價格]]*交易[[#This Row],[數量]]*-1</f>
        <v>221600</v>
      </c>
      <c r="L471" s="2"/>
    </row>
    <row r="472" spans="1:12">
      <c r="A472" s="330">
        <v>471</v>
      </c>
      <c r="B472" s="297">
        <v>44446</v>
      </c>
      <c r="C472" s="298">
        <v>2534</v>
      </c>
      <c r="D472" s="287" t="s">
        <v>3033</v>
      </c>
      <c r="E472" s="288" t="s">
        <v>2924</v>
      </c>
      <c r="F472" s="294" t="s">
        <v>2941</v>
      </c>
      <c r="G472" s="290">
        <v>1</v>
      </c>
      <c r="H472" s="291">
        <v>20.6</v>
      </c>
      <c r="I472" s="292">
        <v>-5000</v>
      </c>
      <c r="J472" s="292">
        <f>交易[[#This Row],[價格]]*交易[[#This Row],[數量]]*-1</f>
        <v>103000</v>
      </c>
      <c r="L472" s="2"/>
    </row>
    <row r="473" spans="1:12">
      <c r="A473" s="330">
        <v>472</v>
      </c>
      <c r="B473" s="297">
        <v>44446</v>
      </c>
      <c r="C473" s="298">
        <v>5351</v>
      </c>
      <c r="D473" s="287" t="s">
        <v>3035</v>
      </c>
      <c r="E473" s="288" t="s">
        <v>3017</v>
      </c>
      <c r="F473" s="294" t="s">
        <v>2925</v>
      </c>
      <c r="G473" s="290">
        <v>1</v>
      </c>
      <c r="H473" s="291">
        <v>43.05</v>
      </c>
      <c r="I473" s="292">
        <v>-4000</v>
      </c>
      <c r="J473" s="292">
        <f>交易[[#This Row],[價格]]*交易[[#This Row],[數量]]*-1</f>
        <v>172200</v>
      </c>
      <c r="L473" s="2"/>
    </row>
    <row r="474" spans="1:12">
      <c r="A474" s="330">
        <v>473</v>
      </c>
      <c r="B474" s="297">
        <v>44447</v>
      </c>
      <c r="C474" s="298">
        <v>2329</v>
      </c>
      <c r="D474" s="287" t="s">
        <v>3034</v>
      </c>
      <c r="E474" s="288" t="s">
        <v>3017</v>
      </c>
      <c r="F474" s="294" t="s">
        <v>2930</v>
      </c>
      <c r="G474" s="290">
        <v>2</v>
      </c>
      <c r="H474" s="291">
        <v>27.35</v>
      </c>
      <c r="I474" s="292">
        <v>8000</v>
      </c>
      <c r="J474" s="292">
        <f>交易[[#This Row],[價格]]*交易[[#This Row],[數量]]*-1</f>
        <v>-218800</v>
      </c>
      <c r="L474" s="2"/>
    </row>
    <row r="475" spans="1:12">
      <c r="A475" s="330">
        <v>474</v>
      </c>
      <c r="B475" s="297">
        <v>44447</v>
      </c>
      <c r="C475" s="298">
        <v>3078</v>
      </c>
      <c r="D475" s="287" t="s">
        <v>2972</v>
      </c>
      <c r="E475" s="288" t="s">
        <v>3017</v>
      </c>
      <c r="F475" s="294" t="s">
        <v>2930</v>
      </c>
      <c r="G475" s="290">
        <v>1</v>
      </c>
      <c r="H475" s="291">
        <v>40.4</v>
      </c>
      <c r="I475" s="292">
        <v>3000</v>
      </c>
      <c r="J475" s="292">
        <f>交易[[#This Row],[價格]]*交易[[#This Row],[數量]]*-1</f>
        <v>-121200</v>
      </c>
      <c r="L475" s="2"/>
    </row>
    <row r="476" spans="1:12">
      <c r="A476" s="330">
        <v>475</v>
      </c>
      <c r="B476" s="297">
        <v>44447</v>
      </c>
      <c r="C476" s="298">
        <v>5351</v>
      </c>
      <c r="D476" s="287" t="s">
        <v>3035</v>
      </c>
      <c r="E476" s="288" t="s">
        <v>3017</v>
      </c>
      <c r="F476" s="294" t="s">
        <v>2930</v>
      </c>
      <c r="G476" s="290">
        <v>1</v>
      </c>
      <c r="H476" s="291">
        <v>42.7</v>
      </c>
      <c r="I476" s="292">
        <v>4000</v>
      </c>
      <c r="J476" s="292">
        <f>交易[[#This Row],[價格]]*交易[[#This Row],[數量]]*-1</f>
        <v>-170800</v>
      </c>
      <c r="L476" s="2"/>
    </row>
    <row r="477" spans="1:12">
      <c r="A477" s="330">
        <v>476</v>
      </c>
      <c r="B477" s="297">
        <v>44452</v>
      </c>
      <c r="C477" s="298">
        <v>1785</v>
      </c>
      <c r="D477" s="287" t="s">
        <v>3000</v>
      </c>
      <c r="E477" s="288" t="s">
        <v>2924</v>
      </c>
      <c r="F477" s="294" t="s">
        <v>2925</v>
      </c>
      <c r="G477" s="290">
        <v>5</v>
      </c>
      <c r="H477" s="291">
        <v>50.2</v>
      </c>
      <c r="I477" s="292">
        <v>4000</v>
      </c>
      <c r="J477" s="292">
        <f>交易[[#This Row],[價格]]*交易[[#This Row],[數量]]*-1</f>
        <v>-200800</v>
      </c>
      <c r="L477" s="2"/>
    </row>
    <row r="478" spans="1:12">
      <c r="A478" s="330">
        <v>477</v>
      </c>
      <c r="B478" s="297">
        <v>44452</v>
      </c>
      <c r="C478" s="298">
        <v>1785</v>
      </c>
      <c r="D478" s="287" t="s">
        <v>3000</v>
      </c>
      <c r="E478" s="288" t="s">
        <v>2924</v>
      </c>
      <c r="F478" s="294" t="s">
        <v>2925</v>
      </c>
      <c r="G478" s="290">
        <v>5</v>
      </c>
      <c r="H478" s="291">
        <v>50.2</v>
      </c>
      <c r="I478" s="292">
        <v>6000</v>
      </c>
      <c r="J478" s="292">
        <f>交易[[#This Row],[價格]]*交易[[#This Row],[數量]]*-1</f>
        <v>-301200</v>
      </c>
      <c r="L478" s="2"/>
    </row>
    <row r="479" spans="1:12">
      <c r="A479" s="330">
        <v>478</v>
      </c>
      <c r="B479" s="297">
        <v>44452</v>
      </c>
      <c r="C479" s="298">
        <v>2329</v>
      </c>
      <c r="D479" s="287" t="s">
        <v>3034</v>
      </c>
      <c r="E479" s="288" t="s">
        <v>3017</v>
      </c>
      <c r="F479" s="294" t="s">
        <v>2925</v>
      </c>
      <c r="G479" s="290">
        <v>3</v>
      </c>
      <c r="H479" s="291">
        <v>27.35</v>
      </c>
      <c r="I479" s="292">
        <v>-6000</v>
      </c>
      <c r="J479" s="292">
        <f>交易[[#This Row],[價格]]*交易[[#This Row],[數量]]*-1</f>
        <v>164100</v>
      </c>
      <c r="L479" s="2"/>
    </row>
    <row r="480" spans="1:12">
      <c r="A480" s="330">
        <v>479</v>
      </c>
      <c r="B480" s="297">
        <v>44452</v>
      </c>
      <c r="C480" s="298">
        <v>3552</v>
      </c>
      <c r="D480" s="287" t="s">
        <v>3036</v>
      </c>
      <c r="E480" s="288" t="s">
        <v>3017</v>
      </c>
      <c r="F480" s="294" t="s">
        <v>2925</v>
      </c>
      <c r="G480" s="290">
        <v>1</v>
      </c>
      <c r="H480" s="291">
        <v>177.5</v>
      </c>
      <c r="I480" s="292">
        <v>-1000</v>
      </c>
      <c r="J480" s="292">
        <f>交易[[#This Row],[價格]]*交易[[#This Row],[數量]]*-1</f>
        <v>177500</v>
      </c>
      <c r="L480" s="2"/>
    </row>
    <row r="481" spans="1:12">
      <c r="A481" s="330">
        <v>480</v>
      </c>
      <c r="B481" s="297">
        <v>44453</v>
      </c>
      <c r="C481" s="298">
        <v>1101</v>
      </c>
      <c r="D481" s="287" t="s">
        <v>2945</v>
      </c>
      <c r="E481" s="288" t="s">
        <v>2924</v>
      </c>
      <c r="F481" s="294" t="s">
        <v>2962</v>
      </c>
      <c r="G481" s="290">
        <v>4</v>
      </c>
      <c r="H481" s="291">
        <v>51.6</v>
      </c>
      <c r="I481" s="292">
        <v>6000</v>
      </c>
      <c r="J481" s="292">
        <f>交易[[#This Row],[價格]]*交易[[#This Row],[數量]]*-1</f>
        <v>-309600</v>
      </c>
      <c r="L481" s="2"/>
    </row>
    <row r="482" spans="1:12">
      <c r="A482" s="330">
        <v>481</v>
      </c>
      <c r="B482" s="297">
        <v>44453</v>
      </c>
      <c r="C482" s="298">
        <v>3552</v>
      </c>
      <c r="D482" s="287" t="s">
        <v>3036</v>
      </c>
      <c r="E482" s="288" t="s">
        <v>3017</v>
      </c>
      <c r="F482" s="294" t="s">
        <v>2941</v>
      </c>
      <c r="G482" s="290">
        <v>1</v>
      </c>
      <c r="H482" s="291">
        <v>182</v>
      </c>
      <c r="I482" s="292">
        <v>1000</v>
      </c>
      <c r="J482" s="292">
        <f>交易[[#This Row],[價格]]*交易[[#This Row],[數量]]*-1</f>
        <v>-182000</v>
      </c>
      <c r="L482" s="2"/>
    </row>
    <row r="483" spans="1:12">
      <c r="A483" s="330">
        <v>482</v>
      </c>
      <c r="B483" s="297">
        <v>44454</v>
      </c>
      <c r="C483" s="298">
        <v>1477</v>
      </c>
      <c r="D483" s="287" t="s">
        <v>3037</v>
      </c>
      <c r="E483" s="288" t="s">
        <v>2924</v>
      </c>
      <c r="F483" s="294" t="s">
        <v>2925</v>
      </c>
      <c r="G483" s="290">
        <v>1</v>
      </c>
      <c r="H483" s="291">
        <v>258</v>
      </c>
      <c r="I483" s="292">
        <v>600</v>
      </c>
      <c r="J483" s="292">
        <f>交易[[#This Row],[價格]]*交易[[#This Row],[數量]]*-1</f>
        <v>-154800</v>
      </c>
      <c r="L483" s="2"/>
    </row>
    <row r="484" spans="1:12">
      <c r="A484" s="330">
        <v>483</v>
      </c>
      <c r="B484" s="297">
        <v>44454</v>
      </c>
      <c r="C484" s="298">
        <v>1477</v>
      </c>
      <c r="D484" s="287" t="s">
        <v>3037</v>
      </c>
      <c r="E484" s="288" t="s">
        <v>2924</v>
      </c>
      <c r="F484" s="294" t="s">
        <v>2925</v>
      </c>
      <c r="G484" s="290">
        <v>1</v>
      </c>
      <c r="H484" s="291">
        <v>258</v>
      </c>
      <c r="I484" s="292">
        <v>400</v>
      </c>
      <c r="J484" s="292">
        <f>交易[[#This Row],[價格]]*交易[[#This Row],[數量]]*-1</f>
        <v>-103200</v>
      </c>
      <c r="L484" s="2"/>
    </row>
    <row r="485" spans="1:12">
      <c r="A485" s="330">
        <v>484</v>
      </c>
      <c r="B485" s="297">
        <v>44454</v>
      </c>
      <c r="C485" s="298">
        <v>2301</v>
      </c>
      <c r="D485" s="287" t="s">
        <v>3038</v>
      </c>
      <c r="E485" s="288" t="s">
        <v>2924</v>
      </c>
      <c r="F485" s="294" t="s">
        <v>2925</v>
      </c>
      <c r="G485" s="290">
        <v>1</v>
      </c>
      <c r="H485" s="291">
        <v>61.8</v>
      </c>
      <c r="I485" s="292">
        <v>5000</v>
      </c>
      <c r="J485" s="292">
        <f>交易[[#This Row],[價格]]*交易[[#This Row],[數量]]*-1</f>
        <v>-309000</v>
      </c>
      <c r="L485" s="2"/>
    </row>
    <row r="486" spans="1:12">
      <c r="A486" s="330">
        <v>485</v>
      </c>
      <c r="B486" s="297">
        <v>44454</v>
      </c>
      <c r="C486" s="298">
        <v>2329</v>
      </c>
      <c r="D486" s="287" t="s">
        <v>3034</v>
      </c>
      <c r="E486" s="288" t="s">
        <v>3017</v>
      </c>
      <c r="F486" s="294" t="s">
        <v>2930</v>
      </c>
      <c r="G486" s="290">
        <v>3</v>
      </c>
      <c r="H486" s="291">
        <v>26.8</v>
      </c>
      <c r="I486" s="292">
        <v>6000</v>
      </c>
      <c r="J486" s="292">
        <f>交易[[#This Row],[價格]]*交易[[#This Row],[數量]]*-1</f>
        <v>-160800</v>
      </c>
      <c r="L486" s="2"/>
    </row>
    <row r="487" spans="1:12">
      <c r="A487" s="330">
        <v>486</v>
      </c>
      <c r="B487" s="297">
        <v>44454</v>
      </c>
      <c r="C487" s="298">
        <v>3551</v>
      </c>
      <c r="D487" s="287" t="s">
        <v>3028</v>
      </c>
      <c r="E487" s="288" t="s">
        <v>2924</v>
      </c>
      <c r="F487" s="294" t="s">
        <v>2925</v>
      </c>
      <c r="G487" s="290">
        <v>2</v>
      </c>
      <c r="H487" s="291">
        <v>61.2</v>
      </c>
      <c r="I487" s="292">
        <v>1000</v>
      </c>
      <c r="J487" s="292">
        <f>交易[[#This Row],[價格]]*交易[[#This Row],[數量]]*-1</f>
        <v>-61200</v>
      </c>
      <c r="L487" s="2"/>
    </row>
    <row r="488" spans="1:12">
      <c r="A488" s="330">
        <v>487</v>
      </c>
      <c r="B488" s="297">
        <v>44455</v>
      </c>
      <c r="C488" s="298">
        <v>1313</v>
      </c>
      <c r="D488" s="287" t="s">
        <v>3039</v>
      </c>
      <c r="E488" s="288" t="s">
        <v>2924</v>
      </c>
      <c r="F488" s="294" t="s">
        <v>2925</v>
      </c>
      <c r="G488" s="290">
        <v>1</v>
      </c>
      <c r="H488" s="291">
        <v>25.2</v>
      </c>
      <c r="I488" s="292">
        <v>4000</v>
      </c>
      <c r="J488" s="292">
        <f>交易[[#This Row],[價格]]*交易[[#This Row],[數量]]*-1</f>
        <v>-100800</v>
      </c>
      <c r="L488" s="2"/>
    </row>
    <row r="489" spans="1:12">
      <c r="A489" s="330">
        <v>488</v>
      </c>
      <c r="B489" s="297">
        <v>44455</v>
      </c>
      <c r="C489" s="298">
        <v>1313</v>
      </c>
      <c r="D489" s="287" t="s">
        <v>3039</v>
      </c>
      <c r="E489" s="288" t="s">
        <v>2924</v>
      </c>
      <c r="F489" s="294" t="s">
        <v>2925</v>
      </c>
      <c r="G489" s="290">
        <v>1</v>
      </c>
      <c r="H489" s="291">
        <v>25.2</v>
      </c>
      <c r="I489" s="292">
        <v>4000</v>
      </c>
      <c r="J489" s="292">
        <f>交易[[#This Row],[價格]]*交易[[#This Row],[數量]]*-1</f>
        <v>-100800</v>
      </c>
      <c r="L489" s="2"/>
    </row>
    <row r="490" spans="1:12">
      <c r="A490" s="330">
        <v>489</v>
      </c>
      <c r="B490" s="297">
        <v>44455</v>
      </c>
      <c r="C490" s="298">
        <v>1409</v>
      </c>
      <c r="D490" s="287" t="s">
        <v>2923</v>
      </c>
      <c r="E490" s="288" t="s">
        <v>2924</v>
      </c>
      <c r="F490" s="294" t="s">
        <v>2925</v>
      </c>
      <c r="G490" s="290">
        <v>6</v>
      </c>
      <c r="H490" s="291">
        <v>20.3</v>
      </c>
      <c r="I490" s="292">
        <v>10000</v>
      </c>
      <c r="J490" s="292">
        <f>交易[[#This Row],[價格]]*交易[[#This Row],[數量]]*-1</f>
        <v>-203000</v>
      </c>
      <c r="L490" s="2"/>
    </row>
    <row r="491" spans="1:12">
      <c r="A491" s="330">
        <v>490</v>
      </c>
      <c r="B491" s="297">
        <v>44455</v>
      </c>
      <c r="C491" s="298">
        <v>1477</v>
      </c>
      <c r="D491" s="287" t="s">
        <v>3037</v>
      </c>
      <c r="E491" s="288" t="s">
        <v>2924</v>
      </c>
      <c r="F491" s="294" t="s">
        <v>2926</v>
      </c>
      <c r="G491" s="290">
        <v>1</v>
      </c>
      <c r="H491" s="291">
        <v>250</v>
      </c>
      <c r="I491" s="292">
        <v>-1000</v>
      </c>
      <c r="J491" s="292">
        <f>交易[[#This Row],[價格]]*交易[[#This Row],[數量]]*-1</f>
        <v>250000</v>
      </c>
      <c r="L491" s="2"/>
    </row>
    <row r="492" spans="1:12">
      <c r="A492" s="330">
        <v>491</v>
      </c>
      <c r="B492" s="297">
        <v>44455</v>
      </c>
      <c r="C492" s="298">
        <v>1477</v>
      </c>
      <c r="D492" s="287" t="s">
        <v>3037</v>
      </c>
      <c r="E492" s="288" t="s">
        <v>2924</v>
      </c>
      <c r="F492" s="294" t="s">
        <v>2926</v>
      </c>
      <c r="G492" s="290">
        <v>1</v>
      </c>
      <c r="H492" s="291">
        <v>252.5</v>
      </c>
      <c r="I492" s="292">
        <v>1000</v>
      </c>
      <c r="J492" s="292">
        <f>交易[[#This Row],[價格]]*交易[[#This Row],[數量]]*-1</f>
        <v>-252500</v>
      </c>
      <c r="L492" s="2"/>
    </row>
    <row r="493" spans="1:12">
      <c r="A493" s="330">
        <v>492</v>
      </c>
      <c r="B493" s="297">
        <v>44455</v>
      </c>
      <c r="C493" s="298">
        <v>1608</v>
      </c>
      <c r="D493" s="287" t="s">
        <v>3040</v>
      </c>
      <c r="E493" s="288" t="s">
        <v>3017</v>
      </c>
      <c r="F493" s="294" t="s">
        <v>2925</v>
      </c>
      <c r="G493" s="290">
        <v>1</v>
      </c>
      <c r="H493" s="291">
        <v>23.35</v>
      </c>
      <c r="I493" s="292">
        <v>-6000</v>
      </c>
      <c r="J493" s="292">
        <f>交易[[#This Row],[價格]]*交易[[#This Row],[數量]]*-1</f>
        <v>140100</v>
      </c>
      <c r="L493" s="2"/>
    </row>
    <row r="494" spans="1:12">
      <c r="A494" s="330">
        <v>493</v>
      </c>
      <c r="B494" s="297">
        <v>44455</v>
      </c>
      <c r="C494" s="298">
        <v>1609</v>
      </c>
      <c r="D494" s="287" t="s">
        <v>2983</v>
      </c>
      <c r="E494" s="288" t="s">
        <v>2924</v>
      </c>
      <c r="F494" s="294" t="s">
        <v>2925</v>
      </c>
      <c r="G494" s="290">
        <v>1</v>
      </c>
      <c r="H494" s="291">
        <v>27.2</v>
      </c>
      <c r="I494" s="292">
        <v>4000</v>
      </c>
      <c r="J494" s="292">
        <f>交易[[#This Row],[價格]]*交易[[#This Row],[數量]]*-1</f>
        <v>-108800</v>
      </c>
      <c r="L494" s="2"/>
    </row>
    <row r="495" spans="1:12">
      <c r="A495" s="330">
        <v>494</v>
      </c>
      <c r="B495" s="297">
        <v>44455</v>
      </c>
      <c r="C495" s="298">
        <v>1609</v>
      </c>
      <c r="D495" s="287" t="s">
        <v>2983</v>
      </c>
      <c r="E495" s="288" t="s">
        <v>2924</v>
      </c>
      <c r="F495" s="294" t="s">
        <v>2925</v>
      </c>
      <c r="G495" s="290">
        <v>1</v>
      </c>
      <c r="H495" s="291">
        <v>27.05</v>
      </c>
      <c r="I495" s="292">
        <v>4000</v>
      </c>
      <c r="J495" s="292">
        <f>交易[[#This Row],[價格]]*交易[[#This Row],[數量]]*-1</f>
        <v>-108200</v>
      </c>
      <c r="L495" s="2"/>
    </row>
    <row r="496" spans="1:12">
      <c r="A496" s="330">
        <v>495</v>
      </c>
      <c r="B496" s="297">
        <v>44455</v>
      </c>
      <c r="C496" s="298">
        <v>1609</v>
      </c>
      <c r="D496" s="287" t="s">
        <v>2983</v>
      </c>
      <c r="E496" s="288" t="s">
        <v>2924</v>
      </c>
      <c r="F496" s="294" t="s">
        <v>2925</v>
      </c>
      <c r="G496" s="290">
        <v>1</v>
      </c>
      <c r="H496" s="291">
        <v>27.3</v>
      </c>
      <c r="I496" s="292">
        <v>4000</v>
      </c>
      <c r="J496" s="292">
        <f>交易[[#This Row],[價格]]*交易[[#This Row],[數量]]*-1</f>
        <v>-109200</v>
      </c>
      <c r="L496" s="2"/>
    </row>
    <row r="497" spans="1:12">
      <c r="A497" s="330">
        <v>496</v>
      </c>
      <c r="B497" s="297">
        <v>44455</v>
      </c>
      <c r="C497" s="298">
        <v>1609</v>
      </c>
      <c r="D497" s="287" t="s">
        <v>2983</v>
      </c>
      <c r="E497" s="288" t="s">
        <v>2924</v>
      </c>
      <c r="F497" s="294" t="s">
        <v>2929</v>
      </c>
      <c r="G497" s="290">
        <v>1</v>
      </c>
      <c r="H497" s="291">
        <v>26.5</v>
      </c>
      <c r="I497" s="292">
        <v>-4000</v>
      </c>
      <c r="J497" s="292">
        <f>交易[[#This Row],[價格]]*交易[[#This Row],[數量]]*-1</f>
        <v>106000</v>
      </c>
      <c r="L497" s="2"/>
    </row>
    <row r="498" spans="1:12">
      <c r="A498" s="330">
        <v>497</v>
      </c>
      <c r="B498" s="297">
        <v>44455</v>
      </c>
      <c r="C498" s="298">
        <v>1802</v>
      </c>
      <c r="D498" s="287" t="s">
        <v>3041</v>
      </c>
      <c r="E498" s="288" t="s">
        <v>3017</v>
      </c>
      <c r="F498" s="294" t="s">
        <v>2925</v>
      </c>
      <c r="G498" s="290">
        <v>1</v>
      </c>
      <c r="H498" s="291">
        <v>32.5</v>
      </c>
      <c r="I498" s="292">
        <v>-10000</v>
      </c>
      <c r="J498" s="292">
        <f>交易[[#This Row],[價格]]*交易[[#This Row],[數量]]*-1</f>
        <v>325000</v>
      </c>
      <c r="L498" s="2"/>
    </row>
    <row r="499" spans="1:12">
      <c r="A499" s="330">
        <v>498</v>
      </c>
      <c r="B499" s="297">
        <v>44455</v>
      </c>
      <c r="C499" s="298">
        <v>2027</v>
      </c>
      <c r="D499" s="287" t="s">
        <v>3019</v>
      </c>
      <c r="E499" s="288" t="s">
        <v>3017</v>
      </c>
      <c r="F499" s="294" t="s">
        <v>2925</v>
      </c>
      <c r="G499" s="290">
        <v>3</v>
      </c>
      <c r="H499" s="291">
        <v>49</v>
      </c>
      <c r="I499" s="292">
        <v>-4000</v>
      </c>
      <c r="J499" s="292">
        <f>交易[[#This Row],[價格]]*交易[[#This Row],[數量]]*-1</f>
        <v>196000</v>
      </c>
      <c r="L499" s="2"/>
    </row>
    <row r="500" spans="1:12">
      <c r="A500" s="330">
        <v>499</v>
      </c>
      <c r="B500" s="297">
        <v>44455</v>
      </c>
      <c r="C500" s="298">
        <v>2027</v>
      </c>
      <c r="D500" s="287" t="s">
        <v>3019</v>
      </c>
      <c r="E500" s="288" t="s">
        <v>3017</v>
      </c>
      <c r="F500" s="294" t="s">
        <v>2941</v>
      </c>
      <c r="G500" s="290">
        <v>3</v>
      </c>
      <c r="H500" s="291">
        <v>49.35</v>
      </c>
      <c r="I500" s="292">
        <v>4000</v>
      </c>
      <c r="J500" s="292">
        <f>交易[[#This Row],[價格]]*交易[[#This Row],[數量]]*-1</f>
        <v>-197400</v>
      </c>
      <c r="L500" s="2"/>
    </row>
    <row r="501" spans="1:12">
      <c r="A501" s="330">
        <v>500</v>
      </c>
      <c r="B501" s="297">
        <v>44455</v>
      </c>
      <c r="C501" s="298">
        <v>3552</v>
      </c>
      <c r="D501" s="287" t="s">
        <v>3036</v>
      </c>
      <c r="E501" s="288" t="s">
        <v>3017</v>
      </c>
      <c r="F501" s="294" t="s">
        <v>2925</v>
      </c>
      <c r="G501" s="290">
        <v>2</v>
      </c>
      <c r="H501" s="291">
        <v>179</v>
      </c>
      <c r="I501" s="292">
        <v>-2000</v>
      </c>
      <c r="J501" s="292">
        <f>交易[[#This Row],[價格]]*交易[[#This Row],[數量]]*-1</f>
        <v>358000</v>
      </c>
      <c r="L501" s="2"/>
    </row>
    <row r="502" spans="1:12">
      <c r="A502" s="330">
        <v>501</v>
      </c>
      <c r="B502" s="297">
        <v>44461</v>
      </c>
      <c r="C502" s="298">
        <v>1101</v>
      </c>
      <c r="D502" s="287" t="s">
        <v>2945</v>
      </c>
      <c r="E502" s="288" t="s">
        <v>2924</v>
      </c>
      <c r="F502" s="294" t="s">
        <v>2963</v>
      </c>
      <c r="G502" s="290">
        <v>4</v>
      </c>
      <c r="H502" s="291">
        <v>50.2</v>
      </c>
      <c r="I502" s="292">
        <v>-500</v>
      </c>
      <c r="J502" s="292">
        <f>交易[[#This Row],[價格]]*交易[[#This Row],[數量]]*-1</f>
        <v>25100</v>
      </c>
      <c r="L502" s="2"/>
    </row>
    <row r="503" spans="1:12">
      <c r="A503" s="330">
        <v>502</v>
      </c>
      <c r="B503" s="297">
        <v>44461</v>
      </c>
      <c r="C503" s="298">
        <v>1101</v>
      </c>
      <c r="D503" s="287" t="s">
        <v>2945</v>
      </c>
      <c r="E503" s="288" t="s">
        <v>2924</v>
      </c>
      <c r="F503" s="294" t="s">
        <v>2963</v>
      </c>
      <c r="G503" s="290">
        <v>4</v>
      </c>
      <c r="H503" s="291">
        <v>50.2</v>
      </c>
      <c r="I503" s="292">
        <v>-500</v>
      </c>
      <c r="J503" s="292">
        <f>交易[[#This Row],[價格]]*交易[[#This Row],[數量]]*-1</f>
        <v>25100</v>
      </c>
      <c r="L503" s="2"/>
    </row>
    <row r="504" spans="1:12">
      <c r="A504" s="330">
        <v>503</v>
      </c>
      <c r="B504" s="297">
        <v>44461</v>
      </c>
      <c r="C504" s="298">
        <v>1101</v>
      </c>
      <c r="D504" s="287" t="s">
        <v>2945</v>
      </c>
      <c r="E504" s="288" t="s">
        <v>2924</v>
      </c>
      <c r="F504" s="294" t="s">
        <v>2963</v>
      </c>
      <c r="G504" s="290">
        <v>4</v>
      </c>
      <c r="H504" s="291">
        <v>50.2</v>
      </c>
      <c r="I504" s="292">
        <v>-500</v>
      </c>
      <c r="J504" s="292">
        <f>交易[[#This Row],[價格]]*交易[[#This Row],[數量]]*-1</f>
        <v>25100</v>
      </c>
      <c r="L504" s="2"/>
    </row>
    <row r="505" spans="1:12">
      <c r="A505" s="330">
        <v>504</v>
      </c>
      <c r="B505" s="297">
        <v>44461</v>
      </c>
      <c r="C505" s="298">
        <v>1101</v>
      </c>
      <c r="D505" s="287" t="s">
        <v>2945</v>
      </c>
      <c r="E505" s="288" t="s">
        <v>2924</v>
      </c>
      <c r="F505" s="294" t="s">
        <v>2963</v>
      </c>
      <c r="G505" s="290">
        <v>4</v>
      </c>
      <c r="H505" s="291">
        <v>50.2</v>
      </c>
      <c r="I505" s="292">
        <v>-500</v>
      </c>
      <c r="J505" s="292">
        <f>交易[[#This Row],[價格]]*交易[[#This Row],[數量]]*-1</f>
        <v>25100</v>
      </c>
      <c r="L505" s="2"/>
    </row>
    <row r="506" spans="1:12">
      <c r="A506" s="330">
        <v>505</v>
      </c>
      <c r="B506" s="297">
        <v>44461</v>
      </c>
      <c r="C506" s="298">
        <v>1101</v>
      </c>
      <c r="D506" s="287" t="s">
        <v>2945</v>
      </c>
      <c r="E506" s="288" t="s">
        <v>2924</v>
      </c>
      <c r="F506" s="294" t="s">
        <v>2963</v>
      </c>
      <c r="G506" s="290">
        <v>4</v>
      </c>
      <c r="H506" s="291">
        <v>50.2</v>
      </c>
      <c r="I506" s="292">
        <v>-500</v>
      </c>
      <c r="J506" s="292">
        <f>交易[[#This Row],[價格]]*交易[[#This Row],[數量]]*-1</f>
        <v>25100</v>
      </c>
      <c r="L506" s="2"/>
    </row>
    <row r="507" spans="1:12">
      <c r="A507" s="330">
        <v>506</v>
      </c>
      <c r="B507" s="297">
        <v>44461</v>
      </c>
      <c r="C507" s="298">
        <v>1101</v>
      </c>
      <c r="D507" s="287" t="s">
        <v>2945</v>
      </c>
      <c r="E507" s="288" t="s">
        <v>2924</v>
      </c>
      <c r="F507" s="294" t="s">
        <v>2963</v>
      </c>
      <c r="G507" s="290">
        <v>4</v>
      </c>
      <c r="H507" s="291">
        <v>50.2</v>
      </c>
      <c r="I507" s="292">
        <v>-500</v>
      </c>
      <c r="J507" s="292">
        <f>交易[[#This Row],[價格]]*交易[[#This Row],[數量]]*-1</f>
        <v>25100</v>
      </c>
      <c r="L507" s="2"/>
    </row>
    <row r="508" spans="1:12">
      <c r="A508" s="330">
        <v>507</v>
      </c>
      <c r="B508" s="297">
        <v>44461</v>
      </c>
      <c r="C508" s="298">
        <v>1101</v>
      </c>
      <c r="D508" s="287" t="s">
        <v>2945</v>
      </c>
      <c r="E508" s="288" t="s">
        <v>2924</v>
      </c>
      <c r="F508" s="294" t="s">
        <v>2963</v>
      </c>
      <c r="G508" s="290">
        <v>4</v>
      </c>
      <c r="H508" s="291">
        <v>50.2</v>
      </c>
      <c r="I508" s="292">
        <v>-500</v>
      </c>
      <c r="J508" s="292">
        <f>交易[[#This Row],[價格]]*交易[[#This Row],[數量]]*-1</f>
        <v>25100</v>
      </c>
      <c r="L508" s="2"/>
    </row>
    <row r="509" spans="1:12">
      <c r="A509" s="330">
        <v>508</v>
      </c>
      <c r="B509" s="297">
        <v>44461</v>
      </c>
      <c r="C509" s="298">
        <v>1101</v>
      </c>
      <c r="D509" s="287" t="s">
        <v>2945</v>
      </c>
      <c r="E509" s="288" t="s">
        <v>2924</v>
      </c>
      <c r="F509" s="294" t="s">
        <v>2963</v>
      </c>
      <c r="G509" s="290">
        <v>4</v>
      </c>
      <c r="H509" s="291">
        <v>50.2</v>
      </c>
      <c r="I509" s="292">
        <v>-500</v>
      </c>
      <c r="J509" s="292">
        <f>交易[[#This Row],[價格]]*交易[[#This Row],[數量]]*-1</f>
        <v>25100</v>
      </c>
      <c r="L509" s="2"/>
    </row>
    <row r="510" spans="1:12">
      <c r="A510" s="330">
        <v>509</v>
      </c>
      <c r="B510" s="297">
        <v>44461</v>
      </c>
      <c r="C510" s="298">
        <v>1101</v>
      </c>
      <c r="D510" s="287" t="s">
        <v>2945</v>
      </c>
      <c r="E510" s="288" t="s">
        <v>2924</v>
      </c>
      <c r="F510" s="294" t="s">
        <v>2963</v>
      </c>
      <c r="G510" s="290">
        <v>4</v>
      </c>
      <c r="H510" s="291">
        <v>50.2</v>
      </c>
      <c r="I510" s="292">
        <v>-500</v>
      </c>
      <c r="J510" s="292">
        <f>交易[[#This Row],[價格]]*交易[[#This Row],[數量]]*-1</f>
        <v>25100</v>
      </c>
      <c r="L510" s="2"/>
    </row>
    <row r="511" spans="1:12">
      <c r="A511" s="330">
        <v>510</v>
      </c>
      <c r="B511" s="297">
        <v>44461</v>
      </c>
      <c r="C511" s="298">
        <v>1101</v>
      </c>
      <c r="D511" s="287" t="s">
        <v>2945</v>
      </c>
      <c r="E511" s="288" t="s">
        <v>2924</v>
      </c>
      <c r="F511" s="294" t="s">
        <v>2963</v>
      </c>
      <c r="G511" s="290">
        <v>4</v>
      </c>
      <c r="H511" s="291">
        <v>50.2</v>
      </c>
      <c r="I511" s="292">
        <v>-500</v>
      </c>
      <c r="J511" s="292">
        <f>交易[[#This Row],[價格]]*交易[[#This Row],[數量]]*-1</f>
        <v>25100</v>
      </c>
      <c r="L511" s="2"/>
    </row>
    <row r="512" spans="1:12">
      <c r="A512" s="330">
        <v>511</v>
      </c>
      <c r="B512" s="297">
        <v>44461</v>
      </c>
      <c r="C512" s="298">
        <v>1101</v>
      </c>
      <c r="D512" s="287" t="s">
        <v>2945</v>
      </c>
      <c r="E512" s="288" t="s">
        <v>2924</v>
      </c>
      <c r="F512" s="294" t="s">
        <v>2963</v>
      </c>
      <c r="G512" s="290">
        <v>4</v>
      </c>
      <c r="H512" s="291">
        <v>50.2</v>
      </c>
      <c r="I512" s="292">
        <v>-500</v>
      </c>
      <c r="J512" s="292">
        <f>交易[[#This Row],[價格]]*交易[[#This Row],[數量]]*-1</f>
        <v>25100</v>
      </c>
      <c r="L512" s="2"/>
    </row>
    <row r="513" spans="1:12">
      <c r="A513" s="330">
        <v>512</v>
      </c>
      <c r="B513" s="297">
        <v>44461</v>
      </c>
      <c r="C513" s="298">
        <v>1101</v>
      </c>
      <c r="D513" s="287" t="s">
        <v>2945</v>
      </c>
      <c r="E513" s="288" t="s">
        <v>2924</v>
      </c>
      <c r="F513" s="294" t="s">
        <v>2963</v>
      </c>
      <c r="G513" s="290">
        <v>4</v>
      </c>
      <c r="H513" s="291">
        <v>50.2</v>
      </c>
      <c r="I513" s="292">
        <v>-500</v>
      </c>
      <c r="J513" s="292">
        <f>交易[[#This Row],[價格]]*交易[[#This Row],[數量]]*-1</f>
        <v>25100</v>
      </c>
      <c r="L513" s="2"/>
    </row>
    <row r="514" spans="1:12">
      <c r="A514" s="330">
        <v>513</v>
      </c>
      <c r="B514" s="297">
        <v>44461</v>
      </c>
      <c r="C514" s="298">
        <v>1313</v>
      </c>
      <c r="D514" s="287" t="s">
        <v>3039</v>
      </c>
      <c r="E514" s="288" t="s">
        <v>2924</v>
      </c>
      <c r="F514" s="294" t="s">
        <v>2941</v>
      </c>
      <c r="G514" s="290">
        <v>1</v>
      </c>
      <c r="H514" s="291">
        <v>23.3</v>
      </c>
      <c r="I514" s="292">
        <v>-4000</v>
      </c>
      <c r="J514" s="292">
        <f>交易[[#This Row],[價格]]*交易[[#This Row],[數量]]*-1</f>
        <v>93200</v>
      </c>
      <c r="L514" s="2"/>
    </row>
    <row r="515" spans="1:12">
      <c r="A515" s="330">
        <v>514</v>
      </c>
      <c r="B515" s="297">
        <v>44461</v>
      </c>
      <c r="C515" s="298">
        <v>1313</v>
      </c>
      <c r="D515" s="287" t="s">
        <v>3039</v>
      </c>
      <c r="E515" s="288" t="s">
        <v>2924</v>
      </c>
      <c r="F515" s="294" t="s">
        <v>2941</v>
      </c>
      <c r="G515" s="290">
        <v>1</v>
      </c>
      <c r="H515" s="291">
        <v>23.25</v>
      </c>
      <c r="I515" s="292">
        <v>-4000</v>
      </c>
      <c r="J515" s="292">
        <f>交易[[#This Row],[價格]]*交易[[#This Row],[數量]]*-1</f>
        <v>93000</v>
      </c>
      <c r="L515" s="2"/>
    </row>
    <row r="516" spans="1:12">
      <c r="A516" s="330">
        <v>515</v>
      </c>
      <c r="B516" s="297">
        <v>44461</v>
      </c>
      <c r="C516" s="298">
        <v>1409</v>
      </c>
      <c r="D516" s="287" t="s">
        <v>2923</v>
      </c>
      <c r="E516" s="288" t="s">
        <v>2924</v>
      </c>
      <c r="F516" s="294" t="s">
        <v>2941</v>
      </c>
      <c r="G516" s="290">
        <v>6</v>
      </c>
      <c r="H516" s="291">
        <v>19.45</v>
      </c>
      <c r="I516" s="292">
        <v>-10000</v>
      </c>
      <c r="J516" s="292">
        <f>交易[[#This Row],[價格]]*交易[[#This Row],[數量]]*-1</f>
        <v>194500</v>
      </c>
      <c r="L516" s="2"/>
    </row>
    <row r="517" spans="1:12">
      <c r="A517" s="330">
        <v>516</v>
      </c>
      <c r="B517" s="297">
        <v>44461</v>
      </c>
      <c r="C517" s="298">
        <v>1409</v>
      </c>
      <c r="D517" s="287" t="s">
        <v>2923</v>
      </c>
      <c r="E517" s="288" t="s">
        <v>2932</v>
      </c>
      <c r="F517" s="294" t="s">
        <v>2931</v>
      </c>
      <c r="G517" s="290">
        <v>4</v>
      </c>
      <c r="H517" s="291">
        <v>19.25</v>
      </c>
      <c r="I517" s="292">
        <v>-10000</v>
      </c>
      <c r="J517" s="292">
        <f>交易[[#This Row],[價格]]*交易[[#This Row],[數量]]*-1</f>
        <v>192500</v>
      </c>
      <c r="L517" s="2"/>
    </row>
    <row r="518" spans="1:12">
      <c r="A518" s="330">
        <v>517</v>
      </c>
      <c r="B518" s="297">
        <v>44461</v>
      </c>
      <c r="C518" s="298">
        <v>1609</v>
      </c>
      <c r="D518" s="287" t="s">
        <v>2983</v>
      </c>
      <c r="E518" s="288" t="s">
        <v>2924</v>
      </c>
      <c r="F518" s="294" t="s">
        <v>2941</v>
      </c>
      <c r="G518" s="290">
        <v>1</v>
      </c>
      <c r="H518" s="291">
        <v>25.15</v>
      </c>
      <c r="I518" s="292">
        <v>-6000</v>
      </c>
      <c r="J518" s="292">
        <f>交易[[#This Row],[價格]]*交易[[#This Row],[數量]]*-1</f>
        <v>150900</v>
      </c>
      <c r="L518" s="2"/>
    </row>
    <row r="519" spans="1:12">
      <c r="A519" s="330">
        <v>518</v>
      </c>
      <c r="B519" s="297">
        <v>44461</v>
      </c>
      <c r="C519" s="298">
        <v>1609</v>
      </c>
      <c r="D519" s="287" t="s">
        <v>2983</v>
      </c>
      <c r="E519" s="288" t="s">
        <v>2924</v>
      </c>
      <c r="F519" s="294" t="s">
        <v>2941</v>
      </c>
      <c r="G519" s="290">
        <v>1</v>
      </c>
      <c r="H519" s="291">
        <v>25.1</v>
      </c>
      <c r="I519" s="292">
        <v>-2000</v>
      </c>
      <c r="J519" s="292">
        <f>交易[[#This Row],[價格]]*交易[[#This Row],[數量]]*-1</f>
        <v>50200</v>
      </c>
      <c r="L519" s="2"/>
    </row>
    <row r="520" spans="1:12">
      <c r="A520" s="330">
        <v>519</v>
      </c>
      <c r="B520" s="297">
        <v>44461</v>
      </c>
      <c r="C520" s="298">
        <v>1785</v>
      </c>
      <c r="D520" s="287" t="s">
        <v>3000</v>
      </c>
      <c r="E520" s="288" t="s">
        <v>2924</v>
      </c>
      <c r="F520" s="294" t="s">
        <v>2941</v>
      </c>
      <c r="G520" s="290">
        <v>5</v>
      </c>
      <c r="H520" s="291">
        <v>49.8</v>
      </c>
      <c r="I520" s="292">
        <v>-5000</v>
      </c>
      <c r="J520" s="292">
        <f>交易[[#This Row],[價格]]*交易[[#This Row],[數量]]*-1</f>
        <v>249000</v>
      </c>
      <c r="L520" s="2"/>
    </row>
    <row r="521" spans="1:12">
      <c r="A521" s="330">
        <v>520</v>
      </c>
      <c r="B521" s="297">
        <v>44461</v>
      </c>
      <c r="C521" s="298">
        <v>1785</v>
      </c>
      <c r="D521" s="287" t="s">
        <v>3000</v>
      </c>
      <c r="E521" s="288" t="s">
        <v>2924</v>
      </c>
      <c r="F521" s="294" t="s">
        <v>2941</v>
      </c>
      <c r="G521" s="290">
        <v>5</v>
      </c>
      <c r="H521" s="291">
        <v>49.8</v>
      </c>
      <c r="I521" s="292">
        <v>-5000</v>
      </c>
      <c r="J521" s="292">
        <f>交易[[#This Row],[價格]]*交易[[#This Row],[數量]]*-1</f>
        <v>249000</v>
      </c>
      <c r="L521" s="2"/>
    </row>
    <row r="522" spans="1:12">
      <c r="A522" s="330">
        <v>521</v>
      </c>
      <c r="B522" s="297">
        <v>44461</v>
      </c>
      <c r="C522" s="298">
        <v>2301</v>
      </c>
      <c r="D522" s="287" t="s">
        <v>3038</v>
      </c>
      <c r="E522" s="288" t="s">
        <v>2924</v>
      </c>
      <c r="F522" s="294" t="s">
        <v>2941</v>
      </c>
      <c r="G522" s="290">
        <v>1</v>
      </c>
      <c r="H522" s="291">
        <v>60.1</v>
      </c>
      <c r="I522" s="292">
        <v>-5000</v>
      </c>
      <c r="J522" s="292">
        <f>交易[[#This Row],[價格]]*交易[[#This Row],[數量]]*-1</f>
        <v>300500</v>
      </c>
      <c r="L522" s="2"/>
    </row>
    <row r="523" spans="1:12">
      <c r="A523" s="330">
        <v>522</v>
      </c>
      <c r="B523" s="297">
        <v>44461</v>
      </c>
      <c r="C523" s="298">
        <v>2880</v>
      </c>
      <c r="D523" s="287" t="s">
        <v>3032</v>
      </c>
      <c r="E523" s="288" t="s">
        <v>2924</v>
      </c>
      <c r="F523" s="294" t="s">
        <v>2929</v>
      </c>
      <c r="G523" s="290">
        <v>1</v>
      </c>
      <c r="H523" s="291">
        <v>20.2</v>
      </c>
      <c r="I523" s="292">
        <v>-800</v>
      </c>
      <c r="J523" s="292">
        <f>交易[[#This Row],[價格]]*交易[[#This Row],[數量]]*-1</f>
        <v>16160</v>
      </c>
      <c r="L523" s="2"/>
    </row>
    <row r="524" spans="1:12">
      <c r="A524" s="330">
        <v>523</v>
      </c>
      <c r="B524" s="297">
        <v>44461</v>
      </c>
      <c r="C524" s="298">
        <v>2880</v>
      </c>
      <c r="D524" s="287" t="s">
        <v>3032</v>
      </c>
      <c r="E524" s="288" t="s">
        <v>2924</v>
      </c>
      <c r="F524" s="294" t="s">
        <v>2930</v>
      </c>
      <c r="G524" s="290">
        <v>1</v>
      </c>
      <c r="H524" s="291">
        <v>20.2</v>
      </c>
      <c r="I524" s="292">
        <v>-800</v>
      </c>
      <c r="J524" s="292">
        <f>交易[[#This Row],[價格]]*交易[[#This Row],[數量]]*-1</f>
        <v>16160</v>
      </c>
      <c r="L524" s="2"/>
    </row>
    <row r="525" spans="1:12">
      <c r="A525" s="330">
        <v>524</v>
      </c>
      <c r="B525" s="297">
        <v>44461</v>
      </c>
      <c r="C525" s="298">
        <v>2880</v>
      </c>
      <c r="D525" s="287" t="s">
        <v>3032</v>
      </c>
      <c r="E525" s="288" t="s">
        <v>2924</v>
      </c>
      <c r="F525" s="294" t="s">
        <v>2930</v>
      </c>
      <c r="G525" s="290">
        <v>1</v>
      </c>
      <c r="H525" s="291">
        <v>20.2</v>
      </c>
      <c r="I525" s="292">
        <v>-800</v>
      </c>
      <c r="J525" s="292">
        <f>交易[[#This Row],[價格]]*交易[[#This Row],[數量]]*-1</f>
        <v>16160</v>
      </c>
      <c r="L525" s="2"/>
    </row>
    <row r="526" spans="1:12">
      <c r="A526" s="330">
        <v>525</v>
      </c>
      <c r="B526" s="297">
        <v>44461</v>
      </c>
      <c r="C526" s="298">
        <v>2880</v>
      </c>
      <c r="D526" s="287" t="s">
        <v>3032</v>
      </c>
      <c r="E526" s="288" t="s">
        <v>2924</v>
      </c>
      <c r="F526" s="294" t="s">
        <v>2930</v>
      </c>
      <c r="G526" s="290">
        <v>1</v>
      </c>
      <c r="H526" s="291">
        <v>20.2</v>
      </c>
      <c r="I526" s="292">
        <v>-800</v>
      </c>
      <c r="J526" s="292">
        <f>交易[[#This Row],[價格]]*交易[[#This Row],[數量]]*-1</f>
        <v>16160</v>
      </c>
      <c r="L526" s="2"/>
    </row>
    <row r="527" spans="1:12">
      <c r="A527" s="330">
        <v>526</v>
      </c>
      <c r="B527" s="297">
        <v>44461</v>
      </c>
      <c r="C527" s="298">
        <v>2880</v>
      </c>
      <c r="D527" s="287" t="s">
        <v>3032</v>
      </c>
      <c r="E527" s="288" t="s">
        <v>2924</v>
      </c>
      <c r="F527" s="294" t="s">
        <v>2930</v>
      </c>
      <c r="G527" s="290">
        <v>1</v>
      </c>
      <c r="H527" s="291">
        <v>20.2</v>
      </c>
      <c r="I527" s="292">
        <v>-800</v>
      </c>
      <c r="J527" s="292">
        <f>交易[[#This Row],[價格]]*交易[[#This Row],[數量]]*-1</f>
        <v>16160</v>
      </c>
      <c r="L527" s="2"/>
    </row>
    <row r="528" spans="1:12">
      <c r="A528" s="330">
        <v>527</v>
      </c>
      <c r="B528" s="297">
        <v>44461</v>
      </c>
      <c r="C528" s="298">
        <v>2880</v>
      </c>
      <c r="D528" s="287" t="s">
        <v>3032</v>
      </c>
      <c r="E528" s="288" t="s">
        <v>2924</v>
      </c>
      <c r="F528" s="294" t="s">
        <v>2930</v>
      </c>
      <c r="G528" s="290">
        <v>1</v>
      </c>
      <c r="H528" s="291">
        <v>20.2</v>
      </c>
      <c r="I528" s="292">
        <v>-800</v>
      </c>
      <c r="J528" s="292">
        <f>交易[[#This Row],[價格]]*交易[[#This Row],[數量]]*-1</f>
        <v>16160</v>
      </c>
      <c r="L528" s="2"/>
    </row>
    <row r="529" spans="1:12">
      <c r="A529" s="330">
        <v>528</v>
      </c>
      <c r="B529" s="297">
        <v>44461</v>
      </c>
      <c r="C529" s="298">
        <v>2880</v>
      </c>
      <c r="D529" s="287" t="s">
        <v>3032</v>
      </c>
      <c r="E529" s="288" t="s">
        <v>2924</v>
      </c>
      <c r="F529" s="294" t="s">
        <v>2930</v>
      </c>
      <c r="G529" s="290">
        <v>1</v>
      </c>
      <c r="H529" s="291">
        <v>20.149999999999999</v>
      </c>
      <c r="I529" s="292">
        <v>-200</v>
      </c>
      <c r="J529" s="292">
        <f>交易[[#This Row],[價格]]*交易[[#This Row],[數量]]*-1</f>
        <v>4029.9999999999995</v>
      </c>
      <c r="L529" s="2"/>
    </row>
    <row r="530" spans="1:12">
      <c r="A530" s="330">
        <v>529</v>
      </c>
      <c r="B530" s="297">
        <v>44461</v>
      </c>
      <c r="C530" s="298">
        <v>2880</v>
      </c>
      <c r="D530" s="287" t="s">
        <v>3032</v>
      </c>
      <c r="E530" s="288" t="s">
        <v>2924</v>
      </c>
      <c r="F530" s="294" t="s">
        <v>2930</v>
      </c>
      <c r="G530" s="290">
        <v>1</v>
      </c>
      <c r="H530" s="291">
        <v>20.149999999999999</v>
      </c>
      <c r="I530" s="292">
        <v>-500</v>
      </c>
      <c r="J530" s="292">
        <f>交易[[#This Row],[價格]]*交易[[#This Row],[數量]]*-1</f>
        <v>10075</v>
      </c>
      <c r="L530" s="2"/>
    </row>
    <row r="531" spans="1:12">
      <c r="A531" s="330">
        <v>530</v>
      </c>
      <c r="B531" s="297">
        <v>44461</v>
      </c>
      <c r="C531" s="298">
        <v>2880</v>
      </c>
      <c r="D531" s="287" t="s">
        <v>3032</v>
      </c>
      <c r="E531" s="288" t="s">
        <v>2924</v>
      </c>
      <c r="F531" s="294" t="s">
        <v>2930</v>
      </c>
      <c r="G531" s="290">
        <v>1</v>
      </c>
      <c r="H531" s="291">
        <v>20.149999999999999</v>
      </c>
      <c r="I531" s="292">
        <v>-500</v>
      </c>
      <c r="J531" s="292">
        <f>交易[[#This Row],[價格]]*交易[[#This Row],[數量]]*-1</f>
        <v>10075</v>
      </c>
      <c r="L531" s="2"/>
    </row>
    <row r="532" spans="1:12">
      <c r="A532" s="330">
        <v>531</v>
      </c>
      <c r="B532" s="297">
        <v>44461</v>
      </c>
      <c r="C532" s="298">
        <v>2880</v>
      </c>
      <c r="D532" s="287" t="s">
        <v>3032</v>
      </c>
      <c r="E532" s="288" t="s">
        <v>2924</v>
      </c>
      <c r="F532" s="294" t="s">
        <v>2930</v>
      </c>
      <c r="G532" s="290">
        <v>1</v>
      </c>
      <c r="H532" s="291">
        <v>20.149999999999999</v>
      </c>
      <c r="I532" s="292">
        <v>-500</v>
      </c>
      <c r="J532" s="292">
        <f>交易[[#This Row],[價格]]*交易[[#This Row],[數量]]*-1</f>
        <v>10075</v>
      </c>
      <c r="L532" s="2"/>
    </row>
    <row r="533" spans="1:12">
      <c r="A533" s="330">
        <v>532</v>
      </c>
      <c r="B533" s="297">
        <v>44461</v>
      </c>
      <c r="C533" s="298">
        <v>2880</v>
      </c>
      <c r="D533" s="287" t="s">
        <v>3032</v>
      </c>
      <c r="E533" s="288" t="s">
        <v>2924</v>
      </c>
      <c r="F533" s="294" t="s">
        <v>2930</v>
      </c>
      <c r="G533" s="290">
        <v>1</v>
      </c>
      <c r="H533" s="291">
        <v>20.149999999999999</v>
      </c>
      <c r="I533" s="292">
        <v>-500</v>
      </c>
      <c r="J533" s="292">
        <f>交易[[#This Row],[價格]]*交易[[#This Row],[數量]]*-1</f>
        <v>10075</v>
      </c>
      <c r="L533" s="2"/>
    </row>
    <row r="534" spans="1:12">
      <c r="A534" s="330">
        <v>533</v>
      </c>
      <c r="B534" s="297">
        <v>44461</v>
      </c>
      <c r="C534" s="298">
        <v>2880</v>
      </c>
      <c r="D534" s="287" t="s">
        <v>3032</v>
      </c>
      <c r="E534" s="288" t="s">
        <v>2924</v>
      </c>
      <c r="F534" s="294" t="s">
        <v>2930</v>
      </c>
      <c r="G534" s="290">
        <v>1</v>
      </c>
      <c r="H534" s="291">
        <v>20.05</v>
      </c>
      <c r="I534" s="292">
        <v>-600</v>
      </c>
      <c r="J534" s="292">
        <f>交易[[#This Row],[價格]]*交易[[#This Row],[數量]]*-1</f>
        <v>12030</v>
      </c>
      <c r="L534" s="2"/>
    </row>
    <row r="535" spans="1:12">
      <c r="A535" s="330">
        <v>534</v>
      </c>
      <c r="B535" s="297">
        <v>44461</v>
      </c>
      <c r="C535" s="298">
        <v>2880</v>
      </c>
      <c r="D535" s="287" t="s">
        <v>3032</v>
      </c>
      <c r="E535" s="288" t="s">
        <v>2924</v>
      </c>
      <c r="F535" s="294" t="s">
        <v>2930</v>
      </c>
      <c r="G535" s="290">
        <v>1</v>
      </c>
      <c r="H535" s="291">
        <v>20.05</v>
      </c>
      <c r="I535" s="292">
        <v>-600</v>
      </c>
      <c r="J535" s="292">
        <f>交易[[#This Row],[價格]]*交易[[#This Row],[數量]]*-1</f>
        <v>12030</v>
      </c>
      <c r="L535" s="2"/>
    </row>
    <row r="536" spans="1:12">
      <c r="A536" s="330">
        <v>535</v>
      </c>
      <c r="B536" s="297">
        <v>44461</v>
      </c>
      <c r="C536" s="298">
        <v>2880</v>
      </c>
      <c r="D536" s="287" t="s">
        <v>3032</v>
      </c>
      <c r="E536" s="288" t="s">
        <v>2924</v>
      </c>
      <c r="F536" s="294" t="s">
        <v>2930</v>
      </c>
      <c r="G536" s="290">
        <v>1</v>
      </c>
      <c r="H536" s="291">
        <v>20.05</v>
      </c>
      <c r="I536" s="292">
        <v>-600</v>
      </c>
      <c r="J536" s="292">
        <f>交易[[#This Row],[價格]]*交易[[#This Row],[數量]]*-1</f>
        <v>12030</v>
      </c>
      <c r="L536" s="2"/>
    </row>
    <row r="537" spans="1:12">
      <c r="A537" s="330">
        <v>536</v>
      </c>
      <c r="B537" s="297">
        <v>44461</v>
      </c>
      <c r="C537" s="298">
        <v>2880</v>
      </c>
      <c r="D537" s="287" t="s">
        <v>3032</v>
      </c>
      <c r="E537" s="288" t="s">
        <v>2924</v>
      </c>
      <c r="F537" s="294" t="s">
        <v>2930</v>
      </c>
      <c r="G537" s="290">
        <v>1</v>
      </c>
      <c r="H537" s="291">
        <v>20.05</v>
      </c>
      <c r="I537" s="292">
        <v>-600</v>
      </c>
      <c r="J537" s="292">
        <f>交易[[#This Row],[價格]]*交易[[#This Row],[數量]]*-1</f>
        <v>12030</v>
      </c>
      <c r="L537" s="2"/>
    </row>
    <row r="538" spans="1:12">
      <c r="A538" s="330">
        <v>537</v>
      </c>
      <c r="B538" s="297">
        <v>44461</v>
      </c>
      <c r="C538" s="298">
        <v>2880</v>
      </c>
      <c r="D538" s="287" t="s">
        <v>3032</v>
      </c>
      <c r="E538" s="288" t="s">
        <v>2924</v>
      </c>
      <c r="F538" s="294" t="s">
        <v>2930</v>
      </c>
      <c r="G538" s="290">
        <v>1</v>
      </c>
      <c r="H538" s="291">
        <v>20.05</v>
      </c>
      <c r="I538" s="292">
        <v>-600</v>
      </c>
      <c r="J538" s="292">
        <f>交易[[#This Row],[價格]]*交易[[#This Row],[數量]]*-1</f>
        <v>12030</v>
      </c>
      <c r="L538" s="2"/>
    </row>
    <row r="539" spans="1:12">
      <c r="A539" s="330">
        <v>538</v>
      </c>
      <c r="B539" s="297">
        <v>44461</v>
      </c>
      <c r="C539" s="298">
        <v>6282</v>
      </c>
      <c r="D539" s="287" t="s">
        <v>3010</v>
      </c>
      <c r="E539" s="288" t="s">
        <v>2924</v>
      </c>
      <c r="F539" s="294" t="s">
        <v>2925</v>
      </c>
      <c r="G539" s="290">
        <v>1</v>
      </c>
      <c r="H539" s="291">
        <v>28.5</v>
      </c>
      <c r="I539" s="292">
        <v>11000</v>
      </c>
      <c r="J539" s="292">
        <f>交易[[#This Row],[價格]]*交易[[#This Row],[數量]]*-1</f>
        <v>-313500</v>
      </c>
      <c r="L539" s="2"/>
    </row>
    <row r="540" spans="1:12">
      <c r="A540" s="330">
        <v>539</v>
      </c>
      <c r="B540" s="297">
        <v>44461</v>
      </c>
      <c r="C540" s="298">
        <v>8016</v>
      </c>
      <c r="D540" s="287" t="s">
        <v>3009</v>
      </c>
      <c r="E540" s="288" t="s">
        <v>3017</v>
      </c>
      <c r="F540" s="294" t="s">
        <v>2925</v>
      </c>
      <c r="G540" s="290">
        <v>3</v>
      </c>
      <c r="H540" s="291">
        <v>254.5</v>
      </c>
      <c r="I540" s="292">
        <v>-1000</v>
      </c>
      <c r="J540" s="292">
        <f>交易[[#This Row],[價格]]*交易[[#This Row],[數量]]*-1</f>
        <v>254500</v>
      </c>
      <c r="L540" s="2"/>
    </row>
    <row r="541" spans="1:12">
      <c r="A541" s="330">
        <v>540</v>
      </c>
      <c r="B541" s="297">
        <v>44462</v>
      </c>
      <c r="C541" s="298">
        <v>1477</v>
      </c>
      <c r="D541" s="287" t="s">
        <v>3037</v>
      </c>
      <c r="E541" s="288" t="s">
        <v>2924</v>
      </c>
      <c r="F541" s="294" t="s">
        <v>2926</v>
      </c>
      <c r="G541" s="290">
        <v>1</v>
      </c>
      <c r="H541" s="291">
        <v>254.5</v>
      </c>
      <c r="I541" s="292">
        <v>100</v>
      </c>
      <c r="J541" s="292">
        <f>交易[[#This Row],[價格]]*交易[[#This Row],[數量]]*-1</f>
        <v>-25450</v>
      </c>
      <c r="L541" s="2"/>
    </row>
    <row r="542" spans="1:12">
      <c r="A542" s="330">
        <v>541</v>
      </c>
      <c r="B542" s="297">
        <v>44462</v>
      </c>
      <c r="C542" s="298">
        <v>1477</v>
      </c>
      <c r="D542" s="287" t="s">
        <v>3037</v>
      </c>
      <c r="E542" s="288" t="s">
        <v>2924</v>
      </c>
      <c r="F542" s="294" t="s">
        <v>2926</v>
      </c>
      <c r="G542" s="290">
        <v>1</v>
      </c>
      <c r="H542" s="291">
        <v>254.5</v>
      </c>
      <c r="I542" s="292">
        <v>50</v>
      </c>
      <c r="J542" s="292">
        <f>交易[[#This Row],[價格]]*交易[[#This Row],[數量]]*-1</f>
        <v>-12725</v>
      </c>
      <c r="L542" s="2"/>
    </row>
    <row r="543" spans="1:12">
      <c r="A543" s="330">
        <v>542</v>
      </c>
      <c r="B543" s="297">
        <v>44462</v>
      </c>
      <c r="C543" s="298">
        <v>1477</v>
      </c>
      <c r="D543" s="287" t="s">
        <v>3037</v>
      </c>
      <c r="E543" s="288" t="s">
        <v>2924</v>
      </c>
      <c r="F543" s="294" t="s">
        <v>2926</v>
      </c>
      <c r="G543" s="290">
        <v>1</v>
      </c>
      <c r="H543" s="291">
        <v>254</v>
      </c>
      <c r="I543" s="292">
        <v>50</v>
      </c>
      <c r="J543" s="292">
        <f>交易[[#This Row],[價格]]*交易[[#This Row],[數量]]*-1</f>
        <v>-12700</v>
      </c>
      <c r="L543" s="2"/>
    </row>
    <row r="544" spans="1:12">
      <c r="A544" s="330">
        <v>543</v>
      </c>
      <c r="B544" s="297">
        <v>44462</v>
      </c>
      <c r="C544" s="298">
        <v>1608</v>
      </c>
      <c r="D544" s="287" t="s">
        <v>3040</v>
      </c>
      <c r="E544" s="288" t="s">
        <v>3017</v>
      </c>
      <c r="F544" s="294" t="s">
        <v>2930</v>
      </c>
      <c r="G544" s="290">
        <v>1</v>
      </c>
      <c r="H544" s="291">
        <v>22.45</v>
      </c>
      <c r="I544" s="292">
        <v>6000</v>
      </c>
      <c r="J544" s="292">
        <f>交易[[#This Row],[價格]]*交易[[#This Row],[數量]]*-1</f>
        <v>-134700</v>
      </c>
      <c r="L544" s="2"/>
    </row>
    <row r="545" spans="1:12">
      <c r="A545" s="330">
        <v>544</v>
      </c>
      <c r="B545" s="297">
        <v>44462</v>
      </c>
      <c r="C545" s="298">
        <v>1785</v>
      </c>
      <c r="D545" s="287" t="s">
        <v>3000</v>
      </c>
      <c r="E545" s="288" t="s">
        <v>2924</v>
      </c>
      <c r="F545" s="294" t="s">
        <v>2925</v>
      </c>
      <c r="G545" s="290">
        <v>6</v>
      </c>
      <c r="H545" s="291">
        <v>51.5</v>
      </c>
      <c r="I545" s="292">
        <v>3000</v>
      </c>
      <c r="J545" s="292">
        <f>交易[[#This Row],[價格]]*交易[[#This Row],[數量]]*-1</f>
        <v>-154500</v>
      </c>
      <c r="L545" s="2"/>
    </row>
    <row r="546" spans="1:12">
      <c r="A546" s="330">
        <v>545</v>
      </c>
      <c r="B546" s="297">
        <v>44462</v>
      </c>
      <c r="C546" s="298">
        <v>1785</v>
      </c>
      <c r="D546" s="287" t="s">
        <v>3000</v>
      </c>
      <c r="E546" s="288" t="s">
        <v>2924</v>
      </c>
      <c r="F546" s="294" t="s">
        <v>2941</v>
      </c>
      <c r="G546" s="290">
        <v>6</v>
      </c>
      <c r="H546" s="291">
        <v>51</v>
      </c>
      <c r="I546" s="292">
        <v>-3000</v>
      </c>
      <c r="J546" s="292">
        <f>交易[[#This Row],[價格]]*交易[[#This Row],[數量]]*-1</f>
        <v>153000</v>
      </c>
      <c r="L546" s="2"/>
    </row>
    <row r="547" spans="1:12">
      <c r="A547" s="330">
        <v>546</v>
      </c>
      <c r="B547" s="297">
        <v>44462</v>
      </c>
      <c r="C547" s="298">
        <v>1802</v>
      </c>
      <c r="D547" s="287" t="s">
        <v>3041</v>
      </c>
      <c r="E547" s="288" t="s">
        <v>3017</v>
      </c>
      <c r="F547" s="294" t="s">
        <v>2930</v>
      </c>
      <c r="G547" s="290">
        <v>1</v>
      </c>
      <c r="H547" s="291">
        <v>31.2</v>
      </c>
      <c r="I547" s="292">
        <v>1000</v>
      </c>
      <c r="J547" s="292">
        <f>交易[[#This Row],[價格]]*交易[[#This Row],[數量]]*-1</f>
        <v>-31200</v>
      </c>
      <c r="L547" s="2"/>
    </row>
    <row r="548" spans="1:12">
      <c r="A548" s="330">
        <v>547</v>
      </c>
      <c r="B548" s="297">
        <v>44462</v>
      </c>
      <c r="C548" s="298">
        <v>1802</v>
      </c>
      <c r="D548" s="287" t="s">
        <v>3041</v>
      </c>
      <c r="E548" s="288" t="s">
        <v>3017</v>
      </c>
      <c r="F548" s="294" t="s">
        <v>2930</v>
      </c>
      <c r="G548" s="290">
        <v>1</v>
      </c>
      <c r="H548" s="291">
        <v>31.25</v>
      </c>
      <c r="I548" s="292">
        <v>9000</v>
      </c>
      <c r="J548" s="292">
        <f>交易[[#This Row],[價格]]*交易[[#This Row],[數量]]*-1</f>
        <v>-281250</v>
      </c>
      <c r="L548" s="2"/>
    </row>
    <row r="549" spans="1:12">
      <c r="A549" s="330">
        <v>548</v>
      </c>
      <c r="B549" s="297">
        <v>44462</v>
      </c>
      <c r="C549" s="298">
        <v>3552</v>
      </c>
      <c r="D549" s="287" t="s">
        <v>3036</v>
      </c>
      <c r="E549" s="288" t="s">
        <v>3017</v>
      </c>
      <c r="F549" s="294" t="s">
        <v>2941</v>
      </c>
      <c r="G549" s="290">
        <v>2</v>
      </c>
      <c r="H549" s="291">
        <v>182</v>
      </c>
      <c r="I549" s="292">
        <v>2000</v>
      </c>
      <c r="J549" s="292">
        <f>交易[[#This Row],[價格]]*交易[[#This Row],[數量]]*-1</f>
        <v>-364000</v>
      </c>
      <c r="L549" s="2"/>
    </row>
    <row r="550" spans="1:12">
      <c r="A550" s="330">
        <v>549</v>
      </c>
      <c r="B550" s="297">
        <v>44462</v>
      </c>
      <c r="C550" s="298">
        <v>6282</v>
      </c>
      <c r="D550" s="287" t="s">
        <v>3010</v>
      </c>
      <c r="E550" s="288" t="s">
        <v>2924</v>
      </c>
      <c r="F550" s="294" t="s">
        <v>2931</v>
      </c>
      <c r="G550" s="290">
        <v>1</v>
      </c>
      <c r="H550" s="291">
        <v>28.75</v>
      </c>
      <c r="I550" s="292">
        <v>-11000</v>
      </c>
      <c r="J550" s="292">
        <f>交易[[#This Row],[價格]]*交易[[#This Row],[數量]]*-1</f>
        <v>316250</v>
      </c>
      <c r="L550" s="2"/>
    </row>
    <row r="551" spans="1:12">
      <c r="A551" s="330">
        <v>550</v>
      </c>
      <c r="B551" s="297">
        <v>44462</v>
      </c>
      <c r="C551" s="298">
        <v>8016</v>
      </c>
      <c r="D551" s="287" t="s">
        <v>3009</v>
      </c>
      <c r="E551" s="288" t="s">
        <v>3017</v>
      </c>
      <c r="F551" s="294" t="s">
        <v>2941</v>
      </c>
      <c r="G551" s="290">
        <v>3</v>
      </c>
      <c r="H551" s="291">
        <v>262.5</v>
      </c>
      <c r="I551" s="292">
        <v>1000</v>
      </c>
      <c r="J551" s="292">
        <f>交易[[#This Row],[價格]]*交易[[#This Row],[數量]]*-1</f>
        <v>-262500</v>
      </c>
      <c r="L551" s="2"/>
    </row>
    <row r="552" spans="1:12">
      <c r="A552" s="330">
        <v>551</v>
      </c>
      <c r="B552" s="297">
        <v>44463</v>
      </c>
      <c r="C552" s="298">
        <v>1301</v>
      </c>
      <c r="D552" s="287" t="s">
        <v>2993</v>
      </c>
      <c r="E552" s="288" t="s">
        <v>2924</v>
      </c>
      <c r="F552" s="294" t="s">
        <v>2962</v>
      </c>
      <c r="G552" s="290">
        <v>2</v>
      </c>
      <c r="H552" s="291">
        <v>104</v>
      </c>
      <c r="I552" s="292">
        <v>500</v>
      </c>
      <c r="J552" s="292">
        <f>交易[[#This Row],[價格]]*交易[[#This Row],[數量]]*-1</f>
        <v>-52000</v>
      </c>
      <c r="L552" s="2"/>
    </row>
    <row r="553" spans="1:12">
      <c r="A553" s="330">
        <v>552</v>
      </c>
      <c r="B553" s="297">
        <v>44463</v>
      </c>
      <c r="C553" s="298">
        <v>1301</v>
      </c>
      <c r="D553" s="287" t="s">
        <v>2993</v>
      </c>
      <c r="E553" s="288" t="s">
        <v>2924</v>
      </c>
      <c r="F553" s="294" t="s">
        <v>2962</v>
      </c>
      <c r="G553" s="290">
        <v>2</v>
      </c>
      <c r="H553" s="291">
        <v>104</v>
      </c>
      <c r="I553" s="292">
        <v>500</v>
      </c>
      <c r="J553" s="292">
        <f>交易[[#This Row],[價格]]*交易[[#This Row],[數量]]*-1</f>
        <v>-52000</v>
      </c>
      <c r="L553" s="2"/>
    </row>
    <row r="554" spans="1:12">
      <c r="A554" s="330">
        <v>553</v>
      </c>
      <c r="B554" s="297">
        <v>44463</v>
      </c>
      <c r="C554" s="298">
        <v>1301</v>
      </c>
      <c r="D554" s="287" t="s">
        <v>2993</v>
      </c>
      <c r="E554" s="288" t="s">
        <v>2924</v>
      </c>
      <c r="F554" s="294" t="s">
        <v>2962</v>
      </c>
      <c r="G554" s="290">
        <v>2</v>
      </c>
      <c r="H554" s="291">
        <v>105.5</v>
      </c>
      <c r="I554" s="292">
        <v>500</v>
      </c>
      <c r="J554" s="292">
        <f>交易[[#This Row],[價格]]*交易[[#This Row],[數量]]*-1</f>
        <v>-52750</v>
      </c>
      <c r="L554" s="2"/>
    </row>
    <row r="555" spans="1:12">
      <c r="A555" s="330">
        <v>554</v>
      </c>
      <c r="B555" s="297">
        <v>44463</v>
      </c>
      <c r="C555" s="298">
        <v>1301</v>
      </c>
      <c r="D555" s="287" t="s">
        <v>2993</v>
      </c>
      <c r="E555" s="288" t="s">
        <v>2924</v>
      </c>
      <c r="F555" s="294" t="s">
        <v>2962</v>
      </c>
      <c r="G555" s="290">
        <v>2</v>
      </c>
      <c r="H555" s="291">
        <v>105.5</v>
      </c>
      <c r="I555" s="292">
        <v>500</v>
      </c>
      <c r="J555" s="292">
        <f>交易[[#This Row],[價格]]*交易[[#This Row],[數量]]*-1</f>
        <v>-52750</v>
      </c>
      <c r="L555" s="2"/>
    </row>
    <row r="556" spans="1:12">
      <c r="A556" s="330">
        <v>555</v>
      </c>
      <c r="B556" s="297">
        <v>44463</v>
      </c>
      <c r="C556" s="298">
        <v>1802</v>
      </c>
      <c r="D556" s="287" t="s">
        <v>3041</v>
      </c>
      <c r="E556" s="288" t="s">
        <v>3017</v>
      </c>
      <c r="F556" s="294" t="s">
        <v>2941</v>
      </c>
      <c r="G556" s="290">
        <v>1</v>
      </c>
      <c r="H556" s="291">
        <v>30.5</v>
      </c>
      <c r="I556" s="292">
        <v>10000</v>
      </c>
      <c r="J556" s="292">
        <f>交易[[#This Row],[價格]]*交易[[#This Row],[數量]]*-1</f>
        <v>-305000</v>
      </c>
      <c r="L556" s="2"/>
    </row>
    <row r="557" spans="1:12">
      <c r="A557" s="330">
        <v>556</v>
      </c>
      <c r="B557" s="297">
        <v>44463</v>
      </c>
      <c r="C557" s="298">
        <v>1802</v>
      </c>
      <c r="D557" s="287" t="s">
        <v>3041</v>
      </c>
      <c r="E557" s="288" t="s">
        <v>3017</v>
      </c>
      <c r="F557" s="294" t="s">
        <v>2925</v>
      </c>
      <c r="G557" s="290">
        <v>1</v>
      </c>
      <c r="H557" s="291">
        <v>30.4</v>
      </c>
      <c r="I557" s="292">
        <v>-10000</v>
      </c>
      <c r="J557" s="292">
        <f>交易[[#This Row],[價格]]*交易[[#This Row],[數量]]*-1</f>
        <v>304000</v>
      </c>
      <c r="L557" s="2"/>
    </row>
    <row r="558" spans="1:12">
      <c r="A558" s="330">
        <v>557</v>
      </c>
      <c r="B558" s="297">
        <v>44463</v>
      </c>
      <c r="C558" s="298">
        <v>2108</v>
      </c>
      <c r="D558" s="287" t="s">
        <v>3042</v>
      </c>
      <c r="E558" s="288" t="s">
        <v>3017</v>
      </c>
      <c r="F558" s="294" t="s">
        <v>2925</v>
      </c>
      <c r="G558" s="290">
        <v>1</v>
      </c>
      <c r="H558" s="291">
        <v>92</v>
      </c>
      <c r="I558" s="292">
        <v>-2000</v>
      </c>
      <c r="J558" s="292">
        <f>交易[[#This Row],[價格]]*交易[[#This Row],[數量]]*-1</f>
        <v>184000</v>
      </c>
      <c r="L558" s="2"/>
    </row>
    <row r="559" spans="1:12">
      <c r="A559" s="330">
        <v>558</v>
      </c>
      <c r="B559" s="297">
        <v>44463</v>
      </c>
      <c r="C559" s="298">
        <v>2108</v>
      </c>
      <c r="D559" s="287" t="s">
        <v>3042</v>
      </c>
      <c r="E559" s="288" t="s">
        <v>3017</v>
      </c>
      <c r="F559" s="294" t="s">
        <v>2941</v>
      </c>
      <c r="G559" s="290">
        <v>1</v>
      </c>
      <c r="H559" s="291">
        <v>92.2</v>
      </c>
      <c r="I559" s="292">
        <v>2000</v>
      </c>
      <c r="J559" s="292">
        <f>交易[[#This Row],[價格]]*交易[[#This Row],[數量]]*-1</f>
        <v>-184400</v>
      </c>
      <c r="L559" s="2"/>
    </row>
    <row r="560" spans="1:12">
      <c r="A560" s="330">
        <v>559</v>
      </c>
      <c r="B560" s="297">
        <v>44463</v>
      </c>
      <c r="C560" s="298">
        <v>2382</v>
      </c>
      <c r="D560" s="287" t="s">
        <v>3043</v>
      </c>
      <c r="E560" s="288" t="s">
        <v>2924</v>
      </c>
      <c r="F560" s="294" t="s">
        <v>2925</v>
      </c>
      <c r="G560" s="290">
        <v>1</v>
      </c>
      <c r="H560" s="291">
        <v>79.8</v>
      </c>
      <c r="I560" s="292">
        <v>2000</v>
      </c>
      <c r="J560" s="292">
        <f>交易[[#This Row],[價格]]*交易[[#This Row],[數量]]*-1</f>
        <v>-159600</v>
      </c>
      <c r="L560" s="2"/>
    </row>
    <row r="561" spans="1:12">
      <c r="A561" s="330">
        <v>560</v>
      </c>
      <c r="B561" s="297">
        <v>44463</v>
      </c>
      <c r="C561" s="298">
        <v>3324</v>
      </c>
      <c r="D561" s="287" t="s">
        <v>3044</v>
      </c>
      <c r="E561" s="288" t="s">
        <v>2924</v>
      </c>
      <c r="F561" s="294" t="s">
        <v>2925</v>
      </c>
      <c r="G561" s="290">
        <v>1</v>
      </c>
      <c r="H561" s="291">
        <v>176</v>
      </c>
      <c r="I561" s="292">
        <v>1000</v>
      </c>
      <c r="J561" s="292">
        <f>交易[[#This Row],[價格]]*交易[[#This Row],[數量]]*-1</f>
        <v>-176000</v>
      </c>
      <c r="L561" s="2"/>
    </row>
    <row r="562" spans="1:12">
      <c r="A562" s="330">
        <v>561</v>
      </c>
      <c r="B562" s="297">
        <v>44466</v>
      </c>
      <c r="C562" s="298">
        <v>1474</v>
      </c>
      <c r="D562" s="287" t="s">
        <v>3045</v>
      </c>
      <c r="E562" s="288" t="s">
        <v>2924</v>
      </c>
      <c r="F562" s="294" t="s">
        <v>2925</v>
      </c>
      <c r="G562" s="290">
        <v>1</v>
      </c>
      <c r="H562" s="291">
        <v>16.100000000000001</v>
      </c>
      <c r="I562" s="292">
        <v>5000</v>
      </c>
      <c r="J562" s="292">
        <f>交易[[#This Row],[價格]]*交易[[#This Row],[數量]]*-1</f>
        <v>-80500</v>
      </c>
      <c r="L562" s="2"/>
    </row>
    <row r="563" spans="1:12">
      <c r="A563" s="330">
        <v>562</v>
      </c>
      <c r="B563" s="297">
        <v>44466</v>
      </c>
      <c r="C563" s="298">
        <v>1474</v>
      </c>
      <c r="D563" s="287" t="s">
        <v>3045</v>
      </c>
      <c r="E563" s="288" t="s">
        <v>2924</v>
      </c>
      <c r="F563" s="294" t="s">
        <v>2925</v>
      </c>
      <c r="G563" s="290">
        <v>1</v>
      </c>
      <c r="H563" s="291">
        <v>16.05</v>
      </c>
      <c r="I563" s="292">
        <v>5000</v>
      </c>
      <c r="J563" s="292">
        <f>交易[[#This Row],[價格]]*交易[[#This Row],[數量]]*-1</f>
        <v>-80250</v>
      </c>
      <c r="L563" s="2"/>
    </row>
    <row r="564" spans="1:12">
      <c r="A564" s="330">
        <v>563</v>
      </c>
      <c r="B564" s="297">
        <v>44466</v>
      </c>
      <c r="C564" s="298">
        <v>1477</v>
      </c>
      <c r="D564" s="287" t="s">
        <v>3037</v>
      </c>
      <c r="E564" s="288" t="s">
        <v>2924</v>
      </c>
      <c r="F564" s="294" t="s">
        <v>2929</v>
      </c>
      <c r="G564" s="290">
        <v>1</v>
      </c>
      <c r="H564" s="291">
        <v>247</v>
      </c>
      <c r="I564" s="292">
        <v>-200</v>
      </c>
      <c r="J564" s="292">
        <f>交易[[#This Row],[價格]]*交易[[#This Row],[數量]]*-1</f>
        <v>49400</v>
      </c>
      <c r="L564" s="2"/>
    </row>
    <row r="565" spans="1:12">
      <c r="A565" s="330">
        <v>564</v>
      </c>
      <c r="B565" s="297">
        <v>44466</v>
      </c>
      <c r="C565" s="298">
        <v>3324</v>
      </c>
      <c r="D565" s="287" t="s">
        <v>3044</v>
      </c>
      <c r="E565" s="288" t="s">
        <v>2924</v>
      </c>
      <c r="F565" s="294" t="s">
        <v>2941</v>
      </c>
      <c r="G565" s="290">
        <v>1</v>
      </c>
      <c r="H565" s="291">
        <v>171.5</v>
      </c>
      <c r="I565" s="292">
        <v>-1000</v>
      </c>
      <c r="J565" s="292">
        <f>交易[[#This Row],[價格]]*交易[[#This Row],[數量]]*-1</f>
        <v>171500</v>
      </c>
      <c r="L565" s="2"/>
    </row>
    <row r="566" spans="1:12">
      <c r="A566" s="330">
        <v>565</v>
      </c>
      <c r="B566" s="297">
        <v>44466</v>
      </c>
      <c r="C566" s="298">
        <v>3552</v>
      </c>
      <c r="D566" s="287" t="s">
        <v>3036</v>
      </c>
      <c r="E566" s="288" t="s">
        <v>3017</v>
      </c>
      <c r="F566" s="294" t="s">
        <v>2925</v>
      </c>
      <c r="G566" s="290">
        <v>3</v>
      </c>
      <c r="H566" s="291">
        <v>181</v>
      </c>
      <c r="I566" s="292">
        <v>-1000</v>
      </c>
      <c r="J566" s="292">
        <f>交易[[#This Row],[價格]]*交易[[#This Row],[數量]]*-1</f>
        <v>181000</v>
      </c>
      <c r="L566" s="2"/>
    </row>
    <row r="567" spans="1:12">
      <c r="A567" s="330">
        <v>566</v>
      </c>
      <c r="B567" s="297">
        <v>44467</v>
      </c>
      <c r="C567" s="298">
        <v>1409</v>
      </c>
      <c r="D567" s="287" t="s">
        <v>2923</v>
      </c>
      <c r="E567" s="288" t="s">
        <v>2924</v>
      </c>
      <c r="F567" s="294" t="s">
        <v>2925</v>
      </c>
      <c r="G567" s="290">
        <v>7</v>
      </c>
      <c r="H567" s="291">
        <v>20.5</v>
      </c>
      <c r="I567" s="292">
        <v>10000</v>
      </c>
      <c r="J567" s="292">
        <f>交易[[#This Row],[價格]]*交易[[#This Row],[數量]]*-1</f>
        <v>-205000</v>
      </c>
      <c r="L567" s="2"/>
    </row>
    <row r="568" spans="1:12">
      <c r="A568" s="330">
        <v>567</v>
      </c>
      <c r="B568" s="297">
        <v>44467</v>
      </c>
      <c r="C568" s="298">
        <v>1474</v>
      </c>
      <c r="D568" s="287" t="s">
        <v>3045</v>
      </c>
      <c r="E568" s="288" t="s">
        <v>2924</v>
      </c>
      <c r="F568" s="294" t="s">
        <v>2931</v>
      </c>
      <c r="G568" s="290">
        <v>1</v>
      </c>
      <c r="H568" s="291">
        <v>16.149999999999999</v>
      </c>
      <c r="I568" s="292">
        <v>-10000</v>
      </c>
      <c r="J568" s="292">
        <f>交易[[#This Row],[價格]]*交易[[#This Row],[數量]]*-1</f>
        <v>161500</v>
      </c>
      <c r="L568" s="2"/>
    </row>
    <row r="569" spans="1:12">
      <c r="A569" s="330">
        <v>568</v>
      </c>
      <c r="B569" s="297">
        <v>44467</v>
      </c>
      <c r="C569" s="298">
        <v>1477</v>
      </c>
      <c r="D569" s="287" t="s">
        <v>3037</v>
      </c>
      <c r="E569" s="288" t="s">
        <v>2924</v>
      </c>
      <c r="F569" s="294" t="s">
        <v>2941</v>
      </c>
      <c r="G569" s="290">
        <v>1</v>
      </c>
      <c r="H569" s="291">
        <v>245</v>
      </c>
      <c r="I569" s="292">
        <v>-1000</v>
      </c>
      <c r="J569" s="292">
        <f>交易[[#This Row],[價格]]*交易[[#This Row],[數量]]*-1</f>
        <v>245000</v>
      </c>
      <c r="L569" s="2"/>
    </row>
    <row r="570" spans="1:12">
      <c r="A570" s="330">
        <v>569</v>
      </c>
      <c r="B570" s="297">
        <v>44467</v>
      </c>
      <c r="C570" s="298">
        <v>2464</v>
      </c>
      <c r="D570" s="287" t="s">
        <v>2966</v>
      </c>
      <c r="E570" s="288" t="s">
        <v>2924</v>
      </c>
      <c r="F570" s="294" t="s">
        <v>2926</v>
      </c>
      <c r="G570" s="290">
        <v>2</v>
      </c>
      <c r="H570" s="291">
        <v>43.35</v>
      </c>
      <c r="I570" s="292">
        <v>2000</v>
      </c>
      <c r="J570" s="292">
        <f>交易[[#This Row],[價格]]*交易[[#This Row],[數量]]*-1</f>
        <v>-86700</v>
      </c>
      <c r="L570" s="2"/>
    </row>
    <row r="571" spans="1:12">
      <c r="A571" s="330">
        <v>570</v>
      </c>
      <c r="B571" s="297">
        <v>44468</v>
      </c>
      <c r="C571" s="298">
        <v>1409</v>
      </c>
      <c r="D571" s="287" t="s">
        <v>2923</v>
      </c>
      <c r="E571" s="288" t="s">
        <v>2924</v>
      </c>
      <c r="F571" s="294" t="s">
        <v>2925</v>
      </c>
      <c r="G571" s="290">
        <v>7</v>
      </c>
      <c r="H571" s="291">
        <v>20.399999999999999</v>
      </c>
      <c r="I571" s="292">
        <v>5000</v>
      </c>
      <c r="J571" s="292">
        <f>交易[[#This Row],[價格]]*交易[[#This Row],[數量]]*-1</f>
        <v>-102000</v>
      </c>
      <c r="L571" s="2"/>
    </row>
    <row r="572" spans="1:12">
      <c r="A572" s="330">
        <v>571</v>
      </c>
      <c r="B572" s="297">
        <v>44468</v>
      </c>
      <c r="C572" s="298">
        <v>1710</v>
      </c>
      <c r="D572" s="287" t="s">
        <v>3046</v>
      </c>
      <c r="E572" s="288" t="s">
        <v>2924</v>
      </c>
      <c r="F572" s="294" t="s">
        <v>2925</v>
      </c>
      <c r="G572" s="290">
        <v>1</v>
      </c>
      <c r="H572" s="291">
        <v>22.7</v>
      </c>
      <c r="I572" s="292">
        <v>2000</v>
      </c>
      <c r="J572" s="292">
        <f>交易[[#This Row],[價格]]*交易[[#This Row],[數量]]*-1</f>
        <v>-45400</v>
      </c>
      <c r="L572" s="2"/>
    </row>
    <row r="573" spans="1:12">
      <c r="A573" s="330">
        <v>572</v>
      </c>
      <c r="B573" s="297">
        <v>44468</v>
      </c>
      <c r="C573" s="298">
        <v>1710</v>
      </c>
      <c r="D573" s="287" t="s">
        <v>3046</v>
      </c>
      <c r="E573" s="288" t="s">
        <v>2924</v>
      </c>
      <c r="F573" s="294" t="s">
        <v>2925</v>
      </c>
      <c r="G573" s="290">
        <v>1</v>
      </c>
      <c r="H573" s="291">
        <v>22.8</v>
      </c>
      <c r="I573" s="292">
        <v>10000</v>
      </c>
      <c r="J573" s="292">
        <f>交易[[#This Row],[價格]]*交易[[#This Row],[數量]]*-1</f>
        <v>-228000</v>
      </c>
      <c r="L573" s="2"/>
    </row>
    <row r="574" spans="1:12">
      <c r="A574" s="330">
        <v>573</v>
      </c>
      <c r="B574" s="297">
        <v>44468</v>
      </c>
      <c r="C574" s="298">
        <v>2354</v>
      </c>
      <c r="D574" s="287" t="s">
        <v>3027</v>
      </c>
      <c r="E574" s="288" t="s">
        <v>2924</v>
      </c>
      <c r="F574" s="294" t="s">
        <v>2925</v>
      </c>
      <c r="G574" s="290">
        <v>2</v>
      </c>
      <c r="H574" s="291">
        <v>68.900000000000006</v>
      </c>
      <c r="I574" s="292">
        <v>3000</v>
      </c>
      <c r="J574" s="292">
        <f>交易[[#This Row],[價格]]*交易[[#This Row],[數量]]*-1</f>
        <v>-206700.00000000003</v>
      </c>
      <c r="L574" s="2"/>
    </row>
    <row r="575" spans="1:12">
      <c r="A575" s="330">
        <v>574</v>
      </c>
      <c r="B575" s="297">
        <v>44468</v>
      </c>
      <c r="C575" s="298">
        <v>3037</v>
      </c>
      <c r="D575" s="287" t="s">
        <v>3047</v>
      </c>
      <c r="E575" s="288" t="s">
        <v>3017</v>
      </c>
      <c r="F575" s="294" t="s">
        <v>2925</v>
      </c>
      <c r="G575" s="290">
        <v>1</v>
      </c>
      <c r="H575" s="291">
        <v>130.5</v>
      </c>
      <c r="I575" s="292">
        <v>-3000</v>
      </c>
      <c r="J575" s="292">
        <f>交易[[#This Row],[價格]]*交易[[#This Row],[數量]]*-1</f>
        <v>391500</v>
      </c>
      <c r="L575" s="2"/>
    </row>
    <row r="576" spans="1:12">
      <c r="A576" s="330">
        <v>575</v>
      </c>
      <c r="B576" s="297">
        <v>44469</v>
      </c>
      <c r="C576" s="298">
        <v>1301</v>
      </c>
      <c r="D576" s="287" t="s">
        <v>2993</v>
      </c>
      <c r="E576" s="288" t="s">
        <v>2924</v>
      </c>
      <c r="F576" s="294" t="s">
        <v>2930</v>
      </c>
      <c r="G576" s="290">
        <v>2</v>
      </c>
      <c r="H576" s="291">
        <v>111.5</v>
      </c>
      <c r="I576" s="292">
        <v>-2000</v>
      </c>
      <c r="J576" s="292">
        <f>交易[[#This Row],[價格]]*交易[[#This Row],[數量]]*-1</f>
        <v>223000</v>
      </c>
      <c r="L576" s="2"/>
    </row>
    <row r="577" spans="1:12">
      <c r="A577" s="330">
        <v>576</v>
      </c>
      <c r="B577" s="297">
        <v>44469</v>
      </c>
      <c r="C577" s="298">
        <v>1409</v>
      </c>
      <c r="D577" s="287" t="s">
        <v>2923</v>
      </c>
      <c r="E577" s="288" t="s">
        <v>2924</v>
      </c>
      <c r="F577" s="294" t="s">
        <v>2929</v>
      </c>
      <c r="G577" s="290">
        <v>7</v>
      </c>
      <c r="H577" s="291">
        <v>21.3</v>
      </c>
      <c r="I577" s="292">
        <v>-10000</v>
      </c>
      <c r="J577" s="292">
        <f>交易[[#This Row],[價格]]*交易[[#This Row],[數量]]*-1</f>
        <v>213000</v>
      </c>
      <c r="L577" s="2"/>
    </row>
    <row r="578" spans="1:12">
      <c r="A578" s="330">
        <v>577</v>
      </c>
      <c r="B578" s="297">
        <v>44469</v>
      </c>
      <c r="C578" s="298">
        <v>1609</v>
      </c>
      <c r="D578" s="287" t="s">
        <v>2983</v>
      </c>
      <c r="E578" s="288" t="s">
        <v>2924</v>
      </c>
      <c r="F578" s="294" t="s">
        <v>2925</v>
      </c>
      <c r="G578" s="290">
        <v>2</v>
      </c>
      <c r="H578" s="291">
        <v>26.95</v>
      </c>
      <c r="I578" s="292">
        <v>2000</v>
      </c>
      <c r="J578" s="292">
        <f>交易[[#This Row],[價格]]*交易[[#This Row],[數量]]*-1</f>
        <v>-53900</v>
      </c>
      <c r="L578" s="2"/>
    </row>
    <row r="579" spans="1:12">
      <c r="A579" s="330">
        <v>578</v>
      </c>
      <c r="B579" s="297">
        <v>44469</v>
      </c>
      <c r="C579" s="298">
        <v>1612</v>
      </c>
      <c r="D579" s="287" t="s">
        <v>3048</v>
      </c>
      <c r="E579" s="288" t="s">
        <v>2924</v>
      </c>
      <c r="F579" s="294" t="s">
        <v>2925</v>
      </c>
      <c r="G579" s="290">
        <v>1</v>
      </c>
      <c r="H579" s="291">
        <v>25.6</v>
      </c>
      <c r="I579" s="292">
        <v>2000</v>
      </c>
      <c r="J579" s="292">
        <f>交易[[#This Row],[價格]]*交易[[#This Row],[數量]]*-1</f>
        <v>-51200</v>
      </c>
      <c r="L579" s="2"/>
    </row>
    <row r="580" spans="1:12">
      <c r="A580" s="330">
        <v>579</v>
      </c>
      <c r="B580" s="297">
        <v>44469</v>
      </c>
      <c r="C580" s="298">
        <v>1612</v>
      </c>
      <c r="D580" s="287" t="s">
        <v>3048</v>
      </c>
      <c r="E580" s="288" t="s">
        <v>2924</v>
      </c>
      <c r="F580" s="294" t="s">
        <v>2925</v>
      </c>
      <c r="G580" s="290">
        <v>1</v>
      </c>
      <c r="H580" s="291">
        <v>26</v>
      </c>
      <c r="I580" s="292">
        <v>5000</v>
      </c>
      <c r="J580" s="292">
        <f>交易[[#This Row],[價格]]*交易[[#This Row],[數量]]*-1</f>
        <v>-130000</v>
      </c>
      <c r="L580" s="2"/>
    </row>
    <row r="581" spans="1:12">
      <c r="A581" s="330">
        <v>580</v>
      </c>
      <c r="B581" s="297">
        <v>44469</v>
      </c>
      <c r="C581" s="298">
        <v>2382</v>
      </c>
      <c r="D581" s="287" t="s">
        <v>3043</v>
      </c>
      <c r="E581" s="288" t="s">
        <v>2924</v>
      </c>
      <c r="F581" s="294" t="s">
        <v>2941</v>
      </c>
      <c r="G581" s="290">
        <v>1</v>
      </c>
      <c r="H581" s="291">
        <v>77.2</v>
      </c>
      <c r="I581" s="292">
        <v>-1000</v>
      </c>
      <c r="J581" s="292">
        <f>交易[[#This Row],[價格]]*交易[[#This Row],[數量]]*-1</f>
        <v>77200</v>
      </c>
      <c r="L581" s="2"/>
    </row>
    <row r="582" spans="1:12">
      <c r="A582" s="330">
        <v>581</v>
      </c>
      <c r="B582" s="297">
        <v>44469</v>
      </c>
      <c r="C582" s="298">
        <v>2382</v>
      </c>
      <c r="D582" s="287" t="s">
        <v>3043</v>
      </c>
      <c r="E582" s="288" t="s">
        <v>2924</v>
      </c>
      <c r="F582" s="294" t="s">
        <v>2941</v>
      </c>
      <c r="G582" s="290">
        <v>1</v>
      </c>
      <c r="H582" s="291">
        <v>77.2</v>
      </c>
      <c r="I582" s="292">
        <v>-500</v>
      </c>
      <c r="J582" s="292">
        <f>交易[[#This Row],[價格]]*交易[[#This Row],[數量]]*-1</f>
        <v>38600</v>
      </c>
      <c r="L582" s="2"/>
    </row>
    <row r="583" spans="1:12">
      <c r="A583" s="330">
        <v>582</v>
      </c>
      <c r="B583" s="297">
        <v>44469</v>
      </c>
      <c r="C583" s="298">
        <v>2382</v>
      </c>
      <c r="D583" s="287" t="s">
        <v>3043</v>
      </c>
      <c r="E583" s="288" t="s">
        <v>2924</v>
      </c>
      <c r="F583" s="294" t="s">
        <v>2941</v>
      </c>
      <c r="G583" s="290">
        <v>1</v>
      </c>
      <c r="H583" s="291">
        <v>77.400000000000006</v>
      </c>
      <c r="I583" s="292">
        <v>-300</v>
      </c>
      <c r="J583" s="292">
        <f>交易[[#This Row],[價格]]*交易[[#This Row],[數量]]*-1</f>
        <v>23220</v>
      </c>
      <c r="L583" s="2"/>
    </row>
    <row r="584" spans="1:12">
      <c r="A584" s="330">
        <v>583</v>
      </c>
      <c r="B584" s="297">
        <v>44469</v>
      </c>
      <c r="C584" s="298">
        <v>2382</v>
      </c>
      <c r="D584" s="287" t="s">
        <v>3043</v>
      </c>
      <c r="E584" s="288" t="s">
        <v>2924</v>
      </c>
      <c r="F584" s="294" t="s">
        <v>2941</v>
      </c>
      <c r="G584" s="290">
        <v>1</v>
      </c>
      <c r="H584" s="291">
        <v>77.5</v>
      </c>
      <c r="I584" s="292">
        <v>-200</v>
      </c>
      <c r="J584" s="292">
        <f>交易[[#This Row],[價格]]*交易[[#This Row],[數量]]*-1</f>
        <v>15500</v>
      </c>
      <c r="L584" s="2"/>
    </row>
    <row r="585" spans="1:12">
      <c r="A585" s="330">
        <v>584</v>
      </c>
      <c r="B585" s="297">
        <v>44469</v>
      </c>
      <c r="C585" s="298">
        <v>2605</v>
      </c>
      <c r="D585" s="287" t="s">
        <v>3049</v>
      </c>
      <c r="E585" s="288" t="s">
        <v>2924</v>
      </c>
      <c r="F585" s="294" t="s">
        <v>2925</v>
      </c>
      <c r="G585" s="290">
        <v>1</v>
      </c>
      <c r="H585" s="291">
        <v>37.1</v>
      </c>
      <c r="I585" s="292">
        <v>3000</v>
      </c>
      <c r="J585" s="292">
        <f>交易[[#This Row],[價格]]*交易[[#This Row],[數量]]*-1</f>
        <v>-111300</v>
      </c>
      <c r="L585" s="2"/>
    </row>
    <row r="586" spans="1:12">
      <c r="A586" s="330">
        <v>585</v>
      </c>
      <c r="B586" s="297">
        <v>44469</v>
      </c>
      <c r="C586" s="298">
        <v>3037</v>
      </c>
      <c r="D586" s="287" t="s">
        <v>3047</v>
      </c>
      <c r="E586" s="288" t="s">
        <v>3017</v>
      </c>
      <c r="F586" s="294" t="s">
        <v>2931</v>
      </c>
      <c r="G586" s="290">
        <v>1</v>
      </c>
      <c r="H586" s="291">
        <v>130.5</v>
      </c>
      <c r="I586" s="292">
        <v>2000</v>
      </c>
      <c r="J586" s="292">
        <f>交易[[#This Row],[價格]]*交易[[#This Row],[數量]]*-1</f>
        <v>-261000</v>
      </c>
      <c r="L586" s="2"/>
    </row>
    <row r="587" spans="1:12">
      <c r="A587" s="330">
        <v>586</v>
      </c>
      <c r="B587" s="297">
        <v>44469</v>
      </c>
      <c r="C587" s="298">
        <v>3037</v>
      </c>
      <c r="D587" s="287" t="s">
        <v>3047</v>
      </c>
      <c r="E587" s="288" t="s">
        <v>3017</v>
      </c>
      <c r="F587" s="294" t="s">
        <v>2931</v>
      </c>
      <c r="G587" s="290">
        <v>1</v>
      </c>
      <c r="H587" s="291">
        <v>130.5</v>
      </c>
      <c r="I587" s="292">
        <v>1000</v>
      </c>
      <c r="J587" s="292">
        <f>交易[[#This Row],[價格]]*交易[[#This Row],[數量]]*-1</f>
        <v>-130500</v>
      </c>
      <c r="L587" s="2"/>
    </row>
    <row r="588" spans="1:12">
      <c r="A588" s="330">
        <v>587</v>
      </c>
      <c r="B588" s="297">
        <v>44469</v>
      </c>
      <c r="C588" s="298">
        <v>3552</v>
      </c>
      <c r="D588" s="287" t="s">
        <v>3036</v>
      </c>
      <c r="E588" s="288" t="s">
        <v>3017</v>
      </c>
      <c r="F588" s="294" t="s">
        <v>2930</v>
      </c>
      <c r="G588" s="290">
        <v>3</v>
      </c>
      <c r="H588" s="291">
        <v>169.5</v>
      </c>
      <c r="I588" s="292">
        <v>1000</v>
      </c>
      <c r="J588" s="292">
        <f>交易[[#This Row],[價格]]*交易[[#This Row],[數量]]*-1</f>
        <v>-169500</v>
      </c>
      <c r="L588" s="2"/>
    </row>
    <row r="589" spans="1:12">
      <c r="A589" s="330">
        <v>588</v>
      </c>
      <c r="B589" s="297">
        <v>44470</v>
      </c>
      <c r="C589" s="298">
        <v>1710</v>
      </c>
      <c r="D589" s="299" t="s">
        <v>3046</v>
      </c>
      <c r="E589" s="288" t="s">
        <v>2924</v>
      </c>
      <c r="F589" s="294" t="s">
        <v>2926</v>
      </c>
      <c r="G589" s="290">
        <v>1</v>
      </c>
      <c r="H589" s="291">
        <v>22.6</v>
      </c>
      <c r="I589" s="292">
        <v>3000</v>
      </c>
      <c r="J589" s="292">
        <f>交易[[#This Row],[價格]]*交易[[#This Row],[數量]]*-1</f>
        <v>-67800</v>
      </c>
      <c r="L589" s="2"/>
    </row>
    <row r="590" spans="1:12">
      <c r="A590" s="330">
        <v>589</v>
      </c>
      <c r="B590" s="297">
        <v>44470</v>
      </c>
      <c r="C590" s="298">
        <v>2605</v>
      </c>
      <c r="D590" s="299" t="s">
        <v>3049</v>
      </c>
      <c r="E590" s="288" t="s">
        <v>2924</v>
      </c>
      <c r="F590" s="294" t="s">
        <v>2931</v>
      </c>
      <c r="G590" s="290">
        <v>1</v>
      </c>
      <c r="H590" s="291">
        <v>38</v>
      </c>
      <c r="I590" s="292">
        <v>-3000</v>
      </c>
      <c r="J590" s="292">
        <f>交易[[#This Row],[價格]]*交易[[#This Row],[數量]]*-1</f>
        <v>114000</v>
      </c>
      <c r="L590" s="2"/>
    </row>
    <row r="591" spans="1:12">
      <c r="A591" s="330">
        <v>590</v>
      </c>
      <c r="B591" s="297">
        <v>44470</v>
      </c>
      <c r="C591" s="298">
        <v>1609</v>
      </c>
      <c r="D591" s="299" t="s">
        <v>2983</v>
      </c>
      <c r="E591" s="288" t="s">
        <v>2924</v>
      </c>
      <c r="F591" s="294" t="s">
        <v>2926</v>
      </c>
      <c r="G591" s="290">
        <v>2</v>
      </c>
      <c r="H591" s="291">
        <v>27.1</v>
      </c>
      <c r="I591" s="292">
        <v>5000</v>
      </c>
      <c r="J591" s="292">
        <f>交易[[#This Row],[價格]]*交易[[#This Row],[數量]]*-1</f>
        <v>-135500</v>
      </c>
      <c r="L591" s="2"/>
    </row>
    <row r="592" spans="1:12">
      <c r="A592" s="330">
        <v>591</v>
      </c>
      <c r="B592" s="297">
        <v>44470</v>
      </c>
      <c r="C592" s="298">
        <v>2464</v>
      </c>
      <c r="D592" s="299" t="s">
        <v>2966</v>
      </c>
      <c r="E592" s="288" t="s">
        <v>2924</v>
      </c>
      <c r="F592" s="294" t="s">
        <v>2929</v>
      </c>
      <c r="G592" s="290">
        <v>2</v>
      </c>
      <c r="H592" s="291">
        <v>41.7</v>
      </c>
      <c r="I592" s="292">
        <v>-2000</v>
      </c>
      <c r="J592" s="292">
        <f>交易[[#This Row],[價格]]*交易[[#This Row],[數量]]*-1</f>
        <v>83400</v>
      </c>
      <c r="L592" s="2"/>
    </row>
    <row r="593" spans="1:12">
      <c r="A593" s="330">
        <v>592</v>
      </c>
      <c r="B593" s="297">
        <v>44470</v>
      </c>
      <c r="C593" s="298">
        <v>8938</v>
      </c>
      <c r="D593" s="299" t="s">
        <v>3050</v>
      </c>
      <c r="E593" s="288" t="s">
        <v>2924</v>
      </c>
      <c r="F593" s="294" t="s">
        <v>2925</v>
      </c>
      <c r="G593" s="290">
        <v>1</v>
      </c>
      <c r="H593" s="291">
        <v>76.7</v>
      </c>
      <c r="I593" s="292">
        <v>1000</v>
      </c>
      <c r="J593" s="292">
        <f>交易[[#This Row],[價格]]*交易[[#This Row],[數量]]*-1</f>
        <v>-76700</v>
      </c>
      <c r="L593" s="2"/>
    </row>
    <row r="594" spans="1:12">
      <c r="A594" s="330">
        <v>593</v>
      </c>
      <c r="B594" s="297">
        <v>44470</v>
      </c>
      <c r="C594" s="298">
        <v>2520</v>
      </c>
      <c r="D594" s="299" t="s">
        <v>2927</v>
      </c>
      <c r="E594" s="288" t="s">
        <v>2932</v>
      </c>
      <c r="F594" s="294" t="s">
        <v>2929</v>
      </c>
      <c r="G594" s="290">
        <v>2</v>
      </c>
      <c r="H594" s="291">
        <v>38.799999999999997</v>
      </c>
      <c r="I594" s="292">
        <v>-1000</v>
      </c>
      <c r="J594" s="292">
        <f>交易[[#This Row],[價格]]*交易[[#This Row],[數量]]*-1</f>
        <v>38800</v>
      </c>
      <c r="L594" s="2"/>
    </row>
    <row r="595" spans="1:12">
      <c r="A595" s="330">
        <v>594</v>
      </c>
      <c r="B595" s="297">
        <v>44470</v>
      </c>
      <c r="C595" s="298">
        <v>6509</v>
      </c>
      <c r="D595" s="299" t="s">
        <v>2950</v>
      </c>
      <c r="E595" s="288" t="s">
        <v>3051</v>
      </c>
      <c r="F595" s="294" t="s">
        <v>2925</v>
      </c>
      <c r="G595" s="290">
        <v>5</v>
      </c>
      <c r="H595" s="291">
        <v>52.8</v>
      </c>
      <c r="I595" s="292">
        <v>-4000</v>
      </c>
      <c r="J595" s="292">
        <f>交易[[#This Row],[價格]]*交易[[#This Row],[數量]]*-1</f>
        <v>211200</v>
      </c>
      <c r="L595" s="2"/>
    </row>
    <row r="596" spans="1:12">
      <c r="A596" s="330">
        <v>595</v>
      </c>
      <c r="B596" s="297">
        <v>44473</v>
      </c>
      <c r="C596" s="298">
        <v>1710</v>
      </c>
      <c r="D596" s="299" t="s">
        <v>3046</v>
      </c>
      <c r="E596" s="288" t="s">
        <v>2924</v>
      </c>
      <c r="F596" s="294" t="s">
        <v>2926</v>
      </c>
      <c r="G596" s="290">
        <v>1</v>
      </c>
      <c r="H596" s="291">
        <v>22.85</v>
      </c>
      <c r="I596" s="292">
        <v>5000</v>
      </c>
      <c r="J596" s="292">
        <f>交易[[#This Row],[價格]]*交易[[#This Row],[數量]]*-1</f>
        <v>-114250</v>
      </c>
      <c r="L596" s="2"/>
    </row>
    <row r="597" spans="1:12">
      <c r="A597" s="330">
        <v>596</v>
      </c>
      <c r="B597" s="297">
        <v>44473</v>
      </c>
      <c r="C597" s="298">
        <v>1612</v>
      </c>
      <c r="D597" s="299" t="s">
        <v>3048</v>
      </c>
      <c r="E597" s="288" t="s">
        <v>2924</v>
      </c>
      <c r="F597" s="294" t="s">
        <v>2941</v>
      </c>
      <c r="G597" s="290">
        <v>1</v>
      </c>
      <c r="H597" s="291">
        <v>25.2</v>
      </c>
      <c r="I597" s="292">
        <v>-7000</v>
      </c>
      <c r="J597" s="292">
        <f>交易[[#This Row],[價格]]*交易[[#This Row],[數量]]*-1</f>
        <v>176400</v>
      </c>
      <c r="L597" s="2"/>
    </row>
    <row r="598" spans="1:12">
      <c r="A598" s="330">
        <v>597</v>
      </c>
      <c r="B598" s="297">
        <v>44473</v>
      </c>
      <c r="C598" s="298">
        <v>1609</v>
      </c>
      <c r="D598" s="299" t="s">
        <v>2983</v>
      </c>
      <c r="E598" s="288" t="s">
        <v>2924</v>
      </c>
      <c r="F598" s="294" t="s">
        <v>2941</v>
      </c>
      <c r="G598" s="290">
        <v>2</v>
      </c>
      <c r="H598" s="291">
        <v>26.05</v>
      </c>
      <c r="I598" s="292">
        <v>-7000</v>
      </c>
      <c r="J598" s="292">
        <f>交易[[#This Row],[價格]]*交易[[#This Row],[數量]]*-1</f>
        <v>182350</v>
      </c>
      <c r="L598" s="2"/>
    </row>
    <row r="599" spans="1:12">
      <c r="A599" s="330">
        <v>598</v>
      </c>
      <c r="B599" s="297">
        <v>44473</v>
      </c>
      <c r="C599" s="298">
        <v>1409</v>
      </c>
      <c r="D599" s="299" t="s">
        <v>2923</v>
      </c>
      <c r="E599" s="288" t="s">
        <v>2924</v>
      </c>
      <c r="F599" s="294" t="s">
        <v>2941</v>
      </c>
      <c r="G599" s="290">
        <v>7</v>
      </c>
      <c r="H599" s="291">
        <v>19.100000000000001</v>
      </c>
      <c r="I599" s="292">
        <v>-5000</v>
      </c>
      <c r="J599" s="292">
        <f>交易[[#This Row],[價格]]*交易[[#This Row],[數量]]*-1</f>
        <v>95500</v>
      </c>
      <c r="L599" s="2"/>
    </row>
    <row r="600" spans="1:12">
      <c r="A600" s="330">
        <v>599</v>
      </c>
      <c r="B600" s="297">
        <v>44473</v>
      </c>
      <c r="C600" s="298">
        <v>6509</v>
      </c>
      <c r="D600" s="299" t="s">
        <v>2950</v>
      </c>
      <c r="E600" s="288" t="s">
        <v>3051</v>
      </c>
      <c r="F600" s="294" t="s">
        <v>2941</v>
      </c>
      <c r="G600" s="290">
        <v>5</v>
      </c>
      <c r="H600" s="291">
        <v>52.8</v>
      </c>
      <c r="I600" s="292">
        <v>4000</v>
      </c>
      <c r="J600" s="292">
        <f>交易[[#This Row],[價格]]*交易[[#This Row],[數量]]*-1</f>
        <v>-211200</v>
      </c>
      <c r="L600" s="2"/>
    </row>
    <row r="601" spans="1:12">
      <c r="A601" s="330">
        <v>600</v>
      </c>
      <c r="B601" s="297">
        <v>44473</v>
      </c>
      <c r="C601" s="298">
        <v>6509</v>
      </c>
      <c r="D601" s="299" t="s">
        <v>2950</v>
      </c>
      <c r="E601" s="288" t="s">
        <v>3051</v>
      </c>
      <c r="F601" s="294" t="s">
        <v>2928</v>
      </c>
      <c r="G601" s="290">
        <v>6</v>
      </c>
      <c r="H601" s="291">
        <v>53.2</v>
      </c>
      <c r="I601" s="292">
        <v>3000</v>
      </c>
      <c r="J601" s="292">
        <f>交易[[#This Row],[價格]]*交易[[#This Row],[數量]]*-1</f>
        <v>-159600</v>
      </c>
      <c r="L601" s="2"/>
    </row>
    <row r="602" spans="1:12">
      <c r="A602" s="330">
        <v>601</v>
      </c>
      <c r="B602" s="297">
        <v>44473</v>
      </c>
      <c r="C602" s="298">
        <v>5351</v>
      </c>
      <c r="D602" s="299" t="s">
        <v>3035</v>
      </c>
      <c r="E602" s="288" t="s">
        <v>3051</v>
      </c>
      <c r="F602" s="294" t="s">
        <v>2925</v>
      </c>
      <c r="G602" s="290">
        <v>2</v>
      </c>
      <c r="H602" s="291">
        <v>40.200000000000003</v>
      </c>
      <c r="I602" s="292">
        <v>-6000</v>
      </c>
      <c r="J602" s="292">
        <f>交易[[#This Row],[價格]]*交易[[#This Row],[數量]]*-1</f>
        <v>241200.00000000003</v>
      </c>
      <c r="L602" s="2"/>
    </row>
    <row r="603" spans="1:12">
      <c r="A603" s="330">
        <v>602</v>
      </c>
      <c r="B603" s="297">
        <v>44473</v>
      </c>
      <c r="C603" s="298">
        <v>6509</v>
      </c>
      <c r="D603" s="299" t="s">
        <v>2950</v>
      </c>
      <c r="E603" s="288" t="s">
        <v>3051</v>
      </c>
      <c r="F603" s="294" t="s">
        <v>2928</v>
      </c>
      <c r="G603" s="290">
        <v>6</v>
      </c>
      <c r="H603" s="291">
        <v>52.6</v>
      </c>
      <c r="I603" s="292">
        <v>-3000</v>
      </c>
      <c r="J603" s="292">
        <f>交易[[#This Row],[價格]]*交易[[#This Row],[數量]]*-1</f>
        <v>157800</v>
      </c>
      <c r="L603" s="2"/>
    </row>
    <row r="604" spans="1:12">
      <c r="A604" s="330">
        <v>603</v>
      </c>
      <c r="B604" s="297">
        <v>44473</v>
      </c>
      <c r="C604" s="298">
        <v>8255</v>
      </c>
      <c r="D604" s="299" t="s">
        <v>3022</v>
      </c>
      <c r="E604" s="288" t="s">
        <v>3051</v>
      </c>
      <c r="F604" s="294" t="s">
        <v>2925</v>
      </c>
      <c r="G604" s="290">
        <v>3</v>
      </c>
      <c r="H604" s="291">
        <v>189</v>
      </c>
      <c r="I604" s="292">
        <v>-1000</v>
      </c>
      <c r="J604" s="292">
        <f>交易[[#This Row],[價格]]*交易[[#This Row],[數量]]*-1</f>
        <v>189000</v>
      </c>
      <c r="L604" s="2"/>
    </row>
    <row r="605" spans="1:12">
      <c r="A605" s="330">
        <v>604</v>
      </c>
      <c r="B605" s="297">
        <v>44473</v>
      </c>
      <c r="C605" s="298">
        <v>6509</v>
      </c>
      <c r="D605" s="299" t="s">
        <v>2950</v>
      </c>
      <c r="E605" s="288" t="s">
        <v>3051</v>
      </c>
      <c r="F605" s="294" t="s">
        <v>2928</v>
      </c>
      <c r="G605" s="290">
        <v>6</v>
      </c>
      <c r="H605" s="291">
        <v>51.9</v>
      </c>
      <c r="I605" s="292">
        <v>4000</v>
      </c>
      <c r="J605" s="292">
        <f>交易[[#This Row],[價格]]*交易[[#This Row],[數量]]*-1</f>
        <v>-207600</v>
      </c>
      <c r="L605" s="2"/>
    </row>
    <row r="606" spans="1:12">
      <c r="A606" s="330">
        <v>605</v>
      </c>
      <c r="B606" s="297">
        <v>44473</v>
      </c>
      <c r="C606" s="298">
        <v>6509</v>
      </c>
      <c r="D606" s="299" t="s">
        <v>2950</v>
      </c>
      <c r="E606" s="288" t="s">
        <v>3051</v>
      </c>
      <c r="F606" s="294" t="s">
        <v>2928</v>
      </c>
      <c r="G606" s="290">
        <v>6</v>
      </c>
      <c r="H606" s="291">
        <v>52.5</v>
      </c>
      <c r="I606" s="292">
        <v>7000</v>
      </c>
      <c r="J606" s="292">
        <f>交易[[#This Row],[價格]]*交易[[#This Row],[數量]]*-1</f>
        <v>-367500</v>
      </c>
      <c r="L606" s="2"/>
    </row>
    <row r="607" spans="1:12">
      <c r="A607" s="330">
        <v>606</v>
      </c>
      <c r="B607" s="297">
        <v>44473</v>
      </c>
      <c r="C607" s="298">
        <v>6509</v>
      </c>
      <c r="D607" s="299" t="s">
        <v>2950</v>
      </c>
      <c r="E607" s="288" t="s">
        <v>3051</v>
      </c>
      <c r="F607" s="294" t="s">
        <v>2928</v>
      </c>
      <c r="G607" s="290">
        <v>6</v>
      </c>
      <c r="H607" s="291">
        <v>51</v>
      </c>
      <c r="I607" s="292">
        <v>-7000</v>
      </c>
      <c r="J607" s="292">
        <f>交易[[#This Row],[價格]]*交易[[#This Row],[數量]]*-1</f>
        <v>357000</v>
      </c>
      <c r="L607" s="2"/>
    </row>
    <row r="608" spans="1:12">
      <c r="A608" s="330">
        <v>607</v>
      </c>
      <c r="B608" s="297">
        <v>44473</v>
      </c>
      <c r="C608" s="298">
        <v>6509</v>
      </c>
      <c r="D608" s="299" t="s">
        <v>2950</v>
      </c>
      <c r="E608" s="288" t="s">
        <v>3051</v>
      </c>
      <c r="F608" s="294" t="s">
        <v>2928</v>
      </c>
      <c r="G608" s="290">
        <v>6</v>
      </c>
      <c r="H608" s="291">
        <v>53</v>
      </c>
      <c r="I608" s="292">
        <v>-3000</v>
      </c>
      <c r="J608" s="292">
        <f>交易[[#This Row],[價格]]*交易[[#This Row],[數量]]*-1</f>
        <v>159000</v>
      </c>
      <c r="L608" s="2"/>
    </row>
    <row r="609" spans="1:12">
      <c r="A609" s="330">
        <v>608</v>
      </c>
      <c r="B609" s="297">
        <v>44473</v>
      </c>
      <c r="C609" s="298">
        <v>6509</v>
      </c>
      <c r="D609" s="299" t="s">
        <v>2950</v>
      </c>
      <c r="E609" s="288" t="s">
        <v>3051</v>
      </c>
      <c r="F609" s="294" t="s">
        <v>2928</v>
      </c>
      <c r="G609" s="290">
        <v>6</v>
      </c>
      <c r="H609" s="291">
        <v>52.9</v>
      </c>
      <c r="I609" s="292">
        <v>-1000</v>
      </c>
      <c r="J609" s="292">
        <f>交易[[#This Row],[價格]]*交易[[#This Row],[數量]]*-1</f>
        <v>52900</v>
      </c>
      <c r="L609" s="2"/>
    </row>
    <row r="610" spans="1:12">
      <c r="A610" s="330">
        <v>609</v>
      </c>
      <c r="B610" s="297">
        <v>44474</v>
      </c>
      <c r="C610" s="298">
        <v>8938</v>
      </c>
      <c r="D610" s="299" t="s">
        <v>3050</v>
      </c>
      <c r="E610" s="288" t="s">
        <v>2924</v>
      </c>
      <c r="F610" s="294" t="s">
        <v>2941</v>
      </c>
      <c r="G610" s="290">
        <v>1</v>
      </c>
      <c r="H610" s="291">
        <v>73</v>
      </c>
      <c r="I610" s="292">
        <v>-1000</v>
      </c>
      <c r="J610" s="292">
        <f>交易[[#This Row],[價格]]*交易[[#This Row],[數量]]*-1</f>
        <v>73000</v>
      </c>
      <c r="L610" s="2"/>
    </row>
    <row r="611" spans="1:12">
      <c r="A611" s="330">
        <v>610</v>
      </c>
      <c r="B611" s="297">
        <v>44474</v>
      </c>
      <c r="C611" s="298">
        <v>8069</v>
      </c>
      <c r="D611" s="299" t="s">
        <v>2944</v>
      </c>
      <c r="E611" s="288" t="s">
        <v>3051</v>
      </c>
      <c r="F611" s="294" t="s">
        <v>2925</v>
      </c>
      <c r="G611" s="290">
        <v>3</v>
      </c>
      <c r="H611" s="291">
        <v>67.2</v>
      </c>
      <c r="I611" s="292">
        <v>-2000</v>
      </c>
      <c r="J611" s="292">
        <f>交易[[#This Row],[價格]]*交易[[#This Row],[數量]]*-1</f>
        <v>134400</v>
      </c>
      <c r="L611" s="2"/>
    </row>
    <row r="612" spans="1:12">
      <c r="A612" s="330">
        <v>611</v>
      </c>
      <c r="B612" s="297">
        <v>44474</v>
      </c>
      <c r="C612" s="298">
        <v>2354</v>
      </c>
      <c r="D612" s="299" t="s">
        <v>3027</v>
      </c>
      <c r="E612" s="288" t="s">
        <v>2924</v>
      </c>
      <c r="F612" s="294" t="s">
        <v>2930</v>
      </c>
      <c r="G612" s="290">
        <v>2</v>
      </c>
      <c r="H612" s="291">
        <v>69.7</v>
      </c>
      <c r="I612" s="292">
        <v>-3000</v>
      </c>
      <c r="J612" s="292">
        <f>交易[[#This Row],[價格]]*交易[[#This Row],[數量]]*-1</f>
        <v>209100</v>
      </c>
      <c r="L612" s="2"/>
    </row>
    <row r="613" spans="1:12">
      <c r="A613" s="330">
        <v>612</v>
      </c>
      <c r="B613" s="297">
        <v>44474</v>
      </c>
      <c r="C613" s="298">
        <v>3551</v>
      </c>
      <c r="D613" s="299" t="s">
        <v>3028</v>
      </c>
      <c r="E613" s="288" t="s">
        <v>2924</v>
      </c>
      <c r="F613" s="294" t="s">
        <v>2930</v>
      </c>
      <c r="G613" s="290">
        <v>2</v>
      </c>
      <c r="H613" s="291">
        <v>70.7</v>
      </c>
      <c r="I613" s="292">
        <v>-1000</v>
      </c>
      <c r="J613" s="292">
        <f>交易[[#This Row],[價格]]*交易[[#This Row],[數量]]*-1</f>
        <v>70700</v>
      </c>
      <c r="L613" s="2"/>
    </row>
    <row r="614" spans="1:12">
      <c r="A614" s="330">
        <v>613</v>
      </c>
      <c r="B614" s="297">
        <v>44474</v>
      </c>
      <c r="C614" s="298">
        <v>8069</v>
      </c>
      <c r="D614" s="299" t="s">
        <v>2944</v>
      </c>
      <c r="E614" s="288" t="s">
        <v>3051</v>
      </c>
      <c r="F614" s="294" t="s">
        <v>2926</v>
      </c>
      <c r="G614" s="290">
        <v>3</v>
      </c>
      <c r="H614" s="291">
        <v>66.3</v>
      </c>
      <c r="I614" s="292">
        <v>-2000</v>
      </c>
      <c r="J614" s="292">
        <f>交易[[#This Row],[價格]]*交易[[#This Row],[數量]]*-1</f>
        <v>132600</v>
      </c>
      <c r="L614" s="2"/>
    </row>
    <row r="615" spans="1:12">
      <c r="A615" s="330">
        <v>614</v>
      </c>
      <c r="B615" s="297">
        <v>44474</v>
      </c>
      <c r="C615" s="298">
        <v>8069</v>
      </c>
      <c r="D615" s="299" t="s">
        <v>2944</v>
      </c>
      <c r="E615" s="288" t="s">
        <v>3051</v>
      </c>
      <c r="F615" s="294" t="s">
        <v>2929</v>
      </c>
      <c r="G615" s="290">
        <v>3</v>
      </c>
      <c r="H615" s="291">
        <v>65.8</v>
      </c>
      <c r="I615" s="292">
        <v>2000</v>
      </c>
      <c r="J615" s="292">
        <f>交易[[#This Row],[價格]]*交易[[#This Row],[數量]]*-1</f>
        <v>-131600</v>
      </c>
      <c r="L615" s="2"/>
    </row>
    <row r="616" spans="1:12">
      <c r="A616" s="330">
        <v>615</v>
      </c>
      <c r="B616" s="297">
        <v>44475</v>
      </c>
      <c r="C616" s="298">
        <v>6509</v>
      </c>
      <c r="D616" s="299" t="s">
        <v>2950</v>
      </c>
      <c r="E616" s="288" t="s">
        <v>3051</v>
      </c>
      <c r="F616" s="294" t="s">
        <v>2938</v>
      </c>
      <c r="G616" s="290">
        <v>7</v>
      </c>
      <c r="H616" s="291">
        <v>54.9</v>
      </c>
      <c r="I616" s="292">
        <v>3000</v>
      </c>
      <c r="J616" s="292">
        <f>交易[[#This Row],[價格]]*交易[[#This Row],[數量]]*-1</f>
        <v>-164700</v>
      </c>
      <c r="L616" s="2"/>
    </row>
    <row r="617" spans="1:12">
      <c r="A617" s="330">
        <v>616</v>
      </c>
      <c r="B617" s="297">
        <v>44475</v>
      </c>
      <c r="C617" s="298">
        <v>6509</v>
      </c>
      <c r="D617" s="299" t="s">
        <v>2950</v>
      </c>
      <c r="E617" s="288" t="s">
        <v>2924</v>
      </c>
      <c r="F617" s="294" t="s">
        <v>2938</v>
      </c>
      <c r="G617" s="290">
        <v>7</v>
      </c>
      <c r="H617" s="291">
        <v>55.2</v>
      </c>
      <c r="I617" s="292">
        <v>-1000</v>
      </c>
      <c r="J617" s="292">
        <f>交易[[#This Row],[價格]]*交易[[#This Row],[數量]]*-1</f>
        <v>55200</v>
      </c>
      <c r="L617" s="2"/>
    </row>
    <row r="618" spans="1:12">
      <c r="A618" s="330">
        <v>617</v>
      </c>
      <c r="B618" s="297">
        <v>44475</v>
      </c>
      <c r="C618" s="298">
        <v>6509</v>
      </c>
      <c r="D618" s="299" t="s">
        <v>2950</v>
      </c>
      <c r="E618" s="288" t="s">
        <v>2924</v>
      </c>
      <c r="F618" s="294" t="s">
        <v>2938</v>
      </c>
      <c r="G618" s="290">
        <v>7</v>
      </c>
      <c r="H618" s="291">
        <v>54.4</v>
      </c>
      <c r="I618" s="292">
        <v>-2000</v>
      </c>
      <c r="J618" s="292">
        <f>交易[[#This Row],[價格]]*交易[[#This Row],[數量]]*-1</f>
        <v>108800</v>
      </c>
      <c r="L618" s="2"/>
    </row>
    <row r="619" spans="1:12">
      <c r="A619" s="330">
        <v>618</v>
      </c>
      <c r="B619" s="297">
        <v>44475</v>
      </c>
      <c r="C619" s="298">
        <v>5351</v>
      </c>
      <c r="D619" s="299" t="s">
        <v>3035</v>
      </c>
      <c r="E619" s="288" t="s">
        <v>2949</v>
      </c>
      <c r="F619" s="294" t="s">
        <v>2928</v>
      </c>
      <c r="G619" s="290">
        <v>2</v>
      </c>
      <c r="H619" s="291">
        <v>40.799999999999997</v>
      </c>
      <c r="I619" s="292">
        <v>-4000</v>
      </c>
      <c r="J619" s="292">
        <f>交易[[#This Row],[價格]]*交易[[#This Row],[數量]]*-1</f>
        <v>163200</v>
      </c>
      <c r="L619" s="2"/>
    </row>
    <row r="620" spans="1:12">
      <c r="A620" s="330">
        <v>619</v>
      </c>
      <c r="B620" s="297">
        <v>44475</v>
      </c>
      <c r="C620" s="298">
        <v>5351</v>
      </c>
      <c r="D620" s="299" t="s">
        <v>3035</v>
      </c>
      <c r="E620" s="288" t="s">
        <v>2949</v>
      </c>
      <c r="F620" s="294" t="s">
        <v>2928</v>
      </c>
      <c r="G620" s="290">
        <v>2</v>
      </c>
      <c r="H620" s="291">
        <v>41.25</v>
      </c>
      <c r="I620" s="292">
        <v>4000</v>
      </c>
      <c r="J620" s="292">
        <f>交易[[#This Row],[價格]]*交易[[#This Row],[數量]]*-1</f>
        <v>-165000</v>
      </c>
      <c r="L620" s="2"/>
    </row>
    <row r="621" spans="1:12">
      <c r="A621" s="330">
        <v>620</v>
      </c>
      <c r="B621" s="297">
        <v>44475</v>
      </c>
      <c r="C621" s="298">
        <v>8255</v>
      </c>
      <c r="D621" s="299" t="s">
        <v>3022</v>
      </c>
      <c r="E621" s="288" t="s">
        <v>3051</v>
      </c>
      <c r="F621" s="294" t="s">
        <v>2929</v>
      </c>
      <c r="G621" s="290">
        <v>3</v>
      </c>
      <c r="H621" s="291">
        <v>205</v>
      </c>
      <c r="I621" s="292">
        <v>1000</v>
      </c>
      <c r="J621" s="292">
        <f>交易[[#This Row],[價格]]*交易[[#This Row],[數量]]*-1</f>
        <v>-205000</v>
      </c>
      <c r="L621" s="2"/>
    </row>
    <row r="622" spans="1:12">
      <c r="A622" s="330">
        <v>621</v>
      </c>
      <c r="B622" s="297">
        <v>44475</v>
      </c>
      <c r="C622" s="298">
        <v>8255</v>
      </c>
      <c r="D622" s="299" t="s">
        <v>3022</v>
      </c>
      <c r="E622" s="288" t="s">
        <v>3051</v>
      </c>
      <c r="F622" s="294" t="s">
        <v>2926</v>
      </c>
      <c r="G622" s="290">
        <v>3</v>
      </c>
      <c r="H622" s="291">
        <v>201.5</v>
      </c>
      <c r="I622" s="292">
        <v>-1000</v>
      </c>
      <c r="J622" s="292">
        <f>交易[[#This Row],[價格]]*交易[[#This Row],[數量]]*-1</f>
        <v>201500</v>
      </c>
      <c r="L622" s="2"/>
    </row>
    <row r="623" spans="1:12">
      <c r="A623" s="330">
        <v>622</v>
      </c>
      <c r="B623" s="297">
        <v>44475</v>
      </c>
      <c r="C623" s="298">
        <v>1710</v>
      </c>
      <c r="D623" s="299" t="s">
        <v>3046</v>
      </c>
      <c r="E623" s="288" t="s">
        <v>2924</v>
      </c>
      <c r="F623" s="294" t="s">
        <v>2926</v>
      </c>
      <c r="G623" s="290">
        <v>1</v>
      </c>
      <c r="H623" s="291">
        <v>23.6</v>
      </c>
      <c r="I623" s="292">
        <v>10000</v>
      </c>
      <c r="J623" s="292">
        <f>交易[[#This Row],[價格]]*交易[[#This Row],[數量]]*-1</f>
        <v>-236000</v>
      </c>
      <c r="L623" s="2"/>
    </row>
    <row r="624" spans="1:12">
      <c r="A624" s="330">
        <v>623</v>
      </c>
      <c r="B624" s="297">
        <v>44475</v>
      </c>
      <c r="C624" s="298">
        <v>1710</v>
      </c>
      <c r="D624" s="299" t="s">
        <v>3046</v>
      </c>
      <c r="E624" s="288" t="s">
        <v>2924</v>
      </c>
      <c r="F624" s="294" t="s">
        <v>2929</v>
      </c>
      <c r="G624" s="290">
        <v>1</v>
      </c>
      <c r="H624" s="291">
        <v>23.3</v>
      </c>
      <c r="I624" s="292">
        <v>-10000</v>
      </c>
      <c r="J624" s="292">
        <f>交易[[#This Row],[價格]]*交易[[#This Row],[數量]]*-1</f>
        <v>233000</v>
      </c>
      <c r="L624" s="2"/>
    </row>
    <row r="625" spans="1:12">
      <c r="A625" s="330">
        <v>624</v>
      </c>
      <c r="B625" s="297">
        <v>44475</v>
      </c>
      <c r="C625" s="298">
        <v>8069</v>
      </c>
      <c r="D625" s="299" t="s">
        <v>2944</v>
      </c>
      <c r="E625" s="288" t="s">
        <v>3051</v>
      </c>
      <c r="F625" s="294" t="s">
        <v>2926</v>
      </c>
      <c r="G625" s="290">
        <v>3</v>
      </c>
      <c r="H625" s="291">
        <v>72</v>
      </c>
      <c r="I625" s="292">
        <v>-2000</v>
      </c>
      <c r="J625" s="292">
        <f>交易[[#This Row],[價格]]*交易[[#This Row],[數量]]*-1</f>
        <v>144000</v>
      </c>
      <c r="L625" s="2"/>
    </row>
    <row r="626" spans="1:12">
      <c r="A626" s="330">
        <v>625</v>
      </c>
      <c r="B626" s="297">
        <v>44475</v>
      </c>
      <c r="C626" s="298">
        <v>1710</v>
      </c>
      <c r="D626" s="299" t="s">
        <v>3046</v>
      </c>
      <c r="E626" s="288" t="s">
        <v>2924</v>
      </c>
      <c r="F626" s="294" t="s">
        <v>2941</v>
      </c>
      <c r="G626" s="290">
        <v>1</v>
      </c>
      <c r="H626" s="291">
        <v>23.05</v>
      </c>
      <c r="I626" s="292">
        <v>-18000</v>
      </c>
      <c r="J626" s="292">
        <f>交易[[#This Row],[價格]]*交易[[#This Row],[數量]]*-1</f>
        <v>414900</v>
      </c>
      <c r="L626" s="2"/>
    </row>
    <row r="627" spans="1:12">
      <c r="A627" s="330">
        <v>626</v>
      </c>
      <c r="B627" s="297">
        <v>44475</v>
      </c>
      <c r="C627" s="298">
        <v>1710</v>
      </c>
      <c r="D627" s="299" t="s">
        <v>3046</v>
      </c>
      <c r="E627" s="288" t="s">
        <v>2924</v>
      </c>
      <c r="F627" s="294" t="s">
        <v>2941</v>
      </c>
      <c r="G627" s="290">
        <v>1</v>
      </c>
      <c r="H627" s="291">
        <v>23.1</v>
      </c>
      <c r="I627" s="292">
        <v>-2000</v>
      </c>
      <c r="J627" s="292">
        <f>交易[[#This Row],[價格]]*交易[[#This Row],[數量]]*-1</f>
        <v>46200</v>
      </c>
      <c r="L627" s="2"/>
    </row>
    <row r="628" spans="1:12">
      <c r="A628" s="330">
        <v>627</v>
      </c>
      <c r="B628" s="297">
        <v>44476</v>
      </c>
      <c r="C628" s="298">
        <v>8255</v>
      </c>
      <c r="D628" s="299" t="s">
        <v>3022</v>
      </c>
      <c r="E628" s="288" t="s">
        <v>3051</v>
      </c>
      <c r="F628" s="294" t="s">
        <v>2941</v>
      </c>
      <c r="G628" s="290">
        <v>3</v>
      </c>
      <c r="H628" s="291">
        <v>213</v>
      </c>
      <c r="I628" s="292">
        <v>1000</v>
      </c>
      <c r="J628" s="292">
        <f>交易[[#This Row],[價格]]*交易[[#This Row],[數量]]*-1</f>
        <v>-213000</v>
      </c>
      <c r="L628" s="2"/>
    </row>
    <row r="629" spans="1:12">
      <c r="A629" s="330">
        <v>628</v>
      </c>
      <c r="B629" s="285">
        <v>44477</v>
      </c>
      <c r="C629" s="286">
        <v>2880</v>
      </c>
      <c r="D629" s="287" t="s">
        <v>3032</v>
      </c>
      <c r="E629" s="288" t="s">
        <v>2924</v>
      </c>
      <c r="F629" s="294" t="s">
        <v>2930</v>
      </c>
      <c r="G629" s="290">
        <v>1</v>
      </c>
      <c r="H629" s="291">
        <v>0</v>
      </c>
      <c r="I629" s="292">
        <v>264</v>
      </c>
      <c r="J629" s="292">
        <f>交易[[#This Row],[價格]]*交易[[#This Row],[數量]]*-1</f>
        <v>0</v>
      </c>
      <c r="L629" s="2"/>
    </row>
    <row r="630" spans="1:12">
      <c r="A630" s="330">
        <v>629</v>
      </c>
      <c r="B630" s="285">
        <v>44477</v>
      </c>
      <c r="C630" s="286">
        <v>2880</v>
      </c>
      <c r="D630" s="299" t="s">
        <v>3032</v>
      </c>
      <c r="E630" s="288" t="s">
        <v>2924</v>
      </c>
      <c r="F630" s="294" t="s">
        <v>2930</v>
      </c>
      <c r="G630" s="290">
        <v>1</v>
      </c>
      <c r="H630" s="291">
        <v>20.3</v>
      </c>
      <c r="I630" s="292">
        <v>-264</v>
      </c>
      <c r="J630" s="292">
        <f>交易[[#This Row],[價格]]*交易[[#This Row],[數量]]*-1</f>
        <v>5359.2</v>
      </c>
      <c r="L630" s="2"/>
    </row>
    <row r="631" spans="1:12">
      <c r="A631" s="330">
        <v>630</v>
      </c>
      <c r="B631" s="285">
        <v>44477</v>
      </c>
      <c r="C631" s="286">
        <v>5351</v>
      </c>
      <c r="D631" s="299" t="s">
        <v>3035</v>
      </c>
      <c r="E631" s="288" t="s">
        <v>3051</v>
      </c>
      <c r="F631" s="294" t="s">
        <v>2941</v>
      </c>
      <c r="G631" s="290">
        <v>2</v>
      </c>
      <c r="H631" s="291">
        <v>44</v>
      </c>
      <c r="I631" s="292">
        <v>6000</v>
      </c>
      <c r="J631" s="292">
        <f>交易[[#This Row],[價格]]*交易[[#This Row],[數量]]*-1</f>
        <v>-264000</v>
      </c>
      <c r="L631" s="2"/>
    </row>
    <row r="632" spans="1:12">
      <c r="A632" s="330">
        <v>631</v>
      </c>
      <c r="B632" s="285">
        <v>44477</v>
      </c>
      <c r="C632" s="286">
        <v>1710</v>
      </c>
      <c r="D632" s="299" t="s">
        <v>3046</v>
      </c>
      <c r="E632" s="288" t="s">
        <v>2924</v>
      </c>
      <c r="F632" s="294" t="s">
        <v>2925</v>
      </c>
      <c r="G632" s="290">
        <v>2</v>
      </c>
      <c r="H632" s="291">
        <v>24.6</v>
      </c>
      <c r="I632" s="292">
        <v>20000</v>
      </c>
      <c r="J632" s="292">
        <f>交易[[#This Row],[價格]]*交易[[#This Row],[數量]]*-1</f>
        <v>-492000</v>
      </c>
      <c r="L632" s="2"/>
    </row>
    <row r="633" spans="1:12">
      <c r="A633" s="330">
        <v>632</v>
      </c>
      <c r="B633" s="285">
        <v>44477</v>
      </c>
      <c r="C633" s="286">
        <v>1710</v>
      </c>
      <c r="D633" s="299" t="s">
        <v>3046</v>
      </c>
      <c r="E633" s="288" t="s">
        <v>2924</v>
      </c>
      <c r="F633" s="294" t="s">
        <v>2925</v>
      </c>
      <c r="G633" s="290">
        <v>2</v>
      </c>
      <c r="H633" s="291">
        <v>24.5</v>
      </c>
      <c r="I633" s="292">
        <v>20000</v>
      </c>
      <c r="J633" s="292">
        <f>交易[[#This Row],[價格]]*交易[[#This Row],[數量]]*-1</f>
        <v>-490000</v>
      </c>
      <c r="L633" s="2"/>
    </row>
    <row r="634" spans="1:12">
      <c r="A634" s="330">
        <v>633</v>
      </c>
      <c r="B634" s="285">
        <v>44477</v>
      </c>
      <c r="C634" s="286">
        <v>1710</v>
      </c>
      <c r="D634" s="299" t="s">
        <v>3046</v>
      </c>
      <c r="E634" s="288" t="s">
        <v>2924</v>
      </c>
      <c r="F634" s="294" t="s">
        <v>2925</v>
      </c>
      <c r="G634" s="290">
        <v>2</v>
      </c>
      <c r="H634" s="291">
        <v>24.55</v>
      </c>
      <c r="I634" s="292">
        <v>20000</v>
      </c>
      <c r="J634" s="292">
        <f>交易[[#This Row],[價格]]*交易[[#This Row],[數量]]*-1</f>
        <v>-491000</v>
      </c>
      <c r="L634" s="2"/>
    </row>
    <row r="635" spans="1:12">
      <c r="A635" s="330">
        <v>634</v>
      </c>
      <c r="B635" s="285">
        <v>44477</v>
      </c>
      <c r="C635" s="286">
        <v>1710</v>
      </c>
      <c r="D635" s="299" t="s">
        <v>3046</v>
      </c>
      <c r="E635" s="288" t="s">
        <v>2924</v>
      </c>
      <c r="F635" s="294" t="s">
        <v>2929</v>
      </c>
      <c r="G635" s="290">
        <v>2</v>
      </c>
      <c r="H635" s="291">
        <v>24.25</v>
      </c>
      <c r="I635" s="292">
        <v>-40000</v>
      </c>
      <c r="J635" s="292">
        <f>交易[[#This Row],[價格]]*交易[[#This Row],[數量]]*-1</f>
        <v>970000</v>
      </c>
      <c r="L635" s="2"/>
    </row>
    <row r="636" spans="1:12">
      <c r="A636" s="330">
        <v>635</v>
      </c>
      <c r="B636" s="285">
        <v>44477</v>
      </c>
      <c r="C636" s="286">
        <v>8069</v>
      </c>
      <c r="D636" s="299" t="s">
        <v>2944</v>
      </c>
      <c r="E636" s="288" t="s">
        <v>3051</v>
      </c>
      <c r="F636" s="294" t="s">
        <v>2941</v>
      </c>
      <c r="G636" s="290">
        <v>3</v>
      </c>
      <c r="H636" s="291">
        <v>74</v>
      </c>
      <c r="I636" s="292">
        <v>4000</v>
      </c>
      <c r="J636" s="292">
        <f>交易[[#This Row],[價格]]*交易[[#This Row],[數量]]*-1</f>
        <v>-296000</v>
      </c>
      <c r="L636" s="2"/>
    </row>
    <row r="637" spans="1:12">
      <c r="A637" s="330">
        <v>636</v>
      </c>
      <c r="B637" s="285">
        <v>44482</v>
      </c>
      <c r="C637" s="286">
        <v>1710</v>
      </c>
      <c r="D637" s="299" t="s">
        <v>3046</v>
      </c>
      <c r="E637" s="288" t="s">
        <v>2924</v>
      </c>
      <c r="F637" s="294" t="s">
        <v>2941</v>
      </c>
      <c r="G637" s="290">
        <v>2</v>
      </c>
      <c r="H637" s="291">
        <v>22.55</v>
      </c>
      <c r="I637" s="292">
        <v>-10000</v>
      </c>
      <c r="J637" s="292">
        <f>交易[[#This Row],[價格]]*交易[[#This Row],[數量]]*-1</f>
        <v>225500</v>
      </c>
      <c r="L637" s="2"/>
    </row>
    <row r="638" spans="1:12">
      <c r="A638" s="330">
        <v>637</v>
      </c>
      <c r="B638" s="285">
        <v>44482</v>
      </c>
      <c r="C638" s="286">
        <v>1710</v>
      </c>
      <c r="D638" s="299" t="s">
        <v>3046</v>
      </c>
      <c r="E638" s="288" t="s">
        <v>2924</v>
      </c>
      <c r="F638" s="294" t="s">
        <v>2941</v>
      </c>
      <c r="G638" s="290">
        <v>2</v>
      </c>
      <c r="H638" s="291">
        <v>22.55</v>
      </c>
      <c r="I638" s="292">
        <v>-10000</v>
      </c>
      <c r="J638" s="292">
        <f>交易[[#This Row],[價格]]*交易[[#This Row],[數量]]*-1</f>
        <v>225500</v>
      </c>
      <c r="L638" s="2"/>
    </row>
    <row r="639" spans="1:12">
      <c r="A639" s="330">
        <v>638</v>
      </c>
      <c r="B639" s="285">
        <v>44487</v>
      </c>
      <c r="C639" s="286">
        <v>3023</v>
      </c>
      <c r="D639" s="299" t="s">
        <v>3052</v>
      </c>
      <c r="E639" s="288" t="s">
        <v>2924</v>
      </c>
      <c r="F639" s="294" t="s">
        <v>2925</v>
      </c>
      <c r="G639" s="290">
        <v>1</v>
      </c>
      <c r="H639" s="291">
        <v>243.5</v>
      </c>
      <c r="I639" s="292">
        <v>1000</v>
      </c>
      <c r="J639" s="292">
        <f>交易[[#This Row],[價格]]*交易[[#This Row],[數量]]*-1</f>
        <v>-243500</v>
      </c>
      <c r="L639" s="2"/>
    </row>
    <row r="640" spans="1:12">
      <c r="A640" s="330">
        <v>639</v>
      </c>
      <c r="B640" s="285">
        <v>44487</v>
      </c>
      <c r="C640" s="286">
        <v>3023</v>
      </c>
      <c r="D640" s="299" t="s">
        <v>3052</v>
      </c>
      <c r="E640" s="288" t="s">
        <v>2924</v>
      </c>
      <c r="F640" s="294" t="s">
        <v>2926</v>
      </c>
      <c r="G640" s="290">
        <v>1</v>
      </c>
      <c r="H640" s="291">
        <v>242.5</v>
      </c>
      <c r="I640" s="292">
        <v>1000</v>
      </c>
      <c r="J640" s="292">
        <f>交易[[#This Row],[價格]]*交易[[#This Row],[數量]]*-1</f>
        <v>-242500</v>
      </c>
      <c r="L640" s="2"/>
    </row>
    <row r="641" spans="1:12">
      <c r="A641" s="330">
        <v>640</v>
      </c>
      <c r="B641" s="285">
        <v>44489</v>
      </c>
      <c r="C641" s="286">
        <v>3023</v>
      </c>
      <c r="D641" s="299" t="s">
        <v>3052</v>
      </c>
      <c r="E641" s="288" t="s">
        <v>2924</v>
      </c>
      <c r="F641" s="294" t="s">
        <v>2929</v>
      </c>
      <c r="G641" s="290">
        <v>1</v>
      </c>
      <c r="H641" s="291">
        <v>244.5</v>
      </c>
      <c r="I641" s="292">
        <v>-1000</v>
      </c>
      <c r="J641" s="292">
        <f>交易[[#This Row],[價格]]*交易[[#This Row],[數量]]*-1</f>
        <v>244500</v>
      </c>
      <c r="L641" s="2"/>
    </row>
    <row r="642" spans="1:12">
      <c r="A642" s="330">
        <v>641</v>
      </c>
      <c r="B642" s="285">
        <v>44491</v>
      </c>
      <c r="C642" s="286">
        <v>2520</v>
      </c>
      <c r="D642" s="299" t="s">
        <v>2927</v>
      </c>
      <c r="E642" s="288" t="s">
        <v>2932</v>
      </c>
      <c r="F642" s="294" t="s">
        <v>2930</v>
      </c>
      <c r="G642" s="290">
        <v>2</v>
      </c>
      <c r="H642" s="291">
        <v>38.4</v>
      </c>
      <c r="I642" s="292">
        <v>-500</v>
      </c>
      <c r="J642" s="292">
        <f>交易[[#This Row],[價格]]*交易[[#This Row],[數量]]*-1</f>
        <v>19200</v>
      </c>
      <c r="L642" s="2"/>
    </row>
    <row r="643" spans="1:12">
      <c r="A643" s="330">
        <v>642</v>
      </c>
      <c r="B643" s="285">
        <v>44491</v>
      </c>
      <c r="C643" s="286">
        <v>2520</v>
      </c>
      <c r="D643" s="299" t="s">
        <v>2927</v>
      </c>
      <c r="E643" s="288" t="s">
        <v>2932</v>
      </c>
      <c r="F643" s="294" t="s">
        <v>2930</v>
      </c>
      <c r="G643" s="290">
        <v>2</v>
      </c>
      <c r="H643" s="291">
        <v>38.4</v>
      </c>
      <c r="I643" s="292">
        <v>-431</v>
      </c>
      <c r="J643" s="292">
        <f>交易[[#This Row],[價格]]*交易[[#This Row],[數量]]*-1</f>
        <v>16550.399999999998</v>
      </c>
      <c r="L643" s="2"/>
    </row>
    <row r="644" spans="1:12">
      <c r="A644" s="330">
        <v>643</v>
      </c>
      <c r="B644" s="285">
        <v>44491</v>
      </c>
      <c r="C644" s="286">
        <v>2520</v>
      </c>
      <c r="D644" s="299" t="s">
        <v>2927</v>
      </c>
      <c r="E644" s="288" t="s">
        <v>2932</v>
      </c>
      <c r="F644" s="294" t="s">
        <v>2930</v>
      </c>
      <c r="G644" s="290">
        <v>2</v>
      </c>
      <c r="H644" s="291">
        <v>38.35</v>
      </c>
      <c r="I644" s="292">
        <v>-700</v>
      </c>
      <c r="J644" s="292">
        <f>交易[[#This Row],[價格]]*交易[[#This Row],[數量]]*-1</f>
        <v>26845</v>
      </c>
      <c r="L644" s="2"/>
    </row>
    <row r="645" spans="1:12">
      <c r="A645" s="330">
        <v>644</v>
      </c>
      <c r="B645" s="285">
        <v>44491</v>
      </c>
      <c r="C645" s="286">
        <v>5434</v>
      </c>
      <c r="D645" s="299" t="s">
        <v>2967</v>
      </c>
      <c r="E645" s="288" t="s">
        <v>2932</v>
      </c>
      <c r="F645" s="294" t="s">
        <v>2930</v>
      </c>
      <c r="G645" s="290">
        <v>1</v>
      </c>
      <c r="H645" s="291">
        <v>137</v>
      </c>
      <c r="I645" s="292">
        <v>-1000</v>
      </c>
      <c r="J645" s="292">
        <f>交易[[#This Row],[價格]]*交易[[#This Row],[數量]]*-1</f>
        <v>137000</v>
      </c>
      <c r="L645" s="2"/>
    </row>
    <row r="646" spans="1:12">
      <c r="A646" s="330">
        <v>645</v>
      </c>
      <c r="B646" s="285">
        <v>44491</v>
      </c>
      <c r="C646" s="286">
        <v>2520</v>
      </c>
      <c r="D646" s="299" t="s">
        <v>2927</v>
      </c>
      <c r="E646" s="288" t="s">
        <v>2932</v>
      </c>
      <c r="F646" s="294" t="s">
        <v>2930</v>
      </c>
      <c r="G646" s="290">
        <v>2</v>
      </c>
      <c r="H646" s="291">
        <v>38.4</v>
      </c>
      <c r="I646" s="292">
        <v>-51</v>
      </c>
      <c r="J646" s="292">
        <f>交易[[#This Row],[價格]]*交易[[#This Row],[數量]]*-1</f>
        <v>1958.3999999999999</v>
      </c>
      <c r="L646" s="2"/>
    </row>
    <row r="647" spans="1:12">
      <c r="A647" s="330">
        <v>646</v>
      </c>
      <c r="B647" s="285">
        <v>44491</v>
      </c>
      <c r="C647" s="286">
        <v>2520</v>
      </c>
      <c r="D647" s="299" t="s">
        <v>2927</v>
      </c>
      <c r="E647" s="288" t="s">
        <v>2932</v>
      </c>
      <c r="F647" s="294" t="s">
        <v>2930</v>
      </c>
      <c r="G647" s="290">
        <v>2</v>
      </c>
      <c r="H647" s="291">
        <v>38.35</v>
      </c>
      <c r="I647" s="292">
        <v>-318</v>
      </c>
      <c r="J647" s="292">
        <f>交易[[#This Row],[價格]]*交易[[#This Row],[數量]]*-1</f>
        <v>12195.300000000001</v>
      </c>
      <c r="L647" s="2"/>
    </row>
    <row r="648" spans="1:12">
      <c r="A648" s="330">
        <v>647</v>
      </c>
      <c r="B648" s="285">
        <v>44494</v>
      </c>
      <c r="C648" s="286">
        <v>1218</v>
      </c>
      <c r="D648" s="299" t="s">
        <v>1714</v>
      </c>
      <c r="E648" s="288" t="s">
        <v>2924</v>
      </c>
      <c r="F648" s="294" t="s">
        <v>2925</v>
      </c>
      <c r="G648" s="290">
        <v>1</v>
      </c>
      <c r="H648" s="291">
        <v>28.1</v>
      </c>
      <c r="I648" s="292">
        <v>2000</v>
      </c>
      <c r="J648" s="292">
        <f>交易[[#This Row],[價格]]*交易[[#This Row],[數量]]*-1</f>
        <v>-56200</v>
      </c>
      <c r="L648" s="2"/>
    </row>
    <row r="649" spans="1:12">
      <c r="A649" s="330">
        <v>648</v>
      </c>
      <c r="B649" s="285">
        <v>44495</v>
      </c>
      <c r="C649" s="286">
        <v>3023</v>
      </c>
      <c r="D649" s="299" t="s">
        <v>2238</v>
      </c>
      <c r="E649" s="288" t="s">
        <v>2924</v>
      </c>
      <c r="F649" s="294" t="s">
        <v>2941</v>
      </c>
      <c r="G649" s="290">
        <v>1</v>
      </c>
      <c r="H649" s="291">
        <v>236.5</v>
      </c>
      <c r="I649" s="292">
        <v>-1000</v>
      </c>
      <c r="J649" s="292">
        <f>交易[[#This Row],[價格]]*交易[[#This Row],[數量]]*-1</f>
        <v>236500</v>
      </c>
      <c r="L649" s="2"/>
    </row>
    <row r="650" spans="1:12">
      <c r="A650" s="330">
        <v>649</v>
      </c>
      <c r="B650" s="285">
        <v>44497</v>
      </c>
      <c r="C650" s="286">
        <v>1218</v>
      </c>
      <c r="D650" s="299" t="s">
        <v>1714</v>
      </c>
      <c r="E650" s="288" t="s">
        <v>2924</v>
      </c>
      <c r="F650" s="294" t="s">
        <v>2941</v>
      </c>
      <c r="G650" s="290">
        <v>1</v>
      </c>
      <c r="H650" s="291">
        <v>27.7</v>
      </c>
      <c r="I650" s="292">
        <v>-2000</v>
      </c>
      <c r="J650" s="292">
        <f>交易[[#This Row],[價格]]*交易[[#This Row],[數量]]*-1</f>
        <v>55400</v>
      </c>
      <c r="L650" s="2"/>
    </row>
    <row r="651" spans="1:12">
      <c r="A651" s="330">
        <v>650</v>
      </c>
      <c r="B651" s="285">
        <v>44498</v>
      </c>
      <c r="C651" s="286">
        <v>2603</v>
      </c>
      <c r="D651" s="299" t="s">
        <v>2115</v>
      </c>
      <c r="E651" s="288" t="s">
        <v>2924</v>
      </c>
      <c r="F651" s="294" t="s">
        <v>2925</v>
      </c>
      <c r="G651" s="290">
        <v>1</v>
      </c>
      <c r="H651" s="291">
        <v>95.2</v>
      </c>
      <c r="I651" s="292">
        <v>1000</v>
      </c>
      <c r="J651" s="292">
        <f>交易[[#This Row],[價格]]*交易[[#This Row],[數量]]*-1</f>
        <v>-95200</v>
      </c>
      <c r="L651" s="2"/>
    </row>
    <row r="652" spans="1:12">
      <c r="A652" s="330">
        <v>651</v>
      </c>
      <c r="B652" s="285">
        <v>44498</v>
      </c>
      <c r="C652" s="286">
        <v>2603</v>
      </c>
      <c r="D652" s="299" t="s">
        <v>2115</v>
      </c>
      <c r="E652" s="288" t="s">
        <v>2924</v>
      </c>
      <c r="F652" s="294" t="s">
        <v>2926</v>
      </c>
      <c r="G652" s="290">
        <v>1</v>
      </c>
      <c r="H652" s="291">
        <v>95.4</v>
      </c>
      <c r="I652" s="292">
        <v>1000</v>
      </c>
      <c r="J652" s="292">
        <f>交易[[#This Row],[價格]]*交易[[#This Row],[數量]]*-1</f>
        <v>-95400</v>
      </c>
      <c r="L652" s="2"/>
    </row>
    <row r="653" spans="1:12">
      <c r="A653" s="330">
        <v>652</v>
      </c>
      <c r="B653" s="285">
        <v>44498</v>
      </c>
      <c r="C653" s="286">
        <v>2603</v>
      </c>
      <c r="D653" s="299" t="s">
        <v>2115</v>
      </c>
      <c r="E653" s="288" t="s">
        <v>2924</v>
      </c>
      <c r="F653" s="294" t="s">
        <v>2929</v>
      </c>
      <c r="G653" s="290">
        <v>1</v>
      </c>
      <c r="H653" s="291">
        <v>94.9</v>
      </c>
      <c r="I653" s="292">
        <v>-1000</v>
      </c>
      <c r="J653" s="292">
        <f>交易[[#This Row],[價格]]*交易[[#This Row],[數量]]*-1</f>
        <v>94900</v>
      </c>
      <c r="L653" s="2"/>
    </row>
    <row r="654" spans="1:12">
      <c r="A654" s="330">
        <v>653</v>
      </c>
      <c r="B654" s="285">
        <v>44498</v>
      </c>
      <c r="C654" s="286">
        <v>2603</v>
      </c>
      <c r="D654" s="299" t="s">
        <v>2115</v>
      </c>
      <c r="E654" s="288" t="s">
        <v>2924</v>
      </c>
      <c r="F654" s="294" t="s">
        <v>2926</v>
      </c>
      <c r="G654" s="290">
        <v>1</v>
      </c>
      <c r="H654" s="291">
        <v>95.8</v>
      </c>
      <c r="I654" s="292">
        <v>1000</v>
      </c>
      <c r="J654" s="292">
        <f>交易[[#This Row],[價格]]*交易[[#This Row],[數量]]*-1</f>
        <v>-95800</v>
      </c>
      <c r="L654" s="2"/>
    </row>
    <row r="655" spans="1:12">
      <c r="A655" s="330">
        <v>654</v>
      </c>
      <c r="B655" s="285">
        <v>44501</v>
      </c>
      <c r="C655" s="286">
        <v>2603</v>
      </c>
      <c r="D655" s="299" t="s">
        <v>2115</v>
      </c>
      <c r="E655" s="288" t="s">
        <v>2924</v>
      </c>
      <c r="F655" s="294" t="s">
        <v>2926</v>
      </c>
      <c r="G655" s="290">
        <v>1</v>
      </c>
      <c r="H655" s="291">
        <v>102</v>
      </c>
      <c r="I655" s="292">
        <v>1000</v>
      </c>
      <c r="J655" s="292">
        <f>交易[[#This Row],[價格]]*交易[[#This Row],[數量]]*-1</f>
        <v>-102000</v>
      </c>
      <c r="L655" s="2"/>
    </row>
    <row r="656" spans="1:12">
      <c r="A656" s="330">
        <v>655</v>
      </c>
      <c r="B656" s="285">
        <v>44501</v>
      </c>
      <c r="C656" s="286">
        <v>2603</v>
      </c>
      <c r="D656" s="299" t="s">
        <v>2115</v>
      </c>
      <c r="E656" s="288" t="s">
        <v>2924</v>
      </c>
      <c r="F656" s="294" t="s">
        <v>2931</v>
      </c>
      <c r="G656" s="290">
        <v>1</v>
      </c>
      <c r="H656" s="291">
        <v>100</v>
      </c>
      <c r="I656" s="292">
        <v>-1000</v>
      </c>
      <c r="J656" s="292">
        <f>交易[[#This Row],[價格]]*交易[[#This Row],[數量]]*-1</f>
        <v>100000</v>
      </c>
      <c r="L656" s="2"/>
    </row>
    <row r="657" spans="1:12">
      <c r="A657" s="330">
        <v>656</v>
      </c>
      <c r="B657" s="285">
        <v>44501</v>
      </c>
      <c r="C657" s="286">
        <v>2603</v>
      </c>
      <c r="D657" s="299" t="s">
        <v>2115</v>
      </c>
      <c r="E657" s="288" t="s">
        <v>2924</v>
      </c>
      <c r="F657" s="294" t="s">
        <v>2931</v>
      </c>
      <c r="G657" s="290">
        <v>1</v>
      </c>
      <c r="H657" s="291">
        <v>100</v>
      </c>
      <c r="I657" s="292">
        <v>-2000</v>
      </c>
      <c r="J657" s="292">
        <f>交易[[#This Row],[價格]]*交易[[#This Row],[數量]]*-1</f>
        <v>200000</v>
      </c>
      <c r="L657" s="2"/>
    </row>
    <row r="658" spans="1:12">
      <c r="A658" s="330">
        <v>657</v>
      </c>
      <c r="B658" s="285">
        <v>44501</v>
      </c>
      <c r="C658" s="286">
        <v>1605</v>
      </c>
      <c r="D658" s="299" t="s">
        <v>1841</v>
      </c>
      <c r="E658" s="288" t="s">
        <v>2924</v>
      </c>
      <c r="F658" s="294" t="s">
        <v>2925</v>
      </c>
      <c r="G658" s="290">
        <v>5</v>
      </c>
      <c r="H658" s="291">
        <v>26.6</v>
      </c>
      <c r="I658" s="292">
        <v>8000</v>
      </c>
      <c r="J658" s="292">
        <f>交易[[#This Row],[價格]]*交易[[#This Row],[數量]]*-1</f>
        <v>-212800</v>
      </c>
      <c r="L658" s="2"/>
    </row>
    <row r="659" spans="1:12">
      <c r="A659" s="330">
        <v>658</v>
      </c>
      <c r="B659" s="285">
        <v>44503</v>
      </c>
      <c r="C659" s="286">
        <v>6278</v>
      </c>
      <c r="D659" s="299" t="s">
        <v>2506</v>
      </c>
      <c r="E659" s="288" t="s">
        <v>2924</v>
      </c>
      <c r="F659" s="294" t="s">
        <v>2925</v>
      </c>
      <c r="G659" s="290">
        <v>2</v>
      </c>
      <c r="H659" s="291">
        <v>112</v>
      </c>
      <c r="I659" s="292">
        <v>1000</v>
      </c>
      <c r="J659" s="292">
        <f>交易[[#This Row],[價格]]*交易[[#This Row],[數量]]*-1</f>
        <v>-112000</v>
      </c>
      <c r="L659" s="2"/>
    </row>
    <row r="660" spans="1:12">
      <c r="A660" s="330">
        <v>659</v>
      </c>
      <c r="B660" s="285">
        <v>44503</v>
      </c>
      <c r="C660" s="286">
        <v>1605</v>
      </c>
      <c r="D660" s="299" t="s">
        <v>1841</v>
      </c>
      <c r="E660" s="288" t="s">
        <v>2924</v>
      </c>
      <c r="F660" s="294" t="s">
        <v>2926</v>
      </c>
      <c r="G660" s="290">
        <v>5</v>
      </c>
      <c r="H660" s="291">
        <v>27</v>
      </c>
      <c r="I660" s="292">
        <v>800</v>
      </c>
      <c r="J660" s="292">
        <f>交易[[#This Row],[價格]]*交易[[#This Row],[數量]]*-1</f>
        <v>-21600</v>
      </c>
      <c r="L660" s="2"/>
    </row>
    <row r="661" spans="1:12">
      <c r="A661" s="330">
        <v>660</v>
      </c>
      <c r="B661" s="285">
        <v>44503</v>
      </c>
      <c r="C661" s="286">
        <v>1605</v>
      </c>
      <c r="D661" s="299" t="s">
        <v>1841</v>
      </c>
      <c r="E661" s="288" t="s">
        <v>2924</v>
      </c>
      <c r="F661" s="294" t="s">
        <v>2926</v>
      </c>
      <c r="G661" s="290">
        <v>5</v>
      </c>
      <c r="H661" s="291">
        <v>27</v>
      </c>
      <c r="I661" s="292">
        <v>800</v>
      </c>
      <c r="J661" s="292">
        <f>交易[[#This Row],[價格]]*交易[[#This Row],[數量]]*-1</f>
        <v>-21600</v>
      </c>
      <c r="L661" s="2"/>
    </row>
    <row r="662" spans="1:12">
      <c r="A662" s="330">
        <v>661</v>
      </c>
      <c r="B662" s="285">
        <v>44503</v>
      </c>
      <c r="C662" s="286">
        <v>1605</v>
      </c>
      <c r="D662" s="299" t="s">
        <v>1841</v>
      </c>
      <c r="E662" s="288" t="s">
        <v>2924</v>
      </c>
      <c r="F662" s="294" t="s">
        <v>2926</v>
      </c>
      <c r="G662" s="290">
        <v>5</v>
      </c>
      <c r="H662" s="291">
        <v>27</v>
      </c>
      <c r="I662" s="292">
        <v>800</v>
      </c>
      <c r="J662" s="292">
        <f>交易[[#This Row],[價格]]*交易[[#This Row],[數量]]*-1</f>
        <v>-21600</v>
      </c>
      <c r="L662" s="2"/>
    </row>
    <row r="663" spans="1:12">
      <c r="A663" s="330">
        <v>662</v>
      </c>
      <c r="B663" s="285">
        <v>44503</v>
      </c>
      <c r="C663" s="286">
        <v>1605</v>
      </c>
      <c r="D663" s="299" t="s">
        <v>1841</v>
      </c>
      <c r="E663" s="288" t="s">
        <v>2924</v>
      </c>
      <c r="F663" s="294" t="s">
        <v>2926</v>
      </c>
      <c r="G663" s="290">
        <v>5</v>
      </c>
      <c r="H663" s="291">
        <v>27</v>
      </c>
      <c r="I663" s="292">
        <v>800</v>
      </c>
      <c r="J663" s="292">
        <f>交易[[#This Row],[價格]]*交易[[#This Row],[數量]]*-1</f>
        <v>-21600</v>
      </c>
      <c r="L663" s="2"/>
    </row>
    <row r="664" spans="1:12">
      <c r="A664" s="330">
        <v>663</v>
      </c>
      <c r="B664" s="285">
        <v>44503</v>
      </c>
      <c r="C664" s="286">
        <v>1605</v>
      </c>
      <c r="D664" s="299" t="s">
        <v>1841</v>
      </c>
      <c r="E664" s="288" t="s">
        <v>2924</v>
      </c>
      <c r="F664" s="294" t="s">
        <v>2926</v>
      </c>
      <c r="G664" s="290">
        <v>5</v>
      </c>
      <c r="H664" s="291">
        <v>27</v>
      </c>
      <c r="I664" s="292">
        <v>800</v>
      </c>
      <c r="J664" s="292">
        <f>交易[[#This Row],[價格]]*交易[[#This Row],[數量]]*-1</f>
        <v>-21600</v>
      </c>
      <c r="L664" s="2"/>
    </row>
    <row r="665" spans="1:12">
      <c r="A665" s="330">
        <v>664</v>
      </c>
      <c r="B665" s="285">
        <v>44505</v>
      </c>
      <c r="C665" s="286">
        <v>1515</v>
      </c>
      <c r="D665" s="299" t="s">
        <v>1806</v>
      </c>
      <c r="E665" s="288" t="s">
        <v>3051</v>
      </c>
      <c r="F665" s="294" t="s">
        <v>2925</v>
      </c>
      <c r="G665" s="290">
        <v>1</v>
      </c>
      <c r="H665" s="291">
        <v>67.099999999999994</v>
      </c>
      <c r="I665" s="292">
        <v>-2000</v>
      </c>
      <c r="J665" s="292">
        <f>交易[[#This Row],[價格]]*交易[[#This Row],[數量]]*-1</f>
        <v>134200</v>
      </c>
      <c r="L665" s="2"/>
    </row>
    <row r="666" spans="1:12">
      <c r="A666" s="330">
        <v>665</v>
      </c>
      <c r="B666" s="285">
        <v>44505</v>
      </c>
      <c r="C666" s="286">
        <v>1515</v>
      </c>
      <c r="D666" s="299" t="s">
        <v>1806</v>
      </c>
      <c r="E666" s="288" t="s">
        <v>3051</v>
      </c>
      <c r="F666" s="294" t="s">
        <v>2930</v>
      </c>
      <c r="G666" s="290">
        <v>1</v>
      </c>
      <c r="H666" s="291">
        <v>66.5</v>
      </c>
      <c r="I666" s="292">
        <v>2000</v>
      </c>
      <c r="J666" s="292">
        <f>交易[[#This Row],[價格]]*交易[[#This Row],[數量]]*-1</f>
        <v>-133000</v>
      </c>
      <c r="L666" s="2"/>
    </row>
    <row r="667" spans="1:12">
      <c r="A667" s="330">
        <v>666</v>
      </c>
      <c r="B667" s="285">
        <v>44505</v>
      </c>
      <c r="C667" s="286">
        <v>1605</v>
      </c>
      <c r="D667" s="299" t="s">
        <v>1841</v>
      </c>
      <c r="E667" s="288" t="s">
        <v>2924</v>
      </c>
      <c r="F667" s="294" t="s">
        <v>2931</v>
      </c>
      <c r="G667" s="290">
        <v>5</v>
      </c>
      <c r="H667" s="291">
        <v>26.65</v>
      </c>
      <c r="I667" s="292">
        <v>-12000</v>
      </c>
      <c r="J667" s="292">
        <f>交易[[#This Row],[價格]]*交易[[#This Row],[數量]]*-1</f>
        <v>319800</v>
      </c>
      <c r="L667" s="2"/>
    </row>
    <row r="668" spans="1:12">
      <c r="A668" s="330">
        <v>667</v>
      </c>
      <c r="B668" s="285">
        <v>44505</v>
      </c>
      <c r="C668" s="286">
        <v>1605</v>
      </c>
      <c r="D668" s="299" t="s">
        <v>1841</v>
      </c>
      <c r="E668" s="288" t="s">
        <v>2924</v>
      </c>
      <c r="F668" s="294" t="s">
        <v>2925</v>
      </c>
      <c r="G668" s="290">
        <v>6</v>
      </c>
      <c r="H668" s="291">
        <v>26.95</v>
      </c>
      <c r="I668" s="292">
        <v>2000</v>
      </c>
      <c r="J668" s="292">
        <f>交易[[#This Row],[價格]]*交易[[#This Row],[數量]]*-1</f>
        <v>-53900</v>
      </c>
      <c r="L668" s="2"/>
    </row>
    <row r="669" spans="1:12">
      <c r="A669" s="330">
        <v>668</v>
      </c>
      <c r="B669" s="285">
        <v>44505</v>
      </c>
      <c r="C669" s="286">
        <v>1605</v>
      </c>
      <c r="D669" s="299" t="s">
        <v>1841</v>
      </c>
      <c r="E669" s="288" t="s">
        <v>2924</v>
      </c>
      <c r="F669" s="294" t="s">
        <v>2925</v>
      </c>
      <c r="G669" s="290">
        <v>6</v>
      </c>
      <c r="H669" s="291">
        <v>26.95</v>
      </c>
      <c r="I669" s="292">
        <v>2000</v>
      </c>
      <c r="J669" s="292">
        <f>交易[[#This Row],[價格]]*交易[[#This Row],[數量]]*-1</f>
        <v>-53900</v>
      </c>
      <c r="L669" s="2"/>
    </row>
    <row r="670" spans="1:12">
      <c r="A670" s="330">
        <v>669</v>
      </c>
      <c r="B670" s="285">
        <v>44505</v>
      </c>
      <c r="C670" s="286">
        <v>1605</v>
      </c>
      <c r="D670" s="299" t="s">
        <v>1841</v>
      </c>
      <c r="E670" s="288" t="s">
        <v>2924</v>
      </c>
      <c r="F670" s="294" t="s">
        <v>2925</v>
      </c>
      <c r="G670" s="290">
        <v>6</v>
      </c>
      <c r="H670" s="291">
        <v>26.95</v>
      </c>
      <c r="I670" s="292">
        <v>4000</v>
      </c>
      <c r="J670" s="292">
        <f>交易[[#This Row],[價格]]*交易[[#This Row],[數量]]*-1</f>
        <v>-107800</v>
      </c>
      <c r="L670" s="2"/>
    </row>
    <row r="671" spans="1:12">
      <c r="A671" s="330">
        <v>670</v>
      </c>
      <c r="B671" s="285">
        <v>44505</v>
      </c>
      <c r="C671" s="286">
        <v>1605</v>
      </c>
      <c r="D671" s="299" t="s">
        <v>1841</v>
      </c>
      <c r="E671" s="288" t="s">
        <v>2924</v>
      </c>
      <c r="F671" s="294" t="s">
        <v>2925</v>
      </c>
      <c r="G671" s="290">
        <v>6</v>
      </c>
      <c r="H671" s="291">
        <v>27</v>
      </c>
      <c r="I671" s="292">
        <v>4000</v>
      </c>
      <c r="J671" s="292">
        <f>交易[[#This Row],[價格]]*交易[[#This Row],[數量]]*-1</f>
        <v>-108000</v>
      </c>
      <c r="L671" s="2"/>
    </row>
    <row r="672" spans="1:12">
      <c r="A672" s="330">
        <v>671</v>
      </c>
      <c r="B672" s="285">
        <v>44505</v>
      </c>
      <c r="C672" s="286">
        <v>3017</v>
      </c>
      <c r="D672" s="299" t="s">
        <v>2233</v>
      </c>
      <c r="E672" s="288" t="s">
        <v>2924</v>
      </c>
      <c r="F672" s="294" t="s">
        <v>2925</v>
      </c>
      <c r="G672" s="290">
        <v>1</v>
      </c>
      <c r="H672" s="291">
        <v>80</v>
      </c>
      <c r="I672" s="292">
        <v>2000</v>
      </c>
      <c r="J672" s="292">
        <f>交易[[#This Row],[價格]]*交易[[#This Row],[數量]]*-1</f>
        <v>-160000</v>
      </c>
      <c r="L672" s="2"/>
    </row>
    <row r="673" spans="1:12">
      <c r="A673" s="330">
        <v>672</v>
      </c>
      <c r="B673" s="285">
        <v>44508</v>
      </c>
      <c r="C673" s="286">
        <v>1605</v>
      </c>
      <c r="D673" s="299" t="s">
        <v>1841</v>
      </c>
      <c r="E673" s="288" t="s">
        <v>2924</v>
      </c>
      <c r="F673" s="294" t="s">
        <v>2941</v>
      </c>
      <c r="G673" s="290">
        <v>6</v>
      </c>
      <c r="H673" s="291">
        <v>27.9</v>
      </c>
      <c r="I673" s="292">
        <v>4000</v>
      </c>
      <c r="J673" s="292">
        <f>交易[[#This Row],[價格]]*交易[[#This Row],[數量]]*-1</f>
        <v>-111600</v>
      </c>
      <c r="L673" s="2"/>
    </row>
    <row r="674" spans="1:12">
      <c r="A674" s="330">
        <v>673</v>
      </c>
      <c r="B674" s="285">
        <v>44508</v>
      </c>
      <c r="C674" s="286">
        <v>3017</v>
      </c>
      <c r="D674" s="299" t="s">
        <v>2233</v>
      </c>
      <c r="E674" s="288" t="s">
        <v>2924</v>
      </c>
      <c r="F674" s="294" t="s">
        <v>2925</v>
      </c>
      <c r="G674" s="290">
        <v>1</v>
      </c>
      <c r="H674" s="291">
        <v>80.2</v>
      </c>
      <c r="I674" s="292">
        <v>1000</v>
      </c>
      <c r="J674" s="292">
        <f>交易[[#This Row],[價格]]*交易[[#This Row],[數量]]*-1</f>
        <v>-80200</v>
      </c>
      <c r="L674" s="2"/>
    </row>
    <row r="675" spans="1:12">
      <c r="A675" s="330">
        <v>674</v>
      </c>
      <c r="B675" s="285">
        <v>44508</v>
      </c>
      <c r="C675" s="286">
        <v>3017</v>
      </c>
      <c r="D675" s="299" t="s">
        <v>2233</v>
      </c>
      <c r="E675" s="288" t="s">
        <v>2924</v>
      </c>
      <c r="F675" s="294" t="s">
        <v>2926</v>
      </c>
      <c r="G675" s="290">
        <v>1</v>
      </c>
      <c r="H675" s="291">
        <v>80.099999999999994</v>
      </c>
      <c r="I675" s="292">
        <v>1000</v>
      </c>
      <c r="J675" s="292">
        <f>交易[[#This Row],[價格]]*交易[[#This Row],[數量]]*-1</f>
        <v>-80100</v>
      </c>
      <c r="L675" s="2"/>
    </row>
    <row r="676" spans="1:12">
      <c r="A676" s="330">
        <v>675</v>
      </c>
      <c r="B676" s="285">
        <v>44509</v>
      </c>
      <c r="C676" s="286">
        <v>2464</v>
      </c>
      <c r="D676" s="299" t="s">
        <v>10</v>
      </c>
      <c r="E676" s="288" t="s">
        <v>2924</v>
      </c>
      <c r="F676" s="294" t="s">
        <v>2925</v>
      </c>
      <c r="G676" s="290">
        <v>3</v>
      </c>
      <c r="H676" s="291">
        <v>42.9</v>
      </c>
      <c r="I676" s="292">
        <v>1000</v>
      </c>
      <c r="J676" s="292">
        <f>交易[[#This Row],[價格]]*交易[[#This Row],[數量]]*-1</f>
        <v>-42900</v>
      </c>
      <c r="L676" s="2"/>
    </row>
    <row r="677" spans="1:12">
      <c r="A677" s="330">
        <v>676</v>
      </c>
      <c r="B677" s="285">
        <v>44509</v>
      </c>
      <c r="C677" s="286">
        <v>1605</v>
      </c>
      <c r="D677" s="299" t="s">
        <v>1841</v>
      </c>
      <c r="E677" s="288" t="s">
        <v>2924</v>
      </c>
      <c r="F677" s="294" t="s">
        <v>2930</v>
      </c>
      <c r="G677" s="290">
        <v>6</v>
      </c>
      <c r="H677" s="291">
        <v>27.3</v>
      </c>
      <c r="I677" s="292">
        <v>-4000</v>
      </c>
      <c r="J677" s="292">
        <f>交易[[#This Row],[價格]]*交易[[#This Row],[數量]]*-1</f>
        <v>109200</v>
      </c>
      <c r="L677" s="2"/>
    </row>
    <row r="678" spans="1:12">
      <c r="A678" s="330">
        <v>677</v>
      </c>
      <c r="B678" s="285">
        <v>44509</v>
      </c>
      <c r="C678" s="286">
        <v>1605</v>
      </c>
      <c r="D678" s="299" t="s">
        <v>1841</v>
      </c>
      <c r="E678" s="288" t="s">
        <v>2924</v>
      </c>
      <c r="F678" s="294" t="s">
        <v>2930</v>
      </c>
      <c r="G678" s="290">
        <v>6</v>
      </c>
      <c r="H678" s="291">
        <v>27.3</v>
      </c>
      <c r="I678" s="292">
        <v>-2000</v>
      </c>
      <c r="J678" s="292">
        <f>交易[[#This Row],[價格]]*交易[[#This Row],[數量]]*-1</f>
        <v>54600</v>
      </c>
      <c r="L678" s="2"/>
    </row>
    <row r="679" spans="1:12">
      <c r="A679" s="330">
        <v>678</v>
      </c>
      <c r="B679" s="285">
        <v>44509</v>
      </c>
      <c r="C679" s="286">
        <v>1605</v>
      </c>
      <c r="D679" s="299" t="s">
        <v>1841</v>
      </c>
      <c r="E679" s="288" t="s">
        <v>2924</v>
      </c>
      <c r="F679" s="294" t="s">
        <v>2930</v>
      </c>
      <c r="G679" s="290">
        <v>6</v>
      </c>
      <c r="H679" s="291">
        <v>27.2</v>
      </c>
      <c r="I679" s="292">
        <v>-500</v>
      </c>
      <c r="J679" s="292">
        <f>交易[[#This Row],[價格]]*交易[[#This Row],[數量]]*-1</f>
        <v>13600</v>
      </c>
      <c r="L679" s="2"/>
    </row>
    <row r="680" spans="1:12">
      <c r="A680" s="330">
        <v>679</v>
      </c>
      <c r="B680" s="285">
        <v>44509</v>
      </c>
      <c r="C680" s="286">
        <v>1605</v>
      </c>
      <c r="D680" s="299" t="s">
        <v>1841</v>
      </c>
      <c r="E680" s="288" t="s">
        <v>2924</v>
      </c>
      <c r="F680" s="294" t="s">
        <v>2930</v>
      </c>
      <c r="G680" s="290">
        <v>6</v>
      </c>
      <c r="H680" s="291">
        <v>27.2</v>
      </c>
      <c r="I680" s="292">
        <v>-500</v>
      </c>
      <c r="J680" s="292">
        <f>交易[[#This Row],[價格]]*交易[[#This Row],[數量]]*-1</f>
        <v>13600</v>
      </c>
      <c r="L680" s="2"/>
    </row>
    <row r="681" spans="1:12">
      <c r="A681" s="330">
        <v>680</v>
      </c>
      <c r="B681" s="285">
        <v>44509</v>
      </c>
      <c r="C681" s="286">
        <v>1605</v>
      </c>
      <c r="D681" s="299" t="s">
        <v>1841</v>
      </c>
      <c r="E681" s="288" t="s">
        <v>2924</v>
      </c>
      <c r="F681" s="294" t="s">
        <v>2930</v>
      </c>
      <c r="G681" s="290">
        <v>6</v>
      </c>
      <c r="H681" s="291">
        <v>27.1</v>
      </c>
      <c r="I681" s="292">
        <v>-4000</v>
      </c>
      <c r="J681" s="292">
        <f>交易[[#This Row],[價格]]*交易[[#This Row],[數量]]*-1</f>
        <v>108400</v>
      </c>
      <c r="L681" s="2"/>
    </row>
    <row r="682" spans="1:12">
      <c r="A682" s="330">
        <v>681</v>
      </c>
      <c r="B682" s="285">
        <v>44509</v>
      </c>
      <c r="C682" s="286">
        <v>1605</v>
      </c>
      <c r="D682" s="299" t="s">
        <v>1841</v>
      </c>
      <c r="E682" s="288" t="s">
        <v>2924</v>
      </c>
      <c r="F682" s="294" t="s">
        <v>2930</v>
      </c>
      <c r="G682" s="290">
        <v>6</v>
      </c>
      <c r="H682" s="291">
        <v>27.15</v>
      </c>
      <c r="I682" s="292">
        <v>-2000</v>
      </c>
      <c r="J682" s="292">
        <f>交易[[#This Row],[價格]]*交易[[#This Row],[數量]]*-1</f>
        <v>54300</v>
      </c>
      <c r="L682" s="2"/>
    </row>
    <row r="683" spans="1:12">
      <c r="A683" s="330">
        <v>682</v>
      </c>
      <c r="B683" s="285">
        <v>44509</v>
      </c>
      <c r="C683" s="286">
        <v>1605</v>
      </c>
      <c r="D683" s="299" t="s">
        <v>1841</v>
      </c>
      <c r="E683" s="288" t="s">
        <v>2924</v>
      </c>
      <c r="F683" s="294" t="s">
        <v>2930</v>
      </c>
      <c r="G683" s="290">
        <v>6</v>
      </c>
      <c r="H683" s="291">
        <v>27.05</v>
      </c>
      <c r="I683" s="292">
        <v>-500</v>
      </c>
      <c r="J683" s="292">
        <f>交易[[#This Row],[價格]]*交易[[#This Row],[數量]]*-1</f>
        <v>13525</v>
      </c>
      <c r="L683" s="2"/>
    </row>
    <row r="684" spans="1:12">
      <c r="A684" s="330">
        <v>683</v>
      </c>
      <c r="B684" s="285">
        <v>44509</v>
      </c>
      <c r="C684" s="286">
        <v>1605</v>
      </c>
      <c r="D684" s="299" t="s">
        <v>1841</v>
      </c>
      <c r="E684" s="288" t="s">
        <v>2924</v>
      </c>
      <c r="F684" s="294" t="s">
        <v>2930</v>
      </c>
      <c r="G684" s="290">
        <v>6</v>
      </c>
      <c r="H684" s="291">
        <v>27.05</v>
      </c>
      <c r="I684" s="292">
        <v>-500</v>
      </c>
      <c r="J684" s="292">
        <f>交易[[#This Row],[價格]]*交易[[#This Row],[數量]]*-1</f>
        <v>13525</v>
      </c>
      <c r="L684" s="2"/>
    </row>
    <row r="685" spans="1:12">
      <c r="A685" s="330">
        <v>684</v>
      </c>
      <c r="B685" s="285">
        <v>44509</v>
      </c>
      <c r="C685" s="286">
        <v>1605</v>
      </c>
      <c r="D685" s="299" t="s">
        <v>1841</v>
      </c>
      <c r="E685" s="288" t="s">
        <v>2924</v>
      </c>
      <c r="F685" s="294" t="s">
        <v>2930</v>
      </c>
      <c r="G685" s="290">
        <v>6</v>
      </c>
      <c r="H685" s="291">
        <v>27.05</v>
      </c>
      <c r="I685" s="292">
        <v>-500</v>
      </c>
      <c r="J685" s="292">
        <f>交易[[#This Row],[價格]]*交易[[#This Row],[數量]]*-1</f>
        <v>13525</v>
      </c>
      <c r="L685" s="2"/>
    </row>
    <row r="686" spans="1:12">
      <c r="A686" s="330">
        <v>685</v>
      </c>
      <c r="B686" s="285">
        <v>44509</v>
      </c>
      <c r="C686" s="286">
        <v>1605</v>
      </c>
      <c r="D686" s="299" t="s">
        <v>1841</v>
      </c>
      <c r="E686" s="288" t="s">
        <v>2924</v>
      </c>
      <c r="F686" s="294" t="s">
        <v>2930</v>
      </c>
      <c r="G686" s="290">
        <v>6</v>
      </c>
      <c r="H686" s="291">
        <v>27.05</v>
      </c>
      <c r="I686" s="292">
        <v>-500</v>
      </c>
      <c r="J686" s="292">
        <f>交易[[#This Row],[價格]]*交易[[#This Row],[數量]]*-1</f>
        <v>13525</v>
      </c>
      <c r="L686" s="2"/>
    </row>
    <row r="687" spans="1:12">
      <c r="A687" s="330">
        <v>686</v>
      </c>
      <c r="B687" s="285">
        <v>44509</v>
      </c>
      <c r="C687" s="286">
        <v>1605</v>
      </c>
      <c r="D687" s="299" t="s">
        <v>1841</v>
      </c>
      <c r="E687" s="288" t="s">
        <v>2924</v>
      </c>
      <c r="F687" s="294" t="s">
        <v>2930</v>
      </c>
      <c r="G687" s="290">
        <v>6</v>
      </c>
      <c r="H687" s="291">
        <v>27.05</v>
      </c>
      <c r="I687" s="292">
        <v>-500</v>
      </c>
      <c r="J687" s="292">
        <f>交易[[#This Row],[價格]]*交易[[#This Row],[數量]]*-1</f>
        <v>13525</v>
      </c>
      <c r="L687" s="2"/>
    </row>
    <row r="688" spans="1:12">
      <c r="A688" s="330">
        <v>687</v>
      </c>
      <c r="B688" s="285">
        <v>44509</v>
      </c>
      <c r="C688" s="286">
        <v>1605</v>
      </c>
      <c r="D688" s="299" t="s">
        <v>1841</v>
      </c>
      <c r="E688" s="288" t="s">
        <v>2924</v>
      </c>
      <c r="F688" s="294" t="s">
        <v>2930</v>
      </c>
      <c r="G688" s="290">
        <v>6</v>
      </c>
      <c r="H688" s="291">
        <v>27.05</v>
      </c>
      <c r="I688" s="292">
        <v>-500</v>
      </c>
      <c r="J688" s="292">
        <f>交易[[#This Row],[價格]]*交易[[#This Row],[數量]]*-1</f>
        <v>13525</v>
      </c>
      <c r="L688" s="2"/>
    </row>
    <row r="689" spans="1:12">
      <c r="A689" s="330">
        <v>688</v>
      </c>
      <c r="B689" s="285">
        <v>44510</v>
      </c>
      <c r="C689" s="286">
        <v>3030</v>
      </c>
      <c r="D689" s="299" t="s">
        <v>2245</v>
      </c>
      <c r="E689" s="288" t="s">
        <v>2924</v>
      </c>
      <c r="F689" s="294" t="s">
        <v>2925</v>
      </c>
      <c r="G689" s="290">
        <v>2</v>
      </c>
      <c r="H689" s="291">
        <v>58</v>
      </c>
      <c r="I689" s="292">
        <v>1000</v>
      </c>
      <c r="J689" s="292">
        <f>交易[[#This Row],[價格]]*交易[[#This Row],[數量]]*-1</f>
        <v>-58000</v>
      </c>
      <c r="L689" s="2"/>
    </row>
    <row r="690" spans="1:12">
      <c r="A690" s="330">
        <v>689</v>
      </c>
      <c r="B690" s="285">
        <v>44510</v>
      </c>
      <c r="C690" s="286">
        <v>3714</v>
      </c>
      <c r="D690" s="299" t="s">
        <v>2357</v>
      </c>
      <c r="E690" s="288" t="s">
        <v>2924</v>
      </c>
      <c r="F690" s="294" t="s">
        <v>2925</v>
      </c>
      <c r="G690" s="290">
        <v>2</v>
      </c>
      <c r="H690" s="291">
        <v>76</v>
      </c>
      <c r="I690" s="292">
        <v>4000</v>
      </c>
      <c r="J690" s="292">
        <f>交易[[#This Row],[價格]]*交易[[#This Row],[數量]]*-1</f>
        <v>-304000</v>
      </c>
      <c r="L690" s="2"/>
    </row>
    <row r="691" spans="1:12">
      <c r="A691" s="330">
        <v>690</v>
      </c>
      <c r="B691" s="285">
        <v>44510</v>
      </c>
      <c r="C691" s="286">
        <v>1907</v>
      </c>
      <c r="D691" s="299" t="s">
        <v>1896</v>
      </c>
      <c r="E691" s="288" t="s">
        <v>2924</v>
      </c>
      <c r="F691" s="294" t="s">
        <v>2925</v>
      </c>
      <c r="G691" s="290">
        <v>1</v>
      </c>
      <c r="H691" s="291">
        <v>34</v>
      </c>
      <c r="I691" s="292">
        <v>2000</v>
      </c>
      <c r="J691" s="292">
        <f>交易[[#This Row],[價格]]*交易[[#This Row],[數量]]*-1</f>
        <v>-68000</v>
      </c>
      <c r="L691" s="2"/>
    </row>
    <row r="692" spans="1:12">
      <c r="A692" s="330">
        <v>691</v>
      </c>
      <c r="B692" s="285">
        <v>44510</v>
      </c>
      <c r="C692" s="286">
        <v>2464</v>
      </c>
      <c r="D692" s="299" t="s">
        <v>10</v>
      </c>
      <c r="E692" s="288" t="s">
        <v>2924</v>
      </c>
      <c r="F692" s="294" t="s">
        <v>2926</v>
      </c>
      <c r="G692" s="290">
        <v>3</v>
      </c>
      <c r="H692" s="291">
        <v>43.25</v>
      </c>
      <c r="I692" s="292">
        <v>1000</v>
      </c>
      <c r="J692" s="292">
        <f>交易[[#This Row],[價格]]*交易[[#This Row],[數量]]*-1</f>
        <v>-43250</v>
      </c>
      <c r="L692" s="2"/>
    </row>
    <row r="693" spans="1:12">
      <c r="A693" s="330">
        <v>692</v>
      </c>
      <c r="B693" s="285">
        <v>44510</v>
      </c>
      <c r="C693" s="286">
        <v>6278</v>
      </c>
      <c r="D693" s="299" t="s">
        <v>2506</v>
      </c>
      <c r="E693" s="288" t="s">
        <v>2924</v>
      </c>
      <c r="F693" s="294" t="s">
        <v>2926</v>
      </c>
      <c r="G693" s="290">
        <v>2</v>
      </c>
      <c r="H693" s="291">
        <v>113</v>
      </c>
      <c r="I693" s="292">
        <v>1000</v>
      </c>
      <c r="J693" s="292">
        <f>交易[[#This Row],[價格]]*交易[[#This Row],[數量]]*-1</f>
        <v>-113000</v>
      </c>
      <c r="L693" s="2"/>
    </row>
    <row r="694" spans="1:12">
      <c r="A694" s="330">
        <v>693</v>
      </c>
      <c r="B694" s="285">
        <v>44510</v>
      </c>
      <c r="C694" s="286">
        <v>1907</v>
      </c>
      <c r="D694" s="299" t="s">
        <v>1896</v>
      </c>
      <c r="E694" s="288" t="s">
        <v>2924</v>
      </c>
      <c r="F694" s="294" t="s">
        <v>2926</v>
      </c>
      <c r="G694" s="290">
        <v>1</v>
      </c>
      <c r="H694" s="291">
        <v>34</v>
      </c>
      <c r="I694" s="292">
        <v>4000</v>
      </c>
      <c r="J694" s="292">
        <f>交易[[#This Row],[價格]]*交易[[#This Row],[數量]]*-1</f>
        <v>-136000</v>
      </c>
      <c r="L694" s="2"/>
    </row>
    <row r="695" spans="1:12">
      <c r="A695" s="330">
        <v>694</v>
      </c>
      <c r="B695" s="285">
        <v>44510</v>
      </c>
      <c r="C695" s="286">
        <v>1907</v>
      </c>
      <c r="D695" s="299" t="s">
        <v>1896</v>
      </c>
      <c r="E695" s="288" t="s">
        <v>2924</v>
      </c>
      <c r="F695" s="294" t="s">
        <v>2929</v>
      </c>
      <c r="G695" s="290">
        <v>1</v>
      </c>
      <c r="H695" s="291">
        <v>33.65</v>
      </c>
      <c r="I695" s="292">
        <v>-4000</v>
      </c>
      <c r="J695" s="292">
        <f>交易[[#This Row],[價格]]*交易[[#This Row],[數量]]*-1</f>
        <v>134600</v>
      </c>
      <c r="L695" s="2"/>
    </row>
    <row r="696" spans="1:12">
      <c r="A696" s="330">
        <v>695</v>
      </c>
      <c r="B696" s="285">
        <v>44511</v>
      </c>
      <c r="C696" s="286">
        <v>3714</v>
      </c>
      <c r="D696" s="299" t="s">
        <v>2357</v>
      </c>
      <c r="E696" s="288" t="s">
        <v>2924</v>
      </c>
      <c r="F696" s="294" t="s">
        <v>2926</v>
      </c>
      <c r="G696" s="290">
        <v>2</v>
      </c>
      <c r="H696" s="291">
        <v>79.900000000000006</v>
      </c>
      <c r="I696" s="292">
        <v>1000</v>
      </c>
      <c r="J696" s="292">
        <f>交易[[#This Row],[價格]]*交易[[#This Row],[數量]]*-1</f>
        <v>-79900</v>
      </c>
      <c r="L696" s="2"/>
    </row>
    <row r="697" spans="1:12">
      <c r="A697" s="330">
        <v>696</v>
      </c>
      <c r="B697" s="285">
        <v>44511</v>
      </c>
      <c r="C697" s="286">
        <v>1515</v>
      </c>
      <c r="D697" s="299" t="s">
        <v>1806</v>
      </c>
      <c r="E697" s="288" t="s">
        <v>3051</v>
      </c>
      <c r="F697" s="294" t="s">
        <v>2925</v>
      </c>
      <c r="G697" s="290">
        <v>2</v>
      </c>
      <c r="H697" s="291">
        <v>64.7</v>
      </c>
      <c r="I697" s="292">
        <v>-2000</v>
      </c>
      <c r="J697" s="292">
        <f>交易[[#This Row],[價格]]*交易[[#This Row],[數量]]*-1</f>
        <v>129400</v>
      </c>
      <c r="L697" s="2"/>
    </row>
    <row r="698" spans="1:12">
      <c r="A698" s="330">
        <v>697</v>
      </c>
      <c r="B698" s="285">
        <v>44511</v>
      </c>
      <c r="C698" s="286">
        <v>1736</v>
      </c>
      <c r="D698" s="299" t="s">
        <v>1875</v>
      </c>
      <c r="E698" s="288" t="s">
        <v>2924</v>
      </c>
      <c r="F698" s="294" t="s">
        <v>2925</v>
      </c>
      <c r="G698" s="290">
        <v>1</v>
      </c>
      <c r="H698" s="291">
        <v>60</v>
      </c>
      <c r="I698" s="292">
        <v>1000</v>
      </c>
      <c r="J698" s="292">
        <f>交易[[#This Row],[價格]]*交易[[#This Row],[數量]]*-1</f>
        <v>-60000</v>
      </c>
      <c r="L698" s="2"/>
    </row>
    <row r="699" spans="1:12">
      <c r="A699" s="330">
        <v>698</v>
      </c>
      <c r="B699" s="285">
        <v>44511</v>
      </c>
      <c r="C699" s="286">
        <v>1598</v>
      </c>
      <c r="D699" s="299" t="s">
        <v>1838</v>
      </c>
      <c r="E699" s="288" t="s">
        <v>2924</v>
      </c>
      <c r="F699" s="294" t="s">
        <v>2925</v>
      </c>
      <c r="G699" s="290">
        <v>1</v>
      </c>
      <c r="H699" s="291">
        <v>65.7</v>
      </c>
      <c r="I699" s="292">
        <v>1000</v>
      </c>
      <c r="J699" s="292">
        <f>交易[[#This Row],[價格]]*交易[[#This Row],[數量]]*-1</f>
        <v>-65700</v>
      </c>
      <c r="L699" s="2"/>
    </row>
    <row r="700" spans="1:12">
      <c r="A700" s="330">
        <v>699</v>
      </c>
      <c r="B700" s="285">
        <v>44512</v>
      </c>
      <c r="C700" s="286">
        <v>3017</v>
      </c>
      <c r="D700" s="299" t="s">
        <v>2233</v>
      </c>
      <c r="E700" s="288" t="s">
        <v>2924</v>
      </c>
      <c r="F700" s="294" t="s">
        <v>2930</v>
      </c>
      <c r="G700" s="290">
        <v>1</v>
      </c>
      <c r="H700" s="291">
        <v>84</v>
      </c>
      <c r="I700" s="292">
        <v>-4000</v>
      </c>
      <c r="J700" s="292">
        <f>交易[[#This Row],[價格]]*交易[[#This Row],[數量]]*-1</f>
        <v>336000</v>
      </c>
      <c r="L700" s="2"/>
    </row>
    <row r="701" spans="1:12">
      <c r="A701" s="330">
        <v>700</v>
      </c>
      <c r="B701" s="285">
        <v>44512</v>
      </c>
      <c r="C701" s="286">
        <v>1907</v>
      </c>
      <c r="D701" s="299" t="s">
        <v>1896</v>
      </c>
      <c r="E701" s="288" t="s">
        <v>2924</v>
      </c>
      <c r="F701" s="294" t="s">
        <v>2941</v>
      </c>
      <c r="G701" s="290">
        <v>1</v>
      </c>
      <c r="H701" s="291">
        <v>33.549999999999997</v>
      </c>
      <c r="I701" s="292">
        <v>-2000</v>
      </c>
      <c r="J701" s="292">
        <f>交易[[#This Row],[價格]]*交易[[#This Row],[數量]]*-1</f>
        <v>67100</v>
      </c>
      <c r="L701" s="2"/>
    </row>
    <row r="702" spans="1:12">
      <c r="A702" s="330">
        <v>701</v>
      </c>
      <c r="B702" s="285">
        <v>44512</v>
      </c>
      <c r="C702" s="286">
        <v>3714</v>
      </c>
      <c r="D702" s="299" t="s">
        <v>2357</v>
      </c>
      <c r="E702" s="288" t="s">
        <v>2924</v>
      </c>
      <c r="F702" s="294" t="s">
        <v>2930</v>
      </c>
      <c r="G702" s="290">
        <v>2</v>
      </c>
      <c r="H702" s="291">
        <v>78.7</v>
      </c>
      <c r="I702" s="292">
        <v>-2000</v>
      </c>
      <c r="J702" s="292">
        <f>交易[[#This Row],[價格]]*交易[[#This Row],[數量]]*-1</f>
        <v>157400</v>
      </c>
      <c r="L702" s="2"/>
    </row>
    <row r="703" spans="1:12">
      <c r="A703" s="330">
        <v>702</v>
      </c>
      <c r="B703" s="285">
        <v>44512</v>
      </c>
      <c r="C703" s="286">
        <v>3714</v>
      </c>
      <c r="D703" s="299" t="s">
        <v>2357</v>
      </c>
      <c r="E703" s="288" t="s">
        <v>2924</v>
      </c>
      <c r="F703" s="294" t="s">
        <v>2930</v>
      </c>
      <c r="G703" s="290">
        <v>2</v>
      </c>
      <c r="H703" s="291">
        <v>78.599999999999994</v>
      </c>
      <c r="I703" s="292">
        <v>-3000</v>
      </c>
      <c r="J703" s="292">
        <f>交易[[#This Row],[價格]]*交易[[#This Row],[數量]]*-1</f>
        <v>235799.99999999997</v>
      </c>
      <c r="L703" s="2"/>
    </row>
    <row r="704" spans="1:12">
      <c r="A704" s="330">
        <v>703</v>
      </c>
      <c r="B704" s="285">
        <v>44512</v>
      </c>
      <c r="C704" s="286">
        <v>2464</v>
      </c>
      <c r="D704" s="299" t="s">
        <v>10</v>
      </c>
      <c r="E704" s="288" t="s">
        <v>2924</v>
      </c>
      <c r="F704" s="294" t="s">
        <v>2926</v>
      </c>
      <c r="G704" s="290">
        <v>3</v>
      </c>
      <c r="H704" s="291">
        <v>43.3</v>
      </c>
      <c r="I704" s="292">
        <v>1000</v>
      </c>
      <c r="J704" s="292">
        <f>交易[[#This Row],[價格]]*交易[[#This Row],[數量]]*-1</f>
        <v>-43300</v>
      </c>
      <c r="L704" s="2"/>
    </row>
    <row r="705" spans="1:12">
      <c r="A705" s="330">
        <v>704</v>
      </c>
      <c r="B705" s="285">
        <v>44512</v>
      </c>
      <c r="C705" s="286">
        <v>2464</v>
      </c>
      <c r="D705" s="299" t="s">
        <v>10</v>
      </c>
      <c r="E705" s="288" t="s">
        <v>2924</v>
      </c>
      <c r="F705" s="294" t="s">
        <v>2926</v>
      </c>
      <c r="G705" s="290">
        <v>3</v>
      </c>
      <c r="H705" s="291">
        <v>43.3</v>
      </c>
      <c r="I705" s="292">
        <v>1000</v>
      </c>
      <c r="J705" s="292">
        <f>交易[[#This Row],[價格]]*交易[[#This Row],[數量]]*-1</f>
        <v>-43300</v>
      </c>
      <c r="L705" s="2"/>
    </row>
    <row r="706" spans="1:12">
      <c r="A706" s="330">
        <v>705</v>
      </c>
      <c r="B706" s="285">
        <v>44512</v>
      </c>
      <c r="C706" s="286">
        <v>3030</v>
      </c>
      <c r="D706" s="299" t="s">
        <v>2245</v>
      </c>
      <c r="E706" s="288" t="s">
        <v>2924</v>
      </c>
      <c r="F706" s="294" t="s">
        <v>2926</v>
      </c>
      <c r="G706" s="290">
        <v>2</v>
      </c>
      <c r="H706" s="291">
        <v>57.8</v>
      </c>
      <c r="I706" s="292">
        <v>1000</v>
      </c>
      <c r="J706" s="292">
        <f>交易[[#This Row],[價格]]*交易[[#This Row],[數量]]*-1</f>
        <v>-57800</v>
      </c>
      <c r="L706" s="2"/>
    </row>
    <row r="707" spans="1:12">
      <c r="A707" s="330">
        <v>706</v>
      </c>
      <c r="B707" s="285">
        <v>44512</v>
      </c>
      <c r="C707" s="286">
        <v>1598</v>
      </c>
      <c r="D707" s="299" t="s">
        <v>1838</v>
      </c>
      <c r="E707" s="288" t="s">
        <v>2924</v>
      </c>
      <c r="F707" s="294" t="s">
        <v>2941</v>
      </c>
      <c r="G707" s="290">
        <v>1</v>
      </c>
      <c r="H707" s="291">
        <v>64.3</v>
      </c>
      <c r="I707" s="292">
        <v>-1000</v>
      </c>
      <c r="J707" s="292">
        <f>交易[[#This Row],[價格]]*交易[[#This Row],[數量]]*-1</f>
        <v>64300</v>
      </c>
      <c r="L707" s="2"/>
    </row>
    <row r="708" spans="1:12">
      <c r="A708" s="330">
        <v>707</v>
      </c>
      <c r="B708" s="285">
        <v>44512</v>
      </c>
      <c r="C708" s="286">
        <v>1515</v>
      </c>
      <c r="D708" s="299" t="s">
        <v>1806</v>
      </c>
      <c r="E708" s="288" t="s">
        <v>3051</v>
      </c>
      <c r="F708" s="294" t="s">
        <v>2929</v>
      </c>
      <c r="G708" s="290">
        <v>2</v>
      </c>
      <c r="H708" s="291">
        <v>65.099999999999994</v>
      </c>
      <c r="I708" s="292">
        <v>1000</v>
      </c>
      <c r="J708" s="292">
        <f>交易[[#This Row],[價格]]*交易[[#This Row],[數量]]*-1</f>
        <v>-65099.999999999993</v>
      </c>
      <c r="L708" s="2"/>
    </row>
    <row r="709" spans="1:12">
      <c r="A709" s="330">
        <v>708</v>
      </c>
      <c r="B709" s="285">
        <v>44515</v>
      </c>
      <c r="C709" s="286">
        <v>2408</v>
      </c>
      <c r="D709" s="299" t="s">
        <v>2022</v>
      </c>
      <c r="E709" s="288" t="s">
        <v>2924</v>
      </c>
      <c r="F709" s="294" t="s">
        <v>46</v>
      </c>
      <c r="G709" s="290">
        <v>2</v>
      </c>
      <c r="H709" s="291">
        <v>69.7</v>
      </c>
      <c r="I709" s="292">
        <v>4000</v>
      </c>
      <c r="J709" s="292">
        <f>交易[[#This Row],[價格]]*交易[[#This Row],[數量]]*-1</f>
        <v>-278800</v>
      </c>
      <c r="L709" s="2"/>
    </row>
    <row r="710" spans="1:12">
      <c r="A710" s="330">
        <v>709</v>
      </c>
      <c r="B710" s="285">
        <v>44515</v>
      </c>
      <c r="C710" s="286">
        <v>2408</v>
      </c>
      <c r="D710" s="299" t="s">
        <v>2022</v>
      </c>
      <c r="E710" s="288" t="s">
        <v>2924</v>
      </c>
      <c r="F710" s="294" t="s">
        <v>47</v>
      </c>
      <c r="G710" s="290">
        <v>2</v>
      </c>
      <c r="H710" s="291">
        <v>70.3</v>
      </c>
      <c r="I710" s="292">
        <v>3000</v>
      </c>
      <c r="J710" s="292">
        <f>交易[[#This Row],[價格]]*交易[[#This Row],[數量]]*-1</f>
        <v>-210900</v>
      </c>
      <c r="L710" s="2"/>
    </row>
    <row r="711" spans="1:12">
      <c r="A711" s="330">
        <v>710</v>
      </c>
      <c r="B711" s="285">
        <v>44515</v>
      </c>
      <c r="C711" s="286">
        <v>1736</v>
      </c>
      <c r="D711" s="299" t="s">
        <v>1875</v>
      </c>
      <c r="E711" s="288" t="s">
        <v>2924</v>
      </c>
      <c r="F711" s="294" t="s">
        <v>47</v>
      </c>
      <c r="G711" s="290">
        <v>1</v>
      </c>
      <c r="H711" s="291">
        <v>61.8</v>
      </c>
      <c r="I711" s="292">
        <v>3000</v>
      </c>
      <c r="J711" s="292">
        <f>交易[[#This Row],[價格]]*交易[[#This Row],[數量]]*-1</f>
        <v>-185400</v>
      </c>
      <c r="L711" s="2"/>
    </row>
    <row r="712" spans="1:12">
      <c r="A712" s="330">
        <v>711</v>
      </c>
      <c r="B712" s="285">
        <v>44515</v>
      </c>
      <c r="C712" s="286">
        <v>1515</v>
      </c>
      <c r="D712" s="299" t="s">
        <v>1806</v>
      </c>
      <c r="E712" s="288" t="s">
        <v>3051</v>
      </c>
      <c r="F712" s="294" t="s">
        <v>47</v>
      </c>
      <c r="G712" s="290">
        <v>2</v>
      </c>
      <c r="H712" s="291">
        <v>65.400000000000006</v>
      </c>
      <c r="I712" s="292">
        <v>-2000</v>
      </c>
      <c r="J712" s="292">
        <f>交易[[#This Row],[價格]]*交易[[#This Row],[數量]]*-1</f>
        <v>130800.00000000001</v>
      </c>
      <c r="L712" s="2"/>
    </row>
    <row r="713" spans="1:12">
      <c r="A713" s="330">
        <v>712</v>
      </c>
      <c r="B713" s="285">
        <v>44515</v>
      </c>
      <c r="C713" s="286">
        <v>1515</v>
      </c>
      <c r="D713" s="299" t="s">
        <v>1806</v>
      </c>
      <c r="E713" s="288" t="s">
        <v>3051</v>
      </c>
      <c r="F713" s="294" t="s">
        <v>47</v>
      </c>
      <c r="G713" s="290">
        <v>2</v>
      </c>
      <c r="H713" s="291">
        <v>65.400000000000006</v>
      </c>
      <c r="I713" s="292">
        <v>-1000</v>
      </c>
      <c r="J713" s="292">
        <f>交易[[#This Row],[價格]]*交易[[#This Row],[數量]]*-1</f>
        <v>65400.000000000007</v>
      </c>
      <c r="L713" s="2"/>
    </row>
    <row r="714" spans="1:12">
      <c r="A714" s="330">
        <v>713</v>
      </c>
      <c r="B714" s="285">
        <v>44515</v>
      </c>
      <c r="C714" s="286">
        <v>3030</v>
      </c>
      <c r="D714" s="299" t="s">
        <v>2245</v>
      </c>
      <c r="E714" s="288" t="s">
        <v>2924</v>
      </c>
      <c r="F714" s="294" t="s">
        <v>52</v>
      </c>
      <c r="G714" s="290">
        <v>2</v>
      </c>
      <c r="H714" s="291">
        <v>57.3</v>
      </c>
      <c r="I714" s="292">
        <v>-2000</v>
      </c>
      <c r="J714" s="292">
        <f>交易[[#This Row],[價格]]*交易[[#This Row],[數量]]*-1</f>
        <v>114600</v>
      </c>
      <c r="L714" s="2"/>
    </row>
    <row r="715" spans="1:12">
      <c r="A715" s="330">
        <v>714</v>
      </c>
      <c r="B715" s="285">
        <v>44515</v>
      </c>
      <c r="C715" s="286">
        <v>6438</v>
      </c>
      <c r="D715" s="299" t="s">
        <v>2521</v>
      </c>
      <c r="E715" s="288" t="s">
        <v>2924</v>
      </c>
      <c r="F715" s="294" t="s">
        <v>46</v>
      </c>
      <c r="G715" s="290">
        <v>2</v>
      </c>
      <c r="H715" s="291">
        <v>112</v>
      </c>
      <c r="I715" s="292">
        <v>1000</v>
      </c>
      <c r="J715" s="292">
        <f>交易[[#This Row],[價格]]*交易[[#This Row],[數量]]*-1</f>
        <v>-112000</v>
      </c>
      <c r="L715" s="2"/>
    </row>
    <row r="716" spans="1:12">
      <c r="A716" s="330">
        <v>715</v>
      </c>
      <c r="B716" s="285">
        <v>44515</v>
      </c>
      <c r="C716" s="286">
        <v>6438</v>
      </c>
      <c r="D716" s="299" t="s">
        <v>2521</v>
      </c>
      <c r="E716" s="288" t="s">
        <v>2924</v>
      </c>
      <c r="F716" s="294" t="s">
        <v>46</v>
      </c>
      <c r="G716" s="290">
        <v>2</v>
      </c>
      <c r="H716" s="291">
        <v>112</v>
      </c>
      <c r="I716" s="292">
        <v>1000</v>
      </c>
      <c r="J716" s="292">
        <f>交易[[#This Row],[價格]]*交易[[#This Row],[數量]]*-1</f>
        <v>-112000</v>
      </c>
      <c r="L716" s="2"/>
    </row>
    <row r="717" spans="1:12">
      <c r="A717" s="330">
        <v>716</v>
      </c>
      <c r="B717" s="285">
        <v>44515</v>
      </c>
      <c r="C717" s="286">
        <v>6438</v>
      </c>
      <c r="D717" s="299" t="s">
        <v>2521</v>
      </c>
      <c r="E717" s="288" t="s">
        <v>2924</v>
      </c>
      <c r="F717" s="294" t="s">
        <v>50</v>
      </c>
      <c r="G717" s="290">
        <v>2</v>
      </c>
      <c r="H717" s="291">
        <v>113</v>
      </c>
      <c r="I717" s="292">
        <v>-2000</v>
      </c>
      <c r="J717" s="292">
        <f>交易[[#This Row],[價格]]*交易[[#This Row],[數量]]*-1</f>
        <v>226000</v>
      </c>
      <c r="L717" s="2"/>
    </row>
    <row r="718" spans="1:12">
      <c r="A718" s="330">
        <v>717</v>
      </c>
      <c r="B718" s="285">
        <v>44517</v>
      </c>
      <c r="C718" s="286">
        <v>1736</v>
      </c>
      <c r="D718" s="299" t="s">
        <v>1875</v>
      </c>
      <c r="E718" s="288" t="s">
        <v>2924</v>
      </c>
      <c r="F718" s="294" t="s">
        <v>52</v>
      </c>
      <c r="G718" s="290">
        <v>1</v>
      </c>
      <c r="H718" s="291">
        <v>61.5</v>
      </c>
      <c r="I718" s="292">
        <v>-4000</v>
      </c>
      <c r="J718" s="292">
        <f>交易[[#This Row],[價格]]*交易[[#This Row],[數量]]*-1</f>
        <v>246000</v>
      </c>
      <c r="L718" s="2"/>
    </row>
    <row r="719" spans="1:12">
      <c r="A719" s="330">
        <v>718</v>
      </c>
      <c r="B719" s="285">
        <v>44517</v>
      </c>
      <c r="C719" s="286">
        <v>6278</v>
      </c>
      <c r="D719" s="299" t="s">
        <v>2506</v>
      </c>
      <c r="E719" s="288" t="s">
        <v>2924</v>
      </c>
      <c r="F719" s="294" t="s">
        <v>49</v>
      </c>
      <c r="G719" s="290">
        <v>2</v>
      </c>
      <c r="H719" s="291">
        <v>121.5</v>
      </c>
      <c r="I719" s="292">
        <v>-2000</v>
      </c>
      <c r="J719" s="292">
        <f>交易[[#This Row],[價格]]*交易[[#This Row],[數量]]*-1</f>
        <v>243000</v>
      </c>
      <c r="L719" s="2"/>
    </row>
    <row r="720" spans="1:12">
      <c r="A720" s="330">
        <v>719</v>
      </c>
      <c r="B720" s="285">
        <v>44517</v>
      </c>
      <c r="C720" s="286">
        <v>1515</v>
      </c>
      <c r="D720" s="299" t="s">
        <v>1806</v>
      </c>
      <c r="E720" s="288" t="s">
        <v>3051</v>
      </c>
      <c r="F720" s="294" t="s">
        <v>52</v>
      </c>
      <c r="G720" s="290">
        <v>2</v>
      </c>
      <c r="H720" s="291">
        <v>65.099999999999994</v>
      </c>
      <c r="I720" s="292">
        <v>4000</v>
      </c>
      <c r="J720" s="292">
        <f>交易[[#This Row],[價格]]*交易[[#This Row],[數量]]*-1</f>
        <v>-260399.99999999997</v>
      </c>
      <c r="L720" s="2"/>
    </row>
    <row r="721" spans="1:12">
      <c r="A721" s="330">
        <v>720</v>
      </c>
      <c r="B721" s="285">
        <v>44518</v>
      </c>
      <c r="C721" s="286">
        <v>3017</v>
      </c>
      <c r="D721" s="299" t="s">
        <v>2233</v>
      </c>
      <c r="E721" s="288" t="s">
        <v>2924</v>
      </c>
      <c r="F721" s="294" t="s">
        <v>46</v>
      </c>
      <c r="G721" s="290">
        <v>2</v>
      </c>
      <c r="H721" s="291">
        <v>83.5</v>
      </c>
      <c r="I721" s="292">
        <v>4000</v>
      </c>
      <c r="J721" s="292">
        <f>交易[[#This Row],[價格]]*交易[[#This Row],[數量]]*-1</f>
        <v>-334000</v>
      </c>
      <c r="L721" s="2"/>
    </row>
    <row r="722" spans="1:12">
      <c r="A722" s="330">
        <v>721</v>
      </c>
      <c r="B722" s="285">
        <v>44518</v>
      </c>
      <c r="C722" s="286">
        <v>2408</v>
      </c>
      <c r="D722" s="299" t="s">
        <v>2022</v>
      </c>
      <c r="E722" s="288" t="s">
        <v>2924</v>
      </c>
      <c r="F722" s="294" t="s">
        <v>47</v>
      </c>
      <c r="G722" s="290">
        <v>2</v>
      </c>
      <c r="H722" s="291">
        <v>71.3</v>
      </c>
      <c r="I722" s="292">
        <v>2000</v>
      </c>
      <c r="J722" s="292">
        <f>交易[[#This Row],[價格]]*交易[[#This Row],[數量]]*-1</f>
        <v>-142600</v>
      </c>
      <c r="L722" s="2"/>
    </row>
    <row r="723" spans="1:12">
      <c r="A723" s="330">
        <v>722</v>
      </c>
      <c r="B723" s="285">
        <v>44519</v>
      </c>
      <c r="C723" s="286">
        <v>2408</v>
      </c>
      <c r="D723" s="299" t="s">
        <v>2022</v>
      </c>
      <c r="E723" s="288" t="s">
        <v>2924</v>
      </c>
      <c r="F723" s="294" t="s">
        <v>48</v>
      </c>
      <c r="G723" s="290">
        <v>2</v>
      </c>
      <c r="H723" s="291">
        <v>70.5</v>
      </c>
      <c r="I723" s="292">
        <v>-3000</v>
      </c>
      <c r="J723" s="292">
        <f>交易[[#This Row],[價格]]*交易[[#This Row],[數量]]*-1</f>
        <v>211500</v>
      </c>
      <c r="L723" s="2"/>
    </row>
    <row r="724" spans="1:12">
      <c r="A724" s="330">
        <v>723</v>
      </c>
      <c r="B724" s="285">
        <v>44519</v>
      </c>
      <c r="C724" s="286">
        <v>2408</v>
      </c>
      <c r="D724" s="299" t="s">
        <v>2022</v>
      </c>
      <c r="E724" s="288" t="s">
        <v>2924</v>
      </c>
      <c r="F724" s="294" t="s">
        <v>48</v>
      </c>
      <c r="G724" s="290">
        <v>2</v>
      </c>
      <c r="H724" s="291">
        <v>69.900000000000006</v>
      </c>
      <c r="I724" s="292">
        <v>-3000</v>
      </c>
      <c r="J724" s="292">
        <f>交易[[#This Row],[價格]]*交易[[#This Row],[數量]]*-1</f>
        <v>209700.00000000003</v>
      </c>
      <c r="L724" s="2"/>
    </row>
    <row r="725" spans="1:12">
      <c r="A725" s="330">
        <v>724</v>
      </c>
      <c r="B725" s="285">
        <v>44519</v>
      </c>
      <c r="C725" s="286">
        <v>2603</v>
      </c>
      <c r="D725" s="299" t="s">
        <v>2115</v>
      </c>
      <c r="E725" s="288" t="s">
        <v>2924</v>
      </c>
      <c r="F725" s="294" t="s">
        <v>46</v>
      </c>
      <c r="G725" s="290">
        <v>2</v>
      </c>
      <c r="H725" s="291">
        <v>121.5</v>
      </c>
      <c r="I725" s="292">
        <v>3000</v>
      </c>
      <c r="J725" s="292">
        <f>交易[[#This Row],[價格]]*交易[[#This Row],[數量]]*-1</f>
        <v>-364500</v>
      </c>
      <c r="L725" s="2"/>
    </row>
    <row r="726" spans="1:12">
      <c r="A726" s="330">
        <v>725</v>
      </c>
      <c r="B726" s="285">
        <v>44519</v>
      </c>
      <c r="C726" s="286">
        <v>2603</v>
      </c>
      <c r="D726" s="299" t="s">
        <v>2115</v>
      </c>
      <c r="E726" s="288" t="s">
        <v>2924</v>
      </c>
      <c r="F726" s="294" t="s">
        <v>52</v>
      </c>
      <c r="G726" s="290">
        <v>2</v>
      </c>
      <c r="H726" s="291">
        <v>119</v>
      </c>
      <c r="I726" s="292">
        <v>-3000</v>
      </c>
      <c r="J726" s="292">
        <f>交易[[#This Row],[價格]]*交易[[#This Row],[數量]]*-1</f>
        <v>357000</v>
      </c>
      <c r="L726" s="2"/>
    </row>
    <row r="727" spans="1:12">
      <c r="A727" s="330">
        <v>726</v>
      </c>
      <c r="B727" s="297">
        <v>44522</v>
      </c>
      <c r="C727" s="298">
        <v>3324</v>
      </c>
      <c r="D727" s="299" t="s">
        <v>675</v>
      </c>
      <c r="E727" s="288" t="s">
        <v>45</v>
      </c>
      <c r="F727" s="294" t="s">
        <v>46</v>
      </c>
      <c r="G727" s="290">
        <v>2</v>
      </c>
      <c r="H727" s="291">
        <v>182.5</v>
      </c>
      <c r="I727" s="292">
        <v>2000</v>
      </c>
      <c r="J727" s="292">
        <f>交易[[#This Row],[價格]]*交易[[#This Row],[數量]]*-1</f>
        <v>-365000</v>
      </c>
      <c r="L727" s="2"/>
    </row>
    <row r="728" spans="1:12">
      <c r="A728" s="330">
        <v>727</v>
      </c>
      <c r="B728" s="297">
        <v>44522</v>
      </c>
      <c r="C728" s="298">
        <v>3324</v>
      </c>
      <c r="D728" s="299" t="s">
        <v>675</v>
      </c>
      <c r="E728" s="288" t="s">
        <v>45</v>
      </c>
      <c r="F728" s="294" t="s">
        <v>46</v>
      </c>
      <c r="G728" s="290">
        <v>2</v>
      </c>
      <c r="H728" s="291">
        <v>182.5</v>
      </c>
      <c r="I728" s="292">
        <v>2000</v>
      </c>
      <c r="J728" s="292">
        <f>交易[[#This Row],[價格]]*交易[[#This Row],[數量]]*-1</f>
        <v>-365000</v>
      </c>
      <c r="L728" s="2"/>
    </row>
    <row r="729" spans="1:12">
      <c r="A729" s="330">
        <v>728</v>
      </c>
      <c r="B729" s="297">
        <v>44525</v>
      </c>
      <c r="C729" s="298">
        <v>3017</v>
      </c>
      <c r="D729" s="299" t="s">
        <v>2233</v>
      </c>
      <c r="E729" s="288" t="s">
        <v>45</v>
      </c>
      <c r="F729" s="294" t="s">
        <v>49</v>
      </c>
      <c r="G729" s="290">
        <v>2</v>
      </c>
      <c r="H729" s="291">
        <v>86.2</v>
      </c>
      <c r="I729" s="292">
        <v>-4000</v>
      </c>
      <c r="J729" s="292">
        <f>交易[[#This Row],[價格]]*交易[[#This Row],[數量]]*-1</f>
        <v>344800</v>
      </c>
      <c r="L729" s="2"/>
    </row>
    <row r="730" spans="1:12">
      <c r="A730" s="330">
        <v>729</v>
      </c>
      <c r="B730" s="297">
        <v>44525</v>
      </c>
      <c r="C730" s="298">
        <v>2603</v>
      </c>
      <c r="D730" s="299" t="s">
        <v>2115</v>
      </c>
      <c r="E730" s="288" t="s">
        <v>45</v>
      </c>
      <c r="F730" s="294" t="s">
        <v>46</v>
      </c>
      <c r="G730" s="290">
        <v>3</v>
      </c>
      <c r="H730" s="291">
        <v>125.5</v>
      </c>
      <c r="I730" s="292">
        <v>3000</v>
      </c>
      <c r="J730" s="292">
        <f>交易[[#This Row],[價格]]*交易[[#This Row],[數量]]*-1</f>
        <v>-376500</v>
      </c>
      <c r="L730" s="2"/>
    </row>
    <row r="731" spans="1:12">
      <c r="A731" s="330">
        <v>730</v>
      </c>
      <c r="B731" s="297">
        <v>44525</v>
      </c>
      <c r="C731" s="298">
        <v>2603</v>
      </c>
      <c r="D731" s="299" t="s">
        <v>2115</v>
      </c>
      <c r="E731" s="288" t="s">
        <v>45</v>
      </c>
      <c r="F731" s="294" t="s">
        <v>46</v>
      </c>
      <c r="G731" s="290">
        <v>3</v>
      </c>
      <c r="H731" s="291">
        <v>125.5</v>
      </c>
      <c r="I731" s="292">
        <v>1000</v>
      </c>
      <c r="J731" s="292">
        <f>交易[[#This Row],[價格]]*交易[[#This Row],[數量]]*-1</f>
        <v>-125500</v>
      </c>
      <c r="L731" s="2"/>
    </row>
    <row r="732" spans="1:12">
      <c r="A732" s="330">
        <v>731</v>
      </c>
      <c r="B732" s="297">
        <v>44525</v>
      </c>
      <c r="C732" s="298">
        <v>2464</v>
      </c>
      <c r="D732" s="299" t="s">
        <v>10</v>
      </c>
      <c r="E732" s="288" t="s">
        <v>45</v>
      </c>
      <c r="F732" s="294" t="s">
        <v>47</v>
      </c>
      <c r="G732" s="290">
        <v>3</v>
      </c>
      <c r="H732" s="291">
        <v>45.85</v>
      </c>
      <c r="I732" s="292">
        <v>4000</v>
      </c>
      <c r="J732" s="292">
        <f>交易[[#This Row],[價格]]*交易[[#This Row],[數量]]*-1</f>
        <v>-183400</v>
      </c>
      <c r="L732" s="2"/>
    </row>
    <row r="733" spans="1:12">
      <c r="A733" s="330">
        <v>732</v>
      </c>
      <c r="B733" s="297">
        <v>44525</v>
      </c>
      <c r="C733" s="298">
        <v>2603</v>
      </c>
      <c r="D733" s="299" t="s">
        <v>2115</v>
      </c>
      <c r="E733" s="288" t="s">
        <v>45</v>
      </c>
      <c r="F733" s="294" t="s">
        <v>46</v>
      </c>
      <c r="G733" s="290">
        <v>3</v>
      </c>
      <c r="H733" s="291">
        <v>125.5</v>
      </c>
      <c r="I733" s="292">
        <v>1000</v>
      </c>
      <c r="J733" s="292">
        <f>交易[[#This Row],[價格]]*交易[[#This Row],[數量]]*-1</f>
        <v>-125500</v>
      </c>
      <c r="L733" s="2"/>
    </row>
    <row r="734" spans="1:12">
      <c r="A734" s="330">
        <v>733</v>
      </c>
      <c r="B734" s="297">
        <v>44525</v>
      </c>
      <c r="C734" s="298">
        <v>2464</v>
      </c>
      <c r="D734" s="299" t="s">
        <v>10</v>
      </c>
      <c r="E734" s="288" t="s">
        <v>45</v>
      </c>
      <c r="F734" s="294" t="s">
        <v>47</v>
      </c>
      <c r="G734" s="290">
        <v>3</v>
      </c>
      <c r="H734" s="291">
        <v>45.85</v>
      </c>
      <c r="I734" s="292">
        <v>2000</v>
      </c>
      <c r="J734" s="292">
        <f>交易[[#This Row],[價格]]*交易[[#This Row],[數量]]*-1</f>
        <v>-91700</v>
      </c>
      <c r="L734" s="2"/>
    </row>
    <row r="735" spans="1:12">
      <c r="A735" s="330">
        <v>734</v>
      </c>
      <c r="B735" s="297">
        <v>44525</v>
      </c>
      <c r="C735" s="298">
        <v>2464</v>
      </c>
      <c r="D735" s="299" t="s">
        <v>10</v>
      </c>
      <c r="E735" s="288" t="s">
        <v>45</v>
      </c>
      <c r="F735" s="294" t="s">
        <v>48</v>
      </c>
      <c r="G735" s="290">
        <v>3</v>
      </c>
      <c r="H735" s="291">
        <v>43.85</v>
      </c>
      <c r="I735" s="292">
        <v>-4000</v>
      </c>
      <c r="J735" s="292">
        <f>交易[[#This Row],[價格]]*交易[[#This Row],[數量]]*-1</f>
        <v>175400</v>
      </c>
      <c r="L735" s="2"/>
    </row>
    <row r="736" spans="1:12">
      <c r="A736" s="330">
        <v>735</v>
      </c>
      <c r="B736" s="297">
        <v>44525</v>
      </c>
      <c r="C736" s="298">
        <v>2464</v>
      </c>
      <c r="D736" s="299" t="s">
        <v>10</v>
      </c>
      <c r="E736" s="288" t="s">
        <v>45</v>
      </c>
      <c r="F736" s="294" t="s">
        <v>52</v>
      </c>
      <c r="G736" s="290">
        <v>3</v>
      </c>
      <c r="H736" s="291">
        <v>43.5</v>
      </c>
      <c r="I736" s="292">
        <v>-3000</v>
      </c>
      <c r="J736" s="292">
        <f>交易[[#This Row],[價格]]*交易[[#This Row],[數量]]*-1</f>
        <v>130500</v>
      </c>
      <c r="L736" s="2"/>
    </row>
    <row r="737" spans="1:12">
      <c r="A737" s="330">
        <v>736</v>
      </c>
      <c r="B737" s="297">
        <v>44525</v>
      </c>
      <c r="C737" s="298">
        <v>2464</v>
      </c>
      <c r="D737" s="299" t="s">
        <v>10</v>
      </c>
      <c r="E737" s="288" t="s">
        <v>45</v>
      </c>
      <c r="F737" s="294" t="s">
        <v>52</v>
      </c>
      <c r="G737" s="290">
        <v>3</v>
      </c>
      <c r="H737" s="291">
        <v>43.5</v>
      </c>
      <c r="I737" s="292">
        <v>-2000</v>
      </c>
      <c r="J737" s="292">
        <f>交易[[#This Row],[價格]]*交易[[#This Row],[數量]]*-1</f>
        <v>87000</v>
      </c>
      <c r="L737" s="2"/>
    </row>
    <row r="738" spans="1:12">
      <c r="A738" s="330">
        <v>737</v>
      </c>
      <c r="B738" s="297">
        <v>44525</v>
      </c>
      <c r="C738" s="298">
        <v>2464</v>
      </c>
      <c r="D738" s="299" t="s">
        <v>10</v>
      </c>
      <c r="E738" s="288" t="s">
        <v>45</v>
      </c>
      <c r="F738" s="294" t="s">
        <v>52</v>
      </c>
      <c r="G738" s="290">
        <v>3</v>
      </c>
      <c r="H738" s="291">
        <v>43.6</v>
      </c>
      <c r="I738" s="292">
        <v>-500</v>
      </c>
      <c r="J738" s="292">
        <f>交易[[#This Row],[價格]]*交易[[#This Row],[數量]]*-1</f>
        <v>21800</v>
      </c>
      <c r="L738" s="2"/>
    </row>
    <row r="739" spans="1:12">
      <c r="A739" s="330">
        <v>738</v>
      </c>
      <c r="B739" s="297">
        <v>44525</v>
      </c>
      <c r="C739" s="298">
        <v>2464</v>
      </c>
      <c r="D739" s="299" t="s">
        <v>10</v>
      </c>
      <c r="E739" s="288" t="s">
        <v>45</v>
      </c>
      <c r="F739" s="294" t="s">
        <v>52</v>
      </c>
      <c r="G739" s="290">
        <v>3</v>
      </c>
      <c r="H739" s="291">
        <v>43.5</v>
      </c>
      <c r="I739" s="292">
        <v>-500</v>
      </c>
      <c r="J739" s="292">
        <f>交易[[#This Row],[價格]]*交易[[#This Row],[數量]]*-1</f>
        <v>21750</v>
      </c>
      <c r="L739" s="2"/>
    </row>
    <row r="740" spans="1:12">
      <c r="A740" s="330">
        <v>739</v>
      </c>
      <c r="B740" s="297">
        <v>44526</v>
      </c>
      <c r="C740" s="298">
        <v>2603</v>
      </c>
      <c r="D740" s="299" t="s">
        <v>2115</v>
      </c>
      <c r="E740" s="288" t="s">
        <v>45</v>
      </c>
      <c r="F740" s="294" t="s">
        <v>52</v>
      </c>
      <c r="G740" s="290">
        <v>3</v>
      </c>
      <c r="H740" s="291">
        <v>121.5</v>
      </c>
      <c r="I740" s="292">
        <v>-5000</v>
      </c>
      <c r="J740" s="292">
        <f>交易[[#This Row],[價格]]*交易[[#This Row],[數量]]*-1</f>
        <v>607500</v>
      </c>
      <c r="L740" s="2"/>
    </row>
    <row r="741" spans="1:12">
      <c r="A741" s="330">
        <v>740</v>
      </c>
      <c r="B741" s="297">
        <v>44526</v>
      </c>
      <c r="C741" s="298">
        <v>3324</v>
      </c>
      <c r="D741" s="299" t="s">
        <v>675</v>
      </c>
      <c r="E741" s="288" t="s">
        <v>45</v>
      </c>
      <c r="F741" s="294" t="s">
        <v>52</v>
      </c>
      <c r="G741" s="290">
        <v>2</v>
      </c>
      <c r="H741" s="291">
        <v>181.5</v>
      </c>
      <c r="I741" s="292">
        <v>-2000</v>
      </c>
      <c r="J741" s="292">
        <f>交易[[#This Row],[價格]]*交易[[#This Row],[數量]]*-1</f>
        <v>363000</v>
      </c>
      <c r="L741" s="2"/>
    </row>
    <row r="742" spans="1:12">
      <c r="A742" s="330">
        <v>741</v>
      </c>
      <c r="B742" s="297">
        <v>44526</v>
      </c>
      <c r="C742" s="298">
        <v>3324</v>
      </c>
      <c r="D742" s="299" t="s">
        <v>675</v>
      </c>
      <c r="E742" s="288" t="s">
        <v>45</v>
      </c>
      <c r="F742" s="294" t="s">
        <v>52</v>
      </c>
      <c r="G742" s="290">
        <v>2</v>
      </c>
      <c r="H742" s="291">
        <v>182</v>
      </c>
      <c r="I742" s="292">
        <v>-2000</v>
      </c>
      <c r="J742" s="292">
        <f>交易[[#This Row],[價格]]*交易[[#This Row],[數量]]*-1</f>
        <v>364000</v>
      </c>
      <c r="L742" s="2"/>
    </row>
    <row r="743" spans="1:12">
      <c r="A743" s="330">
        <v>742</v>
      </c>
      <c r="B743" s="285">
        <v>44529</v>
      </c>
      <c r="C743" s="286">
        <v>2408</v>
      </c>
      <c r="D743" s="299" t="s">
        <v>2022</v>
      </c>
      <c r="E743" s="288" t="s">
        <v>45</v>
      </c>
      <c r="F743" s="294" t="s">
        <v>49</v>
      </c>
      <c r="G743" s="290">
        <v>2</v>
      </c>
      <c r="H743" s="291">
        <v>71.5</v>
      </c>
      <c r="I743" s="292">
        <v>-3000</v>
      </c>
      <c r="J743" s="292">
        <f>交易[[#This Row],[價格]]*交易[[#This Row],[數量]]*-1</f>
        <v>214500</v>
      </c>
      <c r="L743" s="2"/>
    </row>
    <row r="744" spans="1:12">
      <c r="A744" s="330">
        <v>743</v>
      </c>
      <c r="B744" s="285">
        <v>44533</v>
      </c>
      <c r="C744" s="286">
        <v>1762</v>
      </c>
      <c r="D744" s="299" t="s">
        <v>1878</v>
      </c>
      <c r="E744" s="288" t="s">
        <v>45</v>
      </c>
      <c r="F744" s="294" t="s">
        <v>46</v>
      </c>
      <c r="G744" s="290">
        <v>3</v>
      </c>
      <c r="H744" s="291">
        <v>67.7</v>
      </c>
      <c r="I744" s="292">
        <v>5000</v>
      </c>
      <c r="J744" s="292">
        <f>交易[[#This Row],[價格]]*交易[[#This Row],[數量]]*-1</f>
        <v>-338500</v>
      </c>
      <c r="L744" s="2"/>
    </row>
    <row r="745" spans="1:12">
      <c r="A745" s="330">
        <v>744</v>
      </c>
      <c r="B745" s="285">
        <v>44533</v>
      </c>
      <c r="C745" s="286">
        <v>1762</v>
      </c>
      <c r="D745" s="299" t="s">
        <v>1878</v>
      </c>
      <c r="E745" s="288" t="s">
        <v>45</v>
      </c>
      <c r="F745" s="294" t="s">
        <v>46</v>
      </c>
      <c r="G745" s="290">
        <v>3</v>
      </c>
      <c r="H745" s="291">
        <v>67.7</v>
      </c>
      <c r="I745" s="292">
        <v>1000</v>
      </c>
      <c r="J745" s="292">
        <f>交易[[#This Row],[價格]]*交易[[#This Row],[數量]]*-1</f>
        <v>-67700</v>
      </c>
      <c r="L745" s="2"/>
    </row>
    <row r="746" spans="1:12">
      <c r="A746" s="330">
        <v>745</v>
      </c>
      <c r="B746" s="285">
        <v>44537</v>
      </c>
      <c r="C746" s="286">
        <v>2103</v>
      </c>
      <c r="D746" s="299" t="s">
        <v>1931</v>
      </c>
      <c r="E746" s="288" t="s">
        <v>45</v>
      </c>
      <c r="F746" s="294" t="s">
        <v>46</v>
      </c>
      <c r="G746" s="290">
        <v>2</v>
      </c>
      <c r="H746" s="291">
        <v>34.15</v>
      </c>
      <c r="I746" s="292">
        <v>6000</v>
      </c>
      <c r="J746" s="292">
        <f>交易[[#This Row],[價格]]*交易[[#This Row],[數量]]*-1</f>
        <v>-204900</v>
      </c>
      <c r="L746" s="2"/>
    </row>
    <row r="747" spans="1:12">
      <c r="A747" s="330">
        <v>746</v>
      </c>
      <c r="B747" s="285">
        <v>44537</v>
      </c>
      <c r="C747" s="286">
        <v>2103</v>
      </c>
      <c r="D747" s="299" t="s">
        <v>1931</v>
      </c>
      <c r="E747" s="288" t="s">
        <v>45</v>
      </c>
      <c r="F747" s="294" t="s">
        <v>46</v>
      </c>
      <c r="G747" s="290">
        <v>2</v>
      </c>
      <c r="H747" s="291">
        <v>34.15</v>
      </c>
      <c r="I747" s="292">
        <v>4000</v>
      </c>
      <c r="J747" s="292">
        <f>交易[[#This Row],[價格]]*交易[[#This Row],[數量]]*-1</f>
        <v>-136600</v>
      </c>
      <c r="L747" s="2"/>
    </row>
    <row r="748" spans="1:12">
      <c r="A748" s="330">
        <v>747</v>
      </c>
      <c r="B748" s="285">
        <v>44537</v>
      </c>
      <c r="C748" s="286">
        <v>1762</v>
      </c>
      <c r="D748" s="299" t="s">
        <v>1878</v>
      </c>
      <c r="E748" s="288" t="s">
        <v>45</v>
      </c>
      <c r="F748" s="294" t="s">
        <v>48</v>
      </c>
      <c r="G748" s="290">
        <v>3</v>
      </c>
      <c r="H748" s="291">
        <v>65.900000000000006</v>
      </c>
      <c r="I748" s="292">
        <v>-1000</v>
      </c>
      <c r="J748" s="292">
        <f>交易[[#This Row],[價格]]*交易[[#This Row],[數量]]*-1</f>
        <v>65900</v>
      </c>
      <c r="L748" s="2"/>
    </row>
    <row r="749" spans="1:12">
      <c r="A749" s="330">
        <v>748</v>
      </c>
      <c r="B749" s="285">
        <v>44538</v>
      </c>
      <c r="C749" s="286">
        <v>3017</v>
      </c>
      <c r="D749" s="299" t="s">
        <v>2233</v>
      </c>
      <c r="E749" s="288" t="s">
        <v>45</v>
      </c>
      <c r="F749" s="294" t="s">
        <v>46</v>
      </c>
      <c r="G749" s="290">
        <v>3</v>
      </c>
      <c r="H749" s="291">
        <v>88.8</v>
      </c>
      <c r="I749" s="292">
        <v>5000</v>
      </c>
      <c r="J749" s="292">
        <f>交易[[#This Row],[價格]]*交易[[#This Row],[數量]]*-1</f>
        <v>-444000</v>
      </c>
      <c r="L749" s="2"/>
    </row>
    <row r="750" spans="1:12">
      <c r="A750" s="330">
        <v>749</v>
      </c>
      <c r="B750" s="285">
        <v>44538</v>
      </c>
      <c r="C750" s="286">
        <v>1762</v>
      </c>
      <c r="D750" s="299" t="s">
        <v>1878</v>
      </c>
      <c r="E750" s="288" t="s">
        <v>45</v>
      </c>
      <c r="F750" s="294" t="s">
        <v>47</v>
      </c>
      <c r="G750" s="290">
        <v>3</v>
      </c>
      <c r="H750" s="291">
        <v>68.7</v>
      </c>
      <c r="I750" s="292">
        <v>1000</v>
      </c>
      <c r="J750" s="292">
        <f>交易[[#This Row],[價格]]*交易[[#This Row],[數量]]*-1</f>
        <v>-68700</v>
      </c>
      <c r="L750" s="2"/>
    </row>
    <row r="751" spans="1:12">
      <c r="A751" s="330">
        <v>750</v>
      </c>
      <c r="B751" s="285">
        <v>44538</v>
      </c>
      <c r="C751" s="286">
        <v>1762</v>
      </c>
      <c r="D751" s="299" t="s">
        <v>1878</v>
      </c>
      <c r="E751" s="288" t="s">
        <v>45</v>
      </c>
      <c r="F751" s="294" t="s">
        <v>47</v>
      </c>
      <c r="G751" s="290">
        <v>3</v>
      </c>
      <c r="H751" s="291">
        <v>68.7</v>
      </c>
      <c r="I751" s="292">
        <v>1000</v>
      </c>
      <c r="J751" s="292">
        <f>交易[[#This Row],[價格]]*交易[[#This Row],[數量]]*-1</f>
        <v>-68700</v>
      </c>
      <c r="L751" s="2"/>
    </row>
    <row r="752" spans="1:12">
      <c r="A752" s="330">
        <v>751</v>
      </c>
      <c r="B752" s="285">
        <v>44538</v>
      </c>
      <c r="C752" s="286">
        <v>1762</v>
      </c>
      <c r="D752" s="299" t="s">
        <v>1878</v>
      </c>
      <c r="E752" s="288" t="s">
        <v>45</v>
      </c>
      <c r="F752" s="294" t="s">
        <v>47</v>
      </c>
      <c r="G752" s="290">
        <v>3</v>
      </c>
      <c r="H752" s="291">
        <v>68.400000000000006</v>
      </c>
      <c r="I752" s="292">
        <v>2000</v>
      </c>
      <c r="J752" s="292">
        <f>交易[[#This Row],[價格]]*交易[[#This Row],[數量]]*-1</f>
        <v>-136800</v>
      </c>
      <c r="L752" s="2"/>
    </row>
    <row r="753" spans="1:12">
      <c r="A753" s="330">
        <v>752</v>
      </c>
      <c r="B753" s="285">
        <v>44539</v>
      </c>
      <c r="C753" s="286">
        <v>2520</v>
      </c>
      <c r="D753" s="299" t="s">
        <v>11</v>
      </c>
      <c r="E753" s="288" t="s">
        <v>45</v>
      </c>
      <c r="F753" s="294" t="s">
        <v>46</v>
      </c>
      <c r="G753" s="290">
        <v>3</v>
      </c>
      <c r="H753" s="291">
        <v>39.049999999999997</v>
      </c>
      <c r="I753" s="292">
        <v>5000</v>
      </c>
      <c r="J753" s="292">
        <f>交易[[#This Row],[價格]]*交易[[#This Row],[數量]]*-1</f>
        <v>-195250</v>
      </c>
      <c r="L753" s="2"/>
    </row>
    <row r="754" spans="1:12">
      <c r="A754" s="330">
        <v>753</v>
      </c>
      <c r="B754" s="285">
        <v>44539</v>
      </c>
      <c r="C754" s="286">
        <v>3017</v>
      </c>
      <c r="D754" s="299" t="s">
        <v>2233</v>
      </c>
      <c r="E754" s="288" t="s">
        <v>45</v>
      </c>
      <c r="F754" s="294" t="s">
        <v>50</v>
      </c>
      <c r="G754" s="290">
        <v>3</v>
      </c>
      <c r="H754" s="291">
        <v>89.1</v>
      </c>
      <c r="I754" s="292">
        <v>-5000</v>
      </c>
      <c r="J754" s="292">
        <f>交易[[#This Row],[價格]]*交易[[#This Row],[數量]]*-1</f>
        <v>445500</v>
      </c>
      <c r="L754" s="2"/>
    </row>
    <row r="755" spans="1:12">
      <c r="A755" s="330">
        <v>754</v>
      </c>
      <c r="B755" s="285">
        <v>44540</v>
      </c>
      <c r="C755" s="286">
        <v>6188</v>
      </c>
      <c r="D755" s="299" t="s">
        <v>1045</v>
      </c>
      <c r="E755" s="288" t="s">
        <v>45</v>
      </c>
      <c r="F755" s="294" t="s">
        <v>52</v>
      </c>
      <c r="G755" s="290">
        <v>1</v>
      </c>
      <c r="H755" s="291">
        <v>44.45</v>
      </c>
      <c r="I755" s="292">
        <v>-5000</v>
      </c>
      <c r="J755" s="292">
        <f>交易[[#This Row],[價格]]*交易[[#This Row],[數量]]*-1</f>
        <v>222250</v>
      </c>
      <c r="L755" s="2"/>
    </row>
    <row r="756" spans="1:12">
      <c r="A756" s="330">
        <v>755</v>
      </c>
      <c r="B756" s="285">
        <v>44540</v>
      </c>
      <c r="C756" s="286">
        <v>6188</v>
      </c>
      <c r="D756" s="299" t="s">
        <v>1045</v>
      </c>
      <c r="E756" s="288" t="s">
        <v>45</v>
      </c>
      <c r="F756" s="294" t="s">
        <v>46</v>
      </c>
      <c r="G756" s="290">
        <v>1</v>
      </c>
      <c r="H756" s="291">
        <v>44.7</v>
      </c>
      <c r="I756" s="292">
        <v>5000</v>
      </c>
      <c r="J756" s="292">
        <f>交易[[#This Row],[價格]]*交易[[#This Row],[數量]]*-1</f>
        <v>-223500</v>
      </c>
      <c r="L756" s="2"/>
    </row>
    <row r="757" spans="1:12">
      <c r="A757" s="330">
        <v>756</v>
      </c>
      <c r="B757" s="285">
        <v>44540</v>
      </c>
      <c r="C757" s="286">
        <v>2103</v>
      </c>
      <c r="D757" s="299" t="str">
        <f>IF(B757="","",IFERROR(INDEX(股名1,MATCH($C757,代號1,0)),IFERROR(INDEX(股名2,MATCH($C757,代號2,0)),IFERROR(INDEX(股名3,MATCH($C757,代號3,0)),INDEX(股名4,MATCH($C757,代號4,0))))))</f>
        <v>台橡</v>
      </c>
      <c r="E757" s="288" t="s">
        <v>45</v>
      </c>
      <c r="F757" s="294" t="s">
        <v>49</v>
      </c>
      <c r="G757" s="290" cm="1">
        <f t="array" ref="G757">IF(SUM(($I$2:I756)*($C$2:C756=C757)*($G$2:G756=LOOKUP(9000000000+307,$G$2:G756/($C$2:C756=C757))))=0,LOOKUP(9000000000+307,$G$2:G756/($C$2:C756=C757))+1,LOOKUP(9000000000+307,$G$2:G756/($C$2:C756=C757)))</f>
        <v>2</v>
      </c>
      <c r="H757" s="291">
        <v>34.6</v>
      </c>
      <c r="I757" s="292">
        <v>-10000</v>
      </c>
      <c r="J757" s="292">
        <f>交易[[#This Row],[價格]]*交易[[#This Row],[數量]]*-1</f>
        <v>346000</v>
      </c>
      <c r="L757" s="2"/>
    </row>
    <row r="758" spans="1:12">
      <c r="A758" s="330">
        <v>757</v>
      </c>
      <c r="B758" s="255">
        <v>44543</v>
      </c>
      <c r="C758" s="139">
        <v>1762</v>
      </c>
      <c r="D758" s="299" t="s">
        <v>1878</v>
      </c>
      <c r="E758" s="288" t="s">
        <v>45</v>
      </c>
      <c r="F758" s="294" t="s">
        <v>48</v>
      </c>
      <c r="G758" s="290">
        <v>3</v>
      </c>
      <c r="H758" s="291">
        <v>65.5</v>
      </c>
      <c r="I758" s="292">
        <v>-1000</v>
      </c>
      <c r="J758" s="292">
        <v>65500</v>
      </c>
      <c r="L758" s="2"/>
    </row>
    <row r="759" spans="1:12">
      <c r="A759" s="330">
        <v>758</v>
      </c>
      <c r="B759" s="255">
        <v>44543</v>
      </c>
      <c r="C759" s="139">
        <v>1762</v>
      </c>
      <c r="D759" s="299" t="s">
        <v>1878</v>
      </c>
      <c r="E759" s="288" t="s">
        <v>45</v>
      </c>
      <c r="F759" s="294" t="s">
        <v>48</v>
      </c>
      <c r="G759" s="290">
        <v>3</v>
      </c>
      <c r="H759" s="291">
        <v>65.8</v>
      </c>
      <c r="I759" s="292">
        <v>-3000</v>
      </c>
      <c r="J759" s="292">
        <v>197400</v>
      </c>
      <c r="L759" s="2"/>
    </row>
    <row r="760" spans="1:12">
      <c r="A760" s="330">
        <v>759</v>
      </c>
      <c r="B760" s="255">
        <v>44543</v>
      </c>
      <c r="C760" s="139">
        <v>1762</v>
      </c>
      <c r="D760" s="299" t="s">
        <v>1878</v>
      </c>
      <c r="E760" s="288" t="s">
        <v>45</v>
      </c>
      <c r="F760" s="294" t="s">
        <v>48</v>
      </c>
      <c r="G760" s="290">
        <v>3</v>
      </c>
      <c r="H760" s="291">
        <v>65.2</v>
      </c>
      <c r="I760" s="292">
        <v>-2000</v>
      </c>
      <c r="J760" s="292">
        <v>130400</v>
      </c>
      <c r="L760" s="2"/>
    </row>
    <row r="761" spans="1:12">
      <c r="A761" s="330">
        <v>760</v>
      </c>
      <c r="B761" s="255">
        <v>44543</v>
      </c>
      <c r="C761" s="139">
        <v>1762</v>
      </c>
      <c r="D761" s="299" t="s">
        <v>1878</v>
      </c>
      <c r="E761" s="288" t="s">
        <v>45</v>
      </c>
      <c r="F761" s="294" t="s">
        <v>48</v>
      </c>
      <c r="G761" s="290">
        <v>3</v>
      </c>
      <c r="H761" s="291">
        <v>65.3</v>
      </c>
      <c r="I761" s="292">
        <v>-1000</v>
      </c>
      <c r="J761" s="292">
        <v>65300</v>
      </c>
      <c r="L761" s="2"/>
    </row>
    <row r="762" spans="1:12">
      <c r="A762" s="330">
        <v>761</v>
      </c>
      <c r="B762" s="255">
        <v>44544</v>
      </c>
      <c r="C762" s="139">
        <v>6285</v>
      </c>
      <c r="D762" s="299" t="s">
        <v>2510</v>
      </c>
      <c r="E762" s="288" t="s">
        <v>45</v>
      </c>
      <c r="F762" s="294" t="s">
        <v>46</v>
      </c>
      <c r="G762" s="290">
        <v>2</v>
      </c>
      <c r="H762" s="291">
        <v>76.2</v>
      </c>
      <c r="I762" s="292">
        <v>1000</v>
      </c>
      <c r="J762" s="292">
        <v>-76200</v>
      </c>
      <c r="L762" s="2"/>
    </row>
    <row r="763" spans="1:12">
      <c r="A763" s="330">
        <v>762</v>
      </c>
      <c r="B763" s="255">
        <v>44544</v>
      </c>
      <c r="C763" s="139">
        <v>6285</v>
      </c>
      <c r="D763" s="299" t="s">
        <v>2510</v>
      </c>
      <c r="E763" s="288" t="s">
        <v>45</v>
      </c>
      <c r="F763" s="294" t="s">
        <v>46</v>
      </c>
      <c r="G763" s="290">
        <v>2</v>
      </c>
      <c r="H763" s="291">
        <v>76.7</v>
      </c>
      <c r="I763" s="292">
        <v>1000</v>
      </c>
      <c r="J763" s="292">
        <v>-76700</v>
      </c>
      <c r="L763" s="2"/>
    </row>
    <row r="764" spans="1:12">
      <c r="A764" s="330">
        <v>763</v>
      </c>
      <c r="B764" s="255">
        <v>44544</v>
      </c>
      <c r="C764" s="139">
        <v>6285</v>
      </c>
      <c r="D764" s="299" t="s">
        <v>2510</v>
      </c>
      <c r="E764" s="288" t="s">
        <v>45</v>
      </c>
      <c r="F764" s="294" t="s">
        <v>46</v>
      </c>
      <c r="G764" s="290">
        <v>2</v>
      </c>
      <c r="H764" s="291">
        <v>76.400000000000006</v>
      </c>
      <c r="I764" s="292">
        <v>1000</v>
      </c>
      <c r="J764" s="292">
        <v>-76400</v>
      </c>
      <c r="L764" s="2"/>
    </row>
    <row r="765" spans="1:12">
      <c r="A765" s="330">
        <v>764</v>
      </c>
      <c r="B765" s="255">
        <v>44546</v>
      </c>
      <c r="C765" s="139">
        <v>8415</v>
      </c>
      <c r="D765" s="299" t="s">
        <v>1260</v>
      </c>
      <c r="E765" s="288" t="s">
        <v>45</v>
      </c>
      <c r="F765" s="294" t="s">
        <v>46</v>
      </c>
      <c r="G765" s="290">
        <v>1</v>
      </c>
      <c r="H765" s="291">
        <v>36.6</v>
      </c>
      <c r="I765" s="292">
        <v>2000</v>
      </c>
      <c r="J765" s="292">
        <v>-73200</v>
      </c>
      <c r="L765" s="2"/>
    </row>
    <row r="766" spans="1:12">
      <c r="A766" s="330">
        <v>765</v>
      </c>
      <c r="B766" s="255">
        <v>44546</v>
      </c>
      <c r="C766" s="139">
        <v>8415</v>
      </c>
      <c r="D766" s="299" t="s">
        <v>1260</v>
      </c>
      <c r="E766" s="288" t="s">
        <v>45</v>
      </c>
      <c r="F766" s="294" t="s">
        <v>46</v>
      </c>
      <c r="G766" s="290">
        <v>1</v>
      </c>
      <c r="H766" s="291">
        <v>36.450000000000003</v>
      </c>
      <c r="I766" s="292">
        <v>2000</v>
      </c>
      <c r="J766" s="292">
        <v>-72900</v>
      </c>
      <c r="L766" s="2"/>
    </row>
    <row r="767" spans="1:12">
      <c r="A767" s="330">
        <v>766</v>
      </c>
      <c r="B767" s="255">
        <v>44546</v>
      </c>
      <c r="C767" s="139">
        <v>8415</v>
      </c>
      <c r="D767" s="299" t="s">
        <v>1260</v>
      </c>
      <c r="E767" s="288" t="s">
        <v>45</v>
      </c>
      <c r="F767" s="294" t="s">
        <v>46</v>
      </c>
      <c r="G767" s="290">
        <v>1</v>
      </c>
      <c r="H767" s="291">
        <v>36.549999999999997</v>
      </c>
      <c r="I767" s="292">
        <v>2000</v>
      </c>
      <c r="J767" s="292">
        <v>-73100</v>
      </c>
      <c r="L767" s="2"/>
    </row>
    <row r="768" spans="1:12">
      <c r="A768" s="330">
        <v>767</v>
      </c>
      <c r="B768" s="255">
        <v>44547</v>
      </c>
      <c r="C768" s="139">
        <v>2002</v>
      </c>
      <c r="D768" s="299" t="s">
        <v>1898</v>
      </c>
      <c r="E768" s="288" t="s">
        <v>45</v>
      </c>
      <c r="F768" s="294" t="s">
        <v>46</v>
      </c>
      <c r="G768" s="290">
        <v>7</v>
      </c>
      <c r="H768" s="291">
        <v>34.549999999999997</v>
      </c>
      <c r="I768" s="292">
        <v>10000</v>
      </c>
      <c r="J768" s="292">
        <v>-345500</v>
      </c>
      <c r="L768" s="2"/>
    </row>
    <row r="769" spans="1:12">
      <c r="A769" s="330">
        <v>768</v>
      </c>
      <c r="B769" s="255">
        <v>44547</v>
      </c>
      <c r="C769" s="139">
        <v>2520</v>
      </c>
      <c r="D769" s="299" t="s">
        <v>11</v>
      </c>
      <c r="E769" s="288" t="s">
        <v>45</v>
      </c>
      <c r="F769" s="294" t="s">
        <v>52</v>
      </c>
      <c r="G769" s="290">
        <v>3</v>
      </c>
      <c r="H769" s="291">
        <v>37.700000000000003</v>
      </c>
      <c r="I769" s="292">
        <v>-5000</v>
      </c>
      <c r="J769" s="292">
        <v>188500</v>
      </c>
      <c r="L769" s="2"/>
    </row>
    <row r="770" spans="1:12">
      <c r="A770" s="330">
        <v>769</v>
      </c>
      <c r="B770" s="255">
        <v>44547</v>
      </c>
      <c r="C770" s="139">
        <v>2002</v>
      </c>
      <c r="D770" s="299" t="s">
        <v>1898</v>
      </c>
      <c r="E770" s="288" t="s">
        <v>45</v>
      </c>
      <c r="F770" s="294" t="s">
        <v>46</v>
      </c>
      <c r="G770" s="290">
        <v>7</v>
      </c>
      <c r="H770" s="291">
        <v>34.75</v>
      </c>
      <c r="I770" s="292">
        <v>5000</v>
      </c>
      <c r="J770" s="292">
        <v>-173750</v>
      </c>
      <c r="L770" s="2"/>
    </row>
    <row r="771" spans="1:12">
      <c r="A771" s="330">
        <v>770</v>
      </c>
      <c r="B771" s="255">
        <v>44550</v>
      </c>
      <c r="C771" s="139">
        <v>6285</v>
      </c>
      <c r="D771" s="299" t="s">
        <v>2510</v>
      </c>
      <c r="E771" s="288" t="s">
        <v>45</v>
      </c>
      <c r="F771" s="294" t="s">
        <v>52</v>
      </c>
      <c r="G771" s="290">
        <v>2</v>
      </c>
      <c r="H771" s="291">
        <v>74.5</v>
      </c>
      <c r="I771" s="292">
        <v>-3000</v>
      </c>
      <c r="J771" s="292">
        <v>223500</v>
      </c>
      <c r="L771" s="2"/>
    </row>
    <row r="772" spans="1:12">
      <c r="A772" s="330">
        <v>771</v>
      </c>
      <c r="B772" s="255">
        <v>44550</v>
      </c>
      <c r="C772" s="139">
        <v>2013</v>
      </c>
      <c r="D772" s="299" t="s">
        <v>1907</v>
      </c>
      <c r="E772" s="288" t="s">
        <v>3116</v>
      </c>
      <c r="F772" s="294" t="s">
        <v>49</v>
      </c>
      <c r="G772" s="290">
        <v>3</v>
      </c>
      <c r="H772" s="291">
        <v>58.1</v>
      </c>
      <c r="I772" s="292">
        <v>-6000</v>
      </c>
      <c r="J772" s="292">
        <v>348600</v>
      </c>
      <c r="L772" s="2"/>
    </row>
    <row r="773" spans="1:12">
      <c r="A773" s="330">
        <v>772</v>
      </c>
      <c r="B773" s="255">
        <v>44550</v>
      </c>
      <c r="C773" s="139">
        <v>2013</v>
      </c>
      <c r="D773" s="299" t="s">
        <v>1907</v>
      </c>
      <c r="E773" s="288" t="s">
        <v>3116</v>
      </c>
      <c r="F773" s="294" t="s">
        <v>46</v>
      </c>
      <c r="G773" s="290">
        <v>3</v>
      </c>
      <c r="H773" s="291">
        <v>57.6</v>
      </c>
      <c r="I773" s="292">
        <v>6000</v>
      </c>
      <c r="J773" s="292">
        <v>-345600</v>
      </c>
      <c r="L773" s="2"/>
    </row>
    <row r="774" spans="1:12">
      <c r="A774" s="330"/>
      <c r="B774" s="285"/>
      <c r="E774" s="288"/>
      <c r="F774" s="289"/>
      <c r="L774" s="2"/>
    </row>
    <row r="775" spans="1:12">
      <c r="A775" s="330"/>
      <c r="B775" s="285"/>
      <c r="E775" s="288"/>
      <c r="F775" s="289"/>
      <c r="L775" s="2"/>
    </row>
    <row r="776" spans="1:12">
      <c r="A776" s="330"/>
      <c r="B776" s="285"/>
      <c r="E776" s="288"/>
      <c r="F776" s="294"/>
      <c r="L776" s="2"/>
    </row>
    <row r="777" spans="1:12">
      <c r="A777" s="330"/>
      <c r="B777" s="285"/>
      <c r="E777" s="288"/>
      <c r="F777" s="294"/>
      <c r="L777" s="2"/>
    </row>
    <row r="778" spans="1:12">
      <c r="A778" s="330"/>
      <c r="B778" s="285"/>
      <c r="E778" s="288"/>
      <c r="F778" s="294"/>
      <c r="L778" s="2"/>
    </row>
    <row r="779" spans="1:12">
      <c r="A779" s="330"/>
      <c r="B779" s="285"/>
      <c r="E779" s="288"/>
      <c r="F779" s="294"/>
      <c r="L779" s="2"/>
    </row>
    <row r="780" spans="1:12">
      <c r="A780" s="330"/>
      <c r="B780" s="297"/>
      <c r="C780" s="298"/>
      <c r="E780" s="288"/>
      <c r="F780" s="294"/>
      <c r="L780" s="2"/>
    </row>
    <row r="781" spans="1:12">
      <c r="A781" s="330"/>
      <c r="B781" s="297"/>
      <c r="C781" s="298"/>
      <c r="E781" s="288"/>
      <c r="F781" s="294"/>
      <c r="L781" s="2"/>
    </row>
    <row r="782" spans="1:12">
      <c r="A782" s="330"/>
      <c r="B782" s="297"/>
      <c r="C782" s="298"/>
      <c r="E782" s="288"/>
      <c r="F782" s="294"/>
      <c r="L782" s="2"/>
    </row>
    <row r="783" spans="1:12">
      <c r="A783" s="330"/>
      <c r="B783" s="297"/>
      <c r="C783" s="298"/>
      <c r="E783" s="288"/>
      <c r="F783" s="294"/>
      <c r="L783" s="2"/>
    </row>
    <row r="784" spans="1:12">
      <c r="A784" s="330"/>
      <c r="B784" s="297"/>
      <c r="C784" s="298"/>
      <c r="E784" s="288"/>
      <c r="F784" s="294"/>
      <c r="L784" s="2"/>
    </row>
    <row r="785" spans="1:12">
      <c r="A785" s="330"/>
      <c r="B785" s="297"/>
      <c r="C785" s="298"/>
      <c r="E785" s="288"/>
      <c r="F785" s="294"/>
      <c r="L785" s="2"/>
    </row>
    <row r="786" spans="1:12">
      <c r="A786" s="330"/>
      <c r="B786" s="297"/>
      <c r="C786" s="298"/>
      <c r="E786" s="288"/>
      <c r="F786" s="294"/>
      <c r="L786" s="2"/>
    </row>
    <row r="787" spans="1:12">
      <c r="A787" s="330"/>
      <c r="B787" s="297"/>
      <c r="C787" s="298"/>
      <c r="E787" s="288"/>
      <c r="F787" s="294"/>
      <c r="L787" s="2"/>
    </row>
    <row r="788" spans="1:12">
      <c r="A788" s="330"/>
      <c r="B788" s="297"/>
      <c r="C788" s="298"/>
      <c r="E788" s="288"/>
      <c r="F788" s="294"/>
      <c r="L788" s="2"/>
    </row>
    <row r="789" spans="1:12">
      <c r="A789" s="330"/>
      <c r="B789" s="297"/>
      <c r="C789" s="298"/>
      <c r="E789" s="288"/>
      <c r="F789" s="294"/>
      <c r="L789" s="2"/>
    </row>
    <row r="790" spans="1:12">
      <c r="A790" s="330"/>
      <c r="B790" s="285"/>
      <c r="E790" s="288"/>
      <c r="F790" s="294"/>
      <c r="L790" s="2"/>
    </row>
    <row r="791" spans="1:12">
      <c r="A791" s="330"/>
      <c r="B791" s="285"/>
      <c r="E791" s="288"/>
      <c r="F791" s="294"/>
      <c r="L791" s="2"/>
    </row>
    <row r="792" spans="1:12">
      <c r="A792" s="330"/>
      <c r="B792" s="285"/>
      <c r="E792" s="288"/>
      <c r="F792" s="294"/>
      <c r="L792" s="2"/>
    </row>
    <row r="793" spans="1:12">
      <c r="A793" s="330"/>
      <c r="B793" s="285"/>
      <c r="E793" s="288"/>
      <c r="F793" s="294"/>
      <c r="L793" s="2"/>
    </row>
    <row r="794" spans="1:12">
      <c r="A794" s="330"/>
      <c r="B794" s="285"/>
      <c r="E794" s="288"/>
      <c r="F794" s="294"/>
      <c r="L794" s="2"/>
    </row>
    <row r="795" spans="1:12">
      <c r="A795" s="330"/>
      <c r="B795" s="285"/>
      <c r="E795" s="288"/>
      <c r="F795" s="294"/>
      <c r="L795" s="2"/>
    </row>
    <row r="796" spans="1:12">
      <c r="A796" s="330"/>
      <c r="B796" s="297"/>
      <c r="C796" s="298"/>
      <c r="E796" s="288"/>
      <c r="F796" s="294"/>
      <c r="L796" s="2"/>
    </row>
    <row r="797" spans="1:12">
      <c r="A797" s="330"/>
      <c r="B797" s="297"/>
      <c r="C797" s="298"/>
      <c r="E797" s="288"/>
      <c r="F797" s="294"/>
      <c r="L797" s="2"/>
    </row>
    <row r="798" spans="1:12">
      <c r="A798" s="330"/>
      <c r="B798" s="297"/>
      <c r="C798" s="298"/>
      <c r="E798" s="288"/>
      <c r="F798" s="294"/>
      <c r="L798" s="2"/>
    </row>
    <row r="799" spans="1:12">
      <c r="A799" s="330"/>
      <c r="B799" s="285"/>
      <c r="E799" s="288"/>
      <c r="F799" s="294"/>
      <c r="L799" s="2"/>
    </row>
    <row r="800" spans="1:12">
      <c r="A800" s="330"/>
      <c r="B800" s="285"/>
      <c r="E800" s="288"/>
      <c r="F800" s="294"/>
      <c r="L800" s="2"/>
    </row>
    <row r="801" spans="1:12">
      <c r="A801" s="330"/>
      <c r="B801" s="285"/>
      <c r="E801" s="288"/>
      <c r="F801" s="294"/>
      <c r="L801" s="2"/>
    </row>
    <row r="802" spans="1:12">
      <c r="A802" s="330"/>
      <c r="B802" s="285"/>
      <c r="E802" s="288"/>
      <c r="F802" s="294"/>
      <c r="L802" s="2"/>
    </row>
    <row r="803" spans="1:12">
      <c r="A803" s="330"/>
      <c r="B803" s="297"/>
      <c r="C803" s="298"/>
      <c r="E803" s="288"/>
      <c r="F803" s="294"/>
      <c r="L803" s="2"/>
    </row>
    <row r="804" spans="1:12">
      <c r="A804" s="330"/>
      <c r="B804" s="297"/>
      <c r="C804" s="298"/>
      <c r="D804" s="299"/>
      <c r="E804" s="288"/>
      <c r="F804" s="294"/>
      <c r="L804" s="2"/>
    </row>
    <row r="805" spans="1:12">
      <c r="A805" s="330"/>
      <c r="B805" s="297"/>
      <c r="C805" s="298"/>
      <c r="D805" s="299"/>
      <c r="E805" s="288"/>
      <c r="F805" s="294"/>
      <c r="L805" s="2"/>
    </row>
    <row r="806" spans="1:12">
      <c r="A806" s="330"/>
      <c r="B806" s="297"/>
      <c r="C806" s="298"/>
      <c r="D806" s="299"/>
      <c r="E806" s="288"/>
      <c r="F806" s="294"/>
      <c r="L806" s="2"/>
    </row>
    <row r="807" spans="1:12">
      <c r="A807" s="330"/>
      <c r="B807" s="297"/>
      <c r="C807" s="298"/>
      <c r="D807" s="299"/>
      <c r="E807" s="288"/>
      <c r="F807" s="294"/>
      <c r="L807" s="2"/>
    </row>
    <row r="808" spans="1:12">
      <c r="A808" s="330"/>
      <c r="B808" s="285"/>
      <c r="E808" s="288"/>
      <c r="F808" s="294"/>
      <c r="L808" s="2"/>
    </row>
    <row r="809" spans="1:12">
      <c r="A809" s="330"/>
      <c r="B809" s="285"/>
      <c r="E809" s="288"/>
      <c r="F809" s="294"/>
      <c r="L809" s="2"/>
    </row>
    <row r="810" spans="1:12">
      <c r="A810" s="330"/>
      <c r="B810" s="285"/>
      <c r="E810" s="288"/>
      <c r="F810" s="294"/>
      <c r="L810" s="2"/>
    </row>
    <row r="811" spans="1:12">
      <c r="A811" s="330"/>
      <c r="B811" s="285"/>
      <c r="E811" s="288"/>
      <c r="F811" s="294"/>
      <c r="L811" s="2"/>
    </row>
    <row r="812" spans="1:12">
      <c r="A812" s="330"/>
      <c r="B812" s="297"/>
      <c r="C812" s="298"/>
      <c r="E812" s="288"/>
      <c r="F812" s="294"/>
      <c r="L812" s="2"/>
    </row>
    <row r="813" spans="1:12">
      <c r="A813" s="330"/>
      <c r="B813" s="297"/>
      <c r="C813" s="298"/>
      <c r="D813" s="299"/>
      <c r="E813" s="288"/>
      <c r="F813" s="294"/>
      <c r="L813" s="2"/>
    </row>
    <row r="814" spans="1:12">
      <c r="A814" s="330"/>
      <c r="B814" s="285"/>
      <c r="E814" s="288"/>
      <c r="F814" s="294"/>
      <c r="L814" s="2"/>
    </row>
    <row r="815" spans="1:12">
      <c r="A815" s="330"/>
      <c r="B815" s="285"/>
      <c r="E815" s="288"/>
      <c r="F815" s="294"/>
      <c r="L815" s="2"/>
    </row>
    <row r="816" spans="1:12">
      <c r="A816" s="330"/>
      <c r="B816" s="285"/>
      <c r="E816" s="288"/>
      <c r="F816" s="294"/>
      <c r="L816" s="2"/>
    </row>
    <row r="817" spans="1:12">
      <c r="A817" s="330"/>
      <c r="B817" s="285"/>
      <c r="E817" s="288"/>
      <c r="F817" s="294"/>
      <c r="L817" s="2"/>
    </row>
    <row r="818" spans="1:12">
      <c r="A818" s="330"/>
      <c r="B818" s="285"/>
      <c r="E818" s="288"/>
      <c r="F818" s="294"/>
      <c r="L818" s="2"/>
    </row>
    <row r="819" spans="1:12">
      <c r="A819" s="330"/>
      <c r="B819" s="297"/>
      <c r="C819" s="298"/>
      <c r="E819" s="288"/>
      <c r="F819" s="294"/>
      <c r="L819" s="2"/>
    </row>
    <row r="820" spans="1:12">
      <c r="A820" s="330"/>
      <c r="B820" s="297"/>
      <c r="C820" s="298"/>
      <c r="E820" s="288"/>
      <c r="F820" s="294"/>
      <c r="L820" s="2"/>
    </row>
    <row r="821" spans="1:12">
      <c r="A821" s="330"/>
      <c r="B821" s="285"/>
      <c r="E821" s="288"/>
      <c r="F821" s="294"/>
      <c r="L821" s="2"/>
    </row>
    <row r="822" spans="1:12">
      <c r="A822" s="330"/>
      <c r="B822" s="285"/>
      <c r="E822" s="288"/>
      <c r="F822" s="294"/>
      <c r="L822" s="2"/>
    </row>
    <row r="823" spans="1:12">
      <c r="A823" s="330"/>
      <c r="B823" s="297"/>
      <c r="C823" s="298"/>
      <c r="E823" s="288"/>
      <c r="F823" s="294"/>
      <c r="L823" s="2"/>
    </row>
    <row r="824" spans="1:12">
      <c r="A824" s="330"/>
      <c r="B824" s="297"/>
      <c r="C824" s="298"/>
      <c r="E824" s="288"/>
      <c r="F824" s="294"/>
      <c r="L824" s="2"/>
    </row>
    <row r="825" spans="1:12">
      <c r="A825" s="330"/>
      <c r="B825" s="297"/>
      <c r="C825" s="298"/>
      <c r="E825" s="288"/>
      <c r="F825" s="294"/>
      <c r="L825" s="2"/>
    </row>
    <row r="826" spans="1:12">
      <c r="A826" s="330"/>
      <c r="B826" s="297"/>
      <c r="C826" s="298"/>
      <c r="E826" s="288"/>
      <c r="F826" s="294"/>
      <c r="L826" s="2"/>
    </row>
    <row r="827" spans="1:12">
      <c r="A827" s="330"/>
      <c r="B827" s="297"/>
      <c r="C827" s="298"/>
      <c r="E827" s="288"/>
      <c r="F827" s="294"/>
      <c r="L827" s="2"/>
    </row>
    <row r="828" spans="1:12">
      <c r="A828" s="330"/>
      <c r="B828" s="297"/>
      <c r="C828" s="298"/>
      <c r="E828" s="288"/>
      <c r="F828" s="294"/>
      <c r="L828" s="2"/>
    </row>
    <row r="829" spans="1:12">
      <c r="A829" s="330"/>
      <c r="B829" s="285"/>
      <c r="E829" s="288"/>
      <c r="F829" s="294"/>
      <c r="L829" s="2"/>
    </row>
    <row r="830" spans="1:12">
      <c r="A830" s="330"/>
      <c r="B830" s="285"/>
      <c r="E830" s="288"/>
      <c r="F830" s="294"/>
      <c r="L830" s="2"/>
    </row>
    <row r="831" spans="1:12">
      <c r="A831" s="330"/>
      <c r="B831" s="285"/>
      <c r="E831" s="288"/>
      <c r="F831" s="294"/>
      <c r="L831" s="2"/>
    </row>
    <row r="832" spans="1:12">
      <c r="A832" s="330"/>
      <c r="B832" s="285"/>
      <c r="D832" s="299"/>
      <c r="E832" s="288"/>
      <c r="F832" s="294"/>
      <c r="L832" s="2"/>
    </row>
    <row r="833" spans="1:12">
      <c r="A833" s="330"/>
      <c r="B833" s="285"/>
      <c r="D833" s="299"/>
      <c r="E833" s="288"/>
      <c r="F833" s="294"/>
      <c r="L833" s="2"/>
    </row>
    <row r="834" spans="1:12">
      <c r="A834" s="330"/>
      <c r="B834" s="285"/>
      <c r="D834" s="299"/>
      <c r="E834" s="288"/>
      <c r="F834" s="294"/>
      <c r="L834" s="2"/>
    </row>
    <row r="835" spans="1:12">
      <c r="A835" s="330"/>
      <c r="B835" s="285"/>
      <c r="D835" s="299"/>
      <c r="E835" s="288"/>
      <c r="F835" s="294"/>
      <c r="L835" s="2"/>
    </row>
    <row r="836" spans="1:12">
      <c r="A836" s="330"/>
      <c r="B836" s="285"/>
      <c r="D836" s="299"/>
      <c r="E836" s="288"/>
      <c r="F836" s="294"/>
      <c r="L836" s="2"/>
    </row>
    <row r="837" spans="1:12">
      <c r="A837" s="330"/>
      <c r="B837" s="285"/>
      <c r="D837" s="299"/>
      <c r="E837" s="288"/>
      <c r="F837" s="294"/>
      <c r="L837" s="2"/>
    </row>
    <row r="838" spans="1:12">
      <c r="A838" s="330"/>
      <c r="B838" s="285"/>
      <c r="D838" s="299"/>
      <c r="E838" s="288"/>
      <c r="F838" s="294"/>
      <c r="L838" s="2"/>
    </row>
    <row r="839" spans="1:12">
      <c r="A839" s="330"/>
      <c r="B839" s="285"/>
      <c r="D839" s="299"/>
      <c r="E839" s="288"/>
      <c r="F839" s="294"/>
      <c r="L839" s="2"/>
    </row>
    <row r="840" spans="1:12">
      <c r="A840" s="330"/>
      <c r="B840" s="285"/>
      <c r="D840" s="299"/>
      <c r="E840" s="288"/>
      <c r="F840" s="294"/>
      <c r="L840" s="2"/>
    </row>
    <row r="841" spans="1:12">
      <c r="A841" s="330"/>
      <c r="B841" s="285"/>
      <c r="D841" s="299"/>
      <c r="E841" s="288"/>
      <c r="F841" s="294"/>
      <c r="L841" s="2"/>
    </row>
    <row r="842" spans="1:12">
      <c r="A842" s="330"/>
      <c r="B842" s="285"/>
      <c r="D842" s="299"/>
      <c r="E842" s="288"/>
      <c r="F842" s="294"/>
      <c r="L842" s="2"/>
    </row>
    <row r="843" spans="1:12">
      <c r="A843" s="330"/>
      <c r="B843" s="285"/>
      <c r="D843" s="299"/>
      <c r="E843" s="288"/>
      <c r="F843" s="294"/>
      <c r="L843" s="2"/>
    </row>
    <row r="844" spans="1:12">
      <c r="A844" s="330"/>
      <c r="B844" s="285"/>
      <c r="D844" s="299"/>
      <c r="E844" s="288"/>
      <c r="F844" s="294"/>
      <c r="L844" s="2"/>
    </row>
    <row r="845" spans="1:12">
      <c r="A845" s="330"/>
      <c r="B845" s="285"/>
      <c r="D845" s="299"/>
      <c r="E845" s="288"/>
      <c r="F845" s="294"/>
      <c r="L845" s="2"/>
    </row>
    <row r="846" spans="1:12">
      <c r="A846" s="330"/>
      <c r="B846" s="255"/>
      <c r="C846" s="139"/>
      <c r="D846" s="299"/>
      <c r="E846" s="288"/>
      <c r="F846" s="294"/>
      <c r="L846" s="2"/>
    </row>
    <row r="847" spans="1:12">
      <c r="A847" s="330"/>
      <c r="B847" s="285"/>
      <c r="E847" s="288"/>
      <c r="F847" s="289"/>
      <c r="L847" s="2"/>
    </row>
    <row r="848" spans="1:12">
      <c r="A848" s="330"/>
      <c r="B848" s="285"/>
      <c r="E848" s="288"/>
      <c r="F848" s="289"/>
      <c r="L848" s="2"/>
    </row>
    <row r="849" spans="1:12">
      <c r="A849" s="330"/>
      <c r="B849" s="285"/>
      <c r="E849" s="288"/>
      <c r="F849" s="289"/>
      <c r="L849" s="2"/>
    </row>
    <row r="850" spans="1:12">
      <c r="A850" s="330"/>
      <c r="B850" s="285"/>
      <c r="E850" s="288"/>
      <c r="F850" s="289"/>
      <c r="L850" s="2"/>
    </row>
    <row r="851" spans="1:12">
      <c r="A851" s="330"/>
      <c r="B851" s="285"/>
      <c r="E851" s="288"/>
      <c r="F851" s="294"/>
    </row>
    <row r="852" spans="1:12">
      <c r="A852" s="330"/>
      <c r="B852" s="285"/>
      <c r="E852" s="288"/>
      <c r="F852" s="289"/>
    </row>
    <row r="853" spans="1:12">
      <c r="A853" s="330"/>
      <c r="B853" s="285"/>
      <c r="E853" s="288"/>
      <c r="F853" s="294"/>
    </row>
    <row r="854" spans="1:12">
      <c r="A854" s="330"/>
      <c r="B854" s="297"/>
      <c r="C854" s="298"/>
      <c r="E854" s="288"/>
      <c r="F854" s="294"/>
    </row>
    <row r="855" spans="1:12">
      <c r="A855" s="330"/>
      <c r="B855" s="297"/>
      <c r="C855" s="298"/>
      <c r="D855" s="299"/>
      <c r="E855" s="288"/>
      <c r="F855" s="294"/>
    </row>
    <row r="856" spans="1:12">
      <c r="A856" s="330"/>
      <c r="B856" s="297"/>
      <c r="C856" s="298"/>
      <c r="D856" s="299"/>
      <c r="E856" s="288"/>
      <c r="F856" s="294"/>
    </row>
    <row r="857" spans="1:12">
      <c r="A857" s="330"/>
      <c r="B857" s="297"/>
      <c r="C857" s="298"/>
      <c r="D857" s="299"/>
      <c r="E857" s="288"/>
      <c r="F857" s="294"/>
    </row>
    <row r="858" spans="1:12">
      <c r="A858" s="330"/>
      <c r="B858" s="285"/>
      <c r="E858" s="288"/>
      <c r="F858" s="294"/>
    </row>
    <row r="859" spans="1:12">
      <c r="A859" s="330"/>
      <c r="B859" s="285"/>
      <c r="E859" s="288"/>
      <c r="F859" s="294"/>
    </row>
    <row r="860" spans="1:12">
      <c r="A860" s="330"/>
      <c r="B860" s="285"/>
      <c r="D860" s="299"/>
      <c r="E860" s="288"/>
      <c r="F860" s="294"/>
    </row>
    <row r="861" spans="1:12">
      <c r="A861" s="330"/>
      <c r="B861" s="285"/>
      <c r="D861" s="299"/>
      <c r="E861" s="288"/>
      <c r="F861" s="294"/>
    </row>
    <row r="862" spans="1:12">
      <c r="A862" s="330"/>
      <c r="B862" s="297"/>
      <c r="C862" s="298"/>
      <c r="E862" s="288"/>
      <c r="F862" s="294"/>
    </row>
    <row r="863" spans="1:12">
      <c r="A863" s="330"/>
      <c r="B863" s="297"/>
      <c r="C863" s="298"/>
      <c r="E863" s="288"/>
      <c r="F863" s="294"/>
    </row>
    <row r="864" spans="1:12">
      <c r="A864" s="330"/>
      <c r="B864" s="297"/>
      <c r="C864" s="298"/>
      <c r="E864" s="288"/>
      <c r="F864" s="294"/>
    </row>
    <row r="865" spans="1:6">
      <c r="A865" s="330"/>
      <c r="B865" s="297"/>
      <c r="C865" s="298"/>
      <c r="E865" s="288"/>
      <c r="F865" s="294"/>
    </row>
    <row r="866" spans="1:6">
      <c r="A866" s="330"/>
      <c r="B866" s="297"/>
      <c r="C866" s="298"/>
      <c r="E866" s="288"/>
      <c r="F866" s="294"/>
    </row>
    <row r="867" spans="1:6">
      <c r="A867" s="330"/>
      <c r="B867" s="297"/>
      <c r="C867" s="298"/>
      <c r="E867" s="288"/>
      <c r="F867" s="294"/>
    </row>
    <row r="868" spans="1:6">
      <c r="A868" s="330"/>
      <c r="B868" s="285"/>
      <c r="D868" s="299"/>
      <c r="E868" s="288"/>
      <c r="F868" s="294"/>
    </row>
    <row r="869" spans="1:6">
      <c r="A869" s="330"/>
      <c r="B869" s="285"/>
      <c r="D869" s="299"/>
      <c r="E869" s="288"/>
      <c r="F869" s="294"/>
    </row>
    <row r="870" spans="1:6">
      <c r="A870" s="330"/>
      <c r="B870" s="285"/>
      <c r="D870" s="299"/>
      <c r="E870" s="288"/>
      <c r="F870" s="294"/>
    </row>
    <row r="871" spans="1:6">
      <c r="A871" s="330"/>
      <c r="B871" s="297"/>
      <c r="C871" s="298"/>
      <c r="D871" s="299"/>
      <c r="E871" s="288"/>
      <c r="F871" s="294"/>
    </row>
    <row r="872" spans="1:6">
      <c r="A872" s="330"/>
      <c r="B872" s="297"/>
      <c r="C872" s="298"/>
      <c r="D872" s="299"/>
      <c r="E872" s="288"/>
      <c r="F872" s="294"/>
    </row>
    <row r="873" spans="1:6">
      <c r="A873" s="330"/>
      <c r="B873" s="297"/>
      <c r="C873" s="298"/>
      <c r="D873" s="299"/>
      <c r="E873" s="288"/>
      <c r="F873" s="294"/>
    </row>
    <row r="874" spans="1:6">
      <c r="A874" s="330"/>
      <c r="B874" s="297"/>
      <c r="C874" s="298"/>
      <c r="D874" s="299"/>
      <c r="E874" s="288"/>
      <c r="F874" s="294"/>
    </row>
    <row r="875" spans="1:6">
      <c r="A875" s="330"/>
      <c r="B875" s="297"/>
      <c r="C875" s="298"/>
      <c r="D875" s="299"/>
      <c r="E875" s="288"/>
      <c r="F875" s="294"/>
    </row>
    <row r="876" spans="1:6">
      <c r="A876" s="330"/>
      <c r="B876" s="297"/>
      <c r="C876" s="298"/>
      <c r="D876" s="299"/>
      <c r="E876" s="288"/>
      <c r="F876" s="294"/>
    </row>
    <row r="877" spans="1:6">
      <c r="A877" s="330"/>
      <c r="B877" s="297"/>
      <c r="C877" s="298"/>
      <c r="D877" s="299"/>
      <c r="E877" s="288"/>
      <c r="F877" s="294"/>
    </row>
    <row r="878" spans="1:6">
      <c r="A878" s="330"/>
      <c r="B878" s="297"/>
      <c r="C878" s="298"/>
      <c r="D878" s="299"/>
      <c r="E878" s="288"/>
      <c r="F878" s="294"/>
    </row>
    <row r="879" spans="1:6">
      <c r="A879" s="330"/>
      <c r="B879" s="297"/>
      <c r="C879" s="298"/>
      <c r="D879" s="299"/>
      <c r="E879" s="288"/>
      <c r="F879" s="294"/>
    </row>
    <row r="880" spans="1:6">
      <c r="A880" s="330"/>
      <c r="B880" s="297"/>
      <c r="C880" s="298"/>
      <c r="D880" s="299"/>
      <c r="E880" s="288"/>
      <c r="F880" s="294"/>
    </row>
    <row r="881" spans="1:6">
      <c r="A881" s="330"/>
      <c r="B881" s="285"/>
      <c r="D881" s="299"/>
      <c r="E881" s="288"/>
      <c r="F881" s="294"/>
    </row>
    <row r="882" spans="1:6">
      <c r="A882" s="330"/>
      <c r="B882" s="285"/>
      <c r="D882" s="299"/>
      <c r="E882" s="288"/>
      <c r="F882" s="294"/>
    </row>
    <row r="883" spans="1:6">
      <c r="A883" s="330"/>
      <c r="B883" s="285"/>
      <c r="D883" s="299"/>
      <c r="E883" s="288"/>
      <c r="F883" s="294"/>
    </row>
    <row r="884" spans="1:6">
      <c r="A884" s="330"/>
      <c r="B884" s="285"/>
      <c r="D884" s="299"/>
      <c r="E884" s="288"/>
      <c r="F884" s="294"/>
    </row>
    <row r="885" spans="1:6">
      <c r="A885" s="330"/>
      <c r="B885" s="285"/>
      <c r="D885" s="299"/>
      <c r="E885" s="288"/>
      <c r="F885" s="294"/>
    </row>
    <row r="886" spans="1:6">
      <c r="A886" s="330"/>
      <c r="B886" s="285"/>
      <c r="D886" s="299"/>
      <c r="E886" s="288"/>
      <c r="F886" s="294"/>
    </row>
    <row r="887" spans="1:6">
      <c r="A887" s="330"/>
      <c r="B887" s="285"/>
      <c r="D887" s="299"/>
      <c r="E887" s="288"/>
      <c r="F887" s="294"/>
    </row>
    <row r="888" spans="1:6">
      <c r="A888" s="330"/>
      <c r="B888" s="285"/>
      <c r="D888" s="299"/>
      <c r="E888" s="288"/>
      <c r="F888" s="294"/>
    </row>
    <row r="889" spans="1:6">
      <c r="A889" s="330"/>
      <c r="B889" s="285"/>
      <c r="D889" s="299"/>
      <c r="E889" s="288"/>
      <c r="F889" s="294"/>
    </row>
    <row r="890" spans="1:6">
      <c r="A890" s="330"/>
      <c r="B890" s="285"/>
      <c r="D890" s="299"/>
      <c r="E890" s="288"/>
      <c r="F890" s="294"/>
    </row>
    <row r="891" spans="1:6">
      <c r="A891" s="330"/>
      <c r="B891" s="255"/>
      <c r="C891" s="139"/>
      <c r="D891" s="299"/>
      <c r="E891" s="288"/>
      <c r="F891" s="294"/>
    </row>
    <row r="892" spans="1:6">
      <c r="A892" s="330"/>
      <c r="B892" s="285"/>
      <c r="D892" s="299"/>
      <c r="E892" s="288"/>
      <c r="F892" s="294"/>
    </row>
    <row r="893" spans="1:6">
      <c r="A893" s="330"/>
      <c r="B893" s="255"/>
      <c r="C893" s="139"/>
      <c r="D893" s="299"/>
      <c r="E893" s="288"/>
      <c r="F893" s="294"/>
    </row>
    <row r="894" spans="1:6">
      <c r="A894" s="330"/>
      <c r="B894" s="285"/>
      <c r="E894" s="288"/>
      <c r="F894" s="294"/>
    </row>
    <row r="895" spans="1:6">
      <c r="A895" s="330"/>
      <c r="B895" s="285"/>
      <c r="E895" s="288"/>
      <c r="F895" s="294"/>
    </row>
    <row r="896" spans="1:6">
      <c r="A896" s="330"/>
      <c r="B896" s="285"/>
      <c r="E896" s="288"/>
      <c r="F896" s="294"/>
    </row>
    <row r="897" spans="1:6">
      <c r="A897" s="330"/>
      <c r="B897" s="297"/>
      <c r="C897" s="298"/>
      <c r="E897" s="288"/>
      <c r="F897" s="294"/>
    </row>
    <row r="898" spans="1:6">
      <c r="A898" s="330"/>
      <c r="B898" s="297"/>
      <c r="C898" s="298"/>
      <c r="E898" s="288"/>
      <c r="F898" s="294"/>
    </row>
    <row r="899" spans="1:6">
      <c r="A899" s="330"/>
      <c r="B899" s="297"/>
      <c r="C899" s="298"/>
      <c r="E899" s="288"/>
      <c r="F899" s="294"/>
    </row>
    <row r="900" spans="1:6">
      <c r="A900" s="330"/>
      <c r="B900" s="297"/>
      <c r="C900" s="298"/>
      <c r="E900" s="288"/>
      <c r="F900" s="294"/>
    </row>
    <row r="901" spans="1:6">
      <c r="A901" s="330"/>
      <c r="B901" s="297"/>
      <c r="C901" s="298"/>
      <c r="E901" s="288"/>
      <c r="F901" s="294"/>
    </row>
    <row r="902" spans="1:6">
      <c r="A902" s="330"/>
      <c r="B902" s="297"/>
      <c r="C902" s="298"/>
      <c r="D902" s="299"/>
      <c r="E902" s="288"/>
      <c r="F902" s="294"/>
    </row>
    <row r="903" spans="1:6">
      <c r="A903" s="330"/>
      <c r="B903" s="285"/>
      <c r="D903" s="299"/>
      <c r="E903" s="288"/>
      <c r="F903" s="294"/>
    </row>
    <row r="904" spans="1:6">
      <c r="A904" s="330"/>
      <c r="B904" s="285"/>
      <c r="D904" s="299"/>
      <c r="E904" s="288"/>
      <c r="F904" s="294"/>
    </row>
    <row r="905" spans="1:6">
      <c r="A905" s="330"/>
      <c r="B905" s="285"/>
      <c r="E905" s="288"/>
      <c r="F905" s="294"/>
    </row>
    <row r="906" spans="1:6">
      <c r="A906" s="330"/>
      <c r="B906" s="285"/>
      <c r="E906" s="288"/>
      <c r="F906" s="294"/>
    </row>
    <row r="907" spans="1:6">
      <c r="A907" s="330"/>
      <c r="B907" s="285"/>
      <c r="E907" s="288"/>
      <c r="F907" s="294"/>
    </row>
    <row r="908" spans="1:6">
      <c r="A908" s="330"/>
      <c r="B908" s="285"/>
      <c r="E908" s="288"/>
      <c r="F908" s="294"/>
    </row>
    <row r="909" spans="1:6">
      <c r="A909" s="330"/>
      <c r="B909" s="285"/>
      <c r="E909" s="288"/>
      <c r="F909" s="294"/>
    </row>
    <row r="910" spans="1:6">
      <c r="A910" s="330"/>
      <c r="B910" s="285"/>
      <c r="E910" s="288"/>
      <c r="F910" s="294"/>
    </row>
    <row r="911" spans="1:6">
      <c r="A911" s="330"/>
      <c r="B911" s="285"/>
      <c r="E911" s="288"/>
      <c r="F911" s="294"/>
    </row>
    <row r="912" spans="1:6">
      <c r="A912" s="330"/>
      <c r="B912" s="285"/>
      <c r="E912" s="288"/>
      <c r="F912" s="294"/>
    </row>
    <row r="913" spans="1:6">
      <c r="A913" s="330"/>
      <c r="B913" s="285"/>
      <c r="E913" s="288"/>
      <c r="F913" s="294"/>
    </row>
    <row r="914" spans="1:6">
      <c r="A914" s="330"/>
      <c r="B914" s="285"/>
      <c r="E914" s="288"/>
      <c r="F914" s="294"/>
    </row>
    <row r="915" spans="1:6">
      <c r="A915" s="330"/>
      <c r="B915" s="297"/>
      <c r="C915" s="298"/>
      <c r="D915" s="299"/>
      <c r="E915" s="288"/>
      <c r="F915" s="294"/>
    </row>
    <row r="916" spans="1:6">
      <c r="A916" s="330"/>
      <c r="B916" s="297"/>
      <c r="C916" s="298"/>
      <c r="D916" s="299"/>
      <c r="E916" s="288"/>
      <c r="F916" s="294"/>
    </row>
    <row r="917" spans="1:6">
      <c r="A917" s="330"/>
      <c r="B917" s="297"/>
      <c r="C917" s="298"/>
      <c r="D917" s="299"/>
      <c r="E917" s="288"/>
      <c r="F917" s="294"/>
    </row>
    <row r="918" spans="1:6">
      <c r="A918" s="330"/>
      <c r="B918" s="297"/>
      <c r="C918" s="298"/>
      <c r="D918" s="299"/>
      <c r="E918" s="288"/>
      <c r="F918" s="294"/>
    </row>
    <row r="919" spans="1:6">
      <c r="A919" s="330"/>
      <c r="B919" s="297"/>
      <c r="C919" s="298"/>
      <c r="D919" s="299"/>
      <c r="E919" s="288"/>
      <c r="F919" s="294"/>
    </row>
    <row r="920" spans="1:6">
      <c r="A920" s="330"/>
      <c r="B920" s="285"/>
      <c r="D920" s="299"/>
      <c r="E920" s="288"/>
      <c r="F920" s="294"/>
    </row>
    <row r="921" spans="1:6">
      <c r="A921" s="330"/>
      <c r="B921" s="285"/>
      <c r="D921" s="299"/>
      <c r="E921" s="288"/>
      <c r="F921" s="294"/>
    </row>
    <row r="922" spans="1:6">
      <c r="A922" s="330"/>
      <c r="B922" s="285"/>
      <c r="D922" s="299"/>
      <c r="E922" s="288"/>
      <c r="F922" s="294"/>
    </row>
    <row r="923" spans="1:6">
      <c r="A923" s="330"/>
      <c r="B923" s="285"/>
      <c r="D923" s="299"/>
      <c r="E923" s="288"/>
      <c r="F923" s="294"/>
    </row>
    <row r="924" spans="1:6">
      <c r="A924" s="330"/>
      <c r="B924" s="285"/>
      <c r="D924" s="299"/>
      <c r="E924" s="288"/>
      <c r="F924" s="294"/>
    </row>
    <row r="925" spans="1:6">
      <c r="A925" s="330"/>
      <c r="B925" s="297"/>
      <c r="C925" s="298"/>
      <c r="D925" s="299"/>
      <c r="E925" s="288"/>
      <c r="F925" s="294"/>
    </row>
    <row r="926" spans="1:6">
      <c r="A926" s="330"/>
      <c r="B926" s="297"/>
      <c r="C926" s="298"/>
      <c r="D926" s="299"/>
      <c r="E926" s="288"/>
      <c r="F926" s="294"/>
    </row>
    <row r="927" spans="1:6">
      <c r="A927" s="330"/>
      <c r="B927" s="285"/>
      <c r="D927" s="299"/>
      <c r="E927" s="288"/>
      <c r="F927" s="294"/>
    </row>
    <row r="928" spans="1:6">
      <c r="A928" s="330"/>
      <c r="B928" s="285"/>
      <c r="D928" s="299"/>
      <c r="E928" s="288"/>
      <c r="F928" s="294"/>
    </row>
    <row r="929" spans="1:6">
      <c r="A929" s="330"/>
      <c r="B929" s="297"/>
      <c r="C929" s="298"/>
      <c r="E929" s="288"/>
      <c r="F929" s="294"/>
    </row>
    <row r="930" spans="1:6">
      <c r="A930" s="330"/>
      <c r="B930" s="297"/>
      <c r="C930" s="298"/>
      <c r="E930" s="288"/>
      <c r="F930" s="294"/>
    </row>
    <row r="931" spans="1:6">
      <c r="A931" s="330"/>
      <c r="B931" s="285"/>
      <c r="E931" s="288"/>
      <c r="F931" s="294"/>
    </row>
    <row r="932" spans="1:6">
      <c r="A932" s="330"/>
      <c r="B932" s="297"/>
      <c r="C932" s="298"/>
      <c r="E932" s="288"/>
      <c r="F932" s="294"/>
    </row>
    <row r="933" spans="1:6">
      <c r="A933" s="330"/>
      <c r="B933" s="297"/>
      <c r="C933" s="298"/>
      <c r="E933" s="288"/>
      <c r="F933" s="294"/>
    </row>
    <row r="934" spans="1:6">
      <c r="A934" s="330"/>
      <c r="B934" s="297"/>
      <c r="C934" s="298"/>
      <c r="E934" s="288"/>
      <c r="F934" s="294"/>
    </row>
    <row r="935" spans="1:6">
      <c r="A935" s="330"/>
      <c r="B935" s="297"/>
      <c r="C935" s="298"/>
      <c r="E935" s="288"/>
      <c r="F935" s="294"/>
    </row>
    <row r="936" spans="1:6">
      <c r="A936" s="330"/>
      <c r="B936" s="297"/>
      <c r="C936" s="298"/>
      <c r="E936" s="288"/>
      <c r="F936" s="294"/>
    </row>
    <row r="937" spans="1:6">
      <c r="A937" s="330"/>
      <c r="B937" s="297"/>
      <c r="C937" s="298"/>
      <c r="E937" s="288"/>
      <c r="F937" s="294"/>
    </row>
    <row r="938" spans="1:6">
      <c r="A938" s="330"/>
      <c r="B938" s="297"/>
      <c r="C938" s="298"/>
      <c r="E938" s="288"/>
      <c r="F938" s="294"/>
    </row>
    <row r="939" spans="1:6">
      <c r="A939" s="330"/>
      <c r="B939" s="297"/>
      <c r="C939" s="298"/>
      <c r="E939" s="288"/>
      <c r="F939" s="294"/>
    </row>
    <row r="940" spans="1:6">
      <c r="A940" s="330"/>
      <c r="B940" s="297"/>
      <c r="C940" s="298"/>
      <c r="E940" s="288"/>
      <c r="F940" s="294"/>
    </row>
    <row r="941" spans="1:6">
      <c r="A941" s="330"/>
      <c r="B941" s="297"/>
      <c r="C941" s="298"/>
      <c r="E941" s="288"/>
      <c r="F941" s="294"/>
    </row>
    <row r="942" spans="1:6">
      <c r="A942" s="330"/>
      <c r="B942" s="297"/>
      <c r="C942" s="298"/>
      <c r="E942" s="288"/>
      <c r="F942" s="294"/>
    </row>
    <row r="943" spans="1:6">
      <c r="A943" s="330"/>
      <c r="B943" s="285"/>
      <c r="D943" s="299"/>
      <c r="E943" s="288"/>
      <c r="F943" s="294"/>
    </row>
    <row r="944" spans="1:6">
      <c r="A944" s="330"/>
      <c r="B944" s="285"/>
      <c r="D944" s="299"/>
      <c r="E944" s="288"/>
      <c r="F944" s="294"/>
    </row>
    <row r="945" spans="1:6">
      <c r="A945" s="330"/>
      <c r="B945" s="285"/>
      <c r="D945" s="299"/>
      <c r="E945" s="288"/>
      <c r="F945" s="294"/>
    </row>
    <row r="946" spans="1:6">
      <c r="A946" s="330"/>
      <c r="B946" s="285"/>
      <c r="D946" s="299"/>
      <c r="E946" s="288"/>
      <c r="F946" s="294"/>
    </row>
    <row r="947" spans="1:6">
      <c r="A947" s="330"/>
      <c r="B947" s="285"/>
      <c r="D947" s="299"/>
      <c r="E947" s="288"/>
      <c r="F947" s="294"/>
    </row>
    <row r="948" spans="1:6">
      <c r="A948" s="330"/>
      <c r="B948" s="297"/>
      <c r="C948" s="298"/>
      <c r="D948" s="299"/>
      <c r="E948" s="288"/>
      <c r="F948" s="294"/>
    </row>
    <row r="949" spans="1:6">
      <c r="A949" s="330"/>
      <c r="B949" s="297"/>
      <c r="C949" s="298"/>
      <c r="D949" s="299"/>
      <c r="E949" s="288"/>
      <c r="F949" s="294"/>
    </row>
    <row r="950" spans="1:6">
      <c r="A950" s="330"/>
      <c r="B950" s="297"/>
      <c r="C950" s="298"/>
      <c r="D950" s="299"/>
      <c r="E950" s="288"/>
      <c r="F950" s="294"/>
    </row>
    <row r="951" spans="1:6">
      <c r="A951" s="330"/>
      <c r="B951" s="297"/>
      <c r="C951" s="298"/>
      <c r="D951" s="299"/>
      <c r="E951" s="288"/>
      <c r="F951" s="294"/>
    </row>
    <row r="952" spans="1:6">
      <c r="A952" s="330"/>
      <c r="B952" s="297"/>
      <c r="C952" s="298"/>
      <c r="D952" s="299"/>
      <c r="E952" s="288"/>
      <c r="F952" s="294"/>
    </row>
    <row r="953" spans="1:6">
      <c r="A953" s="330"/>
      <c r="B953" s="297"/>
      <c r="C953" s="298"/>
      <c r="D953" s="299"/>
      <c r="E953" s="288"/>
      <c r="F953" s="294"/>
    </row>
    <row r="954" spans="1:6">
      <c r="A954" s="330"/>
      <c r="B954" s="297"/>
      <c r="C954" s="298"/>
      <c r="D954" s="299"/>
      <c r="E954" s="288"/>
      <c r="F954" s="294"/>
    </row>
    <row r="955" spans="1:6">
      <c r="A955" s="330"/>
      <c r="B955" s="297"/>
      <c r="C955" s="298"/>
      <c r="D955" s="299"/>
      <c r="E955" s="288"/>
      <c r="F955" s="294"/>
    </row>
    <row r="956" spans="1:6">
      <c r="A956" s="330"/>
      <c r="B956" s="297"/>
      <c r="C956" s="298"/>
      <c r="D956" s="299"/>
      <c r="E956" s="288"/>
      <c r="F956" s="294"/>
    </row>
    <row r="957" spans="1:6">
      <c r="A957" s="330"/>
      <c r="B957" s="297"/>
      <c r="C957" s="298"/>
      <c r="D957" s="299"/>
      <c r="E957" s="288"/>
      <c r="F957" s="294"/>
    </row>
    <row r="958" spans="1:6">
      <c r="A958" s="330"/>
      <c r="B958" s="297"/>
      <c r="C958" s="298"/>
      <c r="D958" s="299"/>
      <c r="E958" s="288"/>
      <c r="F958" s="294"/>
    </row>
    <row r="959" spans="1:6">
      <c r="A959" s="330"/>
      <c r="B959" s="297"/>
      <c r="C959" s="298"/>
      <c r="D959" s="299"/>
      <c r="E959" s="288"/>
      <c r="F959" s="294"/>
    </row>
    <row r="960" spans="1:6">
      <c r="A960" s="330"/>
      <c r="B960" s="297"/>
      <c r="C960" s="298"/>
      <c r="D960" s="299"/>
      <c r="E960" s="288"/>
      <c r="F960" s="294"/>
    </row>
    <row r="961" spans="1:6">
      <c r="A961" s="330"/>
      <c r="B961" s="297"/>
      <c r="C961" s="298"/>
      <c r="E961" s="288"/>
      <c r="F961" s="294"/>
    </row>
    <row r="962" spans="1:6">
      <c r="A962" s="330"/>
      <c r="B962" s="297"/>
      <c r="C962" s="298"/>
      <c r="E962" s="288"/>
      <c r="F962" s="294"/>
    </row>
    <row r="963" spans="1:6">
      <c r="A963" s="330"/>
      <c r="B963" s="297"/>
      <c r="C963" s="298"/>
      <c r="E963" s="288"/>
      <c r="F963" s="294"/>
    </row>
    <row r="964" spans="1:6">
      <c r="A964" s="330"/>
      <c r="B964" s="297"/>
      <c r="C964" s="298"/>
      <c r="E964" s="288"/>
      <c r="F964" s="294"/>
    </row>
    <row r="965" spans="1:6">
      <c r="A965" s="330"/>
      <c r="B965" s="297"/>
      <c r="C965" s="298"/>
      <c r="E965" s="288"/>
      <c r="F965" s="294"/>
    </row>
    <row r="966" spans="1:6">
      <c r="A966" s="330"/>
      <c r="B966" s="297"/>
      <c r="C966" s="298"/>
      <c r="E966" s="288"/>
      <c r="F966" s="294"/>
    </row>
    <row r="967" spans="1:6">
      <c r="A967" s="330"/>
      <c r="B967" s="297"/>
      <c r="C967" s="298"/>
      <c r="E967" s="288"/>
      <c r="F967" s="294"/>
    </row>
    <row r="968" spans="1:6">
      <c r="A968" s="330"/>
      <c r="B968" s="297"/>
      <c r="C968" s="298"/>
      <c r="E968" s="288"/>
      <c r="F968" s="294"/>
    </row>
    <row r="969" spans="1:6">
      <c r="A969" s="330"/>
      <c r="B969" s="297"/>
      <c r="C969" s="298"/>
      <c r="E969" s="288"/>
      <c r="F969" s="294"/>
    </row>
    <row r="970" spans="1:6">
      <c r="A970" s="330"/>
      <c r="B970" s="297"/>
      <c r="C970" s="298"/>
      <c r="E970" s="288"/>
      <c r="F970" s="294"/>
    </row>
    <row r="971" spans="1:6">
      <c r="A971" s="330"/>
      <c r="B971" s="297"/>
      <c r="C971" s="298"/>
      <c r="E971" s="288"/>
      <c r="F971" s="294"/>
    </row>
    <row r="972" spans="1:6">
      <c r="A972" s="330"/>
      <c r="B972" s="297"/>
      <c r="C972" s="298"/>
      <c r="E972" s="288"/>
      <c r="F972" s="294"/>
    </row>
    <row r="973" spans="1:6">
      <c r="A973" s="330"/>
      <c r="B973" s="297"/>
      <c r="C973" s="298"/>
      <c r="E973" s="288"/>
      <c r="F973" s="294"/>
    </row>
    <row r="974" spans="1:6">
      <c r="A974" s="330"/>
      <c r="B974" s="297"/>
      <c r="C974" s="298"/>
      <c r="E974" s="288"/>
      <c r="F974" s="294"/>
    </row>
    <row r="975" spans="1:6">
      <c r="A975" s="330"/>
      <c r="B975" s="297"/>
      <c r="C975" s="298"/>
      <c r="E975" s="288"/>
      <c r="F975" s="294"/>
    </row>
    <row r="976" spans="1:6">
      <c r="A976" s="330"/>
      <c r="B976" s="297"/>
      <c r="C976" s="298"/>
      <c r="E976" s="288"/>
      <c r="F976" s="294"/>
    </row>
    <row r="977" spans="1:6">
      <c r="A977" s="330"/>
      <c r="B977" s="297"/>
      <c r="C977" s="298"/>
      <c r="E977" s="288"/>
      <c r="F977" s="294"/>
    </row>
    <row r="978" spans="1:6">
      <c r="A978" s="330"/>
      <c r="B978" s="297"/>
      <c r="C978" s="298"/>
      <c r="E978" s="288"/>
      <c r="F978" s="294"/>
    </row>
    <row r="979" spans="1:6">
      <c r="A979" s="330"/>
      <c r="B979" s="297"/>
      <c r="C979" s="298"/>
      <c r="E979" s="288"/>
      <c r="F979" s="294"/>
    </row>
    <row r="980" spans="1:6">
      <c r="A980" s="330"/>
      <c r="B980" s="297"/>
      <c r="C980" s="298"/>
      <c r="E980" s="288"/>
      <c r="F980" s="294"/>
    </row>
    <row r="981" spans="1:6">
      <c r="A981" s="330"/>
      <c r="B981" s="297"/>
      <c r="C981" s="298"/>
      <c r="E981" s="288"/>
      <c r="F981" s="294"/>
    </row>
    <row r="982" spans="1:6">
      <c r="A982" s="330"/>
      <c r="B982" s="297"/>
      <c r="C982" s="298"/>
      <c r="E982" s="288"/>
      <c r="F982" s="294"/>
    </row>
    <row r="983" spans="1:6">
      <c r="A983" s="330"/>
      <c r="B983" s="297"/>
      <c r="C983" s="298"/>
      <c r="E983" s="288"/>
      <c r="F983" s="294"/>
    </row>
    <row r="984" spans="1:6">
      <c r="A984" s="330"/>
      <c r="B984" s="297"/>
      <c r="C984" s="298"/>
      <c r="E984" s="288"/>
      <c r="F984" s="294"/>
    </row>
    <row r="985" spans="1:6">
      <c r="A985" s="330"/>
      <c r="B985" s="297"/>
      <c r="C985" s="298"/>
      <c r="E985" s="288"/>
      <c r="F985" s="294"/>
    </row>
    <row r="986" spans="1:6">
      <c r="A986" s="330"/>
      <c r="B986" s="297"/>
      <c r="C986" s="298"/>
      <c r="E986" s="288"/>
      <c r="F986" s="294"/>
    </row>
    <row r="987" spans="1:6">
      <c r="A987" s="330"/>
      <c r="B987" s="297"/>
      <c r="C987" s="298"/>
      <c r="E987" s="288"/>
      <c r="F987" s="294"/>
    </row>
    <row r="988" spans="1:6">
      <c r="A988" s="330"/>
      <c r="B988" s="297"/>
      <c r="C988" s="298"/>
      <c r="E988" s="288"/>
      <c r="F988" s="294"/>
    </row>
    <row r="989" spans="1:6">
      <c r="A989" s="330"/>
      <c r="B989" s="297"/>
      <c r="C989" s="298"/>
      <c r="E989" s="288"/>
      <c r="F989" s="294"/>
    </row>
    <row r="990" spans="1:6">
      <c r="A990" s="330"/>
      <c r="B990" s="297"/>
      <c r="C990" s="298"/>
      <c r="E990" s="288"/>
      <c r="F990" s="294"/>
    </row>
    <row r="991" spans="1:6">
      <c r="A991" s="330"/>
      <c r="B991" s="285"/>
      <c r="E991" s="288"/>
      <c r="F991" s="294"/>
    </row>
    <row r="992" spans="1:6">
      <c r="A992" s="330"/>
      <c r="B992" s="285"/>
      <c r="E992" s="288"/>
      <c r="F992" s="294"/>
    </row>
    <row r="993" spans="1:6">
      <c r="A993" s="330"/>
      <c r="B993" s="285"/>
      <c r="E993" s="288"/>
      <c r="F993" s="294"/>
    </row>
    <row r="994" spans="1:6">
      <c r="A994" s="330"/>
      <c r="B994" s="285"/>
      <c r="E994" s="288"/>
      <c r="F994" s="294"/>
    </row>
    <row r="995" spans="1:6">
      <c r="A995" s="330"/>
      <c r="B995" s="285"/>
      <c r="E995" s="288"/>
      <c r="F995" s="289"/>
    </row>
    <row r="996" spans="1:6">
      <c r="A996" s="330"/>
      <c r="B996" s="285"/>
      <c r="E996" s="288"/>
      <c r="F996" s="294"/>
    </row>
    <row r="997" spans="1:6">
      <c r="A997" s="330"/>
      <c r="B997" s="285"/>
      <c r="E997" s="288"/>
      <c r="F997" s="294"/>
    </row>
    <row r="998" spans="1:6">
      <c r="A998" s="330"/>
      <c r="B998" s="285"/>
      <c r="E998" s="288"/>
      <c r="F998" s="294"/>
    </row>
    <row r="999" spans="1:6">
      <c r="A999" s="330"/>
      <c r="B999" s="285"/>
      <c r="D999" s="299"/>
      <c r="E999" s="288"/>
      <c r="F999" s="294"/>
    </row>
    <row r="1000" spans="1:6">
      <c r="A1000" s="330"/>
      <c r="B1000" s="285"/>
      <c r="D1000" s="299"/>
      <c r="E1000" s="288"/>
      <c r="F1000" s="294"/>
    </row>
    <row r="1001" spans="1:6">
      <c r="A1001" s="330"/>
      <c r="B1001" s="285"/>
      <c r="E1001" s="288"/>
      <c r="F1001" s="289"/>
    </row>
    <row r="1002" spans="1:6">
      <c r="A1002" s="330"/>
      <c r="B1002" s="285"/>
      <c r="E1002" s="288"/>
      <c r="F1002" s="289"/>
    </row>
    <row r="1003" spans="1:6">
      <c r="A1003" s="330"/>
      <c r="B1003" s="285"/>
      <c r="E1003" s="288"/>
      <c r="F1003" s="289"/>
    </row>
    <row r="1004" spans="1:6">
      <c r="A1004" s="330"/>
      <c r="B1004" s="285"/>
      <c r="E1004" s="288"/>
      <c r="F1004" s="289"/>
    </row>
    <row r="1005" spans="1:6">
      <c r="A1005" s="330"/>
      <c r="B1005" s="285"/>
      <c r="E1005" s="288"/>
      <c r="F1005" s="289"/>
    </row>
    <row r="1006" spans="1:6">
      <c r="A1006" s="330"/>
      <c r="B1006" s="285"/>
      <c r="E1006" s="288"/>
      <c r="F1006" s="289"/>
    </row>
    <row r="1007" spans="1:6">
      <c r="A1007" s="330"/>
      <c r="B1007" s="285"/>
      <c r="E1007" s="288"/>
      <c r="F1007" s="294"/>
    </row>
    <row r="1008" spans="1:6">
      <c r="A1008" s="330"/>
      <c r="B1008" s="285"/>
      <c r="E1008" s="288"/>
      <c r="F1008" s="294"/>
    </row>
    <row r="1009" spans="1:6">
      <c r="A1009" s="330"/>
      <c r="B1009" s="285"/>
      <c r="E1009" s="288"/>
      <c r="F1009" s="294"/>
    </row>
    <row r="1010" spans="1:6">
      <c r="A1010" s="330"/>
      <c r="B1010" s="285"/>
      <c r="E1010" s="288"/>
      <c r="F1010" s="294"/>
    </row>
    <row r="1011" spans="1:6">
      <c r="A1011" s="330"/>
      <c r="B1011" s="285"/>
      <c r="E1011" s="288"/>
      <c r="F1011" s="294"/>
    </row>
    <row r="1012" spans="1:6">
      <c r="A1012" s="330"/>
      <c r="B1012" s="285"/>
      <c r="E1012" s="288"/>
      <c r="F1012" s="294"/>
    </row>
    <row r="1013" spans="1:6">
      <c r="A1013" s="330"/>
      <c r="B1013" s="285"/>
      <c r="E1013" s="288"/>
      <c r="F1013" s="294"/>
    </row>
    <row r="1014" spans="1:6">
      <c r="A1014" s="330"/>
      <c r="B1014" s="285"/>
      <c r="E1014" s="288"/>
      <c r="F1014" s="294"/>
    </row>
    <row r="1015" spans="1:6">
      <c r="A1015" s="330"/>
      <c r="B1015" s="285"/>
      <c r="E1015" s="288"/>
      <c r="F1015" s="294"/>
    </row>
    <row r="1016" spans="1:6">
      <c r="A1016" s="330"/>
      <c r="B1016" s="285"/>
      <c r="E1016" s="288"/>
      <c r="F1016" s="294"/>
    </row>
    <row r="1017" spans="1:6">
      <c r="A1017" s="330"/>
      <c r="B1017" s="285"/>
      <c r="E1017" s="288"/>
      <c r="F1017" s="294"/>
    </row>
    <row r="1018" spans="1:6">
      <c r="A1018" s="330"/>
      <c r="B1018" s="285"/>
      <c r="E1018" s="288"/>
      <c r="F1018" s="294"/>
    </row>
    <row r="1019" spans="1:6">
      <c r="A1019" s="330"/>
      <c r="B1019" s="285"/>
      <c r="E1019" s="288"/>
      <c r="F1019" s="294"/>
    </row>
    <row r="1020" spans="1:6">
      <c r="A1020" s="330"/>
      <c r="B1020" s="285"/>
      <c r="E1020" s="288"/>
      <c r="F1020" s="294"/>
    </row>
    <row r="1021" spans="1:6">
      <c r="A1021" s="330"/>
      <c r="B1021" s="285"/>
      <c r="E1021" s="288"/>
      <c r="F1021" s="294"/>
    </row>
    <row r="1022" spans="1:6">
      <c r="A1022" s="330"/>
      <c r="B1022" s="285"/>
      <c r="E1022" s="288"/>
      <c r="F1022" s="294"/>
    </row>
    <row r="1023" spans="1:6">
      <c r="A1023" s="330"/>
      <c r="B1023" s="285"/>
      <c r="E1023" s="288"/>
      <c r="F1023" s="294"/>
    </row>
    <row r="1024" spans="1:6">
      <c r="A1024" s="330"/>
      <c r="B1024" s="285"/>
      <c r="E1024" s="288"/>
      <c r="F1024" s="294"/>
    </row>
    <row r="1025" spans="1:6">
      <c r="A1025" s="330"/>
      <c r="B1025" s="285"/>
      <c r="E1025" s="288"/>
      <c r="F1025" s="294"/>
    </row>
    <row r="1026" spans="1:6">
      <c r="A1026" s="330"/>
      <c r="B1026" s="285"/>
      <c r="E1026" s="288"/>
      <c r="F1026" s="294"/>
    </row>
    <row r="1027" spans="1:6">
      <c r="A1027" s="330"/>
      <c r="B1027" s="285"/>
      <c r="E1027" s="288"/>
      <c r="F1027" s="294"/>
    </row>
    <row r="1028" spans="1:6">
      <c r="A1028" s="330"/>
      <c r="B1028" s="297"/>
      <c r="C1028" s="298"/>
      <c r="D1028" s="299"/>
      <c r="E1028" s="288"/>
      <c r="F1028" s="294"/>
    </row>
    <row r="1029" spans="1:6">
      <c r="A1029" s="330"/>
      <c r="B1029" s="285"/>
      <c r="D1029" s="299"/>
      <c r="E1029" s="288"/>
      <c r="F1029" s="294"/>
    </row>
    <row r="1030" spans="1:6">
      <c r="A1030" s="330"/>
      <c r="B1030" s="297"/>
      <c r="C1030" s="298"/>
      <c r="E1030" s="288"/>
      <c r="F1030" s="294"/>
    </row>
    <row r="1031" spans="1:6">
      <c r="A1031" s="330"/>
      <c r="B1031" s="297"/>
      <c r="C1031" s="298"/>
      <c r="E1031" s="288"/>
      <c r="F1031" s="294"/>
    </row>
    <row r="1032" spans="1:6">
      <c r="A1032" s="330"/>
      <c r="B1032" s="297"/>
      <c r="C1032" s="298"/>
      <c r="E1032" s="288"/>
      <c r="F1032" s="294"/>
    </row>
    <row r="1033" spans="1:6">
      <c r="A1033" s="330"/>
      <c r="B1033" s="297"/>
      <c r="C1033" s="298"/>
      <c r="E1033" s="288"/>
      <c r="F1033" s="294"/>
    </row>
    <row r="1034" spans="1:6">
      <c r="A1034" s="330"/>
      <c r="B1034" s="297"/>
      <c r="C1034" s="298"/>
      <c r="E1034" s="288"/>
      <c r="F1034" s="294"/>
    </row>
    <row r="1035" spans="1:6">
      <c r="A1035" s="330"/>
      <c r="B1035" s="285"/>
      <c r="E1035" s="288"/>
      <c r="F1035" s="294"/>
    </row>
    <row r="1036" spans="1:6">
      <c r="A1036" s="330"/>
      <c r="B1036" s="285"/>
      <c r="E1036" s="288"/>
      <c r="F1036" s="294"/>
    </row>
    <row r="1037" spans="1:6">
      <c r="A1037" s="330"/>
      <c r="B1037" s="285"/>
      <c r="E1037" s="288"/>
      <c r="F1037" s="294"/>
    </row>
    <row r="1038" spans="1:6">
      <c r="A1038" s="330"/>
      <c r="B1038" s="285"/>
      <c r="E1038" s="288"/>
      <c r="F1038" s="294"/>
    </row>
    <row r="1039" spans="1:6">
      <c r="A1039" s="330"/>
      <c r="B1039" s="285"/>
      <c r="E1039" s="288"/>
      <c r="F1039" s="294"/>
    </row>
    <row r="1040" spans="1:6">
      <c r="A1040" s="330"/>
      <c r="B1040" s="285"/>
      <c r="E1040" s="288"/>
      <c r="F1040" s="294"/>
    </row>
    <row r="1041" spans="1:6">
      <c r="A1041" s="330"/>
      <c r="B1041" s="297"/>
      <c r="C1041" s="298"/>
      <c r="E1041" s="288"/>
      <c r="F1041" s="294"/>
    </row>
    <row r="1042" spans="1:6">
      <c r="A1042" s="330"/>
      <c r="B1042" s="297"/>
      <c r="C1042" s="298"/>
      <c r="E1042" s="288"/>
      <c r="F1042" s="294"/>
    </row>
    <row r="1043" spans="1:6">
      <c r="A1043" s="330"/>
      <c r="B1043" s="297"/>
      <c r="C1043" s="298"/>
      <c r="D1043" s="299"/>
      <c r="E1043" s="288"/>
      <c r="F1043" s="294"/>
    </row>
    <row r="1044" spans="1:6">
      <c r="A1044" s="330"/>
      <c r="B1044" s="285"/>
      <c r="D1044" s="299"/>
      <c r="E1044" s="288"/>
      <c r="F1044" s="294"/>
    </row>
    <row r="1045" spans="1:6">
      <c r="A1045" s="330"/>
      <c r="B1045" s="285"/>
      <c r="D1045" s="299"/>
      <c r="E1045" s="288"/>
      <c r="F1045" s="294"/>
    </row>
    <row r="1046" spans="1:6">
      <c r="A1046" s="330"/>
      <c r="B1046" s="285"/>
      <c r="D1046" s="299"/>
      <c r="E1046" s="288"/>
      <c r="F1046" s="294"/>
    </row>
    <row r="1047" spans="1:6">
      <c r="A1047" s="330"/>
      <c r="B1047" s="285"/>
      <c r="E1047" s="288"/>
      <c r="F1047" s="294"/>
    </row>
    <row r="1048" spans="1:6">
      <c r="A1048" s="330"/>
      <c r="B1048" s="285"/>
      <c r="E1048" s="288"/>
      <c r="F1048" s="294"/>
    </row>
    <row r="1049" spans="1:6">
      <c r="A1049" s="330"/>
      <c r="B1049" s="285"/>
      <c r="E1049" s="288"/>
      <c r="F1049" s="294"/>
    </row>
    <row r="1050" spans="1:6">
      <c r="A1050" s="330"/>
      <c r="B1050" s="285"/>
      <c r="E1050" s="288"/>
      <c r="F1050" s="294"/>
    </row>
    <row r="1051" spans="1:6">
      <c r="A1051" s="330"/>
      <c r="B1051" s="285"/>
      <c r="E1051" s="288"/>
      <c r="F1051" s="294"/>
    </row>
    <row r="1052" spans="1:6">
      <c r="A1052" s="330"/>
      <c r="B1052" s="285"/>
      <c r="E1052" s="288"/>
      <c r="F1052" s="294"/>
    </row>
    <row r="1053" spans="1:6">
      <c r="A1053" s="330"/>
      <c r="B1053" s="285"/>
      <c r="E1053" s="288"/>
      <c r="F1053" s="294"/>
    </row>
    <row r="1054" spans="1:6">
      <c r="A1054" s="330"/>
      <c r="B1054" s="297"/>
      <c r="C1054" s="298"/>
      <c r="E1054" s="288"/>
      <c r="F1054" s="294"/>
    </row>
    <row r="1055" spans="1:6">
      <c r="A1055" s="330"/>
      <c r="B1055" s="285"/>
      <c r="D1055" s="299"/>
      <c r="E1055" s="288"/>
      <c r="F1055" s="294"/>
    </row>
    <row r="1056" spans="1:6">
      <c r="A1056" s="330"/>
      <c r="B1056" s="285"/>
      <c r="E1056" s="288"/>
      <c r="F1056" s="289"/>
    </row>
    <row r="1057" spans="1:6">
      <c r="A1057" s="330"/>
      <c r="B1057" s="285"/>
      <c r="E1057" s="288"/>
      <c r="F1057" s="294"/>
    </row>
    <row r="1058" spans="1:6">
      <c r="A1058" s="330"/>
      <c r="B1058" s="285"/>
      <c r="E1058" s="288"/>
      <c r="F1058" s="294"/>
    </row>
    <row r="1059" spans="1:6">
      <c r="A1059" s="330"/>
      <c r="B1059" s="285"/>
      <c r="E1059" s="288"/>
      <c r="F1059" s="294"/>
    </row>
    <row r="1060" spans="1:6">
      <c r="A1060" s="330"/>
      <c r="B1060" s="285"/>
      <c r="E1060" s="288"/>
      <c r="F1060" s="294"/>
    </row>
    <row r="1061" spans="1:6">
      <c r="A1061" s="330"/>
      <c r="B1061" s="285"/>
      <c r="E1061" s="288"/>
      <c r="F1061" s="294"/>
    </row>
    <row r="1062" spans="1:6">
      <c r="A1062" s="330"/>
      <c r="B1062" s="285"/>
      <c r="E1062" s="288"/>
      <c r="F1062" s="294"/>
    </row>
    <row r="1063" spans="1:6">
      <c r="A1063" s="330"/>
      <c r="B1063" s="285"/>
      <c r="E1063" s="288"/>
      <c r="F1063" s="294"/>
    </row>
    <row r="1064" spans="1:6">
      <c r="A1064" s="330"/>
      <c r="B1064" s="285"/>
      <c r="E1064" s="288"/>
      <c r="F1064" s="294"/>
    </row>
    <row r="1065" spans="1:6">
      <c r="A1065" s="330"/>
      <c r="B1065" s="285"/>
      <c r="D1065" s="299"/>
      <c r="E1065" s="288"/>
      <c r="F1065" s="294"/>
    </row>
    <row r="1066" spans="1:6">
      <c r="A1066" s="330"/>
      <c r="B1066" s="285"/>
      <c r="D1066" s="299"/>
      <c r="E1066" s="288"/>
      <c r="F1066" s="294"/>
    </row>
    <row r="1067" spans="1:6">
      <c r="A1067" s="330"/>
      <c r="B1067" s="285"/>
      <c r="D1067" s="299"/>
      <c r="E1067" s="288"/>
      <c r="F1067" s="294"/>
    </row>
    <row r="1068" spans="1:6">
      <c r="A1068" s="330"/>
      <c r="B1068" s="285"/>
      <c r="D1068" s="299"/>
      <c r="E1068" s="288"/>
      <c r="F1068" s="294"/>
    </row>
    <row r="1069" spans="1:6">
      <c r="A1069" s="330"/>
      <c r="B1069" s="285"/>
      <c r="C1069" s="296"/>
      <c r="E1069" s="288"/>
      <c r="F1069" s="294"/>
    </row>
    <row r="1070" spans="1:6">
      <c r="A1070" s="330"/>
      <c r="B1070" s="285"/>
      <c r="D1070" s="299"/>
      <c r="E1070" s="288"/>
      <c r="F1070" s="301"/>
    </row>
  </sheetData>
  <phoneticPr fontId="3" type="noConversion"/>
  <conditionalFormatting sqref="B2:K5104">
    <cfRule type="expression" dxfId="630" priority="5">
      <formula>SUMIFS($I:$I,$C:$C,$C2,$G:$G,$G2)=0</formula>
    </cfRule>
  </conditionalFormatting>
  <conditionalFormatting sqref="A2:K1070">
    <cfRule type="expression" dxfId="629" priority="4">
      <formula>$B2&gt;TODAY()</formula>
    </cfRule>
  </conditionalFormatting>
  <conditionalFormatting sqref="B466:B468">
    <cfRule type="expression" dxfId="628" priority="3">
      <formula>$B466&gt;TODAY()</formula>
    </cfRule>
  </conditionalFormatting>
  <dataValidations count="3">
    <dataValidation type="list" allowBlank="1" showInputMessage="1" showErrorMessage="1" sqref="E2:E135 E137:E1008" xr:uid="{00000000-0002-0000-0100-000001000000}">
      <formula1>"短線,波段,長期,股期,指期,選擇權,權證,資券"</formula1>
    </dataValidation>
    <dataValidation type="list" allowBlank="1" showInputMessage="1" showErrorMessage="1" sqref="E136" xr:uid="{B71B42BA-46B3-483E-B61F-5BAC267D23C9}">
      <formula1>"短線,波段,長期,股期,指期,選擇權,權證,券空,資買"</formula1>
    </dataValidation>
    <dataValidation type="list" allowBlank="1" showInputMessage="1" showErrorMessage="1" sqref="F2:F1070" xr:uid="{00000000-0002-0000-0100-000000000000}">
      <formula1>"當沖,建倉,加碼,減碼,停損,停利,出場觀望,換股操作"</formula1>
    </dataValidation>
  </dataValidations>
  <pageMargins left="0.7" right="0.7" top="0.75" bottom="0.75" header="0.3" footer="0.3"/>
  <pageSetup paperSize="9" orientation="portrait" horizontalDpi="4294967295" verticalDpi="4294967295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911FF-FD4D-4199-B111-E1597C6F1B42}">
  <sheetPr codeName="工作表7">
    <tabColor theme="9" tint="0.79998168889431442"/>
  </sheetPr>
  <dimension ref="A1:S119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RowHeight="16.5"/>
  <cols>
    <col min="1" max="1" width="10.625" style="215" customWidth="1"/>
    <col min="2" max="2" width="8.625" style="227" customWidth="1"/>
    <col min="3" max="3" width="8.625" style="215" customWidth="1"/>
    <col min="4" max="4" width="6.625" style="262" customWidth="1"/>
    <col min="5" max="5" width="6.625" style="237" customWidth="1"/>
    <col min="6" max="6" width="8.625" style="238" customWidth="1"/>
    <col min="7" max="7" width="15.625" style="247" customWidth="1"/>
    <col min="8" max="8" width="8.625" style="228" customWidth="1"/>
    <col min="10" max="10" width="8.625" style="230" customWidth="1"/>
    <col min="11" max="11" width="8.625" style="231" customWidth="1"/>
    <col min="12" max="12" width="8.625" style="229" customWidth="1"/>
    <col min="13" max="13" width="8.625" style="228" customWidth="1"/>
    <col min="15" max="15" width="3.625" style="228" customWidth="1"/>
    <col min="16" max="16" width="18.375" style="228" bestFit="1" customWidth="1"/>
    <col min="17" max="18" width="21.625" style="228" bestFit="1" customWidth="1"/>
    <col min="19" max="19" width="21.625" style="161" bestFit="1" customWidth="1"/>
    <col min="20" max="20" width="8.625" customWidth="1"/>
  </cols>
  <sheetData>
    <row r="1" spans="1:19" s="161" customFormat="1" ht="14.25">
      <c r="A1" s="248" t="s">
        <v>2864</v>
      </c>
      <c r="B1" s="233" t="s">
        <v>16</v>
      </c>
      <c r="C1" s="234" t="s">
        <v>2</v>
      </c>
      <c r="D1" s="260" t="s">
        <v>2802</v>
      </c>
      <c r="E1" s="235" t="s">
        <v>2860</v>
      </c>
      <c r="F1" s="235" t="s">
        <v>2877</v>
      </c>
      <c r="G1" s="245" t="s">
        <v>2861</v>
      </c>
      <c r="H1" s="239" t="s">
        <v>2862</v>
      </c>
      <c r="I1" s="240" t="s">
        <v>2859</v>
      </c>
      <c r="J1" s="241" t="s">
        <v>2875</v>
      </c>
      <c r="K1" s="241" t="s">
        <v>2863</v>
      </c>
      <c r="L1" s="244" t="s">
        <v>2880</v>
      </c>
      <c r="M1" s="241" t="s">
        <v>109</v>
      </c>
      <c r="O1" s="350" t="s">
        <v>2878</v>
      </c>
      <c r="P1" s="161" t="s">
        <v>2870</v>
      </c>
      <c r="Q1" s="161" t="s">
        <v>2865</v>
      </c>
    </row>
    <row r="2" spans="1:19">
      <c r="A2" s="249">
        <v>44486</v>
      </c>
      <c r="B2" s="226">
        <v>1101</v>
      </c>
      <c r="C2" s="225" t="str">
        <f t="shared" ref="C2:C10" si="0">IF(A2="","",IFERROR(INDEX(股名1,MATCH($B2,代號1,0)),IFERROR(INDEX(股名2,MATCH($B2,代號2,0)),IFERROR(INDEX(股名3,MATCH($B2,代號3,0)),INDEX(股名4,MATCH($B2,代號4,0))))))</f>
        <v>台泥</v>
      </c>
      <c r="D2" s="261">
        <v>1000</v>
      </c>
      <c r="E2" s="237">
        <v>50</v>
      </c>
      <c r="F2" s="236">
        <f>表格3[[#This Row],[數量]]*表格3[[#This Row],[參考價]]</f>
        <v>50000</v>
      </c>
      <c r="G2" s="246" t="s">
        <v>2874</v>
      </c>
      <c r="H2" s="230"/>
      <c r="I2" s="229">
        <f t="shared" ref="I2:I10" si="1">F2/LOOKUP(A2,明細日期,明細資產總值)</f>
        <v>2.8571428571428571E-2</v>
      </c>
      <c r="J2" s="228"/>
      <c r="K2" s="232" t="str" cm="1">
        <f t="array" ref="K2">_xlfn.IFS(LEFT(G2)="1",(F2-LOOKUP(A2,明細日期,明細資產總值)*H2%)/D2,LEFT(G2)="2",(F2-H2)/D2,LEFT(G2)="3",H2,LEFT(G2)="4",E2*(1-H2%),LEFT(G2)="5",H2&amp;"MA",LEFT(G2)="9","")</f>
        <v/>
      </c>
      <c r="L2" s="243" t="str">
        <f t="shared" ref="L2:L10" si="2">IF(K2="","",-ABS(K2-E2)*D2/LOOKUP(A2,明細日期,明細資產總值))</f>
        <v/>
      </c>
      <c r="M2" s="232" t="str">
        <f>IF(表格3[[#This Row],[停損價]]="","",(表格3[[#This Row],[目標價]]-表格3[[#This Row],[停損價]])/(表格3[[#This Row],[參考價]]-表格3[[#This Row],[停損價]]))</f>
        <v/>
      </c>
      <c r="N2" s="161"/>
      <c r="O2" s="350"/>
      <c r="P2" s="161" t="s">
        <v>2871</v>
      </c>
      <c r="Q2" s="161" t="s">
        <v>2866</v>
      </c>
      <c r="R2"/>
      <c r="S2"/>
    </row>
    <row r="3" spans="1:19">
      <c r="A3" s="249">
        <v>44486</v>
      </c>
      <c r="B3" s="226">
        <v>1599</v>
      </c>
      <c r="C3" s="225" t="str">
        <f t="shared" si="0"/>
        <v>宏佳騰</v>
      </c>
      <c r="D3" s="261">
        <v>1000</v>
      </c>
      <c r="E3" s="237">
        <v>40</v>
      </c>
      <c r="F3" s="236">
        <f>表格3[[#This Row],[數量]]*表格3[[#This Row],[參考價]]</f>
        <v>40000</v>
      </c>
      <c r="G3" s="246" t="s">
        <v>2874</v>
      </c>
      <c r="H3" s="230"/>
      <c r="I3" s="229">
        <f t="shared" si="1"/>
        <v>2.2857142857142857E-2</v>
      </c>
      <c r="J3" s="228"/>
      <c r="K3" s="232" t="str" cm="1">
        <f t="array" ref="K3">_xlfn.IFS(LEFT(G3)="1",(F3-LOOKUP(A3,明細日期,明細資產總值)*H3%)/D3,LEFT(G3)="2",(F3-H3)/D3,LEFT(G3)="3",H3,LEFT(G3)="4",E3*(1-H3%),LEFT(G3)="5",H3&amp;"MA",LEFT(G3)="9","")</f>
        <v/>
      </c>
      <c r="L3" s="243" t="str">
        <f t="shared" si="2"/>
        <v/>
      </c>
      <c r="M3" s="232" t="str">
        <f>IF(表格3[[#This Row],[停損價]]="","",(表格3[[#This Row],[目標價]]-表格3[[#This Row],[停損價]])/(表格3[[#This Row],[參考價]]-表格3[[#This Row],[停損價]]))</f>
        <v/>
      </c>
      <c r="N3" s="161"/>
      <c r="O3" s="350"/>
      <c r="P3" s="161" t="s">
        <v>2887</v>
      </c>
      <c r="Q3" s="161" t="s">
        <v>2867</v>
      </c>
      <c r="R3"/>
      <c r="S3"/>
    </row>
    <row r="4" spans="1:19">
      <c r="A4" s="249">
        <v>44486</v>
      </c>
      <c r="B4" s="226">
        <v>2464</v>
      </c>
      <c r="C4" s="225" t="str">
        <f t="shared" si="0"/>
        <v>盟立</v>
      </c>
      <c r="D4" s="261">
        <v>1000</v>
      </c>
      <c r="E4" s="237">
        <v>40</v>
      </c>
      <c r="F4" s="236">
        <f>表格3[[#This Row],[數量]]*表格3[[#This Row],[參考價]]</f>
        <v>40000</v>
      </c>
      <c r="G4" s="246" t="s">
        <v>2876</v>
      </c>
      <c r="H4" s="230"/>
      <c r="I4" s="229">
        <f t="shared" si="1"/>
        <v>2.2857142857142857E-2</v>
      </c>
      <c r="J4" s="228"/>
      <c r="K4" s="232" t="str" cm="1">
        <f t="array" ref="K4">_xlfn.IFS(LEFT(G4)="1",(F4-LOOKUP(A4,明細日期,明細資產總值)*H4%)/D4,LEFT(G4)="2",(F4-H4)/D4,LEFT(G4)="3",H4,LEFT(G4)="4",E4*(1-H4%),LEFT(G4)="5",H4&amp;"MA",LEFT(G4)="9","")</f>
        <v/>
      </c>
      <c r="L4" s="243" t="str">
        <f t="shared" si="2"/>
        <v/>
      </c>
      <c r="M4" s="232" t="str">
        <f>IF(表格3[[#This Row],[停損價]]="","",(表格3[[#This Row],[目標價]]-表格3[[#This Row],[停損價]])/(表格3[[#This Row],[參考價]]-表格3[[#This Row],[停損價]]))</f>
        <v/>
      </c>
      <c r="N4" s="161"/>
      <c r="O4" s="350"/>
      <c r="P4" s="161" t="s">
        <v>2872</v>
      </c>
      <c r="Q4" s="161" t="s">
        <v>2869</v>
      </c>
      <c r="R4"/>
      <c r="S4"/>
    </row>
    <row r="5" spans="1:19">
      <c r="A5" s="249">
        <v>44486</v>
      </c>
      <c r="B5" s="226">
        <v>2501</v>
      </c>
      <c r="C5" s="225" t="str">
        <f t="shared" si="0"/>
        <v>國建</v>
      </c>
      <c r="D5" s="261">
        <v>4000</v>
      </c>
      <c r="E5" s="237">
        <v>19</v>
      </c>
      <c r="F5" s="236">
        <f>表格3[[#This Row],[數量]]*表格3[[#This Row],[參考價]]</f>
        <v>76000</v>
      </c>
      <c r="G5" s="246" t="s">
        <v>2874</v>
      </c>
      <c r="H5" s="230"/>
      <c r="I5" s="229">
        <f t="shared" si="1"/>
        <v>4.3428571428571427E-2</v>
      </c>
      <c r="J5" s="228"/>
      <c r="K5" s="232" t="str" cm="1">
        <f t="array" ref="K5">_xlfn.IFS(LEFT(G5)="1",(F5-LOOKUP(A5,明細日期,明細資產總值)*H5%)/D5,LEFT(G5)="2",(F5-H5)/D5,LEFT(G5)="3",H5,LEFT(G5)="4",E5*(1-H5%),LEFT(G5)="5",H5&amp;"MA",LEFT(G5)="9","")</f>
        <v/>
      </c>
      <c r="L5" s="243" t="str">
        <f t="shared" si="2"/>
        <v/>
      </c>
      <c r="M5" s="232" t="str">
        <f>IF(表格3[[#This Row],[停損價]]="","",(表格3[[#This Row],[目標價]]-表格3[[#This Row],[停損價]])/(表格3[[#This Row],[參考價]]-表格3[[#This Row],[停損價]]))</f>
        <v/>
      </c>
      <c r="N5" s="161"/>
      <c r="O5" s="350"/>
      <c r="P5" s="161" t="s">
        <v>2873</v>
      </c>
      <c r="Q5" s="161" t="s">
        <v>2868</v>
      </c>
      <c r="R5"/>
      <c r="S5"/>
    </row>
    <row r="6" spans="1:19">
      <c r="A6" s="249">
        <v>44486</v>
      </c>
      <c r="B6" s="226">
        <v>2520</v>
      </c>
      <c r="C6" s="225" t="str">
        <f t="shared" si="0"/>
        <v>冠德</v>
      </c>
      <c r="D6" s="261">
        <v>2000</v>
      </c>
      <c r="E6" s="237">
        <v>35</v>
      </c>
      <c r="F6" s="236">
        <f>表格3[[#This Row],[數量]]*表格3[[#This Row],[參考價]]</f>
        <v>70000</v>
      </c>
      <c r="G6" s="246" t="s">
        <v>2874</v>
      </c>
      <c r="H6" s="230"/>
      <c r="I6" s="229">
        <f t="shared" si="1"/>
        <v>0.04</v>
      </c>
      <c r="J6" s="228"/>
      <c r="K6" s="232" t="str" cm="1">
        <f t="array" ref="K6">_xlfn.IFS(LEFT(G6)="1",(F6-LOOKUP(A6,明細日期,明細資產總值)*H6%)/D6,LEFT(G6)="2",(F6-H6)/D6,LEFT(G6)="3",H6,LEFT(G6)="4",E6*(1-H6%),LEFT(G6)="5",H6&amp;"MA",LEFT(G6)="9","")</f>
        <v/>
      </c>
      <c r="L6" s="243" t="str">
        <f t="shared" si="2"/>
        <v/>
      </c>
      <c r="M6" s="232" t="str">
        <f>IF(表格3[[#This Row],[停損價]]="","",(表格3[[#This Row],[目標價]]-表格3[[#This Row],[停損價]])/(表格3[[#This Row],[參考價]]-表格3[[#This Row],[停損價]]))</f>
        <v/>
      </c>
      <c r="N6" s="161"/>
      <c r="O6" s="350"/>
      <c r="P6" s="161" t="s">
        <v>2876</v>
      </c>
      <c r="Q6" s="242" t="s">
        <v>2879</v>
      </c>
      <c r="R6"/>
      <c r="S6"/>
    </row>
    <row r="7" spans="1:19">
      <c r="A7" s="249">
        <v>44486</v>
      </c>
      <c r="B7" s="226">
        <v>5434</v>
      </c>
      <c r="C7" s="225" t="str">
        <f t="shared" si="0"/>
        <v>崇越</v>
      </c>
      <c r="D7" s="261">
        <v>1000</v>
      </c>
      <c r="E7" s="237">
        <v>124</v>
      </c>
      <c r="F7" s="236">
        <f>表格3[[#This Row],[數量]]*表格3[[#This Row],[參考價]]</f>
        <v>124000</v>
      </c>
      <c r="G7" s="246" t="s">
        <v>2874</v>
      </c>
      <c r="H7" s="230"/>
      <c r="I7" s="229">
        <f t="shared" si="1"/>
        <v>7.0857142857142855E-2</v>
      </c>
      <c r="J7" s="228"/>
      <c r="K7" s="232" t="str" cm="1">
        <f t="array" ref="K7">_xlfn.IFS(LEFT(G7)="1",(F7-LOOKUP(A7,明細日期,明細資產總值)*H7%)/D7,LEFT(G7)="2",(F7-H7)/D7,LEFT(G7)="3",H7,LEFT(G7)="4",E7*(1-H7%),LEFT(G7)="5",H7&amp;"MA",LEFT(G7)="9","")</f>
        <v/>
      </c>
      <c r="L7" s="243" t="str">
        <f t="shared" si="2"/>
        <v/>
      </c>
      <c r="M7" s="232" t="str">
        <f>IF(表格3[[#This Row],[停損價]]="","",(表格3[[#This Row],[目標價]]-表格3[[#This Row],[停損價]])/(表格3[[#This Row],[參考價]]-表格3[[#This Row],[停損價]]))</f>
        <v/>
      </c>
      <c r="N7" s="161"/>
      <c r="O7" s="350"/>
      <c r="P7" s="161"/>
      <c r="Q7" s="242"/>
      <c r="R7"/>
      <c r="S7"/>
    </row>
    <row r="8" spans="1:19">
      <c r="A8" s="249">
        <v>44486</v>
      </c>
      <c r="B8" s="226" t="s">
        <v>53</v>
      </c>
      <c r="C8" s="225" t="str">
        <f t="shared" si="0"/>
        <v>國泰網路資安</v>
      </c>
      <c r="D8" s="261">
        <v>2000</v>
      </c>
      <c r="E8" s="237">
        <v>30</v>
      </c>
      <c r="F8" s="236">
        <f>表格3[[#This Row],[數量]]*表格3[[#This Row],[參考價]]</f>
        <v>60000</v>
      </c>
      <c r="G8" s="246" t="s">
        <v>2874</v>
      </c>
      <c r="H8" s="230"/>
      <c r="I8" s="229">
        <f t="shared" si="1"/>
        <v>3.4285714285714287E-2</v>
      </c>
      <c r="J8" s="228"/>
      <c r="K8" s="232" t="str" cm="1">
        <f t="array" ref="K8">_xlfn.IFS(LEFT(G8)="1",(F8-LOOKUP(A8,明細日期,明細資產總值)*H8%)/D8,LEFT(G8)="2",(F8-H8)/D8,LEFT(G8)="3",H8,LEFT(G8)="4",E8*(1-H8%),LEFT(G8)="5",H8&amp;"MA",LEFT(G8)="9","")</f>
        <v/>
      </c>
      <c r="L8" s="243" t="str">
        <f t="shared" si="2"/>
        <v/>
      </c>
      <c r="M8" s="232" t="str">
        <f>IF(表格3[[#This Row],[停損價]]="","",(表格3[[#This Row],[目標價]]-表格3[[#This Row],[停損價]])/(表格3[[#This Row],[參考價]]-表格3[[#This Row],[停損價]]))</f>
        <v/>
      </c>
      <c r="N8" s="161"/>
      <c r="O8" s="350"/>
      <c r="P8" s="161"/>
      <c r="Q8" s="242"/>
      <c r="R8"/>
      <c r="S8"/>
    </row>
    <row r="9" spans="1:19">
      <c r="A9" s="249">
        <v>44490</v>
      </c>
      <c r="B9" s="226">
        <v>2610</v>
      </c>
      <c r="C9" s="225" t="str">
        <f t="shared" si="0"/>
        <v>華航</v>
      </c>
      <c r="D9" s="261">
        <v>40000</v>
      </c>
      <c r="E9" s="237">
        <v>16.850000000000001</v>
      </c>
      <c r="F9" s="236">
        <f>表格3[[#This Row],[數量]]*表格3[[#This Row],[參考價]]</f>
        <v>674000</v>
      </c>
      <c r="G9" s="246" t="s">
        <v>2886</v>
      </c>
      <c r="H9" s="230">
        <v>16</v>
      </c>
      <c r="I9" s="229">
        <f t="shared" si="1"/>
        <v>0.38514285714285712</v>
      </c>
      <c r="J9" s="228">
        <v>20</v>
      </c>
      <c r="K9" s="232" cm="1">
        <f t="array" ref="K9">_xlfn.IFS(LEFT(G9)="1",(F9-LOOKUP(A9,明細日期,明細資產總值)*H9%)/D9,LEFT(G9)="2",(F9-H9)/D9,LEFT(G9)="3",H9,LEFT(G9)="4",E9*(1-H9%),LEFT(G9)="5",H9&amp;"MA",LEFT(G9)="9","")</f>
        <v>16</v>
      </c>
      <c r="L9" s="243">
        <f t="shared" si="2"/>
        <v>-1.9428571428571462E-2</v>
      </c>
      <c r="M9" s="232">
        <f>IF(表格3[[#This Row],[停損價]]="","",(表格3[[#This Row],[目標價]]-表格3[[#This Row],[停損價]])/(表格3[[#This Row],[參考價]]-表格3[[#This Row],[停損價]]))</f>
        <v>4.7058823529411686</v>
      </c>
      <c r="N9" s="161"/>
      <c r="O9" s="350"/>
      <c r="P9" s="161"/>
      <c r="Q9" s="161"/>
      <c r="R9"/>
      <c r="S9"/>
    </row>
    <row r="10" spans="1:19">
      <c r="A10" s="249">
        <v>44490</v>
      </c>
      <c r="B10" s="226">
        <v>2634</v>
      </c>
      <c r="C10" s="225" t="str">
        <f t="shared" si="0"/>
        <v>漢翔</v>
      </c>
      <c r="D10" s="261">
        <v>15000</v>
      </c>
      <c r="E10" s="237">
        <v>28.5</v>
      </c>
      <c r="F10" s="236">
        <f>表格3[[#This Row],[數量]]*表格3[[#This Row],[參考價]]</f>
        <v>427500</v>
      </c>
      <c r="G10" s="246" t="s">
        <v>2887</v>
      </c>
      <c r="H10" s="230">
        <v>27.5</v>
      </c>
      <c r="I10" s="229">
        <f t="shared" si="1"/>
        <v>0.24428571428571427</v>
      </c>
      <c r="J10" s="228">
        <v>32</v>
      </c>
      <c r="K10" s="232" cm="1">
        <f t="array" ref="K10">_xlfn.IFS(LEFT(G10)="1",(F10-LOOKUP(A10,明細日期,明細資產總值)*H10%)/D10,LEFT(G10)="2",(F10-H10)/D10,LEFT(G10)="3",H10,LEFT(G10)="4",E10*(1-H10%),LEFT(G10)="5",H10&amp;"MA",LEFT(G10)="9","")</f>
        <v>27.5</v>
      </c>
      <c r="L10" s="243">
        <f t="shared" si="2"/>
        <v>-8.5714285714285719E-3</v>
      </c>
      <c r="M10" s="232">
        <f>IF(表格3[[#This Row],[停損價]]="","",(表格3[[#This Row],[目標價]]-表格3[[#This Row],[停損價]])/(表格3[[#This Row],[參考價]]-表格3[[#This Row],[停損價]]))</f>
        <v>4.5</v>
      </c>
      <c r="N10" s="161"/>
      <c r="O10" s="350"/>
      <c r="P10" s="161"/>
      <c r="Q10" s="161"/>
      <c r="R10"/>
      <c r="S10"/>
    </row>
    <row r="11" spans="1:19">
      <c r="A11" s="255">
        <v>44552</v>
      </c>
      <c r="B11" s="139">
        <v>2002</v>
      </c>
      <c r="C11" s="225" t="s">
        <v>3130</v>
      </c>
      <c r="D11" s="261">
        <v>5000</v>
      </c>
      <c r="E11" s="347"/>
      <c r="F11" s="236">
        <f>表格3[[#This Row],[數量]]*表格3[[#This Row],[參考價]]</f>
        <v>0</v>
      </c>
      <c r="G11" s="246" t="s">
        <v>2886</v>
      </c>
      <c r="H11" s="230">
        <v>34.5</v>
      </c>
      <c r="I11" s="229">
        <f t="shared" ref="I11" si="3">F11/LOOKUP(A11,明細日期,明細資產總值)</f>
        <v>0</v>
      </c>
      <c r="J11" s="348">
        <v>38.5</v>
      </c>
      <c r="K11" s="349" cm="1">
        <f t="array" ref="K11">_xlfn.IFS(LEFT(G11)="1",(F11-LOOKUP(A11,明細日期,明細資產總值)*H11%)/D11,LEFT(G11)="2",(F11-H11)/D11,LEFT(G11)="3",H11,LEFT(G11)="4",E11*(1-H11%),LEFT(G11)="5",H11&amp;"MA",LEFT(G11)="9","")</f>
        <v>34.5</v>
      </c>
      <c r="L11" s="243">
        <f t="shared" ref="L11" si="4">IF(K11="","",-ABS(K11-E11)*D11/LOOKUP(A11,明細日期,明細資產總值))</f>
        <v>-9.2245989304812828E-2</v>
      </c>
      <c r="M11" s="232">
        <f>IF(表格3[[#This Row],[停損價]]="","",(表格3[[#This Row],[目標價]]-表格3[[#This Row],[停損價]])/(表格3[[#This Row],[參考價]]-表格3[[#This Row],[停損價]]))</f>
        <v>-0.11594202898550725</v>
      </c>
    </row>
    <row r="12" spans="1:19">
      <c r="A12" s="255">
        <v>44552</v>
      </c>
      <c r="B12" s="139">
        <v>2002</v>
      </c>
      <c r="C12" s="225" t="s">
        <v>3130</v>
      </c>
      <c r="D12" s="261">
        <v>5000</v>
      </c>
      <c r="E12" s="237">
        <v>35</v>
      </c>
      <c r="F12" s="236">
        <f>表格3[[#This Row],[數量]]*表格3[[#This Row],[參考價]]</f>
        <v>175000</v>
      </c>
      <c r="G12" s="246" t="s">
        <v>3131</v>
      </c>
      <c r="H12" s="230">
        <v>10</v>
      </c>
      <c r="I12" s="228"/>
      <c r="J12" s="259">
        <v>38.5</v>
      </c>
      <c r="K12" s="349" cm="1">
        <f t="array" ref="K12">_xlfn.IFS(LEFT(G12)="1",(F12-LOOKUP(A12,明細日期,明細資產總值)*H12%)/D12,LEFT(G12)="2",(F12-H12)/D12,LEFT(G12)="3",H12,LEFT(G12)="4",E12*(1-H12%),LEFT(G12)="5",H12&amp;"MA",LEFT(G12)="9","")</f>
        <v>31.5</v>
      </c>
      <c r="L12" s="243">
        <f t="shared" ref="L12:L28" si="5">IF(K12="","",-ABS(K12-E12)*D12/LOOKUP(A12,明細日期,明細資產總值))</f>
        <v>-9.3582887700534752E-3</v>
      </c>
      <c r="M12" s="232">
        <f>IF(表格3[[#This Row],[停損價]]="","",(表格3[[#This Row],[目標價]]-表格3[[#This Row],[停損價]])/(表格3[[#This Row],[參考價]]-表格3[[#This Row],[停損價]]))</f>
        <v>2</v>
      </c>
    </row>
    <row r="13" spans="1:19">
      <c r="A13" s="333"/>
      <c r="B13" s="334"/>
      <c r="C13" s="225"/>
      <c r="D13" s="261"/>
      <c r="F13" s="237"/>
      <c r="G13" s="246"/>
      <c r="H13" s="230"/>
      <c r="I13" s="228"/>
      <c r="J13" s="259"/>
      <c r="K13" s="232"/>
      <c r="L13" s="243" t="str">
        <f t="shared" si="5"/>
        <v/>
      </c>
      <c r="M13" s="232" t="str">
        <f>IF(表格3[[#This Row],[停損價]]="","",(表格3[[#This Row],[目標價]]-表格3[[#This Row],[停損價]])/(表格3[[#This Row],[參考價]]-表格3[[#This Row],[停損價]]))</f>
        <v/>
      </c>
    </row>
    <row r="14" spans="1:19">
      <c r="A14" s="333"/>
      <c r="B14" s="334"/>
      <c r="C14" s="225"/>
      <c r="D14" s="261"/>
      <c r="F14" s="237"/>
      <c r="G14" s="246"/>
      <c r="H14" s="230"/>
      <c r="I14" s="228"/>
      <c r="J14" s="259"/>
      <c r="K14" s="232"/>
      <c r="L14" s="243" t="str">
        <f t="shared" si="5"/>
        <v/>
      </c>
      <c r="M14" s="232" t="str">
        <f>IF(表格3[[#This Row],[停損價]]="","",(表格3[[#This Row],[目標價]]-表格3[[#This Row],[停損價]])/(表格3[[#This Row],[參考價]]-表格3[[#This Row],[停損價]]))</f>
        <v/>
      </c>
    </row>
    <row r="15" spans="1:19">
      <c r="A15" s="333"/>
      <c r="B15" s="334"/>
      <c r="C15" s="225"/>
      <c r="D15" s="261"/>
      <c r="F15" s="237"/>
      <c r="G15" s="246"/>
      <c r="H15" s="230"/>
      <c r="I15" s="228"/>
      <c r="J15" s="259"/>
      <c r="K15" s="232"/>
      <c r="L15" s="243" t="str">
        <f t="shared" si="5"/>
        <v/>
      </c>
      <c r="M15" s="232" t="str">
        <f>IF(表格3[[#This Row],[停損價]]="","",(表格3[[#This Row],[目標價]]-表格3[[#This Row],[停損價]])/(表格3[[#This Row],[參考價]]-表格3[[#This Row],[停損價]]))</f>
        <v/>
      </c>
    </row>
    <row r="16" spans="1:19">
      <c r="A16" s="333"/>
      <c r="B16" s="334"/>
      <c r="C16" s="225"/>
      <c r="D16" s="261"/>
      <c r="F16" s="237"/>
      <c r="G16" s="246"/>
      <c r="H16" s="230"/>
      <c r="I16" s="228"/>
      <c r="J16" s="259"/>
      <c r="K16" s="232"/>
      <c r="L16" s="243" t="str">
        <f t="shared" si="5"/>
        <v/>
      </c>
      <c r="M16" s="232" t="str">
        <f>IF(表格3[[#This Row],[停損價]]="","",(表格3[[#This Row],[目標價]]-表格3[[#This Row],[停損價]])/(表格3[[#This Row],[參考價]]-表格3[[#This Row],[停損價]]))</f>
        <v/>
      </c>
    </row>
    <row r="17" spans="1:13">
      <c r="A17" s="333"/>
      <c r="B17" s="334"/>
      <c r="C17" s="225"/>
      <c r="D17" s="261"/>
      <c r="F17" s="237"/>
      <c r="G17" s="246"/>
      <c r="H17" s="230"/>
      <c r="I17" s="228"/>
      <c r="J17" s="259"/>
      <c r="K17" s="232"/>
      <c r="L17" s="243" t="str">
        <f t="shared" si="5"/>
        <v/>
      </c>
      <c r="M17" s="232" t="str">
        <f>IF(表格3[[#This Row],[停損價]]="","",(表格3[[#This Row],[目標價]]-表格3[[#This Row],[停損價]])/(表格3[[#This Row],[參考價]]-表格3[[#This Row],[停損價]]))</f>
        <v/>
      </c>
    </row>
    <row r="18" spans="1:13">
      <c r="A18" s="333"/>
      <c r="B18" s="334"/>
      <c r="C18" s="225"/>
      <c r="D18" s="261"/>
      <c r="F18" s="237"/>
      <c r="G18" s="246"/>
      <c r="H18" s="230"/>
      <c r="I18" s="228"/>
      <c r="J18" s="259"/>
      <c r="K18" s="232"/>
      <c r="L18" s="243" t="str">
        <f t="shared" si="5"/>
        <v/>
      </c>
      <c r="M18" s="232" t="str">
        <f>IF(表格3[[#This Row],[停損價]]="","",(表格3[[#This Row],[目標價]]-表格3[[#This Row],[停損價]])/(表格3[[#This Row],[參考價]]-表格3[[#This Row],[停損價]]))</f>
        <v/>
      </c>
    </row>
    <row r="19" spans="1:13">
      <c r="A19" s="333"/>
      <c r="B19" s="334"/>
      <c r="C19" s="225"/>
      <c r="D19" s="261"/>
      <c r="F19" s="237"/>
      <c r="G19" s="246"/>
      <c r="H19" s="230"/>
      <c r="I19" s="228"/>
      <c r="J19" s="259"/>
      <c r="K19" s="232"/>
      <c r="L19" s="243" t="str">
        <f t="shared" si="5"/>
        <v/>
      </c>
      <c r="M19" s="232" t="str">
        <f>IF(表格3[[#This Row],[停損價]]="","",(表格3[[#This Row],[目標價]]-表格3[[#This Row],[停損價]])/(表格3[[#This Row],[參考價]]-表格3[[#This Row],[停損價]]))</f>
        <v/>
      </c>
    </row>
    <row r="20" spans="1:13">
      <c r="A20" s="333"/>
      <c r="B20" s="334"/>
      <c r="C20" s="225"/>
      <c r="D20" s="261"/>
      <c r="F20" s="237"/>
      <c r="G20" s="246"/>
      <c r="H20" s="230"/>
      <c r="I20" s="228"/>
      <c r="J20" s="259"/>
      <c r="K20" s="232"/>
      <c r="L20" s="243" t="str">
        <f t="shared" si="5"/>
        <v/>
      </c>
      <c r="M20" s="232" t="str">
        <f>IF(表格3[[#This Row],[停損價]]="","",(表格3[[#This Row],[目標價]]-表格3[[#This Row],[停損價]])/(表格3[[#This Row],[參考價]]-表格3[[#This Row],[停損價]]))</f>
        <v/>
      </c>
    </row>
    <row r="21" spans="1:13">
      <c r="A21" s="333"/>
      <c r="B21" s="334"/>
      <c r="C21" s="225"/>
      <c r="D21" s="261"/>
      <c r="F21" s="237"/>
      <c r="G21" s="246"/>
      <c r="H21" s="230"/>
      <c r="I21" s="228"/>
      <c r="J21" s="259"/>
      <c r="K21" s="232"/>
      <c r="L21" s="243" t="str">
        <f t="shared" si="5"/>
        <v/>
      </c>
      <c r="M21" s="232" t="str">
        <f>IF(表格3[[#This Row],[停損價]]="","",(表格3[[#This Row],[目標價]]-表格3[[#This Row],[停損價]])/(表格3[[#This Row],[參考價]]-表格3[[#This Row],[停損價]]))</f>
        <v/>
      </c>
    </row>
    <row r="22" spans="1:13">
      <c r="A22" s="333"/>
      <c r="B22" s="334"/>
      <c r="C22" s="225"/>
      <c r="D22" s="261"/>
      <c r="F22" s="237"/>
      <c r="G22" s="246"/>
      <c r="H22" s="230"/>
      <c r="I22" s="228"/>
      <c r="J22" s="259"/>
      <c r="K22" s="232"/>
      <c r="L22" s="243" t="str">
        <f t="shared" si="5"/>
        <v/>
      </c>
      <c r="M22" s="232" t="str">
        <f>IF(表格3[[#This Row],[停損價]]="","",(表格3[[#This Row],[目標價]]-表格3[[#This Row],[停損價]])/(表格3[[#This Row],[參考價]]-表格3[[#This Row],[停損價]]))</f>
        <v/>
      </c>
    </row>
    <row r="23" spans="1:13">
      <c r="A23" s="333"/>
      <c r="B23" s="334"/>
      <c r="C23" s="225"/>
      <c r="D23" s="261"/>
      <c r="F23" s="237"/>
      <c r="G23" s="246"/>
      <c r="H23" s="230"/>
      <c r="I23" s="228"/>
      <c r="J23" s="259"/>
      <c r="K23" s="232"/>
      <c r="L23" s="243" t="str">
        <f t="shared" si="5"/>
        <v/>
      </c>
      <c r="M23" s="232" t="str">
        <f>IF(表格3[[#This Row],[停損價]]="","",(表格3[[#This Row],[目標價]]-表格3[[#This Row],[停損價]])/(表格3[[#This Row],[參考價]]-表格3[[#This Row],[停損價]]))</f>
        <v/>
      </c>
    </row>
    <row r="24" spans="1:13">
      <c r="A24" s="333"/>
      <c r="B24" s="334"/>
      <c r="C24" s="225"/>
      <c r="D24" s="261"/>
      <c r="F24" s="237"/>
      <c r="G24" s="246"/>
      <c r="H24" s="230"/>
      <c r="I24" s="228"/>
      <c r="J24" s="259"/>
      <c r="K24" s="232"/>
      <c r="L24" s="243" t="str">
        <f t="shared" si="5"/>
        <v/>
      </c>
      <c r="M24" s="232" t="str">
        <f>IF(表格3[[#This Row],[停損價]]="","",(表格3[[#This Row],[目標價]]-表格3[[#This Row],[停損價]])/(表格3[[#This Row],[參考價]]-表格3[[#This Row],[停損價]]))</f>
        <v/>
      </c>
    </row>
    <row r="25" spans="1:13">
      <c r="A25" s="333"/>
      <c r="B25" s="334"/>
      <c r="C25" s="225"/>
      <c r="D25" s="261"/>
      <c r="F25" s="237"/>
      <c r="G25" s="246"/>
      <c r="H25" s="230"/>
      <c r="I25" s="228"/>
      <c r="J25" s="259"/>
      <c r="K25" s="232"/>
      <c r="L25" s="243" t="str">
        <f t="shared" si="5"/>
        <v/>
      </c>
      <c r="M25" s="232" t="str">
        <f>IF(表格3[[#This Row],[停損價]]="","",(表格3[[#This Row],[目標價]]-表格3[[#This Row],[停損價]])/(表格3[[#This Row],[參考價]]-表格3[[#This Row],[停損價]]))</f>
        <v/>
      </c>
    </row>
    <row r="26" spans="1:13">
      <c r="A26" s="333"/>
      <c r="B26" s="334"/>
      <c r="C26" s="225"/>
      <c r="D26" s="261"/>
      <c r="F26" s="237"/>
      <c r="G26" s="246"/>
      <c r="H26" s="230"/>
      <c r="I26" s="228"/>
      <c r="J26" s="259"/>
      <c r="K26" s="232"/>
      <c r="L26" s="243" t="str">
        <f t="shared" si="5"/>
        <v/>
      </c>
      <c r="M26" s="232" t="str">
        <f>IF(表格3[[#This Row],[停損價]]="","",(表格3[[#This Row],[目標價]]-表格3[[#This Row],[停損價]])/(表格3[[#This Row],[參考價]]-表格3[[#This Row],[停損價]]))</f>
        <v/>
      </c>
    </row>
    <row r="27" spans="1:13">
      <c r="A27" s="333"/>
      <c r="B27" s="334"/>
      <c r="C27" s="225"/>
      <c r="D27" s="261"/>
      <c r="F27" s="237"/>
      <c r="G27" s="246"/>
      <c r="H27" s="230"/>
      <c r="I27" s="228"/>
      <c r="J27" s="259"/>
      <c r="K27" s="232"/>
      <c r="L27" s="243" t="str">
        <f t="shared" si="5"/>
        <v/>
      </c>
      <c r="M27" s="232" t="str">
        <f>IF(表格3[[#This Row],[停損價]]="","",(表格3[[#This Row],[目標價]]-表格3[[#This Row],[停損價]])/(表格3[[#This Row],[參考價]]-表格3[[#This Row],[停損價]]))</f>
        <v/>
      </c>
    </row>
    <row r="28" spans="1:13">
      <c r="A28" s="333"/>
      <c r="B28" s="334"/>
      <c r="C28" s="225"/>
      <c r="D28" s="261"/>
      <c r="F28" s="237"/>
      <c r="G28" s="246"/>
      <c r="H28" s="230"/>
      <c r="I28" s="228"/>
      <c r="J28" s="259"/>
      <c r="K28" s="232"/>
      <c r="L28" s="243" t="str">
        <f t="shared" si="5"/>
        <v/>
      </c>
      <c r="M28" s="232" t="str">
        <f>IF(表格3[[#This Row],[停損價]]="","",(表格3[[#This Row],[目標價]]-表格3[[#This Row],[停損價]])/(表格3[[#This Row],[參考價]]-表格3[[#This Row],[停損價]]))</f>
        <v/>
      </c>
    </row>
    <row r="29" spans="1:13">
      <c r="A29" s="249"/>
      <c r="B29" s="226"/>
      <c r="C29" s="225"/>
      <c r="D29" s="261"/>
      <c r="F29" s="236"/>
      <c r="G29" s="246"/>
      <c r="H29" s="230"/>
      <c r="I29" s="229"/>
      <c r="J29" s="228"/>
      <c r="K29" s="232"/>
      <c r="L29" s="243"/>
      <c r="M29" s="232"/>
    </row>
    <row r="30" spans="1:13">
      <c r="A30" s="249"/>
      <c r="B30" s="226"/>
      <c r="C30" s="225"/>
      <c r="D30" s="261"/>
      <c r="F30" s="236"/>
      <c r="G30" s="246"/>
      <c r="H30" s="230"/>
      <c r="I30" s="229"/>
      <c r="J30" s="228"/>
      <c r="K30" s="232"/>
      <c r="L30" s="243"/>
      <c r="M30" s="232"/>
    </row>
    <row r="31" spans="1:13">
      <c r="A31" s="249"/>
      <c r="B31" s="226"/>
      <c r="C31" s="225"/>
      <c r="D31" s="261"/>
      <c r="F31" s="236"/>
      <c r="G31" s="246"/>
      <c r="H31" s="230"/>
      <c r="I31" s="229"/>
      <c r="J31" s="228"/>
      <c r="K31" s="232"/>
      <c r="L31" s="243"/>
      <c r="M31" s="232"/>
    </row>
    <row r="32" spans="1:13">
      <c r="A32" s="249"/>
      <c r="B32" s="226"/>
      <c r="C32" s="225"/>
      <c r="D32" s="261"/>
      <c r="F32" s="236"/>
      <c r="G32" s="246"/>
      <c r="H32" s="230"/>
      <c r="I32" s="229"/>
      <c r="J32" s="228"/>
      <c r="K32" s="232"/>
      <c r="L32" s="243"/>
      <c r="M32" s="232"/>
    </row>
    <row r="33" spans="1:13">
      <c r="A33" s="249"/>
      <c r="B33" s="226"/>
      <c r="C33" s="225"/>
      <c r="D33" s="261"/>
      <c r="F33" s="236"/>
      <c r="G33" s="246"/>
      <c r="H33" s="230"/>
      <c r="I33" s="229"/>
      <c r="J33" s="228"/>
      <c r="K33" s="232"/>
      <c r="L33" s="243"/>
      <c r="M33" s="232"/>
    </row>
    <row r="34" spans="1:13">
      <c r="A34" s="249"/>
      <c r="B34" s="226"/>
      <c r="C34" s="225"/>
      <c r="D34" s="261"/>
      <c r="F34" s="236"/>
      <c r="G34" s="246"/>
      <c r="H34" s="230"/>
      <c r="I34" s="229"/>
      <c r="J34" s="228"/>
      <c r="K34" s="232"/>
      <c r="L34" s="243"/>
      <c r="M34" s="232"/>
    </row>
    <row r="35" spans="1:13">
      <c r="A35" s="249"/>
      <c r="B35" s="226"/>
      <c r="C35" s="225"/>
      <c r="D35" s="261"/>
      <c r="F35" s="236"/>
      <c r="G35" s="246"/>
      <c r="H35" s="230"/>
      <c r="I35" s="229"/>
      <c r="J35" s="228"/>
      <c r="K35" s="232"/>
      <c r="L35" s="243"/>
      <c r="M35" s="232"/>
    </row>
    <row r="36" spans="1:13">
      <c r="A36" s="249"/>
      <c r="B36" s="226"/>
      <c r="C36" s="225"/>
      <c r="D36" s="261"/>
      <c r="F36" s="236"/>
      <c r="G36" s="246"/>
      <c r="H36" s="230"/>
      <c r="I36" s="229"/>
      <c r="J36" s="228"/>
      <c r="K36" s="232"/>
      <c r="L36" s="243"/>
      <c r="M36" s="232"/>
    </row>
    <row r="37" spans="1:13">
      <c r="A37" s="249"/>
      <c r="B37" s="226"/>
      <c r="C37" s="225"/>
      <c r="D37" s="261"/>
      <c r="F37" s="236"/>
      <c r="G37" s="246"/>
      <c r="H37" s="230"/>
      <c r="I37" s="229"/>
      <c r="J37" s="228"/>
      <c r="K37" s="232"/>
      <c r="L37" s="243"/>
      <c r="M37" s="232"/>
    </row>
    <row r="38" spans="1:13">
      <c r="A38" s="249"/>
      <c r="B38" s="226"/>
      <c r="C38" s="225"/>
      <c r="D38" s="261"/>
      <c r="F38" s="236"/>
      <c r="G38" s="246"/>
      <c r="H38" s="230"/>
      <c r="I38" s="229"/>
      <c r="J38" s="228"/>
      <c r="K38" s="232"/>
      <c r="L38" s="243"/>
      <c r="M38" s="232"/>
    </row>
    <row r="39" spans="1:13">
      <c r="A39" s="249"/>
      <c r="B39" s="226"/>
      <c r="C39" s="225"/>
      <c r="D39" s="261"/>
      <c r="F39" s="236"/>
      <c r="G39" s="246"/>
      <c r="H39" s="230"/>
      <c r="I39" s="229"/>
      <c r="J39" s="228"/>
      <c r="K39" s="232"/>
      <c r="L39" s="243"/>
      <c r="M39" s="232"/>
    </row>
    <row r="40" spans="1:13">
      <c r="A40" s="249"/>
      <c r="B40" s="226"/>
      <c r="C40" s="225"/>
      <c r="D40" s="261"/>
      <c r="F40" s="236"/>
      <c r="G40" s="246"/>
      <c r="H40" s="230"/>
      <c r="I40" s="229"/>
      <c r="J40" s="228"/>
      <c r="K40" s="232"/>
      <c r="L40" s="243"/>
      <c r="M40" s="232"/>
    </row>
    <row r="41" spans="1:13">
      <c r="A41" s="249"/>
      <c r="B41" s="226"/>
      <c r="C41" s="225"/>
      <c r="D41" s="261"/>
      <c r="F41" s="236"/>
      <c r="G41" s="246"/>
      <c r="H41" s="230"/>
      <c r="I41" s="229"/>
      <c r="J41" s="228"/>
      <c r="K41" s="232"/>
      <c r="L41" s="243"/>
      <c r="M41" s="232"/>
    </row>
    <row r="42" spans="1:13">
      <c r="A42" s="249"/>
      <c r="B42" s="226"/>
      <c r="C42" s="225"/>
      <c r="D42" s="261"/>
      <c r="F42" s="236"/>
      <c r="G42" s="246"/>
      <c r="H42" s="230"/>
      <c r="I42" s="229"/>
      <c r="J42" s="228"/>
      <c r="K42" s="232"/>
      <c r="L42" s="243"/>
      <c r="M42" s="232"/>
    </row>
    <row r="43" spans="1:13">
      <c r="A43" s="249"/>
      <c r="B43" s="226"/>
      <c r="C43" s="225"/>
      <c r="D43" s="261"/>
      <c r="F43" s="236"/>
      <c r="G43" s="246"/>
      <c r="H43" s="230"/>
      <c r="I43" s="229"/>
      <c r="J43" s="228"/>
      <c r="K43" s="232"/>
      <c r="L43" s="243"/>
      <c r="M43" s="232"/>
    </row>
    <row r="44" spans="1:13">
      <c r="A44" s="249"/>
      <c r="B44" s="226"/>
      <c r="C44" s="225"/>
      <c r="D44" s="261"/>
      <c r="F44" s="236"/>
      <c r="G44" s="246"/>
      <c r="H44" s="230"/>
      <c r="I44" s="229"/>
      <c r="J44" s="228"/>
      <c r="K44" s="232"/>
      <c r="L44" s="243"/>
      <c r="M44" s="232"/>
    </row>
    <row r="45" spans="1:13">
      <c r="A45" s="249"/>
      <c r="B45" s="226"/>
      <c r="C45" s="225"/>
      <c r="D45" s="261"/>
      <c r="F45" s="236"/>
      <c r="G45" s="246"/>
      <c r="H45" s="230"/>
      <c r="I45" s="229"/>
      <c r="J45" s="228"/>
      <c r="K45" s="232"/>
      <c r="L45" s="243"/>
      <c r="M45" s="232"/>
    </row>
    <row r="46" spans="1:13">
      <c r="A46" s="249"/>
      <c r="B46" s="226"/>
      <c r="C46" s="225"/>
      <c r="D46" s="261"/>
      <c r="F46" s="236"/>
      <c r="G46" s="246"/>
      <c r="H46" s="230"/>
      <c r="I46" s="229"/>
      <c r="J46" s="228"/>
      <c r="K46" s="232"/>
      <c r="L46" s="243"/>
      <c r="M46" s="232"/>
    </row>
    <row r="47" spans="1:13">
      <c r="A47" s="249"/>
      <c r="B47" s="226"/>
      <c r="C47" s="225"/>
      <c r="D47" s="261"/>
      <c r="F47" s="236"/>
      <c r="G47" s="246"/>
      <c r="H47" s="230"/>
      <c r="I47" s="229"/>
      <c r="J47" s="228"/>
      <c r="K47" s="232"/>
      <c r="L47" s="243"/>
      <c r="M47" s="232"/>
    </row>
    <row r="48" spans="1:13">
      <c r="A48" s="249"/>
      <c r="B48" s="226"/>
      <c r="C48" s="225"/>
      <c r="D48" s="261"/>
      <c r="F48" s="236"/>
      <c r="G48" s="246"/>
      <c r="H48" s="230"/>
      <c r="I48" s="229"/>
      <c r="J48" s="228"/>
      <c r="K48" s="232"/>
      <c r="L48" s="243"/>
      <c r="M48" s="232"/>
    </row>
    <row r="49" spans="1:13">
      <c r="A49" s="249"/>
      <c r="B49" s="226"/>
      <c r="C49" s="225"/>
      <c r="D49" s="261"/>
      <c r="F49" s="236"/>
      <c r="G49" s="246"/>
      <c r="H49" s="230"/>
      <c r="I49" s="229"/>
      <c r="J49" s="228"/>
      <c r="K49" s="232"/>
      <c r="L49" s="243"/>
      <c r="M49" s="232"/>
    </row>
    <row r="50" spans="1:13">
      <c r="A50" s="249"/>
      <c r="B50" s="226"/>
      <c r="C50" s="225"/>
      <c r="D50" s="261"/>
      <c r="F50" s="236"/>
      <c r="G50" s="246"/>
      <c r="H50" s="230"/>
      <c r="I50" s="229"/>
      <c r="J50" s="228"/>
      <c r="K50" s="232"/>
      <c r="L50" s="243"/>
      <c r="M50" s="232"/>
    </row>
    <row r="51" spans="1:13">
      <c r="A51" s="249"/>
      <c r="B51" s="226"/>
      <c r="C51" s="225"/>
      <c r="D51" s="261"/>
      <c r="F51" s="236"/>
      <c r="G51" s="246"/>
      <c r="H51" s="230"/>
      <c r="I51" s="229"/>
      <c r="J51" s="228"/>
      <c r="K51" s="232"/>
      <c r="L51" s="243"/>
      <c r="M51" s="232"/>
    </row>
    <row r="52" spans="1:13">
      <c r="A52" s="249"/>
      <c r="B52" s="226"/>
      <c r="C52" s="225"/>
      <c r="D52" s="261"/>
      <c r="F52" s="236"/>
      <c r="G52" s="246"/>
      <c r="H52" s="230"/>
      <c r="I52" s="229"/>
      <c r="J52" s="228"/>
      <c r="K52" s="232"/>
      <c r="L52" s="243"/>
      <c r="M52" s="232"/>
    </row>
    <row r="53" spans="1:13">
      <c r="A53" s="249"/>
      <c r="B53" s="226"/>
      <c r="C53" s="225"/>
      <c r="D53" s="261"/>
      <c r="F53" s="236"/>
      <c r="G53" s="246"/>
      <c r="H53" s="230"/>
      <c r="I53" s="229"/>
      <c r="J53" s="228"/>
      <c r="K53" s="232"/>
      <c r="L53" s="243"/>
      <c r="M53" s="232"/>
    </row>
    <row r="54" spans="1:13">
      <c r="A54" s="249"/>
      <c r="B54" s="226"/>
      <c r="C54" s="225"/>
      <c r="D54" s="261"/>
      <c r="F54" s="236"/>
      <c r="G54" s="246"/>
      <c r="H54" s="230"/>
      <c r="I54" s="229"/>
      <c r="J54" s="228"/>
      <c r="K54" s="232"/>
      <c r="L54" s="243"/>
      <c r="M54" s="232"/>
    </row>
    <row r="55" spans="1:13">
      <c r="A55" s="249"/>
      <c r="B55" s="226"/>
      <c r="C55" s="225"/>
      <c r="D55" s="261"/>
      <c r="F55" s="236"/>
      <c r="G55" s="246"/>
      <c r="H55" s="230"/>
      <c r="I55" s="229"/>
      <c r="J55" s="228"/>
      <c r="K55" s="232"/>
      <c r="L55" s="243"/>
      <c r="M55" s="232"/>
    </row>
    <row r="56" spans="1:13">
      <c r="A56" s="249"/>
      <c r="B56" s="226"/>
      <c r="C56" s="225"/>
      <c r="D56" s="261"/>
      <c r="F56" s="236"/>
      <c r="G56" s="246"/>
      <c r="H56" s="230"/>
      <c r="I56" s="229"/>
      <c r="J56" s="228"/>
      <c r="K56" s="232"/>
      <c r="L56" s="243"/>
      <c r="M56" s="232"/>
    </row>
    <row r="57" spans="1:13">
      <c r="A57" s="249"/>
      <c r="B57" s="226"/>
      <c r="C57" s="225"/>
      <c r="D57" s="261"/>
      <c r="F57" s="236"/>
      <c r="G57" s="246"/>
      <c r="H57" s="230"/>
      <c r="I57" s="229"/>
      <c r="J57" s="228"/>
      <c r="K57" s="232"/>
      <c r="L57" s="243"/>
      <c r="M57" s="232"/>
    </row>
    <row r="58" spans="1:13">
      <c r="A58" s="249"/>
      <c r="B58" s="226"/>
      <c r="C58" s="225"/>
      <c r="D58" s="261"/>
      <c r="F58" s="236"/>
      <c r="G58" s="246"/>
      <c r="H58" s="230"/>
      <c r="I58" s="229"/>
      <c r="J58" s="228"/>
      <c r="K58" s="232"/>
      <c r="L58" s="243"/>
      <c r="M58" s="232"/>
    </row>
    <row r="59" spans="1:13">
      <c r="A59" s="249"/>
      <c r="B59" s="226"/>
      <c r="C59" s="225"/>
      <c r="D59" s="261"/>
      <c r="F59" s="236"/>
      <c r="G59" s="246"/>
      <c r="H59" s="230"/>
      <c r="I59" s="229"/>
      <c r="J59" s="228"/>
      <c r="K59" s="232"/>
      <c r="L59" s="243"/>
      <c r="M59" s="232"/>
    </row>
    <row r="60" spans="1:13">
      <c r="A60" s="249"/>
      <c r="B60" s="226"/>
      <c r="C60" s="225"/>
      <c r="D60" s="261"/>
      <c r="F60" s="236"/>
      <c r="G60" s="246"/>
      <c r="H60" s="230"/>
      <c r="I60" s="229"/>
      <c r="J60" s="228"/>
      <c r="K60" s="232"/>
      <c r="L60" s="243"/>
      <c r="M60" s="232"/>
    </row>
    <row r="61" spans="1:13">
      <c r="A61" s="249"/>
      <c r="B61" s="226"/>
      <c r="C61" s="225"/>
      <c r="D61" s="261"/>
      <c r="F61" s="236"/>
      <c r="G61" s="246"/>
      <c r="H61" s="230"/>
      <c r="I61" s="229"/>
      <c r="J61" s="228"/>
      <c r="K61" s="232"/>
      <c r="L61" s="243"/>
      <c r="M61" s="232"/>
    </row>
    <row r="62" spans="1:13">
      <c r="A62" s="249"/>
      <c r="B62" s="226"/>
      <c r="C62" s="225"/>
      <c r="D62" s="261"/>
      <c r="F62" s="236"/>
      <c r="G62" s="246"/>
      <c r="H62" s="230"/>
      <c r="I62" s="229"/>
      <c r="J62" s="228"/>
      <c r="K62" s="232"/>
      <c r="L62" s="243"/>
      <c r="M62" s="232"/>
    </row>
    <row r="63" spans="1:13">
      <c r="A63" s="249"/>
      <c r="B63" s="226"/>
      <c r="C63" s="225"/>
      <c r="D63" s="261"/>
      <c r="F63" s="236"/>
      <c r="G63" s="246"/>
      <c r="H63" s="230"/>
      <c r="I63" s="229"/>
      <c r="J63" s="228"/>
      <c r="K63" s="232"/>
      <c r="L63" s="243"/>
      <c r="M63" s="232"/>
    </row>
    <row r="64" spans="1:13">
      <c r="A64" s="249"/>
      <c r="B64" s="226"/>
      <c r="C64" s="225"/>
      <c r="D64" s="261"/>
      <c r="F64" s="236"/>
      <c r="G64" s="246"/>
      <c r="H64" s="230"/>
      <c r="I64" s="229"/>
      <c r="J64" s="228"/>
      <c r="K64" s="232"/>
      <c r="L64" s="243"/>
      <c r="M64" s="232"/>
    </row>
    <row r="65" spans="1:13">
      <c r="A65" s="249"/>
      <c r="B65" s="226"/>
      <c r="C65" s="225"/>
      <c r="D65" s="261"/>
      <c r="F65" s="236"/>
      <c r="G65" s="246"/>
      <c r="H65" s="230"/>
      <c r="I65" s="229"/>
      <c r="J65" s="228"/>
      <c r="K65" s="232"/>
      <c r="L65" s="243"/>
      <c r="M65" s="232"/>
    </row>
    <row r="66" spans="1:13">
      <c r="A66" s="249"/>
      <c r="B66" s="226"/>
      <c r="C66" s="225"/>
      <c r="D66" s="261"/>
      <c r="F66" s="236"/>
      <c r="G66" s="246"/>
      <c r="H66" s="230"/>
      <c r="I66" s="229"/>
      <c r="J66" s="228"/>
      <c r="K66" s="232"/>
      <c r="L66" s="243"/>
      <c r="M66" s="232"/>
    </row>
    <row r="67" spans="1:13">
      <c r="A67" s="249"/>
      <c r="B67" s="226"/>
      <c r="C67" s="225"/>
      <c r="D67" s="261"/>
      <c r="F67" s="236"/>
      <c r="G67" s="246"/>
      <c r="H67" s="230"/>
      <c r="I67" s="229"/>
      <c r="J67" s="228"/>
      <c r="K67" s="232"/>
      <c r="L67" s="243"/>
      <c r="M67" s="232"/>
    </row>
    <row r="68" spans="1:13">
      <c r="A68" s="249"/>
      <c r="B68" s="226"/>
      <c r="C68" s="225"/>
      <c r="D68" s="261"/>
      <c r="F68" s="236"/>
      <c r="G68" s="246"/>
      <c r="H68" s="230"/>
      <c r="I68" s="229"/>
      <c r="J68" s="228"/>
      <c r="K68" s="232"/>
      <c r="L68" s="243"/>
      <c r="M68" s="232"/>
    </row>
    <row r="69" spans="1:13">
      <c r="A69" s="249"/>
      <c r="B69" s="226"/>
      <c r="C69" s="225"/>
      <c r="D69" s="261"/>
      <c r="F69" s="236"/>
      <c r="G69" s="246"/>
      <c r="H69" s="230"/>
      <c r="I69" s="229"/>
      <c r="J69" s="228"/>
      <c r="K69" s="232"/>
      <c r="L69" s="243"/>
      <c r="M69" s="232"/>
    </row>
    <row r="70" spans="1:13">
      <c r="A70" s="249"/>
      <c r="B70" s="226"/>
      <c r="C70" s="225"/>
      <c r="D70" s="261"/>
      <c r="F70" s="236"/>
      <c r="G70" s="246"/>
      <c r="H70" s="230"/>
      <c r="I70" s="229"/>
      <c r="J70" s="228"/>
      <c r="K70" s="232"/>
      <c r="L70" s="243"/>
      <c r="M70" s="232"/>
    </row>
    <row r="71" spans="1:13">
      <c r="A71" s="249"/>
      <c r="B71" s="226"/>
      <c r="C71" s="225"/>
      <c r="D71" s="261"/>
      <c r="F71" s="236"/>
      <c r="G71" s="246"/>
      <c r="H71" s="230"/>
      <c r="I71" s="229"/>
      <c r="J71" s="228"/>
      <c r="K71" s="232"/>
      <c r="L71" s="243"/>
      <c r="M71" s="232"/>
    </row>
    <row r="72" spans="1:13">
      <c r="A72" s="249"/>
      <c r="B72" s="226"/>
      <c r="C72" s="225"/>
      <c r="D72" s="261"/>
      <c r="F72" s="236"/>
      <c r="G72" s="246"/>
      <c r="H72" s="230"/>
      <c r="I72" s="229"/>
      <c r="J72" s="228"/>
      <c r="K72" s="232"/>
      <c r="L72" s="243"/>
      <c r="M72" s="232"/>
    </row>
    <row r="73" spans="1:13">
      <c r="A73" s="249"/>
      <c r="B73" s="226"/>
      <c r="C73" s="225"/>
      <c r="D73" s="261"/>
      <c r="F73" s="236"/>
      <c r="G73" s="246"/>
      <c r="H73" s="230"/>
      <c r="I73" s="229"/>
      <c r="J73" s="228"/>
      <c r="K73" s="232"/>
      <c r="L73" s="243"/>
      <c r="M73" s="232"/>
    </row>
    <row r="74" spans="1:13">
      <c r="A74" s="249"/>
      <c r="B74" s="226"/>
      <c r="C74" s="225"/>
      <c r="D74" s="261"/>
      <c r="F74" s="236"/>
      <c r="G74" s="246"/>
      <c r="H74" s="230"/>
      <c r="I74" s="229"/>
      <c r="J74" s="228"/>
      <c r="K74" s="232"/>
      <c r="L74" s="243"/>
      <c r="M74" s="232"/>
    </row>
    <row r="75" spans="1:13">
      <c r="A75" s="249"/>
      <c r="B75" s="226"/>
      <c r="C75" s="225"/>
      <c r="D75" s="261"/>
      <c r="F75" s="236"/>
      <c r="G75" s="246"/>
      <c r="H75" s="230"/>
      <c r="I75" s="229"/>
      <c r="J75" s="228"/>
      <c r="K75" s="232"/>
      <c r="L75" s="243"/>
      <c r="M75" s="232"/>
    </row>
    <row r="76" spans="1:13">
      <c r="A76" s="249"/>
      <c r="B76" s="226"/>
      <c r="C76" s="225"/>
      <c r="D76" s="261"/>
      <c r="F76" s="236"/>
      <c r="G76" s="246"/>
      <c r="H76" s="230"/>
      <c r="I76" s="229"/>
      <c r="J76" s="228"/>
      <c r="K76" s="232"/>
      <c r="L76" s="243"/>
      <c r="M76" s="232"/>
    </row>
    <row r="77" spans="1:13">
      <c r="A77" s="249"/>
      <c r="B77" s="226"/>
      <c r="C77" s="225"/>
      <c r="D77" s="261"/>
      <c r="F77" s="236"/>
      <c r="G77" s="246"/>
      <c r="H77" s="230"/>
      <c r="I77" s="229"/>
      <c r="J77" s="228"/>
      <c r="K77" s="232"/>
      <c r="L77" s="243"/>
      <c r="M77" s="232"/>
    </row>
    <row r="78" spans="1:13">
      <c r="A78" s="249"/>
      <c r="B78" s="226"/>
      <c r="C78" s="225"/>
      <c r="D78" s="261"/>
      <c r="F78" s="236"/>
      <c r="G78" s="246"/>
      <c r="H78" s="230"/>
      <c r="I78" s="229"/>
      <c r="J78" s="228"/>
      <c r="K78" s="232"/>
      <c r="L78" s="243"/>
      <c r="M78" s="232"/>
    </row>
    <row r="79" spans="1:13">
      <c r="A79" s="249"/>
      <c r="B79" s="226"/>
      <c r="C79" s="225"/>
      <c r="D79" s="261"/>
      <c r="F79" s="236"/>
      <c r="G79" s="246"/>
      <c r="H79" s="230"/>
      <c r="I79" s="229"/>
      <c r="J79" s="228"/>
      <c r="K79" s="232"/>
      <c r="L79" s="243"/>
      <c r="M79" s="232"/>
    </row>
    <row r="80" spans="1:13">
      <c r="A80" s="249"/>
      <c r="B80" s="226"/>
      <c r="C80" s="225"/>
      <c r="D80" s="261"/>
      <c r="F80" s="236"/>
      <c r="G80" s="246"/>
      <c r="H80" s="230"/>
      <c r="I80" s="229"/>
      <c r="J80" s="228"/>
      <c r="K80" s="232"/>
      <c r="L80" s="243"/>
      <c r="M80" s="232"/>
    </row>
    <row r="81" spans="1:13">
      <c r="A81" s="249"/>
      <c r="B81" s="226"/>
      <c r="C81" s="225"/>
      <c r="D81" s="261"/>
      <c r="F81" s="236"/>
      <c r="G81" s="246"/>
      <c r="H81" s="230"/>
      <c r="I81" s="229"/>
      <c r="J81" s="228"/>
      <c r="K81" s="232"/>
      <c r="L81" s="243"/>
      <c r="M81" s="232"/>
    </row>
    <row r="82" spans="1:13">
      <c r="A82" s="249"/>
      <c r="B82" s="226"/>
      <c r="C82" s="225"/>
      <c r="D82" s="261"/>
      <c r="F82" s="236"/>
      <c r="G82" s="246"/>
      <c r="H82" s="230"/>
      <c r="I82" s="229"/>
      <c r="J82" s="228"/>
      <c r="K82" s="232"/>
      <c r="L82" s="243"/>
      <c r="M82" s="232"/>
    </row>
    <row r="83" spans="1:13">
      <c r="A83" s="249"/>
      <c r="B83" s="226"/>
      <c r="C83" s="225"/>
      <c r="D83" s="261"/>
      <c r="F83" s="236"/>
      <c r="G83" s="246"/>
      <c r="H83" s="230"/>
      <c r="I83" s="229"/>
      <c r="J83" s="228"/>
      <c r="K83" s="232"/>
      <c r="L83" s="243"/>
      <c r="M83" s="232"/>
    </row>
    <row r="84" spans="1:13">
      <c r="A84" s="249"/>
      <c r="B84" s="226"/>
      <c r="C84" s="225"/>
      <c r="D84" s="261"/>
      <c r="F84" s="236"/>
      <c r="G84" s="246"/>
      <c r="H84" s="230"/>
      <c r="I84" s="229"/>
      <c r="J84" s="228"/>
      <c r="K84" s="232"/>
      <c r="L84" s="243"/>
      <c r="M84" s="232"/>
    </row>
    <row r="85" spans="1:13">
      <c r="A85" s="249"/>
      <c r="B85" s="226"/>
      <c r="C85" s="225"/>
      <c r="D85" s="261"/>
      <c r="F85" s="236"/>
      <c r="G85" s="246"/>
      <c r="H85" s="230"/>
      <c r="I85" s="229"/>
      <c r="J85" s="228"/>
      <c r="K85" s="232"/>
      <c r="L85" s="243"/>
      <c r="M85" s="232"/>
    </row>
    <row r="86" spans="1:13">
      <c r="A86" s="249"/>
      <c r="B86" s="226"/>
      <c r="C86" s="225"/>
      <c r="D86" s="261"/>
      <c r="F86" s="236"/>
      <c r="G86" s="246"/>
      <c r="H86" s="230"/>
      <c r="I86" s="229"/>
      <c r="J86" s="228"/>
      <c r="K86" s="232"/>
      <c r="L86" s="243"/>
      <c r="M86" s="232"/>
    </row>
    <row r="87" spans="1:13">
      <c r="A87" s="249"/>
      <c r="B87" s="226"/>
      <c r="C87" s="225"/>
      <c r="D87" s="261"/>
      <c r="F87" s="236"/>
      <c r="G87" s="246"/>
      <c r="H87" s="230"/>
      <c r="I87" s="229"/>
      <c r="J87" s="228"/>
      <c r="K87" s="232"/>
      <c r="L87" s="243"/>
      <c r="M87" s="232"/>
    </row>
    <row r="88" spans="1:13">
      <c r="A88" s="249"/>
      <c r="B88" s="226"/>
      <c r="C88" s="225"/>
      <c r="D88" s="261"/>
      <c r="F88" s="236"/>
      <c r="G88" s="246"/>
      <c r="H88" s="230"/>
      <c r="I88" s="229"/>
      <c r="J88" s="228"/>
      <c r="K88" s="232"/>
      <c r="L88" s="243"/>
      <c r="M88" s="232"/>
    </row>
    <row r="89" spans="1:13">
      <c r="A89" s="249"/>
      <c r="B89" s="226"/>
      <c r="C89" s="225"/>
      <c r="D89" s="261"/>
      <c r="F89" s="236"/>
      <c r="G89" s="246"/>
      <c r="H89" s="230"/>
      <c r="I89" s="229"/>
      <c r="J89" s="228"/>
      <c r="K89" s="232"/>
      <c r="L89" s="243"/>
      <c r="M89" s="232"/>
    </row>
    <row r="90" spans="1:13">
      <c r="A90" s="249"/>
      <c r="B90" s="226"/>
      <c r="C90" s="225"/>
      <c r="D90" s="261"/>
      <c r="F90" s="236"/>
      <c r="G90" s="246"/>
      <c r="H90" s="230"/>
      <c r="I90" s="229"/>
      <c r="J90" s="228"/>
      <c r="K90" s="232"/>
      <c r="L90" s="243"/>
      <c r="M90" s="232"/>
    </row>
    <row r="91" spans="1:13">
      <c r="A91" s="249"/>
      <c r="B91" s="226"/>
      <c r="C91" s="225"/>
      <c r="D91" s="261"/>
      <c r="F91" s="236"/>
      <c r="G91" s="246"/>
      <c r="H91" s="230"/>
      <c r="I91" s="229"/>
      <c r="J91" s="228"/>
      <c r="K91" s="232"/>
      <c r="L91" s="243"/>
      <c r="M91" s="232"/>
    </row>
    <row r="92" spans="1:13">
      <c r="A92" s="249"/>
      <c r="B92" s="226"/>
      <c r="C92" s="225"/>
      <c r="D92" s="261"/>
      <c r="F92" s="236"/>
      <c r="G92" s="246"/>
      <c r="H92" s="230"/>
      <c r="I92" s="229"/>
      <c r="J92" s="228"/>
      <c r="K92" s="232"/>
      <c r="L92" s="243"/>
      <c r="M92" s="232"/>
    </row>
    <row r="93" spans="1:13">
      <c r="A93" s="249"/>
      <c r="B93" s="226"/>
      <c r="C93" s="225"/>
      <c r="D93" s="261"/>
      <c r="F93" s="236"/>
      <c r="G93" s="246"/>
      <c r="H93" s="230"/>
      <c r="I93" s="229"/>
      <c r="J93" s="228"/>
      <c r="K93" s="232"/>
      <c r="L93" s="243"/>
      <c r="M93" s="232"/>
    </row>
    <row r="94" spans="1:13">
      <c r="A94" s="249"/>
      <c r="B94" s="226"/>
      <c r="C94" s="225"/>
      <c r="D94" s="261"/>
      <c r="F94" s="236"/>
      <c r="G94" s="246"/>
      <c r="H94" s="230"/>
      <c r="I94" s="229"/>
      <c r="J94" s="228"/>
      <c r="K94" s="232"/>
      <c r="L94" s="243"/>
      <c r="M94" s="232"/>
    </row>
    <row r="95" spans="1:13">
      <c r="A95" s="249"/>
      <c r="B95" s="226"/>
      <c r="C95" s="225"/>
      <c r="D95" s="261"/>
      <c r="F95" s="236"/>
      <c r="G95" s="246"/>
      <c r="H95" s="230"/>
      <c r="I95" s="229"/>
      <c r="J95" s="228"/>
      <c r="K95" s="232"/>
      <c r="L95" s="243"/>
      <c r="M95" s="232"/>
    </row>
    <row r="96" spans="1:13">
      <c r="A96" s="249"/>
      <c r="B96" s="226"/>
      <c r="C96" s="225"/>
      <c r="D96" s="261"/>
      <c r="F96" s="236"/>
      <c r="G96" s="246"/>
      <c r="H96" s="230"/>
      <c r="I96" s="229"/>
      <c r="J96" s="228"/>
      <c r="K96" s="232"/>
      <c r="L96" s="243"/>
      <c r="M96" s="232"/>
    </row>
    <row r="97" spans="1:13">
      <c r="A97" s="249"/>
      <c r="B97" s="226"/>
      <c r="C97" s="225"/>
      <c r="D97" s="261"/>
      <c r="F97" s="236"/>
      <c r="G97" s="246"/>
      <c r="H97" s="230"/>
      <c r="I97" s="229"/>
      <c r="J97" s="228"/>
      <c r="K97" s="232"/>
      <c r="L97" s="243"/>
      <c r="M97" s="232"/>
    </row>
    <row r="98" spans="1:13">
      <c r="A98" s="249"/>
      <c r="B98" s="226"/>
      <c r="C98" s="225"/>
      <c r="D98" s="261"/>
      <c r="F98" s="236"/>
      <c r="G98" s="246"/>
      <c r="H98" s="230"/>
      <c r="I98" s="229"/>
      <c r="J98" s="228"/>
      <c r="K98" s="232"/>
      <c r="L98" s="243"/>
      <c r="M98" s="232"/>
    </row>
    <row r="99" spans="1:13">
      <c r="A99" s="249"/>
      <c r="B99" s="226"/>
      <c r="C99" s="225"/>
      <c r="D99" s="261"/>
      <c r="F99" s="236"/>
      <c r="G99" s="246"/>
      <c r="H99" s="230"/>
      <c r="I99" s="229"/>
      <c r="J99" s="228"/>
      <c r="K99" s="232"/>
      <c r="L99" s="243"/>
      <c r="M99" s="232"/>
    </row>
    <row r="100" spans="1:13">
      <c r="A100" s="249"/>
      <c r="B100" s="226"/>
      <c r="C100" s="225"/>
      <c r="D100" s="261"/>
      <c r="F100" s="236"/>
      <c r="G100" s="246"/>
      <c r="H100" s="230"/>
      <c r="I100" s="229"/>
      <c r="J100" s="228"/>
      <c r="K100" s="232"/>
      <c r="L100" s="243"/>
      <c r="M100" s="232"/>
    </row>
    <row r="101" spans="1:13">
      <c r="A101" s="249"/>
      <c r="B101" s="226"/>
      <c r="C101" s="225"/>
      <c r="D101" s="261"/>
      <c r="F101" s="236"/>
      <c r="G101" s="246"/>
      <c r="H101" s="230"/>
      <c r="I101" s="229"/>
      <c r="J101" s="228"/>
      <c r="K101" s="232"/>
      <c r="L101" s="243"/>
      <c r="M101" s="232"/>
    </row>
    <row r="102" spans="1:13">
      <c r="A102" s="249"/>
      <c r="B102" s="226"/>
      <c r="C102" s="225"/>
      <c r="D102" s="261"/>
      <c r="F102" s="236"/>
      <c r="G102" s="246"/>
      <c r="H102" s="230"/>
      <c r="I102" s="229"/>
      <c r="J102" s="228"/>
      <c r="K102" s="232"/>
      <c r="L102" s="243"/>
      <c r="M102" s="232"/>
    </row>
    <row r="103" spans="1:13">
      <c r="A103" s="249"/>
      <c r="B103" s="226"/>
      <c r="C103" s="225"/>
      <c r="D103" s="261"/>
      <c r="F103" s="236"/>
      <c r="G103" s="246"/>
      <c r="H103" s="230"/>
      <c r="I103" s="229"/>
      <c r="J103" s="228"/>
      <c r="K103" s="232"/>
      <c r="L103" s="243"/>
      <c r="M103" s="232"/>
    </row>
    <row r="104" spans="1:13">
      <c r="A104" s="249"/>
      <c r="B104" s="226"/>
      <c r="C104" s="225"/>
      <c r="D104" s="261"/>
      <c r="F104" s="236"/>
      <c r="G104" s="246"/>
      <c r="H104" s="230"/>
      <c r="I104" s="229"/>
      <c r="J104" s="228"/>
      <c r="K104" s="232"/>
      <c r="L104" s="243"/>
      <c r="M104" s="232"/>
    </row>
    <row r="105" spans="1:13">
      <c r="A105" s="249"/>
      <c r="B105" s="226"/>
      <c r="C105" s="225"/>
      <c r="D105" s="261"/>
      <c r="F105" s="236"/>
      <c r="G105" s="246"/>
      <c r="H105" s="230"/>
      <c r="I105" s="229"/>
      <c r="J105" s="228"/>
      <c r="K105" s="232"/>
      <c r="L105" s="243"/>
      <c r="M105" s="232"/>
    </row>
    <row r="106" spans="1:13">
      <c r="A106" s="249"/>
      <c r="B106" s="226"/>
      <c r="C106" s="225"/>
      <c r="D106" s="261"/>
      <c r="F106" s="236"/>
      <c r="G106" s="246"/>
      <c r="H106" s="230"/>
      <c r="I106" s="229"/>
      <c r="J106" s="228"/>
      <c r="K106" s="232"/>
      <c r="L106" s="243"/>
      <c r="M106" s="232"/>
    </row>
    <row r="107" spans="1:13">
      <c r="A107" s="249"/>
      <c r="B107" s="226"/>
      <c r="C107" s="225"/>
      <c r="D107" s="261"/>
      <c r="F107" s="236"/>
      <c r="G107" s="246"/>
      <c r="H107" s="230"/>
      <c r="I107" s="229"/>
      <c r="J107" s="228"/>
      <c r="K107" s="232"/>
      <c r="L107" s="243"/>
      <c r="M107" s="232"/>
    </row>
    <row r="108" spans="1:13">
      <c r="A108" s="249"/>
      <c r="B108" s="226"/>
      <c r="C108" s="225"/>
      <c r="D108" s="261"/>
      <c r="F108" s="236"/>
      <c r="G108" s="246"/>
      <c r="H108" s="230"/>
      <c r="I108" s="229"/>
      <c r="J108" s="228"/>
      <c r="K108" s="232"/>
      <c r="L108" s="243"/>
      <c r="M108" s="232"/>
    </row>
    <row r="109" spans="1:13">
      <c r="A109" s="249"/>
      <c r="B109" s="226"/>
      <c r="C109" s="225"/>
      <c r="D109" s="261"/>
      <c r="F109" s="236"/>
      <c r="G109" s="246"/>
      <c r="H109" s="230"/>
      <c r="I109" s="229"/>
      <c r="J109" s="228"/>
      <c r="K109" s="232"/>
      <c r="L109" s="243"/>
      <c r="M109" s="232"/>
    </row>
    <row r="110" spans="1:13">
      <c r="A110" s="249"/>
      <c r="B110" s="226"/>
      <c r="C110" s="225"/>
      <c r="D110" s="261"/>
      <c r="F110" s="236"/>
      <c r="G110" s="246"/>
      <c r="H110" s="230"/>
      <c r="I110" s="229"/>
      <c r="J110" s="228"/>
      <c r="K110" s="232"/>
      <c r="L110" s="243"/>
      <c r="M110" s="232"/>
    </row>
    <row r="111" spans="1:13">
      <c r="A111" s="249"/>
      <c r="B111" s="226"/>
      <c r="C111" s="225"/>
      <c r="D111" s="261"/>
      <c r="F111" s="236"/>
      <c r="G111" s="246"/>
      <c r="H111" s="230"/>
      <c r="I111" s="229"/>
      <c r="J111" s="228"/>
      <c r="K111" s="232"/>
      <c r="L111" s="243"/>
      <c r="M111" s="232"/>
    </row>
    <row r="112" spans="1:13">
      <c r="A112" s="249"/>
      <c r="B112" s="226"/>
      <c r="C112" s="225"/>
      <c r="D112" s="261"/>
      <c r="F112" s="236"/>
      <c r="G112" s="246"/>
      <c r="H112" s="230"/>
      <c r="I112" s="229"/>
      <c r="J112" s="228"/>
      <c r="K112" s="232"/>
      <c r="L112" s="243"/>
      <c r="M112" s="232"/>
    </row>
    <row r="113" spans="1:13">
      <c r="A113" s="249"/>
      <c r="B113" s="226"/>
      <c r="C113" s="225"/>
      <c r="D113" s="261"/>
      <c r="F113" s="236"/>
      <c r="G113" s="246"/>
      <c r="H113" s="230"/>
      <c r="I113" s="229"/>
      <c r="J113" s="228"/>
      <c r="K113" s="232"/>
      <c r="L113" s="243"/>
      <c r="M113" s="232"/>
    </row>
    <row r="114" spans="1:13">
      <c r="A114" s="249"/>
      <c r="B114" s="226"/>
      <c r="C114" s="225"/>
      <c r="D114" s="261"/>
      <c r="F114" s="236"/>
      <c r="G114" s="246"/>
      <c r="H114" s="230"/>
      <c r="I114" s="229"/>
      <c r="J114" s="228"/>
      <c r="K114" s="232"/>
      <c r="L114" s="243"/>
      <c r="M114" s="232"/>
    </row>
    <row r="115" spans="1:13">
      <c r="A115" s="249"/>
      <c r="B115" s="226"/>
      <c r="C115" s="225"/>
      <c r="D115" s="261"/>
      <c r="F115" s="236"/>
      <c r="G115" s="246"/>
      <c r="H115" s="230"/>
      <c r="I115" s="229"/>
      <c r="J115" s="228"/>
      <c r="K115" s="232"/>
      <c r="L115" s="243"/>
      <c r="M115" s="232"/>
    </row>
    <row r="116" spans="1:13">
      <c r="A116" s="249"/>
      <c r="B116" s="226"/>
      <c r="C116" s="225"/>
      <c r="D116" s="261"/>
      <c r="F116" s="236"/>
      <c r="G116" s="246"/>
      <c r="H116" s="230"/>
      <c r="I116" s="229"/>
      <c r="J116" s="228"/>
      <c r="K116" s="232"/>
      <c r="L116" s="243"/>
      <c r="M116" s="232"/>
    </row>
    <row r="117" spans="1:13">
      <c r="A117" s="249"/>
      <c r="B117" s="226"/>
      <c r="C117" s="225"/>
      <c r="D117" s="261"/>
      <c r="F117" s="236"/>
      <c r="G117" s="246"/>
      <c r="H117" s="230"/>
      <c r="I117" s="229"/>
      <c r="J117" s="228"/>
      <c r="K117" s="232"/>
      <c r="L117" s="243"/>
      <c r="M117" s="232"/>
    </row>
    <row r="118" spans="1:13">
      <c r="A118" s="249"/>
      <c r="B118" s="226"/>
      <c r="C118" s="225"/>
      <c r="D118" s="261"/>
      <c r="F118" s="236"/>
      <c r="G118" s="246"/>
      <c r="H118" s="230"/>
      <c r="I118" s="229"/>
      <c r="J118" s="228"/>
      <c r="K118" s="232"/>
      <c r="L118" s="243"/>
      <c r="M118" s="232"/>
    </row>
    <row r="119" spans="1:13">
      <c r="A119" s="249"/>
      <c r="B119" s="226"/>
      <c r="C119" s="225"/>
      <c r="D119" s="261"/>
      <c r="F119" s="236"/>
      <c r="G119" s="246"/>
      <c r="H119" s="230"/>
      <c r="I119" s="229"/>
      <c r="J119" s="228"/>
      <c r="K119" s="232"/>
      <c r="L119" s="243"/>
      <c r="M119" s="232"/>
    </row>
  </sheetData>
  <mergeCells count="1">
    <mergeCell ref="O1:O10"/>
  </mergeCells>
  <phoneticPr fontId="3" type="noConversion"/>
  <conditionalFormatting sqref="M1:M1048576">
    <cfRule type="cellIs" dxfId="614" priority="15" operator="lessThan">
      <formula>3</formula>
    </cfRule>
  </conditionalFormatting>
  <conditionalFormatting sqref="L1:L1048576">
    <cfRule type="cellIs" dxfId="613" priority="12" operator="lessThan">
      <formula>-0.02</formula>
    </cfRule>
    <cfRule type="cellIs" dxfId="612" priority="13" operator="between">
      <formula>-0.01</formula>
      <formula>-0.02</formula>
    </cfRule>
  </conditionalFormatting>
  <conditionalFormatting sqref="I2:I1048576">
    <cfRule type="colorScale" priority="10">
      <colorScale>
        <cfvo type="min"/>
        <cfvo type="num" val="0.1"/>
        <cfvo type="num" val="0.2"/>
        <color theme="0"/>
        <color theme="9" tint="0.79998168889431442"/>
        <color theme="9" tint="0.39997558519241921"/>
      </colorScale>
    </cfRule>
  </conditionalFormatting>
  <conditionalFormatting sqref="I11:I119">
    <cfRule type="colorScale" priority="61">
      <colorScale>
        <cfvo type="min"/>
        <cfvo type="num" val="0.1"/>
        <cfvo type="num" val="0.2"/>
        <color theme="0"/>
        <color theme="9" tint="0.79998168889431442"/>
        <color theme="9" tint="0.39997558519241921"/>
      </colorScale>
    </cfRule>
  </conditionalFormatting>
  <conditionalFormatting sqref="I11">
    <cfRule type="colorScale" priority="62">
      <colorScale>
        <cfvo type="min"/>
        <cfvo type="num" val="0.1"/>
        <cfvo type="num" val="0.2"/>
        <color theme="0"/>
        <color theme="9" tint="0.79998168889431442"/>
        <color theme="9" tint="0.39997558519241921"/>
      </colorScale>
    </cfRule>
  </conditionalFormatting>
  <dataValidations count="1">
    <dataValidation type="list" allowBlank="1" showInputMessage="1" showErrorMessage="1" sqref="G2:G28" xr:uid="{6B688229-F1C0-4CFF-93B2-24F044A1E2BC}">
      <formula1>OFFSET($P$1,,,SUMPRODUCT(N($Q:$Q&lt;&gt;"")))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9" tint="0.79998168889431442"/>
  </sheetPr>
  <dimension ref="A1:W1006"/>
  <sheetViews>
    <sheetView zoomScaleNormal="100" workbookViewId="0">
      <selection activeCell="M2" sqref="M2"/>
    </sheetView>
  </sheetViews>
  <sheetFormatPr defaultColWidth="8.75" defaultRowHeight="14.25"/>
  <cols>
    <col min="1" max="1" width="8.625" style="83" customWidth="1"/>
    <col min="2" max="2" width="12.625" style="84" customWidth="1"/>
    <col min="3" max="3" width="8.625" style="85" customWidth="1"/>
    <col min="4" max="4" width="10.75" style="82" customWidth="1"/>
    <col min="5" max="5" width="8.5" style="82" hidden="1" customWidth="1"/>
    <col min="6" max="6" width="8.625" style="190" customWidth="1"/>
    <col min="7" max="7" width="12.625" style="84" customWidth="1"/>
    <col min="8" max="8" width="8.625" style="85" customWidth="1"/>
    <col min="9" max="9" width="10.75" style="82" customWidth="1"/>
    <col min="10" max="10" width="8.625" style="81" hidden="1" customWidth="1"/>
    <col min="11" max="11" width="8.625" style="197" customWidth="1"/>
    <col min="12" max="12" width="8.625" style="9" customWidth="1"/>
    <col min="13" max="13" width="10.625" style="5" customWidth="1"/>
    <col min="14" max="14" width="8.625" style="5" customWidth="1"/>
    <col min="15" max="15" width="10.75" style="5" customWidth="1"/>
    <col min="16" max="16" width="8.875" style="199" bestFit="1" customWidth="1"/>
    <col min="17" max="17" width="9" style="106" bestFit="1" customWidth="1"/>
    <col min="18" max="18" width="10.75" style="110" customWidth="1"/>
    <col min="19" max="19" width="8.625" style="209" customWidth="1"/>
    <col min="20" max="20" width="8.625" style="114" customWidth="1"/>
    <col min="21" max="21" width="8.625" style="95" customWidth="1"/>
    <col min="22" max="22" width="8.625" style="114" customWidth="1"/>
    <col min="23" max="23" width="8.75" style="79"/>
    <col min="24" max="16384" width="8.75" style="5"/>
  </cols>
  <sheetData>
    <row r="1" spans="1:22" ht="16.5">
      <c r="A1" s="210" t="s">
        <v>2801</v>
      </c>
      <c r="B1" s="102" t="s">
        <v>2838</v>
      </c>
      <c r="C1" s="130" t="s">
        <v>2840</v>
      </c>
      <c r="D1" s="213"/>
      <c r="E1" s="80"/>
      <c r="F1" s="210" t="s">
        <v>2801</v>
      </c>
      <c r="G1" s="212" t="s">
        <v>2805</v>
      </c>
      <c r="H1" s="129" t="s">
        <v>2843</v>
      </c>
      <c r="I1" s="77"/>
      <c r="K1" s="216" t="s">
        <v>2847</v>
      </c>
      <c r="L1" s="101" t="s">
        <v>2695</v>
      </c>
      <c r="M1" s="81">
        <f>SUMIF(K4:K1005,L1,O4:O1005)</f>
        <v>137500</v>
      </c>
      <c r="N1" s="214" t="s">
        <v>2857</v>
      </c>
      <c r="O1" s="18"/>
      <c r="P1" s="198" t="s">
        <v>2819</v>
      </c>
      <c r="Q1" s="103"/>
      <c r="R1" s="110">
        <f>SUM(R4:R14)</f>
        <v>0</v>
      </c>
      <c r="S1" s="93"/>
      <c r="T1" s="92"/>
      <c r="U1" s="93"/>
      <c r="V1" s="92"/>
    </row>
    <row r="2" spans="1:22" s="79" customFormat="1" ht="16.5">
      <c r="A2" s="219" t="s">
        <v>2846</v>
      </c>
      <c r="B2" s="217"/>
      <c r="C2" s="129" t="s">
        <v>2839</v>
      </c>
      <c r="D2" s="77"/>
      <c r="E2" s="81" t="str">
        <f>IF($B2="","",IFERROR(INDEX(收盤1,MATCH($B2,代號1,0)),IFERROR(INDEX(收盤2,MATCH($B2,代號2,0)),IFERROR(INDEX(收盤3,MATCH($B2,代號3,0)),INDEX(收盤4,MATCH($B2,代號4,0)))))*$D2)</f>
        <v/>
      </c>
      <c r="F2" s="220" t="s">
        <v>2845</v>
      </c>
      <c r="G2" s="218"/>
      <c r="H2" s="129" t="s">
        <v>2844</v>
      </c>
      <c r="I2" s="77"/>
      <c r="J2" s="81" t="str">
        <f>IF($B2="","",IFERROR(INDEX(收盤1,MATCH($B2,代號1,0)),IFERROR(INDEX(收盤2,MATCH($B2,代號2,0)),IFERROR(INDEX(收盤3,MATCH($B2,代號3,0)),INDEX(收盤4,MATCH($B2,代號4,0)))))*$D2)</f>
        <v/>
      </c>
      <c r="K2" s="216" t="s">
        <v>2847</v>
      </c>
      <c r="L2" s="101" t="s">
        <v>2827</v>
      </c>
      <c r="M2" s="81">
        <f>SUM(O:O)-M1</f>
        <v>890200</v>
      </c>
      <c r="N2" s="214" t="s">
        <v>2858</v>
      </c>
      <c r="O2" s="81"/>
      <c r="P2" s="107"/>
      <c r="Q2" s="106"/>
      <c r="R2" s="110"/>
      <c r="S2" s="93"/>
      <c r="T2" s="92"/>
      <c r="U2" s="93"/>
      <c r="V2" s="92"/>
    </row>
    <row r="3" spans="1:22">
      <c r="A3" s="270" t="s">
        <v>16</v>
      </c>
      <c r="B3" s="270" t="s">
        <v>38</v>
      </c>
      <c r="C3" s="273" t="s">
        <v>2804</v>
      </c>
      <c r="D3" s="86" t="s">
        <v>2806</v>
      </c>
      <c r="E3" s="89" t="s">
        <v>39</v>
      </c>
      <c r="F3" s="87" t="s">
        <v>16</v>
      </c>
      <c r="G3" s="87" t="s">
        <v>38</v>
      </c>
      <c r="H3" s="276" t="s">
        <v>2804</v>
      </c>
      <c r="I3" s="211" t="s">
        <v>2806</v>
      </c>
      <c r="J3" s="104" t="s">
        <v>39</v>
      </c>
      <c r="K3" s="192" t="s">
        <v>2801</v>
      </c>
      <c r="L3" s="265" t="s">
        <v>16</v>
      </c>
      <c r="M3" s="265" t="s">
        <v>38</v>
      </c>
      <c r="N3" s="274" t="s">
        <v>2804</v>
      </c>
      <c r="O3" s="86" t="s">
        <v>2806</v>
      </c>
      <c r="P3" s="198" t="s">
        <v>2820</v>
      </c>
      <c r="Q3" s="103" t="s">
        <v>2</v>
      </c>
      <c r="R3" s="111" t="s">
        <v>2803</v>
      </c>
      <c r="S3" s="203" t="s">
        <v>2910</v>
      </c>
      <c r="T3" s="124"/>
      <c r="U3" s="123" t="s">
        <v>2911</v>
      </c>
      <c r="V3" s="124"/>
    </row>
    <row r="4" spans="1:22" ht="16.5">
      <c r="A4" s="271">
        <v>1101</v>
      </c>
      <c r="B4" s="270" t="s">
        <v>7</v>
      </c>
      <c r="C4" s="272">
        <v>1000</v>
      </c>
      <c r="D4" s="81">
        <f t="shared" ref="D4:D67" si="0">IF(A4="","",IFERROR(INDEX(收盤1,MATCH(A4,代號1,0)),IFERROR(INDEX(收盤2,MATCH(A4,代號2,0)),IFERROR(INDEX(收盤3,MATCH(A4,代號3,0)),INDEX(收盤4,MATCH(A4,代號4,0)))))*C4)</f>
        <v>48150</v>
      </c>
      <c r="E4" s="90">
        <f>IF(D4="","",D4+(COUNTIF(D$4:D4,D4)-1)*0.001)</f>
        <v>48150</v>
      </c>
      <c r="F4"/>
      <c r="G4"/>
      <c r="H4"/>
      <c r="I4" s="81" t="str">
        <f t="shared" ref="I4:I67" si="1">IF(F4="","",IFERROR(INDEX(收盤1,MATCH(F4,代號1,0)),IFERROR(INDEX(收盤2,MATCH(F4,代號2,0)),IFERROR(INDEX(收盤3,MATCH(F4,代號3,0)),INDEX(收盤4,MATCH(F4,代號4,0)))))*H4)</f>
        <v/>
      </c>
      <c r="J4" s="81" t="str">
        <f>IF(I4="","",I4+(COUNTIF(I$4:I4,I4)-1)*0.001)</f>
        <v/>
      </c>
      <c r="K4" s="193" t="s">
        <v>45</v>
      </c>
      <c r="L4" s="271">
        <v>1762</v>
      </c>
      <c r="M4" s="270" t="s">
        <v>1878</v>
      </c>
      <c r="N4" s="88">
        <v>2000</v>
      </c>
      <c r="O4" s="81">
        <f>IF(L4="","",IFERROR(INDEX(收盤1,MATCH(L4,代號1,0)),IFERROR(INDEX(收盤2,MATCH(L4,代號2,0)),IFERROR(INDEX(收盤3,MATCH(L4,代號3,0)),INDEX(收盤4,MATCH(L4,代號4,0)))))*N4)</f>
        <v>128800.00000000001</v>
      </c>
      <c r="P4" s="200"/>
      <c r="S4" s="202" t="str">
        <f t="array" ref="S4">IFERROR(INDEX(多單標的,MATCH(LARGE(IF(多單市值&gt;(SUM(多單市值)/100*3),多單輔助欄,""),ROW(1:1)),多單輔助欄,0)),NA())</f>
        <v>中鋼</v>
      </c>
      <c r="T4" s="92">
        <f t="shared" ref="T4:T18" si="2">IF(S4="","",INDEX(多單市值,MATCH(S4,多單標的,0)))</f>
        <v>531000</v>
      </c>
    </row>
    <row r="5" spans="1:22" ht="16.5">
      <c r="A5" s="271">
        <v>1599</v>
      </c>
      <c r="B5" s="270" t="s">
        <v>29</v>
      </c>
      <c r="C5" s="272">
        <v>1000</v>
      </c>
      <c r="D5" s="81">
        <f t="shared" si="0"/>
        <v>47050</v>
      </c>
      <c r="E5" s="90">
        <f>IF(D5="","",D5+(COUNTIF(D$4:D5,D5)-1)*0.001)</f>
        <v>47050</v>
      </c>
      <c r="F5" s="188"/>
      <c r="G5"/>
      <c r="H5"/>
      <c r="I5" s="81" t="str">
        <f t="shared" si="1"/>
        <v/>
      </c>
      <c r="J5" s="81" t="str">
        <f>IF(I5="","",I5+(COUNTIF(I$4:I5,I5)-1)*0.001)</f>
        <v/>
      </c>
      <c r="K5" s="275" t="s">
        <v>45</v>
      </c>
      <c r="L5" s="271">
        <v>2002</v>
      </c>
      <c r="M5" s="270" t="s">
        <v>1898</v>
      </c>
      <c r="N5" s="88">
        <v>15000</v>
      </c>
      <c r="O5" s="81">
        <f>IF(L5="","",IFERROR(INDEX(收盤1,MATCH(L5,代號1,0)),IFERROR(INDEX(收盤2,MATCH(L5,代號2,0)),IFERROR(INDEX(收盤3,MATCH(L5,代號3,0)),INDEX(收盤4,MATCH(L5,代號4,0)))))*N5)</f>
        <v>531000</v>
      </c>
      <c r="P5" s="200"/>
      <c r="S5" s="202" t="str">
        <f t="array" ref="S5">IFERROR(INDEX(多單標的,MATCH(LARGE(IF(多單市值&gt;(SUM(多單市值)/100*3),多單輔助欄,""),ROW(2:2)),多單輔助欄,0)),NA())</f>
        <v>大國鋼</v>
      </c>
      <c r="T5" s="92">
        <f t="shared" si="2"/>
        <v>230400</v>
      </c>
    </row>
    <row r="6" spans="1:22" ht="16.5">
      <c r="A6" s="271">
        <v>1762</v>
      </c>
      <c r="B6" s="270" t="s">
        <v>1878</v>
      </c>
      <c r="C6" s="272">
        <v>2000</v>
      </c>
      <c r="D6" s="81">
        <f t="shared" si="0"/>
        <v>128800.00000000001</v>
      </c>
      <c r="E6" s="90">
        <f>IF(D6="","",D6+(COUNTIF(D$4:D6,D6)-1)*0.001)</f>
        <v>128800.00000000001</v>
      </c>
      <c r="F6" s="188"/>
      <c r="G6"/>
      <c r="H6"/>
      <c r="I6" s="81" t="str">
        <f t="shared" si="1"/>
        <v/>
      </c>
      <c r="J6" s="81" t="str">
        <f>IF(I6="","",I6+(COUNTIF(I$4:I6,I6)-1)*0.001)</f>
        <v/>
      </c>
      <c r="K6" s="275" t="s">
        <v>45</v>
      </c>
      <c r="L6" s="271">
        <v>8415</v>
      </c>
      <c r="M6" s="270" t="s">
        <v>1260</v>
      </c>
      <c r="N6" s="88">
        <v>6000</v>
      </c>
      <c r="O6" s="81">
        <f>IF(L6="","",IFERROR(INDEX(收盤1,MATCH(L6,代號1,0)),IFERROR(INDEX(收盤2,MATCH(L6,代號2,0)),IFERROR(INDEX(收盤3,MATCH(L6,代號3,0)),INDEX(收盤4,MATCH(L6,代號4,0)))))*N6)</f>
        <v>230400</v>
      </c>
      <c r="P6" s="200"/>
      <c r="S6" s="202" t="str">
        <f t="array" ref="S6">IFERROR(INDEX(多單標的,MATCH(LARGE(IF(多單市值&gt;(SUM(多單市值)/100*3),多單輔助欄,""),ROW(3:3)),多單輔助欄,0)),NA())</f>
        <v>中化生</v>
      </c>
      <c r="T6" s="92">
        <f t="shared" si="2"/>
        <v>128800.00000000001</v>
      </c>
    </row>
    <row r="7" spans="1:22" ht="16.5">
      <c r="A7" s="271">
        <v>2002</v>
      </c>
      <c r="B7" s="270" t="s">
        <v>1898</v>
      </c>
      <c r="C7" s="272">
        <v>15000</v>
      </c>
      <c r="D7" s="81">
        <f t="shared" si="0"/>
        <v>531000</v>
      </c>
      <c r="E7" s="90">
        <f>IF(D7="","",D7+(COUNTIF(D$4:D7,D7)-1)*0.001)</f>
        <v>531000</v>
      </c>
      <c r="F7" s="188"/>
      <c r="G7"/>
      <c r="H7"/>
      <c r="I7" s="81" t="str">
        <f t="shared" si="1"/>
        <v/>
      </c>
      <c r="J7" s="81" t="str">
        <f>IF(I7="","",I7+(COUNTIF(I$4:I7,I7)-1)*0.001)</f>
        <v/>
      </c>
      <c r="K7" s="194" t="s">
        <v>51</v>
      </c>
      <c r="L7" s="10">
        <v>1101</v>
      </c>
      <c r="M7" s="270" t="s">
        <v>7</v>
      </c>
      <c r="N7" s="88">
        <v>1000</v>
      </c>
      <c r="O7" s="81">
        <f>IF(L7="","",IFERROR(INDEX(收盤1,MATCH(L7,代號1,0)),IFERROR(INDEX(收盤2,MATCH(L7,代號2,0)),IFERROR(INDEX(收盤3,MATCH(L7,代號3,0)),INDEX(收盤4,MATCH(L7,代號4,0)))))*N7)</f>
        <v>48150</v>
      </c>
      <c r="P7" s="200"/>
      <c r="S7" s="202" t="str">
        <f t="array" ref="S7">IFERROR(INDEX(多單標的,MATCH(LARGE(IF(多單市值&gt;(SUM(多單市值)/100*3),多單輔助欄,""),ROW(4:4)),多單輔助欄,0)),NA())</f>
        <v>台泥</v>
      </c>
      <c r="T7" s="92">
        <f t="shared" si="2"/>
        <v>48150</v>
      </c>
    </row>
    <row r="8" spans="1:22" ht="16.5">
      <c r="A8" s="271">
        <v>2464</v>
      </c>
      <c r="B8" s="270" t="s">
        <v>10</v>
      </c>
      <c r="C8" s="272">
        <v>1000</v>
      </c>
      <c r="D8" s="81">
        <f t="shared" si="0"/>
        <v>42300</v>
      </c>
      <c r="E8" s="90">
        <f>IF(D8="","",D8+(COUNTIF(D$4:D8,D8)-1)*0.001)</f>
        <v>42300</v>
      </c>
      <c r="F8" s="188"/>
      <c r="G8"/>
      <c r="H8"/>
      <c r="I8" s="81" t="str">
        <f t="shared" si="1"/>
        <v/>
      </c>
      <c r="J8" s="81" t="str">
        <f>IF(I8="","",I8+(COUNTIF(I$4:I8,I8)-1)*0.001)</f>
        <v/>
      </c>
      <c r="K8" s="275" t="s">
        <v>51</v>
      </c>
      <c r="L8" s="271">
        <v>1599</v>
      </c>
      <c r="M8" s="270" t="s">
        <v>29</v>
      </c>
      <c r="N8" s="88">
        <v>1000</v>
      </c>
      <c r="O8" s="81">
        <f>IF(L8="","",IFERROR(INDEX(收盤1,MATCH(L8,代號1,0)),IFERROR(INDEX(收盤2,MATCH(L8,代號2,0)),IFERROR(INDEX(收盤3,MATCH(L8,代號3,0)),INDEX(收盤4,MATCH(L8,代號4,0)))))*N8)</f>
        <v>47050</v>
      </c>
      <c r="P8" s="200"/>
      <c r="S8" s="202" t="str">
        <f t="array" ref="S8">IFERROR(INDEX(多單標的,MATCH(LARGE(IF(多單市值&gt;(SUM(多單市值)/100*3),多單輔助欄,""),ROW(5:5)),多單輔助欄,0)),NA())</f>
        <v>宏佳騰</v>
      </c>
      <c r="T8" s="92">
        <f t="shared" si="2"/>
        <v>47050</v>
      </c>
    </row>
    <row r="9" spans="1:22" ht="16.5">
      <c r="A9" s="271">
        <v>8415</v>
      </c>
      <c r="B9" s="270" t="s">
        <v>1260</v>
      </c>
      <c r="C9" s="272">
        <v>6000</v>
      </c>
      <c r="D9" s="81">
        <f t="shared" si="0"/>
        <v>230400</v>
      </c>
      <c r="E9" s="90">
        <f>IF(D9="","",D9+(COUNTIF(D$4:D9,D9)-1)*0.001)</f>
        <v>230400</v>
      </c>
      <c r="F9" s="188"/>
      <c r="G9"/>
      <c r="H9"/>
      <c r="I9" s="81" t="str">
        <f t="shared" si="1"/>
        <v/>
      </c>
      <c r="J9" s="81" t="str">
        <f>IF(I9="","",I9+(COUNTIF(I$4:I9,I9)-1)*0.001)</f>
        <v/>
      </c>
      <c r="K9" s="275" t="s">
        <v>51</v>
      </c>
      <c r="L9" s="271">
        <v>2464</v>
      </c>
      <c r="M9" s="270" t="s">
        <v>10</v>
      </c>
      <c r="N9" s="88">
        <v>1000</v>
      </c>
      <c r="O9" s="81">
        <f t="shared" ref="O9:O20" si="3">IF(L9="","",IFERROR(INDEX(收盤1,MATCH(L9,代號1,0)),IFERROR(INDEX(收盤2,MATCH(L9,代號2,0)),IFERROR(INDEX(收盤3,MATCH(L9,代號3,0)),INDEX(收盤4,MATCH(L9,代號4,0)))))*N9)</f>
        <v>42300</v>
      </c>
      <c r="P9" s="200"/>
      <c r="S9" s="202" t="str">
        <f t="array" ref="S9">IFERROR(INDEX(多單標的,MATCH(LARGE(IF(多單市值&gt;(SUM(多單市值)/100*3),多單輔助欄,""),ROW(6:6)),多單輔助欄,0)),NA())</f>
        <v>盟立</v>
      </c>
      <c r="T9" s="92">
        <f t="shared" si="2"/>
        <v>42300</v>
      </c>
    </row>
    <row r="10" spans="1:22" ht="16.5">
      <c r="A10"/>
      <c r="B10"/>
      <c r="C10"/>
      <c r="D10" s="81" t="str">
        <f t="shared" si="0"/>
        <v/>
      </c>
      <c r="E10" s="90" t="str">
        <f>IF(D10="","",D10+(COUNTIF(D$4:D10,D10)-1)*0.001)</f>
        <v/>
      </c>
      <c r="F10" s="188"/>
      <c r="G10"/>
      <c r="H10"/>
      <c r="I10" s="81" t="str">
        <f t="shared" si="1"/>
        <v/>
      </c>
      <c r="J10" s="81" t="str">
        <f>IF(I10="","",I10+(COUNTIF(I$4:I10,I10)-1)*0.001)</f>
        <v/>
      </c>
      <c r="K10"/>
      <c r="L10"/>
      <c r="M10"/>
      <c r="N10"/>
      <c r="O10" s="81" t="str">
        <f t="shared" si="3"/>
        <v/>
      </c>
      <c r="P10" s="200"/>
      <c r="S10" s="202" t="e">
        <f t="array" ref="S10">IFERROR(INDEX(多單標的,MATCH(LARGE(IF(多單市值&gt;(SUM(多單市值)/100*3),多單輔助欄,""),ROW(7:7)),多單輔助欄,0)),NA())</f>
        <v>#N/A</v>
      </c>
      <c r="T10" s="92" t="e">
        <f t="shared" si="2"/>
        <v>#N/A</v>
      </c>
    </row>
    <row r="11" spans="1:22" ht="16.5">
      <c r="A11"/>
      <c r="B11"/>
      <c r="C11"/>
      <c r="D11" s="81" t="str">
        <f t="shared" si="0"/>
        <v/>
      </c>
      <c r="E11" s="90" t="str">
        <f>IF(D11="","",D11+(COUNTIF(D$4:D11,D11)-1)*0.001)</f>
        <v/>
      </c>
      <c r="F11" s="188"/>
      <c r="G11"/>
      <c r="H11"/>
      <c r="I11" s="81" t="str">
        <f t="shared" si="1"/>
        <v/>
      </c>
      <c r="J11" s="81" t="str">
        <f>IF(I11="","",I11+(COUNTIF(I$4:I11,I11)-1)*0.001)</f>
        <v/>
      </c>
      <c r="K11"/>
      <c r="L11"/>
      <c r="M11"/>
      <c r="N11"/>
      <c r="O11" s="81" t="str">
        <f t="shared" si="3"/>
        <v/>
      </c>
      <c r="P11" s="200"/>
      <c r="S11" s="202" t="e">
        <f t="array" ref="S11">IFERROR(INDEX(多單標的,MATCH(LARGE(IF(多單市值&gt;(SUM(多單市值)/100*3),多單輔助欄,""),ROW(8:8)),多單輔助欄,0)),NA())</f>
        <v>#N/A</v>
      </c>
      <c r="T11" s="92" t="e">
        <f t="shared" si="2"/>
        <v>#N/A</v>
      </c>
    </row>
    <row r="12" spans="1:22" ht="16.5">
      <c r="A12"/>
      <c r="B12"/>
      <c r="C12"/>
      <c r="D12" s="81" t="str">
        <f t="shared" si="0"/>
        <v/>
      </c>
      <c r="E12" s="90" t="str">
        <f>IF(D12="","",D12+(COUNTIF(D$4:D12,D12)-1)*0.001)</f>
        <v/>
      </c>
      <c r="F12" s="188"/>
      <c r="G12"/>
      <c r="H12"/>
      <c r="I12" s="81" t="str">
        <f t="shared" si="1"/>
        <v/>
      </c>
      <c r="J12" s="81" t="str">
        <f>IF(I12="","",I12+(COUNTIF(I$4:I12,I12)-1)*0.001)</f>
        <v/>
      </c>
      <c r="K12"/>
      <c r="L12"/>
      <c r="M12"/>
      <c r="N12"/>
      <c r="O12" s="81" t="str">
        <f t="shared" si="3"/>
        <v/>
      </c>
      <c r="P12" s="200"/>
      <c r="S12" s="202" t="e">
        <f t="array" ref="S12">IFERROR(INDEX(多單標的,MATCH(LARGE(IF(多單市值&gt;(SUM(多單市值)/100*3),多單輔助欄,""),ROW(9:9)),多單輔助欄,0)),NA())</f>
        <v>#N/A</v>
      </c>
      <c r="T12" s="92" t="e">
        <f t="shared" si="2"/>
        <v>#N/A</v>
      </c>
    </row>
    <row r="13" spans="1:22" ht="16.5">
      <c r="A13"/>
      <c r="B13"/>
      <c r="C13"/>
      <c r="D13" s="81" t="str">
        <f t="shared" si="0"/>
        <v/>
      </c>
      <c r="E13" s="90" t="str">
        <f>IF(D13="","",D13+(COUNTIF(D$4:D13,D13)-1)*0.001)</f>
        <v/>
      </c>
      <c r="F13" s="188"/>
      <c r="G13"/>
      <c r="H13"/>
      <c r="I13" s="81" t="str">
        <f t="shared" si="1"/>
        <v/>
      </c>
      <c r="J13" s="81" t="str">
        <f>IF(I13="","",I13+(COUNTIF(I$4:I13,I13)-1)*0.001)</f>
        <v/>
      </c>
      <c r="K13"/>
      <c r="L13"/>
      <c r="M13"/>
      <c r="N13"/>
      <c r="O13" s="81" t="str">
        <f t="shared" si="3"/>
        <v/>
      </c>
      <c r="P13" s="200"/>
      <c r="S13" s="202" t="e">
        <f t="array" ref="S13">IFERROR(INDEX(多單標的,MATCH(LARGE(IF(多單市值&gt;(SUM(多單市值)/100*3),多單輔助欄,""),ROW(10:10)),多單輔助欄,0)),NA())</f>
        <v>#N/A</v>
      </c>
      <c r="T13" s="92" t="e">
        <f t="shared" si="2"/>
        <v>#N/A</v>
      </c>
    </row>
    <row r="14" spans="1:22" ht="16.5">
      <c r="A14"/>
      <c r="B14"/>
      <c r="C14"/>
      <c r="D14" s="81" t="str">
        <f t="shared" si="0"/>
        <v/>
      </c>
      <c r="E14" s="90" t="str">
        <f>IF(D14="","",D14+(COUNTIF(D$4:D14,D14)-1)*0.001)</f>
        <v/>
      </c>
      <c r="F14" s="188"/>
      <c r="G14"/>
      <c r="H14"/>
      <c r="I14" s="81" t="str">
        <f t="shared" si="1"/>
        <v/>
      </c>
      <c r="J14" s="81" t="str">
        <f>IF(I14="","",I14+(COUNTIF(I$4:I14,I14)-1)*0.001)</f>
        <v/>
      </c>
      <c r="K14"/>
      <c r="L14"/>
      <c r="M14"/>
      <c r="N14"/>
      <c r="O14" s="81" t="str">
        <f t="shared" si="3"/>
        <v/>
      </c>
      <c r="P14" s="263" t="s">
        <v>2909</v>
      </c>
      <c r="Q14" s="103"/>
      <c r="R14" s="264"/>
      <c r="S14" s="202" t="e">
        <f t="array" ref="S14">IFERROR(INDEX(多單標的,MATCH(LARGE(IF(多單市值&gt;(SUM(多單市值)/100*3),多單輔助欄,""),ROW(11:11)),多單輔助欄,0)),NA())</f>
        <v>#N/A</v>
      </c>
      <c r="T14" s="92" t="e">
        <f t="shared" si="2"/>
        <v>#N/A</v>
      </c>
    </row>
    <row r="15" spans="1:22" ht="16.5">
      <c r="A15"/>
      <c r="B15"/>
      <c r="C15"/>
      <c r="D15" s="81" t="str">
        <f t="shared" si="0"/>
        <v/>
      </c>
      <c r="E15" s="90" t="str">
        <f>IF(D15="","",D15+(COUNTIF(D$4:D15,D15)-1)*0.001)</f>
        <v/>
      </c>
      <c r="F15" s="188"/>
      <c r="G15"/>
      <c r="H15"/>
      <c r="I15" s="81" t="str">
        <f t="shared" si="1"/>
        <v/>
      </c>
      <c r="J15" s="81" t="str">
        <f>IF(I15="","",I15+(COUNTIF(I$4:I15,I15)-1)*0.001)</f>
        <v/>
      </c>
      <c r="K15"/>
      <c r="L15"/>
      <c r="M15"/>
      <c r="N15"/>
      <c r="O15" s="81" t="str">
        <f t="shared" si="3"/>
        <v/>
      </c>
      <c r="P15" s="201"/>
      <c r="Q15" s="129"/>
      <c r="R15" s="314"/>
      <c r="S15" s="202" t="e">
        <f t="array" ref="S15">IFERROR(INDEX(多單標的,MATCH(LARGE(IF(多單市值&gt;(SUM(多單市值)/100*3),多單輔助欄,""),ROW(12:12)),多單輔助欄,0)),NA())</f>
        <v>#N/A</v>
      </c>
      <c r="T15" s="92" t="e">
        <f t="shared" si="2"/>
        <v>#N/A</v>
      </c>
    </row>
    <row r="16" spans="1:22" ht="16.5">
      <c r="A16"/>
      <c r="B16"/>
      <c r="C16"/>
      <c r="D16" s="81" t="str">
        <f t="shared" si="0"/>
        <v/>
      </c>
      <c r="E16" s="90" t="str">
        <f>IF(D16="","",D16+(COUNTIF(D$4:D16,D16)-1)*0.001)</f>
        <v/>
      </c>
      <c r="F16" s="188"/>
      <c r="G16"/>
      <c r="H16"/>
      <c r="I16" s="81" t="str">
        <f t="shared" si="1"/>
        <v/>
      </c>
      <c r="J16" s="81" t="str">
        <f>IF(I16="","",I16+(COUNTIF(I$4:I16,I16)-1)*0.001)</f>
        <v/>
      </c>
      <c r="K16"/>
      <c r="L16"/>
      <c r="M16"/>
      <c r="N16"/>
      <c r="O16" s="81" t="str">
        <f t="shared" si="3"/>
        <v/>
      </c>
      <c r="P16" s="201"/>
      <c r="Q16" s="129"/>
      <c r="R16" s="314"/>
      <c r="S16" s="202" t="e">
        <f t="array" ref="S16">IFERROR(INDEX(多單標的,MATCH(LARGE(IF(多單市值&gt;(SUM(多單市值)/100*3),多單輔助欄,""),ROW(13:13)),多單輔助欄,0)),NA())</f>
        <v>#N/A</v>
      </c>
      <c r="T16" s="92" t="e">
        <f t="shared" si="2"/>
        <v>#N/A</v>
      </c>
    </row>
    <row r="17" spans="1:22" ht="16.5">
      <c r="A17"/>
      <c r="B17"/>
      <c r="C17"/>
      <c r="D17" s="81" t="str">
        <f t="shared" si="0"/>
        <v/>
      </c>
      <c r="E17" s="90" t="str">
        <f>IF(D17="","",D17+(COUNTIF(D$4:D17,D17)-1)*0.001)</f>
        <v/>
      </c>
      <c r="F17" s="188"/>
      <c r="G17"/>
      <c r="H17"/>
      <c r="I17" s="81" t="str">
        <f t="shared" si="1"/>
        <v/>
      </c>
      <c r="J17" s="81" t="str">
        <f>IF(I17="","",I17+(COUNTIF(I$4:I17,I17)-1)*0.001)</f>
        <v/>
      </c>
      <c r="K17"/>
      <c r="L17"/>
      <c r="M17"/>
      <c r="N17"/>
      <c r="O17" s="81" t="str">
        <f t="shared" si="3"/>
        <v/>
      </c>
      <c r="P17" s="223" t="s">
        <v>2849</v>
      </c>
      <c r="Q17" s="19"/>
      <c r="R17" s="315">
        <f>SUM(R15:R16)</f>
        <v>0</v>
      </c>
      <c r="S17" s="202" t="e">
        <f t="array" ref="S17">IFERROR(INDEX(多單標的,MATCH(LARGE(IF(多單市值&gt;(SUM(多單市值)/100*3),多單輔助欄,""),ROW(14:14)),多單輔助欄,0)),NA())</f>
        <v>#N/A</v>
      </c>
      <c r="T17" s="92" t="e">
        <f t="shared" si="2"/>
        <v>#N/A</v>
      </c>
    </row>
    <row r="18" spans="1:22" ht="16.5">
      <c r="A18"/>
      <c r="B18"/>
      <c r="C18"/>
      <c r="D18" s="81" t="str">
        <f t="shared" si="0"/>
        <v/>
      </c>
      <c r="E18" s="90" t="str">
        <f>IF(D18="","",D18+(COUNTIF(D$4:D18,D18)-1)*0.001)</f>
        <v/>
      </c>
      <c r="F18" s="188"/>
      <c r="G18"/>
      <c r="H18"/>
      <c r="I18" s="81" t="str">
        <f t="shared" si="1"/>
        <v/>
      </c>
      <c r="J18" s="81" t="str">
        <f>IF(I18="","",I18+(COUNTIF(I$4:I18,I18)-1)*0.001)</f>
        <v/>
      </c>
      <c r="K18"/>
      <c r="L18"/>
      <c r="M18"/>
      <c r="N18"/>
      <c r="O18" s="81" t="str">
        <f t="shared" si="3"/>
        <v/>
      </c>
      <c r="P18" s="223" t="s">
        <v>2850</v>
      </c>
      <c r="Q18" s="19"/>
      <c r="R18" s="315">
        <f>SUM(D:D,I:I)</f>
        <v>1027700</v>
      </c>
      <c r="S18" s="202" t="e">
        <f t="array" ref="S18">IFERROR(INDEX(多單標的,MATCH(LARGE(IF(多單市值&gt;(SUM(多單市值)/100*3),多單輔助欄,""),ROW(15:15)),多單輔助欄,0)),NA())</f>
        <v>#N/A</v>
      </c>
      <c r="T18" s="92" t="e">
        <f t="shared" si="2"/>
        <v>#N/A</v>
      </c>
    </row>
    <row r="19" spans="1:22" ht="17.25" thickBot="1">
      <c r="A19"/>
      <c r="B19"/>
      <c r="C19"/>
      <c r="D19" s="81" t="str">
        <f t="shared" si="0"/>
        <v/>
      </c>
      <c r="E19" s="90" t="str">
        <f>IF(D19="","",D19+(COUNTIF(D$4:D19,D19)-1)*0.001)</f>
        <v/>
      </c>
      <c r="F19" s="188"/>
      <c r="G19"/>
      <c r="H19"/>
      <c r="I19" s="81" t="str">
        <f t="shared" si="1"/>
        <v/>
      </c>
      <c r="J19" s="81" t="str">
        <f>IF(I19="","",I19+(COUNTIF(I$4:I19,I19)-1)*0.001)</f>
        <v/>
      </c>
      <c r="K19"/>
      <c r="L19"/>
      <c r="M19"/>
      <c r="N19"/>
      <c r="O19" s="81" t="str">
        <f t="shared" si="3"/>
        <v/>
      </c>
      <c r="P19" s="221" t="s">
        <v>2851</v>
      </c>
      <c r="Q19" s="222"/>
      <c r="R19" s="316">
        <f>SUM(LOOKUP(9000000000+307,明細長持證券),LOOKUP(9000000000+307,明細非長持現股))</f>
        <v>1027700</v>
      </c>
      <c r="S19" s="204" t="str">
        <f>IF(T19=0,"","其他多單")</f>
        <v/>
      </c>
      <c r="T19" s="116">
        <f>SUM(多單市值)-_xlfn.AGGREGATE(9,6,T4:T18)</f>
        <v>0</v>
      </c>
      <c r="U19" s="117" t="s">
        <v>2808</v>
      </c>
      <c r="V19" s="118">
        <f>_xlfn.AGGREGATE(9,6,T4:T19)/T38</f>
        <v>0.53037105847138355</v>
      </c>
    </row>
    <row r="20" spans="1:22" ht="16.5">
      <c r="A20"/>
      <c r="B20"/>
      <c r="C20"/>
      <c r="D20" s="81" t="str">
        <f t="shared" si="0"/>
        <v/>
      </c>
      <c r="E20" s="90" t="str">
        <f>IF(D20="","",D20+(COUNTIF(D$4:D20,D20)-1)*0.001)</f>
        <v/>
      </c>
      <c r="F20" s="188"/>
      <c r="G20"/>
      <c r="H20"/>
      <c r="I20" s="81" t="str">
        <f t="shared" si="1"/>
        <v/>
      </c>
      <c r="J20" s="81" t="str">
        <f>IF(I20="","",I20+(COUNTIF(I$4:I20,I20)-1)*0.001)</f>
        <v/>
      </c>
      <c r="K20"/>
      <c r="L20"/>
      <c r="M20"/>
      <c r="N20"/>
      <c r="O20" s="81" t="str">
        <f t="shared" si="3"/>
        <v/>
      </c>
      <c r="P20" s="221" t="s">
        <v>2852</v>
      </c>
      <c r="R20" s="316">
        <f>LOOKUP(9000000000+307,明細其他權益)</f>
        <v>50000</v>
      </c>
      <c r="S20" s="205" t="e">
        <f t="array" ref="S20">IFERROR(INDEX(空單標的,MATCH(SMALL(IF(空單市值&lt;(SUM(空單市值)/100*2),空單輔助欄,""),ROW(1:1)),空單輔助欄,0)),NA())</f>
        <v>#N/A</v>
      </c>
      <c r="T20" s="113" t="e">
        <f t="shared" ref="T20:T34" si="4">IF(S20="","",INDEX(空單市值,MATCH(S20,空單標的,0)))</f>
        <v>#N/A</v>
      </c>
      <c r="U20" s="112"/>
      <c r="V20" s="113"/>
    </row>
    <row r="21" spans="1:22" ht="16.5">
      <c r="A21"/>
      <c r="B21"/>
      <c r="C21"/>
      <c r="D21" s="81" t="str">
        <f t="shared" si="0"/>
        <v/>
      </c>
      <c r="E21" s="90" t="str">
        <f>IF(D21="","",D21+(COUNTIF(D$4:D21,D21)-1)*0.001)</f>
        <v/>
      </c>
      <c r="F21" s="188"/>
      <c r="G21"/>
      <c r="H21"/>
      <c r="I21" s="81" t="str">
        <f t="shared" si="1"/>
        <v/>
      </c>
      <c r="J21" s="81" t="str">
        <f>IF(I21="","",I21+(COUNTIF(I$4:I21,I21)-1)*0.001)</f>
        <v/>
      </c>
      <c r="K21" s="195"/>
      <c r="L21" s="96"/>
      <c r="M21" s="87"/>
      <c r="N21" s="87"/>
      <c r="O21" s="81"/>
      <c r="P21" s="223" t="s">
        <v>2848</v>
      </c>
      <c r="Q21" s="19"/>
      <c r="R21" s="315">
        <f>SUM(R19:R20)</f>
        <v>1077700</v>
      </c>
      <c r="S21" s="202" t="e">
        <f t="array" ref="S21">IFERROR(INDEX(空單標的,MATCH(SMALL(IF(空單市值&lt;(SUM(空單市值)/100*2),空單輔助欄,""),ROW(2:2)),空單輔助欄,0)),NA())</f>
        <v>#N/A</v>
      </c>
      <c r="T21" s="92" t="e">
        <f t="shared" si="4"/>
        <v>#N/A</v>
      </c>
      <c r="U21" s="93"/>
      <c r="V21" s="92"/>
    </row>
    <row r="22" spans="1:22" ht="16.5">
      <c r="A22"/>
      <c r="B22"/>
      <c r="C22"/>
      <c r="D22" s="81" t="str">
        <f t="shared" si="0"/>
        <v/>
      </c>
      <c r="E22" s="90" t="str">
        <f>IF(D22="","",D22+(COUNTIF(D$4:D22,D22)-1)*0.001)</f>
        <v/>
      </c>
      <c r="F22" s="188"/>
      <c r="G22"/>
      <c r="H22"/>
      <c r="I22" s="81" t="str">
        <f t="shared" si="1"/>
        <v/>
      </c>
      <c r="J22" s="81" t="str">
        <f>IF(I22="","",I22+(COUNTIF(I$4:I22,I22)-1)*0.001)</f>
        <v/>
      </c>
      <c r="K22" s="196"/>
      <c r="L22" s="11"/>
      <c r="M22" s="97"/>
      <c r="N22" s="97"/>
      <c r="O22" s="97"/>
      <c r="P22" s="200"/>
      <c r="S22" s="202" t="e">
        <f t="array" ref="S22">IFERROR(INDEX(空單標的,MATCH(SMALL(IF(空單市值&lt;(SUM(空單市值)/100*2),空單輔助欄,""),ROW(3:3)),空單輔助欄,0)),NA())</f>
        <v>#N/A</v>
      </c>
      <c r="T22" s="92" t="e">
        <f t="shared" si="4"/>
        <v>#N/A</v>
      </c>
      <c r="U22" s="93"/>
      <c r="V22" s="119"/>
    </row>
    <row r="23" spans="1:22" ht="16.5">
      <c r="A23"/>
      <c r="B23"/>
      <c r="C23"/>
      <c r="D23" s="81" t="str">
        <f t="shared" si="0"/>
        <v/>
      </c>
      <c r="E23" s="90" t="str">
        <f>IF(D23="","",D23+(COUNTIF(D$4:D23,D23)-1)*0.001)</f>
        <v/>
      </c>
      <c r="F23" s="188"/>
      <c r="G23"/>
      <c r="H23"/>
      <c r="I23" s="81" t="str">
        <f t="shared" si="1"/>
        <v/>
      </c>
      <c r="J23" s="81" t="str">
        <f>IF(I23="","",I23+(COUNTIF(I$4:I23,I23)-1)*0.001)</f>
        <v/>
      </c>
      <c r="K23" s="196"/>
      <c r="L23" s="11"/>
      <c r="M23" s="97"/>
      <c r="N23" s="97"/>
      <c r="O23" s="97"/>
      <c r="P23" s="196"/>
      <c r="S23" s="202" t="e">
        <f t="array" ref="S23">IFERROR(INDEX(空單標的,MATCH(SMALL(IF(空單市值&lt;(SUM(空單市值)/100*2),空單輔助欄,""),ROW(4:4)),空單輔助欄,0)),NA())</f>
        <v>#N/A</v>
      </c>
      <c r="T23" s="92" t="e">
        <f t="shared" si="4"/>
        <v>#N/A</v>
      </c>
      <c r="U23" s="93"/>
      <c r="V23" s="119"/>
    </row>
    <row r="24" spans="1:22" ht="16.5">
      <c r="A24"/>
      <c r="B24"/>
      <c r="C24"/>
      <c r="D24" s="81" t="str">
        <f t="shared" si="0"/>
        <v/>
      </c>
      <c r="E24" s="90" t="str">
        <f>IF(D24="","",D24+(COUNTIF(D$4:D24,D24)-1)*0.001)</f>
        <v/>
      </c>
      <c r="F24" s="188"/>
      <c r="G24"/>
      <c r="H24"/>
      <c r="I24" s="81" t="str">
        <f t="shared" si="1"/>
        <v/>
      </c>
      <c r="J24" s="81" t="str">
        <f>IF(I24="","",I24+(COUNTIF(I$4:I24,I24)-1)*0.001)</f>
        <v/>
      </c>
      <c r="K24" s="196"/>
      <c r="L24" s="11"/>
      <c r="M24" s="98"/>
      <c r="N24" s="98"/>
      <c r="O24" s="98"/>
      <c r="P24" s="196"/>
      <c r="S24" s="202" t="e">
        <f t="array" ref="S24">IFERROR(INDEX(空單標的,MATCH(SMALL(IF(空單市值&lt;(SUM(空單市值)/100*2),空單輔助欄,""),ROW(5:5)),空單輔助欄,0)),NA())</f>
        <v>#N/A</v>
      </c>
      <c r="T24" s="92" t="e">
        <f t="shared" si="4"/>
        <v>#N/A</v>
      </c>
      <c r="U24" s="93"/>
      <c r="V24" s="119"/>
    </row>
    <row r="25" spans="1:22" ht="16.5">
      <c r="A25"/>
      <c r="B25"/>
      <c r="C25"/>
      <c r="D25" s="81" t="str">
        <f t="shared" si="0"/>
        <v/>
      </c>
      <c r="E25" s="90" t="str">
        <f>IF(D25="","",D25+(COUNTIF(D$4:D25,D25)-1)*0.001)</f>
        <v/>
      </c>
      <c r="F25" s="188"/>
      <c r="G25"/>
      <c r="H25"/>
      <c r="I25" s="81" t="str">
        <f t="shared" si="1"/>
        <v/>
      </c>
      <c r="J25" s="81" t="str">
        <f>IF(I25="","",I25+(COUNTIF(I$4:I25,I25)-1)*0.001)</f>
        <v/>
      </c>
      <c r="K25" s="196"/>
      <c r="L25" s="11"/>
      <c r="M25" s="99"/>
      <c r="N25" s="99"/>
      <c r="O25" s="99"/>
      <c r="P25" s="196"/>
      <c r="S25" s="202" t="e">
        <f t="array" ref="S25">IFERROR(INDEX(空單標的,MATCH(SMALL(IF(空單市值&lt;(SUM(空單市值)/100*2),空單輔助欄,""),ROW(6:6)),空單輔助欄,0)),NA())</f>
        <v>#N/A</v>
      </c>
      <c r="T25" s="92" t="e">
        <f t="shared" si="4"/>
        <v>#N/A</v>
      </c>
      <c r="U25" s="93"/>
      <c r="V25" s="119"/>
    </row>
    <row r="26" spans="1:22" ht="16.5">
      <c r="A26"/>
      <c r="B26"/>
      <c r="C26"/>
      <c r="D26" s="81" t="str">
        <f t="shared" si="0"/>
        <v/>
      </c>
      <c r="E26" s="90" t="str">
        <f>IF(D26="","",D26+(COUNTIF(D$4:D26,D26)-1)*0.001)</f>
        <v/>
      </c>
      <c r="F26" s="188"/>
      <c r="G26"/>
      <c r="H26"/>
      <c r="I26" s="81" t="str">
        <f t="shared" si="1"/>
        <v/>
      </c>
      <c r="J26" s="81" t="str">
        <f>IF(I26="","",I26+(COUNTIF(I$4:I26,I26)-1)*0.001)</f>
        <v/>
      </c>
      <c r="O26" s="100"/>
      <c r="P26" s="196"/>
      <c r="S26" s="202" t="e">
        <f t="array" ref="S26">IFERROR(INDEX(空單標的,MATCH(SMALL(IF(空單市值&lt;(SUM(空單市值)/100*2),空單輔助欄,""),ROW(7:7)),空單輔助欄,0)),NA())</f>
        <v>#N/A</v>
      </c>
      <c r="T26" s="92" t="e">
        <f t="shared" si="4"/>
        <v>#N/A</v>
      </c>
      <c r="U26" s="93"/>
      <c r="V26" s="92"/>
    </row>
    <row r="27" spans="1:22" ht="16.5">
      <c r="A27"/>
      <c r="B27"/>
      <c r="C27"/>
      <c r="D27" s="81" t="str">
        <f t="shared" si="0"/>
        <v/>
      </c>
      <c r="E27" s="90" t="str">
        <f>IF(D27="","",D27+(COUNTIF(D$4:D27,D27)-1)*0.001)</f>
        <v/>
      </c>
      <c r="F27" s="188"/>
      <c r="G27"/>
      <c r="H27"/>
      <c r="I27" s="81" t="str">
        <f t="shared" si="1"/>
        <v/>
      </c>
      <c r="J27" s="81" t="str">
        <f>IF(I27="","",I27+(COUNTIF(I$4:I27,I27)-1)*0.001)</f>
        <v/>
      </c>
      <c r="O27" s="100"/>
      <c r="P27" s="196"/>
      <c r="S27" s="202" t="e">
        <f t="array" ref="S27">IFERROR(INDEX(空單標的,MATCH(SMALL(IF(空單市值&lt;(SUM(空單市值)/100*2),空單輔助欄,""),ROW(8:8)),空單輔助欄,0)),NA())</f>
        <v>#N/A</v>
      </c>
      <c r="T27" s="92" t="e">
        <f t="shared" si="4"/>
        <v>#N/A</v>
      </c>
      <c r="U27" s="93"/>
    </row>
    <row r="28" spans="1:22" ht="16.5">
      <c r="A28"/>
      <c r="B28"/>
      <c r="C28"/>
      <c r="D28" s="81" t="str">
        <f t="shared" si="0"/>
        <v/>
      </c>
      <c r="E28" s="90" t="str">
        <f>IF(D28="","",D28+(COUNTIF(D$4:D28,D28)-1)*0.001)</f>
        <v/>
      </c>
      <c r="F28" s="188"/>
      <c r="G28"/>
      <c r="H28"/>
      <c r="I28" s="81" t="str">
        <f t="shared" si="1"/>
        <v/>
      </c>
      <c r="J28" s="81" t="str">
        <f>IF(I28="","",I28+(COUNTIF(I$4:I28,I28)-1)*0.001)</f>
        <v/>
      </c>
      <c r="O28" s="100"/>
      <c r="P28" s="196"/>
      <c r="Q28" s="105"/>
      <c r="S28" s="202" t="e">
        <f t="array" ref="S28">IFERROR(INDEX(空單標的,MATCH(SMALL(IF(空單市值&lt;(SUM(空單市值)/100*2),空單輔助欄,""),ROW(9:9)),空單輔助欄,0)),NA())</f>
        <v>#N/A</v>
      </c>
      <c r="T28" s="92" t="e">
        <f t="shared" si="4"/>
        <v>#N/A</v>
      </c>
      <c r="U28" s="93"/>
    </row>
    <row r="29" spans="1:22" ht="16.5">
      <c r="A29"/>
      <c r="B29"/>
      <c r="C29"/>
      <c r="D29" s="81" t="str">
        <f t="shared" si="0"/>
        <v/>
      </c>
      <c r="E29" s="90" t="str">
        <f>IF(D29="","",D29+(COUNTIF(D$4:D29,D29)-1)*0.001)</f>
        <v/>
      </c>
      <c r="F29" s="188"/>
      <c r="G29"/>
      <c r="H29"/>
      <c r="I29" s="81" t="str">
        <f t="shared" si="1"/>
        <v/>
      </c>
      <c r="J29" s="81" t="str">
        <f>IF(I29="","",I29+(COUNTIF(I$4:I29,I29)-1)*0.001)</f>
        <v/>
      </c>
      <c r="P29" s="196"/>
      <c r="S29" s="202" t="e">
        <f t="array" ref="S29">IFERROR(INDEX(空單標的,MATCH(SMALL(IF(空單市值&lt;(SUM(空單市值)/100*2),空單輔助欄,""),ROW(10:10)),空單輔助欄,0)),NA())</f>
        <v>#N/A</v>
      </c>
      <c r="T29" s="92" t="e">
        <f t="shared" si="4"/>
        <v>#N/A</v>
      </c>
      <c r="U29" s="93"/>
    </row>
    <row r="30" spans="1:22" ht="16.5">
      <c r="A30"/>
      <c r="B30"/>
      <c r="C30"/>
      <c r="D30" s="81" t="str">
        <f t="shared" si="0"/>
        <v/>
      </c>
      <c r="E30" s="90" t="str">
        <f>IF(D30="","",D30+(COUNTIF(D$4:D30,D30)-1)*0.001)</f>
        <v/>
      </c>
      <c r="F30" s="188"/>
      <c r="G30"/>
      <c r="H30"/>
      <c r="I30" s="81" t="str">
        <f t="shared" si="1"/>
        <v/>
      </c>
      <c r="J30" s="81" t="str">
        <f>IF(I30="","",I30+(COUNTIF(I$4:I30,I30)-1)*0.001)</f>
        <v/>
      </c>
      <c r="P30" s="196"/>
      <c r="S30" s="202" t="e">
        <f t="array" ref="S30">IFERROR(INDEX(空單標的,MATCH(SMALL(IF(空單市值&lt;(SUM(空單市值)/100*2),空單輔助欄,""),ROW(11:11)),空單輔助欄,0)),NA())</f>
        <v>#N/A</v>
      </c>
      <c r="T30" s="92" t="e">
        <f t="shared" si="4"/>
        <v>#N/A</v>
      </c>
      <c r="U30" s="93"/>
    </row>
    <row r="31" spans="1:22" ht="16.5">
      <c r="A31"/>
      <c r="B31"/>
      <c r="C31"/>
      <c r="D31" s="81" t="str">
        <f t="shared" si="0"/>
        <v/>
      </c>
      <c r="E31" s="90" t="str">
        <f>IF(D31="","",D31+(COUNTIF(D$4:D31,D31)-1)*0.001)</f>
        <v/>
      </c>
      <c r="F31" s="188"/>
      <c r="G31"/>
      <c r="H31"/>
      <c r="I31" s="81" t="str">
        <f t="shared" si="1"/>
        <v/>
      </c>
      <c r="J31" s="81" t="str">
        <f>IF(I31="","",I31+(COUNTIF(I$4:I31,I31)-1)*0.001)</f>
        <v/>
      </c>
      <c r="P31" s="196"/>
      <c r="S31" s="202" t="e">
        <f t="array" ref="S31">IFERROR(INDEX(空單標的,MATCH(SMALL(IF(空單市值&lt;(SUM(空單市值)/100*2),空單輔助欄,""),ROW(12:12)),空單輔助欄,0)),NA())</f>
        <v>#N/A</v>
      </c>
      <c r="T31" s="92" t="e">
        <f t="shared" si="4"/>
        <v>#N/A</v>
      </c>
      <c r="U31" s="93"/>
    </row>
    <row r="32" spans="1:22" ht="16.5">
      <c r="A32"/>
      <c r="B32"/>
      <c r="C32"/>
      <c r="D32" s="81" t="str">
        <f t="shared" si="0"/>
        <v/>
      </c>
      <c r="E32" s="90" t="str">
        <f>IF(D32="","",D32+(COUNTIF(D$4:D32,D32)-1)*0.001)</f>
        <v/>
      </c>
      <c r="F32" s="188"/>
      <c r="G32"/>
      <c r="H32"/>
      <c r="I32" s="81" t="str">
        <f t="shared" si="1"/>
        <v/>
      </c>
      <c r="J32" s="81" t="str">
        <f>IF(I32="","",I32+(COUNTIF(I$4:I32,I32)-1)*0.001)</f>
        <v/>
      </c>
      <c r="S32" s="202" t="e">
        <f t="array" ref="S32">IFERROR(INDEX(空單標的,MATCH(SMALL(IF(空單市值&lt;(SUM(空單市值)/100*2),空單輔助欄,""),ROW(13:13)),空單輔助欄,0)),NA())</f>
        <v>#N/A</v>
      </c>
      <c r="T32" s="92" t="e">
        <f t="shared" si="4"/>
        <v>#N/A</v>
      </c>
      <c r="U32" s="93"/>
    </row>
    <row r="33" spans="1:22" ht="16.5">
      <c r="A33"/>
      <c r="B33"/>
      <c r="C33"/>
      <c r="D33" s="81" t="str">
        <f t="shared" si="0"/>
        <v/>
      </c>
      <c r="E33" s="90" t="str">
        <f>IF(D33="","",D33+(COUNTIF(D$4:D33,D33)-1)*0.001)</f>
        <v/>
      </c>
      <c r="F33" s="188"/>
      <c r="G33"/>
      <c r="H33"/>
      <c r="I33" s="81" t="str">
        <f t="shared" si="1"/>
        <v/>
      </c>
      <c r="J33" s="81" t="str">
        <f>IF(I33="","",I33+(COUNTIF(I$4:I33,I33)-1)*0.001)</f>
        <v/>
      </c>
      <c r="S33" s="202" t="e">
        <f t="array" ref="S33">IFERROR(INDEX(空單標的,MATCH(SMALL(IF(空單市值&lt;(SUM(空單市值)/100*2),空單輔助欄,""),ROW(14:14)),空單輔助欄,0)),NA())</f>
        <v>#N/A</v>
      </c>
      <c r="T33" s="92" t="e">
        <f t="shared" si="4"/>
        <v>#N/A</v>
      </c>
      <c r="U33" s="93"/>
    </row>
    <row r="34" spans="1:22" ht="16.5">
      <c r="A34"/>
      <c r="B34"/>
      <c r="C34"/>
      <c r="D34" s="81" t="str">
        <f t="shared" si="0"/>
        <v/>
      </c>
      <c r="E34" s="90" t="str">
        <f>IF(D34="","",D34+(COUNTIF(D$4:D34,D34)-1)*0.001)</f>
        <v/>
      </c>
      <c r="F34" s="188"/>
      <c r="G34"/>
      <c r="H34"/>
      <c r="I34" s="81" t="str">
        <f t="shared" si="1"/>
        <v/>
      </c>
      <c r="J34" s="81" t="str">
        <f>IF(I34="","",I34+(COUNTIF(I$4:I34,I34)-1)*0.001)</f>
        <v/>
      </c>
      <c r="S34" s="202" t="e">
        <f t="array" ref="S34">IFERROR(INDEX(空單標的,MATCH(SMALL(IF(空單市值&lt;(SUM(空單市值)/100*2),空單輔助欄,""),ROW(15:15)),空單輔助欄,0)),NA())</f>
        <v>#N/A</v>
      </c>
      <c r="T34" s="92" t="e">
        <f t="shared" si="4"/>
        <v>#N/A</v>
      </c>
      <c r="U34" s="93"/>
    </row>
    <row r="35" spans="1:22" ht="17.25" thickBot="1">
      <c r="A35"/>
      <c r="B35"/>
      <c r="C35"/>
      <c r="D35" s="81" t="str">
        <f t="shared" si="0"/>
        <v/>
      </c>
      <c r="E35" s="90" t="str">
        <f>IF(D35="","",D35+(COUNTIF(D$4:D35,D35)-1)*0.001)</f>
        <v/>
      </c>
      <c r="F35" s="188"/>
      <c r="G35"/>
      <c r="H35"/>
      <c r="I35" s="81" t="str">
        <f t="shared" si="1"/>
        <v/>
      </c>
      <c r="J35" s="81" t="str">
        <f>IF(I35="","",I35+(COUNTIF(I$4:I35,I35)-1)*0.001)</f>
        <v/>
      </c>
      <c r="S35" s="204" t="str">
        <f>IF(T35=0,"","其他空單")</f>
        <v/>
      </c>
      <c r="T35" s="116">
        <f>SUM(空單市值)-_xlfn.AGGREGATE(9,6,T20:T34)</f>
        <v>0</v>
      </c>
      <c r="U35" s="115" t="s">
        <v>2809</v>
      </c>
      <c r="V35" s="118">
        <f>-_xlfn.AGGREGATE(9,6,T20:T35)/T38</f>
        <v>0</v>
      </c>
    </row>
    <row r="36" spans="1:22" ht="17.25" thickBot="1">
      <c r="A36"/>
      <c r="B36"/>
      <c r="C36"/>
      <c r="D36" s="81" t="str">
        <f t="shared" si="0"/>
        <v/>
      </c>
      <c r="E36" s="90" t="str">
        <f>IF(D36="","",D36+(COUNTIF(D$4:D36,D36)-1)*0.001)</f>
        <v/>
      </c>
      <c r="F36" s="188"/>
      <c r="G36"/>
      <c r="H36"/>
      <c r="I36" s="81" t="str">
        <f t="shared" si="1"/>
        <v/>
      </c>
      <c r="J36" s="81" t="str">
        <f>IF(I36="","",I36+(COUNTIF(I$4:I36,I36)-1)*0.001)</f>
        <v/>
      </c>
      <c r="S36" s="206" t="s">
        <v>2853</v>
      </c>
      <c r="T36" s="121">
        <f>LOOKUP(9.9E+307,明細銀行餘額)+LOOKUP(9.9E+307,明細未入帳款)+LOOKUP(9.9E+307,明細其他增減)</f>
        <v>700000</v>
      </c>
      <c r="U36" s="120" t="s">
        <v>40</v>
      </c>
      <c r="V36" s="122">
        <f>T36/T38</f>
        <v>0.36125303194508956</v>
      </c>
    </row>
    <row r="37" spans="1:22" ht="17.25" thickBot="1">
      <c r="A37"/>
      <c r="B37"/>
      <c r="C37"/>
      <c r="D37" s="81" t="str">
        <f t="shared" si="0"/>
        <v/>
      </c>
      <c r="E37" s="90" t="str">
        <f>IF(D37="","",D37+(COUNTIF(D$4:D37,D37)-1)*0.001)</f>
        <v/>
      </c>
      <c r="F37" s="188"/>
      <c r="G37"/>
      <c r="H37"/>
      <c r="I37" s="81" t="str">
        <f t="shared" si="1"/>
        <v/>
      </c>
      <c r="J37" s="81" t="str">
        <f>IF(I37="","",I37+(COUNTIF(I$4:I37,I37)-1)*0.001)</f>
        <v/>
      </c>
      <c r="S37" s="206" t="s">
        <v>2854</v>
      </c>
      <c r="T37" s="121">
        <f>LOOKUP(9.9E+307,明細長持其他)</f>
        <v>210000</v>
      </c>
      <c r="U37" s="120" t="s">
        <v>2810</v>
      </c>
      <c r="V37" s="122">
        <f>T37/T38</f>
        <v>0.10837590958352686</v>
      </c>
    </row>
    <row r="38" spans="1:22" ht="16.5">
      <c r="A38"/>
      <c r="B38"/>
      <c r="C38"/>
      <c r="D38" s="81" t="str">
        <f t="shared" si="0"/>
        <v/>
      </c>
      <c r="E38" s="90" t="str">
        <f>IF(D38="","",D38+(COUNTIF(D$4:D38,D38)-1)*0.001)</f>
        <v/>
      </c>
      <c r="F38" s="188"/>
      <c r="G38"/>
      <c r="H38"/>
      <c r="I38" s="81" t="str">
        <f t="shared" si="1"/>
        <v/>
      </c>
      <c r="J38" s="81" t="str">
        <f>IF(I38="","",I38+(COUNTIF(I$4:I38,I38)-1)*0.001)</f>
        <v/>
      </c>
      <c r="S38" s="207" t="s">
        <v>2811</v>
      </c>
      <c r="T38" s="126" cm="1">
        <f t="array" ref="T38">SUM(IFERROR(ABS(T4:T37),0))</f>
        <v>1937700</v>
      </c>
      <c r="U38" s="125"/>
      <c r="V38" s="127">
        <f>T38/T38</f>
        <v>1</v>
      </c>
    </row>
    <row r="39" spans="1:22" ht="16.5">
      <c r="A39"/>
      <c r="B39"/>
      <c r="C39"/>
      <c r="D39" s="81" t="str">
        <f t="shared" si="0"/>
        <v/>
      </c>
      <c r="E39" s="90" t="str">
        <f>IF(D39="","",D39+(COUNTIF(D$4:D39,D39)-1)*0.001)</f>
        <v/>
      </c>
      <c r="F39" s="188"/>
      <c r="G39"/>
      <c r="H39"/>
      <c r="I39" s="81" t="str">
        <f t="shared" si="1"/>
        <v/>
      </c>
      <c r="J39" s="81" t="str">
        <f>IF(I39="","",I39+(COUNTIF(I$4:I39,I39)-1)*0.001)</f>
        <v/>
      </c>
      <c r="S39" s="224" t="s">
        <v>2855</v>
      </c>
      <c r="U39" s="93"/>
    </row>
    <row r="40" spans="1:22" ht="16.5">
      <c r="A40"/>
      <c r="B40"/>
      <c r="C40"/>
      <c r="D40" s="81" t="str">
        <f t="shared" si="0"/>
        <v/>
      </c>
      <c r="E40" s="90" t="str">
        <f>IF(D40="","",D40+(COUNTIF(D$4:D40,D40)-1)*0.001)</f>
        <v/>
      </c>
      <c r="F40" s="188"/>
      <c r="G40"/>
      <c r="H40"/>
      <c r="I40" s="81" t="str">
        <f t="shared" si="1"/>
        <v/>
      </c>
      <c r="J40" s="81" t="str">
        <f>IF(I40="","",I40+(COUNTIF(I$4:I40,I40)-1)*0.001)</f>
        <v/>
      </c>
      <c r="S40" s="224" t="s">
        <v>2856</v>
      </c>
      <c r="U40" s="93"/>
    </row>
    <row r="41" spans="1:22" ht="16.5">
      <c r="A41"/>
      <c r="B41"/>
      <c r="C41"/>
      <c r="D41" s="81" t="str">
        <f t="shared" si="0"/>
        <v/>
      </c>
      <c r="E41" s="90" t="str">
        <f>IF(D41="","",D41+(COUNTIF(D$4:D41,D41)-1)*0.001)</f>
        <v/>
      </c>
      <c r="F41" s="188"/>
      <c r="G41"/>
      <c r="H41"/>
      <c r="I41" s="81" t="str">
        <f t="shared" si="1"/>
        <v/>
      </c>
      <c r="J41" s="81" t="str">
        <f>IF(I41="","",I41+(COUNTIF(I$4:I41,I41)-1)*0.001)</f>
        <v/>
      </c>
      <c r="S41" s="202"/>
      <c r="U41" s="93"/>
    </row>
    <row r="42" spans="1:22" ht="16.5">
      <c r="A42"/>
      <c r="B42"/>
      <c r="C42"/>
      <c r="D42" s="81" t="str">
        <f t="shared" si="0"/>
        <v/>
      </c>
      <c r="E42" s="90" t="str">
        <f>IF(D42="","",D42+(COUNTIF(D$4:D42,D42)-1)*0.001)</f>
        <v/>
      </c>
      <c r="F42" s="188"/>
      <c r="G42"/>
      <c r="H42"/>
      <c r="I42" s="81" t="str">
        <f t="shared" si="1"/>
        <v/>
      </c>
      <c r="J42" s="81" t="str">
        <f>IF(I42="","",I42+(COUNTIF(I$4:I42,I42)-1)*0.001)</f>
        <v/>
      </c>
      <c r="S42" s="202"/>
      <c r="U42" s="93"/>
    </row>
    <row r="43" spans="1:22" ht="16.5">
      <c r="A43"/>
      <c r="B43"/>
      <c r="C43"/>
      <c r="D43" s="81" t="str">
        <f t="shared" si="0"/>
        <v/>
      </c>
      <c r="E43" s="90" t="str">
        <f>IF(D43="","",D43+(COUNTIF(D$4:D43,D43)-1)*0.001)</f>
        <v/>
      </c>
      <c r="F43" s="188"/>
      <c r="G43"/>
      <c r="H43"/>
      <c r="I43" s="81" t="str">
        <f t="shared" si="1"/>
        <v/>
      </c>
      <c r="J43" s="81" t="str">
        <f>IF(I43="","",I43+(COUNTIF(I$4:I43,I43)-1)*0.001)</f>
        <v/>
      </c>
      <c r="S43" s="202"/>
      <c r="U43" s="93"/>
    </row>
    <row r="44" spans="1:22" ht="16.5">
      <c r="A44"/>
      <c r="B44"/>
      <c r="C44"/>
      <c r="D44" s="81" t="str">
        <f t="shared" si="0"/>
        <v/>
      </c>
      <c r="E44" s="90" t="str">
        <f>IF(D44="","",D44+(COUNTIF(D$4:D44,D44)-1)*0.001)</f>
        <v/>
      </c>
      <c r="F44" s="188"/>
      <c r="G44"/>
      <c r="H44"/>
      <c r="I44" s="81" t="str">
        <f t="shared" si="1"/>
        <v/>
      </c>
      <c r="J44" s="81" t="str">
        <f>IF(I44="","",I44+(COUNTIF(I$4:I44,I44)-1)*0.001)</f>
        <v/>
      </c>
      <c r="S44" s="202"/>
      <c r="U44" s="93"/>
    </row>
    <row r="45" spans="1:22" ht="16.5">
      <c r="A45"/>
      <c r="B45"/>
      <c r="C45"/>
      <c r="D45" s="81" t="str">
        <f t="shared" si="0"/>
        <v/>
      </c>
      <c r="E45" s="90" t="str">
        <f>IF(D45="","",D45+(COUNTIF(D$4:D45,D45)-1)*0.001)</f>
        <v/>
      </c>
      <c r="F45" s="188"/>
      <c r="G45"/>
      <c r="H45"/>
      <c r="I45" s="81" t="str">
        <f t="shared" si="1"/>
        <v/>
      </c>
      <c r="J45" s="81" t="str">
        <f>IF(I45="","",I45+(COUNTIF(I$4:I45,I45)-1)*0.001)</f>
        <v/>
      </c>
      <c r="S45" s="202"/>
      <c r="U45" s="93"/>
    </row>
    <row r="46" spans="1:22" ht="16.5">
      <c r="A46"/>
      <c r="B46"/>
      <c r="C46"/>
      <c r="D46" s="81" t="str">
        <f t="shared" si="0"/>
        <v/>
      </c>
      <c r="E46" s="90" t="str">
        <f>IF(D46="","",D46+(COUNTIF(D$4:D46,D46)-1)*0.001)</f>
        <v/>
      </c>
      <c r="F46" s="188"/>
      <c r="G46"/>
      <c r="H46"/>
      <c r="I46" s="81" t="str">
        <f t="shared" si="1"/>
        <v/>
      </c>
      <c r="J46" s="81" t="str">
        <f>IF(I46="","",I46+(COUNTIF(I$4:I46,I46)-1)*0.001)</f>
        <v/>
      </c>
      <c r="S46" s="202"/>
      <c r="U46" s="93"/>
    </row>
    <row r="47" spans="1:22" ht="16.5">
      <c r="A47"/>
      <c r="B47"/>
      <c r="C47"/>
      <c r="D47" s="81" t="str">
        <f t="shared" si="0"/>
        <v/>
      </c>
      <c r="E47" s="90" t="str">
        <f>IF(D47="","",D47+(COUNTIF(D$4:D47,D47)-1)*0.001)</f>
        <v/>
      </c>
      <c r="F47" s="188"/>
      <c r="G47"/>
      <c r="H47"/>
      <c r="I47" s="81" t="str">
        <f t="shared" si="1"/>
        <v/>
      </c>
      <c r="J47" s="81" t="str">
        <f>IF(I47="","",I47+(COUNTIF(I$4:I47,I47)-1)*0.001)</f>
        <v/>
      </c>
      <c r="S47" s="202"/>
      <c r="U47" s="93"/>
    </row>
    <row r="48" spans="1:22" ht="16.5">
      <c r="A48"/>
      <c r="B48"/>
      <c r="C48"/>
      <c r="D48" s="81" t="str">
        <f t="shared" si="0"/>
        <v/>
      </c>
      <c r="E48" s="90" t="str">
        <f>IF(D48="","",D48+(COUNTIF(D$4:D48,D48)-1)*0.001)</f>
        <v/>
      </c>
      <c r="F48" s="188"/>
      <c r="G48"/>
      <c r="H48"/>
      <c r="I48" s="81" t="str">
        <f t="shared" si="1"/>
        <v/>
      </c>
      <c r="J48" s="81" t="str">
        <f>IF(I48="","",I48+(COUNTIF(I$4:I48,I48)-1)*0.001)</f>
        <v/>
      </c>
      <c r="S48" s="202"/>
      <c r="U48" s="93"/>
    </row>
    <row r="49" spans="1:21" ht="16.5">
      <c r="A49"/>
      <c r="B49"/>
      <c r="C49"/>
      <c r="D49" s="81" t="str">
        <f t="shared" si="0"/>
        <v/>
      </c>
      <c r="E49" s="90" t="str">
        <f>IF(D49="","",D49+(COUNTIF(D$4:D49,D49)-1)*0.001)</f>
        <v/>
      </c>
      <c r="F49" s="188"/>
      <c r="G49"/>
      <c r="H49"/>
      <c r="I49" s="81" t="str">
        <f t="shared" si="1"/>
        <v/>
      </c>
      <c r="J49" s="81" t="str">
        <f>IF(I49="","",I49+(COUNTIF(I$4:I49,I49)-1)*0.001)</f>
        <v/>
      </c>
      <c r="S49" s="202"/>
      <c r="U49" s="93"/>
    </row>
    <row r="50" spans="1:21" ht="16.5">
      <c r="A50"/>
      <c r="B50"/>
      <c r="C50"/>
      <c r="D50" s="81" t="str">
        <f t="shared" si="0"/>
        <v/>
      </c>
      <c r="E50" s="90" t="str">
        <f>IF(D50="","",D50+(COUNTIF(D$4:D50,D50)-1)*0.001)</f>
        <v/>
      </c>
      <c r="F50" s="188"/>
      <c r="G50"/>
      <c r="H50"/>
      <c r="I50" s="81" t="str">
        <f t="shared" si="1"/>
        <v/>
      </c>
      <c r="J50" s="81" t="str">
        <f>IF(I50="","",I50+(COUNTIF(I$4:I50,I50)-1)*0.001)</f>
        <v/>
      </c>
      <c r="S50" s="202"/>
      <c r="U50" s="93"/>
    </row>
    <row r="51" spans="1:21" ht="16.5">
      <c r="A51"/>
      <c r="B51"/>
      <c r="C51"/>
      <c r="D51" s="81" t="str">
        <f t="shared" si="0"/>
        <v/>
      </c>
      <c r="E51" s="90" t="str">
        <f>IF(D51="","",D51+(COUNTIF(D$4:D51,D51)-1)*0.001)</f>
        <v/>
      </c>
      <c r="F51" s="188"/>
      <c r="G51"/>
      <c r="H51"/>
      <c r="I51" s="81" t="str">
        <f t="shared" si="1"/>
        <v/>
      </c>
      <c r="J51" s="81" t="str">
        <f>IF(I51="","",I51+(COUNTIF(I$4:I51,I51)-1)*0.001)</f>
        <v/>
      </c>
      <c r="S51" s="202"/>
      <c r="U51" s="93"/>
    </row>
    <row r="52" spans="1:21" ht="16.5">
      <c r="A52"/>
      <c r="B52"/>
      <c r="C52"/>
      <c r="D52" s="81" t="str">
        <f t="shared" si="0"/>
        <v/>
      </c>
      <c r="E52" s="90" t="str">
        <f>IF(D52="","",D52+(COUNTIF(D$4:D52,D52)-1)*0.001)</f>
        <v/>
      </c>
      <c r="F52" s="188"/>
      <c r="G52"/>
      <c r="H52"/>
      <c r="I52" s="81" t="str">
        <f t="shared" si="1"/>
        <v/>
      </c>
      <c r="J52" s="81" t="str">
        <f>IF(I52="","",I52+(COUNTIF(I$4:I52,I52)-1)*0.001)</f>
        <v/>
      </c>
      <c r="S52" s="202"/>
      <c r="U52" s="93"/>
    </row>
    <row r="53" spans="1:21" ht="16.5">
      <c r="A53"/>
      <c r="B53"/>
      <c r="C53"/>
      <c r="D53" s="81" t="str">
        <f t="shared" si="0"/>
        <v/>
      </c>
      <c r="E53" s="90" t="str">
        <f>IF(D53="","",D53+(COUNTIF(D$4:D53,D53)-1)*0.001)</f>
        <v/>
      </c>
      <c r="F53" s="188"/>
      <c r="G53"/>
      <c r="H53"/>
      <c r="I53" s="81" t="str">
        <f t="shared" si="1"/>
        <v/>
      </c>
      <c r="J53" s="81" t="str">
        <f>IF(I53="","",I53+(COUNTIF(I$4:I53,I53)-1)*0.001)</f>
        <v/>
      </c>
      <c r="S53" s="202"/>
      <c r="U53" s="93"/>
    </row>
    <row r="54" spans="1:21" ht="16.5">
      <c r="A54"/>
      <c r="B54"/>
      <c r="C54"/>
      <c r="D54" s="81" t="str">
        <f t="shared" si="0"/>
        <v/>
      </c>
      <c r="E54" s="90" t="str">
        <f>IF(D54="","",D54+(COUNTIF(D$4:D54,D54)-1)*0.001)</f>
        <v/>
      </c>
      <c r="F54" s="188"/>
      <c r="G54"/>
      <c r="H54"/>
      <c r="I54" s="81" t="str">
        <f t="shared" si="1"/>
        <v/>
      </c>
      <c r="J54" s="81" t="str">
        <f>IF(I54="","",I54+(COUNTIF(I$4:I54,I54)-1)*0.001)</f>
        <v/>
      </c>
      <c r="S54" s="202"/>
      <c r="U54" s="93"/>
    </row>
    <row r="55" spans="1:21" ht="16.5">
      <c r="A55"/>
      <c r="B55"/>
      <c r="C55"/>
      <c r="D55" s="81" t="str">
        <f t="shared" si="0"/>
        <v/>
      </c>
      <c r="E55" s="90" t="str">
        <f>IF(D55="","",D55+(COUNTIF(D$4:D55,D55)-1)*0.001)</f>
        <v/>
      </c>
      <c r="F55" s="188"/>
      <c r="G55"/>
      <c r="H55"/>
      <c r="I55" s="81" t="str">
        <f t="shared" si="1"/>
        <v/>
      </c>
      <c r="J55" s="81" t="str">
        <f>IF(I55="","",I55+(COUNTIF(I$4:I55,I55)-1)*0.001)</f>
        <v/>
      </c>
      <c r="S55" s="202"/>
      <c r="U55" s="93"/>
    </row>
    <row r="56" spans="1:21" ht="16.5">
      <c r="A56"/>
      <c r="B56"/>
      <c r="C56"/>
      <c r="D56" s="81" t="str">
        <f t="shared" si="0"/>
        <v/>
      </c>
      <c r="E56" s="90" t="str">
        <f>IF(D56="","",D56+(COUNTIF(D$4:D56,D56)-1)*0.001)</f>
        <v/>
      </c>
      <c r="F56" s="188"/>
      <c r="G56"/>
      <c r="H56"/>
      <c r="I56" s="81" t="str">
        <f t="shared" si="1"/>
        <v/>
      </c>
      <c r="J56" s="81" t="str">
        <f>IF(I56="","",I56+(COUNTIF(I$4:I56,I56)-1)*0.001)</f>
        <v/>
      </c>
      <c r="S56" s="202"/>
      <c r="U56" s="93"/>
    </row>
    <row r="57" spans="1:21" ht="16.5">
      <c r="A57"/>
      <c r="B57"/>
      <c r="C57"/>
      <c r="D57" s="81" t="str">
        <f t="shared" si="0"/>
        <v/>
      </c>
      <c r="E57" s="90" t="str">
        <f>IF(D57="","",D57+(COUNTIF(D$4:D57,D57)-1)*0.001)</f>
        <v/>
      </c>
      <c r="F57" s="188"/>
      <c r="G57"/>
      <c r="H57"/>
      <c r="I57" s="81" t="str">
        <f t="shared" si="1"/>
        <v/>
      </c>
      <c r="J57" s="81" t="str">
        <f>IF(I57="","",I57+(COUNTIF(I$4:I57,I57)-1)*0.001)</f>
        <v/>
      </c>
      <c r="S57" s="202"/>
      <c r="U57" s="93"/>
    </row>
    <row r="58" spans="1:21" ht="16.5">
      <c r="A58"/>
      <c r="B58"/>
      <c r="C58"/>
      <c r="D58" s="81" t="str">
        <f t="shared" si="0"/>
        <v/>
      </c>
      <c r="E58" s="90" t="str">
        <f>IF(D58="","",D58+(COUNTIF(D$4:D58,D58)-1)*0.001)</f>
        <v/>
      </c>
      <c r="F58" s="188"/>
      <c r="G58"/>
      <c r="H58"/>
      <c r="I58" s="81" t="str">
        <f t="shared" si="1"/>
        <v/>
      </c>
      <c r="J58" s="81" t="str">
        <f>IF(I58="","",I58+(COUNTIF(I$4:I58,I58)-1)*0.001)</f>
        <v/>
      </c>
      <c r="S58" s="202"/>
      <c r="U58" s="93"/>
    </row>
    <row r="59" spans="1:21" ht="16.5">
      <c r="A59"/>
      <c r="B59"/>
      <c r="C59"/>
      <c r="D59" s="81" t="str">
        <f t="shared" si="0"/>
        <v/>
      </c>
      <c r="E59" s="90" t="str">
        <f>IF(D59="","",D59+(COUNTIF(D$4:D59,D59)-1)*0.001)</f>
        <v/>
      </c>
      <c r="F59" s="188"/>
      <c r="G59"/>
      <c r="H59"/>
      <c r="I59" s="81" t="str">
        <f t="shared" si="1"/>
        <v/>
      </c>
      <c r="J59" s="81" t="str">
        <f>IF(I59="","",I59+(COUNTIF(I$4:I59,I59)-1)*0.001)</f>
        <v/>
      </c>
      <c r="S59" s="202"/>
      <c r="U59" s="93"/>
    </row>
    <row r="60" spans="1:21" ht="16.5">
      <c r="A60"/>
      <c r="B60"/>
      <c r="C60"/>
      <c r="D60" s="81" t="str">
        <f t="shared" si="0"/>
        <v/>
      </c>
      <c r="E60" s="90" t="str">
        <f>IF(D60="","",D60+(COUNTIF(D$4:D60,D60)-1)*0.001)</f>
        <v/>
      </c>
      <c r="F60" s="188"/>
      <c r="G60"/>
      <c r="H60"/>
      <c r="I60" s="81" t="str">
        <f t="shared" si="1"/>
        <v/>
      </c>
      <c r="J60" s="81" t="str">
        <f>IF(I60="","",I60+(COUNTIF(I$4:I60,I60)-1)*0.001)</f>
        <v/>
      </c>
      <c r="S60" s="202"/>
      <c r="U60" s="93"/>
    </row>
    <row r="61" spans="1:21" ht="16.5">
      <c r="A61"/>
      <c r="B61"/>
      <c r="C61"/>
      <c r="D61" s="81" t="str">
        <f t="shared" si="0"/>
        <v/>
      </c>
      <c r="E61" s="90" t="str">
        <f>IF(D61="","",D61+(COUNTIF(D$4:D61,D61)-1)*0.001)</f>
        <v/>
      </c>
      <c r="F61" s="188"/>
      <c r="G61"/>
      <c r="H61"/>
      <c r="I61" s="81" t="str">
        <f t="shared" si="1"/>
        <v/>
      </c>
      <c r="J61" s="81" t="str">
        <f>IF(I61="","",I61+(COUNTIF(I$4:I61,I61)-1)*0.001)</f>
        <v/>
      </c>
      <c r="S61" s="202"/>
      <c r="U61" s="93"/>
    </row>
    <row r="62" spans="1:21" ht="16.5">
      <c r="A62"/>
      <c r="B62"/>
      <c r="C62"/>
      <c r="D62" s="81" t="str">
        <f t="shared" si="0"/>
        <v/>
      </c>
      <c r="E62" s="90" t="str">
        <f>IF(D62="","",D62+(COUNTIF(D$4:D62,D62)-1)*0.001)</f>
        <v/>
      </c>
      <c r="F62" s="188"/>
      <c r="G62"/>
      <c r="H62"/>
      <c r="I62" s="81" t="str">
        <f t="shared" si="1"/>
        <v/>
      </c>
      <c r="J62" s="81" t="str">
        <f>IF(I62="","",I62+(COUNTIF(I$4:I62,I62)-1)*0.001)</f>
        <v/>
      </c>
      <c r="S62" s="202"/>
      <c r="U62" s="93"/>
    </row>
    <row r="63" spans="1:21" ht="16.5">
      <c r="A63"/>
      <c r="B63"/>
      <c r="C63"/>
      <c r="D63" s="81" t="str">
        <f t="shared" si="0"/>
        <v/>
      </c>
      <c r="E63" s="90" t="str">
        <f>IF(D63="","",D63+(COUNTIF(D$4:D63,D63)-1)*0.001)</f>
        <v/>
      </c>
      <c r="F63" s="188"/>
      <c r="G63"/>
      <c r="H63"/>
      <c r="I63" s="81" t="str">
        <f t="shared" si="1"/>
        <v/>
      </c>
      <c r="J63" s="81" t="str">
        <f>IF(I63="","",I63+(COUNTIF(I$4:I63,I63)-1)*0.001)</f>
        <v/>
      </c>
      <c r="S63" s="202"/>
      <c r="U63" s="93"/>
    </row>
    <row r="64" spans="1:21" ht="16.5">
      <c r="A64"/>
      <c r="B64"/>
      <c r="C64"/>
      <c r="D64" s="81" t="str">
        <f t="shared" si="0"/>
        <v/>
      </c>
      <c r="E64" s="90" t="str">
        <f>IF(D64="","",D64+(COUNTIF(D$4:D64,D64)-1)*0.001)</f>
        <v/>
      </c>
      <c r="F64" s="188"/>
      <c r="G64"/>
      <c r="H64"/>
      <c r="I64" s="81" t="str">
        <f t="shared" si="1"/>
        <v/>
      </c>
      <c r="J64" s="81" t="str">
        <f>IF(I64="","",I64+(COUNTIF(I$4:I64,I64)-1)*0.001)</f>
        <v/>
      </c>
      <c r="S64" s="202"/>
      <c r="U64" s="93"/>
    </row>
    <row r="65" spans="1:21" ht="16.5">
      <c r="A65"/>
      <c r="B65"/>
      <c r="C65"/>
      <c r="D65" s="81" t="str">
        <f t="shared" si="0"/>
        <v/>
      </c>
      <c r="E65" s="90" t="str">
        <f>IF(D65="","",D65+(COUNTIF(D$4:D65,D65)-1)*0.001)</f>
        <v/>
      </c>
      <c r="F65" s="188"/>
      <c r="G65"/>
      <c r="H65"/>
      <c r="I65" s="81" t="str">
        <f t="shared" si="1"/>
        <v/>
      </c>
      <c r="J65" s="81" t="str">
        <f>IF(I65="","",I65+(COUNTIF(I$4:I65,I65)-1)*0.001)</f>
        <v/>
      </c>
      <c r="S65" s="202"/>
      <c r="U65" s="93"/>
    </row>
    <row r="66" spans="1:21" ht="16.5">
      <c r="A66"/>
      <c r="B66"/>
      <c r="C66"/>
      <c r="D66" s="81" t="str">
        <f t="shared" si="0"/>
        <v/>
      </c>
      <c r="E66" s="90" t="str">
        <f>IF(D66="","",D66+(COUNTIF(D$4:D66,D66)-1)*0.001)</f>
        <v/>
      </c>
      <c r="F66" s="188"/>
      <c r="G66"/>
      <c r="H66"/>
      <c r="I66" s="81" t="str">
        <f t="shared" si="1"/>
        <v/>
      </c>
      <c r="J66" s="81" t="str">
        <f>IF(I66="","",I66+(COUNTIF(I$4:I66,I66)-1)*0.001)</f>
        <v/>
      </c>
      <c r="S66" s="202"/>
      <c r="U66" s="93"/>
    </row>
    <row r="67" spans="1:21" ht="16.5">
      <c r="A67"/>
      <c r="B67"/>
      <c r="C67"/>
      <c r="D67" s="81" t="str">
        <f t="shared" si="0"/>
        <v/>
      </c>
      <c r="E67" s="90" t="str">
        <f>IF(D67="","",D67+(COUNTIF(D$4:D67,D67)-1)*0.001)</f>
        <v/>
      </c>
      <c r="F67" s="188"/>
      <c r="G67"/>
      <c r="H67"/>
      <c r="I67" s="81" t="str">
        <f t="shared" si="1"/>
        <v/>
      </c>
      <c r="J67" s="81" t="str">
        <f>IF(I67="","",I67+(COUNTIF(I$4:I67,I67)-1)*0.001)</f>
        <v/>
      </c>
      <c r="S67" s="202"/>
      <c r="U67" s="93"/>
    </row>
    <row r="68" spans="1:21" ht="16.5">
      <c r="A68"/>
      <c r="B68"/>
      <c r="C68"/>
      <c r="D68" s="81" t="str">
        <f t="shared" ref="D68:D131" si="5">IF(A68="","",IFERROR(INDEX(收盤1,MATCH(A68,代號1,0)),IFERROR(INDEX(收盤2,MATCH(A68,代號2,0)),IFERROR(INDEX(收盤3,MATCH(A68,代號3,0)),INDEX(收盤4,MATCH(A68,代號4,0)))))*C68)</f>
        <v/>
      </c>
      <c r="E68" s="90" t="str">
        <f>IF(D68="","",D68+(COUNTIF(D$4:D68,D68)-1)*0.001)</f>
        <v/>
      </c>
      <c r="F68" s="188"/>
      <c r="G68"/>
      <c r="H68"/>
      <c r="I68" s="81" t="str">
        <f t="shared" ref="I68:I131" si="6">IF(F68="","",IFERROR(INDEX(收盤1,MATCH(F68,代號1,0)),IFERROR(INDEX(收盤2,MATCH(F68,代號2,0)),IFERROR(INDEX(收盤3,MATCH(F68,代號3,0)),INDEX(收盤4,MATCH(F68,代號4,0)))))*H68)</f>
        <v/>
      </c>
      <c r="J68" s="81" t="str">
        <f>IF(I68="","",I68+(COUNTIF(I$4:I68,I68)-1)*0.001)</f>
        <v/>
      </c>
      <c r="S68" s="202"/>
      <c r="U68" s="93"/>
    </row>
    <row r="69" spans="1:21" ht="16.5">
      <c r="A69"/>
      <c r="B69"/>
      <c r="C69"/>
      <c r="D69" s="81" t="str">
        <f t="shared" si="5"/>
        <v/>
      </c>
      <c r="E69" s="90" t="str">
        <f>IF(D69="","",D69+(COUNTIF(D$4:D69,D69)-1)*0.001)</f>
        <v/>
      </c>
      <c r="F69" s="188"/>
      <c r="G69"/>
      <c r="H69"/>
      <c r="I69" s="81" t="str">
        <f t="shared" si="6"/>
        <v/>
      </c>
      <c r="J69" s="81" t="str">
        <f>IF(I69="","",I69+(COUNTIF(I$4:I69,I69)-1)*0.001)</f>
        <v/>
      </c>
      <c r="S69" s="202"/>
      <c r="U69" s="93"/>
    </row>
    <row r="70" spans="1:21" ht="16.5">
      <c r="A70"/>
      <c r="B70"/>
      <c r="C70"/>
      <c r="D70" s="81" t="str">
        <f t="shared" si="5"/>
        <v/>
      </c>
      <c r="E70" s="90" t="str">
        <f>IF(D70="","",D70+(COUNTIF(D$4:D70,D70)-1)*0.001)</f>
        <v/>
      </c>
      <c r="F70" s="188"/>
      <c r="G70"/>
      <c r="H70"/>
      <c r="I70" s="81" t="str">
        <f t="shared" si="6"/>
        <v/>
      </c>
      <c r="J70" s="81" t="str">
        <f>IF(I70="","",I70+(COUNTIF(I$4:I70,I70)-1)*0.001)</f>
        <v/>
      </c>
      <c r="S70" s="202"/>
      <c r="U70" s="93"/>
    </row>
    <row r="71" spans="1:21" ht="16.5">
      <c r="A71"/>
      <c r="B71"/>
      <c r="C71"/>
      <c r="D71" s="81" t="str">
        <f t="shared" si="5"/>
        <v/>
      </c>
      <c r="E71" s="90" t="str">
        <f>IF(D71="","",D71+(COUNTIF(D$4:D71,D71)-1)*0.001)</f>
        <v/>
      </c>
      <c r="F71" s="188"/>
      <c r="G71"/>
      <c r="H71"/>
      <c r="I71" s="81" t="str">
        <f t="shared" si="6"/>
        <v/>
      </c>
      <c r="J71" s="81" t="str">
        <f>IF(I71="","",I71+(COUNTIF(I$4:I71,I71)-1)*0.001)</f>
        <v/>
      </c>
      <c r="S71" s="202"/>
      <c r="U71" s="93"/>
    </row>
    <row r="72" spans="1:21" ht="16.5">
      <c r="A72"/>
      <c r="B72"/>
      <c r="C72"/>
      <c r="D72" s="81" t="str">
        <f t="shared" si="5"/>
        <v/>
      </c>
      <c r="E72" s="90" t="str">
        <f>IF(D72="","",D72+(COUNTIF(D$4:D72,D72)-1)*0.001)</f>
        <v/>
      </c>
      <c r="F72" s="188"/>
      <c r="G72"/>
      <c r="H72"/>
      <c r="I72" s="81" t="str">
        <f t="shared" si="6"/>
        <v/>
      </c>
      <c r="J72" s="81" t="str">
        <f>IF(I72="","",I72+(COUNTIF(I$4:I72,I72)-1)*0.001)</f>
        <v/>
      </c>
      <c r="S72" s="202"/>
      <c r="U72" s="93"/>
    </row>
    <row r="73" spans="1:21" ht="16.5">
      <c r="A73"/>
      <c r="B73"/>
      <c r="C73"/>
      <c r="D73" s="81" t="str">
        <f t="shared" si="5"/>
        <v/>
      </c>
      <c r="E73" s="90" t="str">
        <f>IF(D73="","",D73+(COUNTIF(D$4:D73,D73)-1)*0.001)</f>
        <v/>
      </c>
      <c r="F73" s="188"/>
      <c r="G73"/>
      <c r="H73"/>
      <c r="I73" s="81" t="str">
        <f t="shared" si="6"/>
        <v/>
      </c>
      <c r="J73" s="81" t="str">
        <f>IF(I73="","",I73+(COUNTIF(I$4:I73,I73)-1)*0.001)</f>
        <v/>
      </c>
      <c r="S73" s="202"/>
      <c r="U73" s="93"/>
    </row>
    <row r="74" spans="1:21" ht="16.5">
      <c r="A74"/>
      <c r="B74"/>
      <c r="C74"/>
      <c r="D74" s="81" t="str">
        <f t="shared" si="5"/>
        <v/>
      </c>
      <c r="E74" s="90" t="str">
        <f>IF(D74="","",D74+(COUNTIF(D$4:D74,D74)-1)*0.001)</f>
        <v/>
      </c>
      <c r="F74" s="188"/>
      <c r="G74"/>
      <c r="H74"/>
      <c r="I74" s="81" t="str">
        <f t="shared" si="6"/>
        <v/>
      </c>
      <c r="J74" s="81" t="str">
        <f>IF(I74="","",I74+(COUNTIF(I$4:I74,I74)-1)*0.001)</f>
        <v/>
      </c>
      <c r="S74" s="202"/>
      <c r="U74" s="93"/>
    </row>
    <row r="75" spans="1:21" ht="16.5">
      <c r="A75"/>
      <c r="B75"/>
      <c r="C75"/>
      <c r="D75" s="81" t="str">
        <f t="shared" si="5"/>
        <v/>
      </c>
      <c r="E75" s="90" t="str">
        <f>IF(D75="","",D75+(COUNTIF(D$4:D75,D75)-1)*0.001)</f>
        <v/>
      </c>
      <c r="F75" s="188"/>
      <c r="G75"/>
      <c r="H75"/>
      <c r="I75" s="81" t="str">
        <f t="shared" si="6"/>
        <v/>
      </c>
      <c r="J75" s="81" t="str">
        <f>IF(I75="","",I75+(COUNTIF(I$4:I75,I75)-1)*0.001)</f>
        <v/>
      </c>
      <c r="S75" s="202"/>
      <c r="U75" s="93"/>
    </row>
    <row r="76" spans="1:21" ht="16.5">
      <c r="A76"/>
      <c r="B76"/>
      <c r="C76"/>
      <c r="D76" s="81" t="str">
        <f t="shared" si="5"/>
        <v/>
      </c>
      <c r="E76" s="90" t="str">
        <f>IF(D76="","",D76+(COUNTIF(D$4:D76,D76)-1)*0.001)</f>
        <v/>
      </c>
      <c r="F76" s="188"/>
      <c r="G76"/>
      <c r="H76"/>
      <c r="I76" s="81" t="str">
        <f t="shared" si="6"/>
        <v/>
      </c>
      <c r="J76" s="81" t="str">
        <f>IF(I76="","",I76+(COUNTIF(I$4:I76,I76)-1)*0.001)</f>
        <v/>
      </c>
      <c r="S76" s="202"/>
      <c r="U76" s="93"/>
    </row>
    <row r="77" spans="1:21" ht="16.5">
      <c r="A77"/>
      <c r="B77"/>
      <c r="C77"/>
      <c r="D77" s="81" t="str">
        <f t="shared" si="5"/>
        <v/>
      </c>
      <c r="E77" s="90" t="str">
        <f>IF(D77="","",D77+(COUNTIF(D$4:D77,D77)-1)*0.001)</f>
        <v/>
      </c>
      <c r="F77" s="188"/>
      <c r="G77"/>
      <c r="H77"/>
      <c r="I77" s="81" t="str">
        <f t="shared" si="6"/>
        <v/>
      </c>
      <c r="J77" s="81" t="str">
        <f>IF(I77="","",I77+(COUNTIF(I$4:I77,I77)-1)*0.001)</f>
        <v/>
      </c>
      <c r="S77" s="202"/>
      <c r="U77" s="93"/>
    </row>
    <row r="78" spans="1:21" ht="16.5">
      <c r="A78"/>
      <c r="B78"/>
      <c r="C78"/>
      <c r="D78" s="81" t="str">
        <f t="shared" si="5"/>
        <v/>
      </c>
      <c r="E78" s="90" t="str">
        <f>IF(D78="","",D78+(COUNTIF(D$4:D78,D78)-1)*0.001)</f>
        <v/>
      </c>
      <c r="F78" s="188"/>
      <c r="G78"/>
      <c r="H78"/>
      <c r="I78" s="81" t="str">
        <f t="shared" si="6"/>
        <v/>
      </c>
      <c r="J78" s="81" t="str">
        <f>IF(I78="","",I78+(COUNTIF(I$4:I78,I78)-1)*0.001)</f>
        <v/>
      </c>
      <c r="S78" s="202"/>
      <c r="U78" s="93"/>
    </row>
    <row r="79" spans="1:21" ht="16.5">
      <c r="A79"/>
      <c r="B79"/>
      <c r="C79"/>
      <c r="D79" s="81" t="str">
        <f t="shared" si="5"/>
        <v/>
      </c>
      <c r="E79" s="90" t="str">
        <f>IF(D79="","",D79+(COUNTIF(D$4:D79,D79)-1)*0.001)</f>
        <v/>
      </c>
      <c r="F79" s="188"/>
      <c r="G79"/>
      <c r="H79"/>
      <c r="I79" s="81" t="str">
        <f t="shared" si="6"/>
        <v/>
      </c>
      <c r="J79" s="81" t="str">
        <f>IF(I79="","",I79+(COUNTIF(I$4:I79,I79)-1)*0.001)</f>
        <v/>
      </c>
      <c r="S79" s="202"/>
      <c r="U79" s="93"/>
    </row>
    <row r="80" spans="1:21" ht="16.5">
      <c r="A80"/>
      <c r="B80"/>
      <c r="C80"/>
      <c r="D80" s="81" t="str">
        <f t="shared" si="5"/>
        <v/>
      </c>
      <c r="E80" s="90" t="str">
        <f>IF(D80="","",D80+(COUNTIF(D$4:D80,D80)-1)*0.001)</f>
        <v/>
      </c>
      <c r="F80" s="188"/>
      <c r="G80"/>
      <c r="H80"/>
      <c r="I80" s="81" t="str">
        <f t="shared" si="6"/>
        <v/>
      </c>
      <c r="J80" s="81" t="str">
        <f>IF(I80="","",I80+(COUNTIF(I$4:I80,I80)-1)*0.001)</f>
        <v/>
      </c>
      <c r="S80" s="202"/>
      <c r="U80" s="93"/>
    </row>
    <row r="81" spans="1:21" ht="16.5">
      <c r="A81"/>
      <c r="B81"/>
      <c r="C81"/>
      <c r="D81" s="81" t="str">
        <f t="shared" si="5"/>
        <v/>
      </c>
      <c r="E81" s="90" t="str">
        <f>IF(D81="","",D81+(COUNTIF(D$4:D81,D81)-1)*0.001)</f>
        <v/>
      </c>
      <c r="F81" s="188"/>
      <c r="G81"/>
      <c r="H81"/>
      <c r="I81" s="81" t="str">
        <f t="shared" si="6"/>
        <v/>
      </c>
      <c r="J81" s="81" t="str">
        <f>IF(I81="","",I81+(COUNTIF(I$4:I81,I81)-1)*0.001)</f>
        <v/>
      </c>
      <c r="S81" s="202"/>
      <c r="U81" s="93"/>
    </row>
    <row r="82" spans="1:21" ht="16.5">
      <c r="A82"/>
      <c r="B82"/>
      <c r="C82"/>
      <c r="D82" s="81" t="str">
        <f t="shared" si="5"/>
        <v/>
      </c>
      <c r="E82" s="90" t="str">
        <f>IF(D82="","",D82+(COUNTIF(D$4:D82,D82)-1)*0.001)</f>
        <v/>
      </c>
      <c r="F82" s="188"/>
      <c r="G82"/>
      <c r="H82"/>
      <c r="I82" s="81" t="str">
        <f t="shared" si="6"/>
        <v/>
      </c>
      <c r="J82" s="81" t="str">
        <f>IF(I82="","",I82+(COUNTIF(I$4:I82,I82)-1)*0.001)</f>
        <v/>
      </c>
      <c r="S82" s="202"/>
      <c r="U82" s="93"/>
    </row>
    <row r="83" spans="1:21" ht="16.5">
      <c r="A83"/>
      <c r="B83"/>
      <c r="C83"/>
      <c r="D83" s="81" t="str">
        <f t="shared" si="5"/>
        <v/>
      </c>
      <c r="E83" s="90" t="str">
        <f>IF(D83="","",D83+(COUNTIF(D$4:D83,D83)-1)*0.001)</f>
        <v/>
      </c>
      <c r="F83" s="188"/>
      <c r="G83"/>
      <c r="H83"/>
      <c r="I83" s="81" t="str">
        <f t="shared" si="6"/>
        <v/>
      </c>
      <c r="J83" s="81" t="str">
        <f>IF(I83="","",I83+(COUNTIF(I$4:I83,I83)-1)*0.001)</f>
        <v/>
      </c>
      <c r="S83" s="202"/>
      <c r="U83" s="93"/>
    </row>
    <row r="84" spans="1:21" ht="16.5">
      <c r="A84"/>
      <c r="B84"/>
      <c r="C84"/>
      <c r="D84" s="81" t="str">
        <f t="shared" si="5"/>
        <v/>
      </c>
      <c r="E84" s="90" t="str">
        <f>IF(D84="","",D84+(COUNTIF(D$4:D84,D84)-1)*0.001)</f>
        <v/>
      </c>
      <c r="F84" s="188"/>
      <c r="G84"/>
      <c r="H84"/>
      <c r="I84" s="81" t="str">
        <f t="shared" si="6"/>
        <v/>
      </c>
      <c r="J84" s="81" t="str">
        <f>IF(I84="","",I84+(COUNTIF(I$4:I84,I84)-1)*0.001)</f>
        <v/>
      </c>
      <c r="S84" s="202"/>
      <c r="U84" s="93"/>
    </row>
    <row r="85" spans="1:21" ht="16.5">
      <c r="A85"/>
      <c r="B85"/>
      <c r="C85"/>
      <c r="D85" s="81" t="str">
        <f t="shared" si="5"/>
        <v/>
      </c>
      <c r="E85" s="90" t="str">
        <f>IF(D85="","",D85+(COUNTIF(D$4:D85,D85)-1)*0.001)</f>
        <v/>
      </c>
      <c r="F85" s="188"/>
      <c r="G85"/>
      <c r="H85"/>
      <c r="I85" s="81" t="str">
        <f t="shared" si="6"/>
        <v/>
      </c>
      <c r="J85" s="81" t="str">
        <f>IF(I85="","",I85+(COUNTIF(I$4:I85,I85)-1)*0.001)</f>
        <v/>
      </c>
      <c r="S85" s="202"/>
      <c r="U85" s="93"/>
    </row>
    <row r="86" spans="1:21" ht="16.5">
      <c r="A86"/>
      <c r="B86"/>
      <c r="C86"/>
      <c r="D86" s="81" t="str">
        <f t="shared" si="5"/>
        <v/>
      </c>
      <c r="E86" s="90" t="str">
        <f>IF(D86="","",D86+(COUNTIF(D$4:D86,D86)-1)*0.001)</f>
        <v/>
      </c>
      <c r="F86" s="188"/>
      <c r="G86"/>
      <c r="H86"/>
      <c r="I86" s="81" t="str">
        <f t="shared" si="6"/>
        <v/>
      </c>
      <c r="J86" s="81" t="str">
        <f>IF(I86="","",I86+(COUNTIF(I$4:I86,I86)-1)*0.001)</f>
        <v/>
      </c>
      <c r="S86" s="202"/>
      <c r="U86" s="93"/>
    </row>
    <row r="87" spans="1:21" ht="16.5">
      <c r="A87"/>
      <c r="B87"/>
      <c r="C87"/>
      <c r="D87" s="81" t="str">
        <f t="shared" si="5"/>
        <v/>
      </c>
      <c r="E87" s="90" t="str">
        <f>IF(D87="","",D87+(COUNTIF(D$4:D87,D87)-1)*0.001)</f>
        <v/>
      </c>
      <c r="F87" s="188"/>
      <c r="G87"/>
      <c r="H87"/>
      <c r="I87" s="81" t="str">
        <f t="shared" si="6"/>
        <v/>
      </c>
      <c r="J87" s="81" t="str">
        <f>IF(I87="","",I87+(COUNTIF(I$4:I87,I87)-1)*0.001)</f>
        <v/>
      </c>
      <c r="S87" s="202"/>
      <c r="U87" s="93"/>
    </row>
    <row r="88" spans="1:21" ht="16.5">
      <c r="A88"/>
      <c r="B88"/>
      <c r="C88"/>
      <c r="D88" s="81" t="str">
        <f t="shared" si="5"/>
        <v/>
      </c>
      <c r="E88" s="90" t="str">
        <f>IF(D88="","",D88+(COUNTIF(D$4:D88,D88)-1)*0.001)</f>
        <v/>
      </c>
      <c r="F88" s="188"/>
      <c r="G88"/>
      <c r="H88"/>
      <c r="I88" s="81" t="str">
        <f t="shared" si="6"/>
        <v/>
      </c>
      <c r="J88" s="81" t="str">
        <f>IF(I88="","",I88+(COUNTIF(I$4:I88,I88)-1)*0.001)</f>
        <v/>
      </c>
      <c r="S88" s="202"/>
      <c r="U88" s="93"/>
    </row>
    <row r="89" spans="1:21" ht="16.5">
      <c r="A89"/>
      <c r="B89"/>
      <c r="C89"/>
      <c r="D89" s="81" t="str">
        <f t="shared" si="5"/>
        <v/>
      </c>
      <c r="E89" s="90" t="str">
        <f>IF(D89="","",D89+(COUNTIF(D$4:D89,D89)-1)*0.001)</f>
        <v/>
      </c>
      <c r="F89" s="188"/>
      <c r="G89"/>
      <c r="H89"/>
      <c r="I89" s="81" t="str">
        <f t="shared" si="6"/>
        <v/>
      </c>
      <c r="J89" s="81" t="str">
        <f>IF(I89="","",I89+(COUNTIF(I$4:I89,I89)-1)*0.001)</f>
        <v/>
      </c>
      <c r="S89" s="202"/>
      <c r="U89" s="93"/>
    </row>
    <row r="90" spans="1:21" ht="16.5">
      <c r="A90"/>
      <c r="B90"/>
      <c r="C90"/>
      <c r="D90" s="81" t="str">
        <f t="shared" si="5"/>
        <v/>
      </c>
      <c r="E90" s="90" t="str">
        <f>IF(D90="","",D90+(COUNTIF(D$4:D90,D90)-1)*0.001)</f>
        <v/>
      </c>
      <c r="F90" s="188"/>
      <c r="G90"/>
      <c r="H90"/>
      <c r="I90" s="81" t="str">
        <f t="shared" si="6"/>
        <v/>
      </c>
      <c r="J90" s="81" t="str">
        <f>IF(I90="","",I90+(COUNTIF(I$4:I90,I90)-1)*0.001)</f>
        <v/>
      </c>
      <c r="S90" s="202"/>
      <c r="U90" s="93"/>
    </row>
    <row r="91" spans="1:21" ht="16.5">
      <c r="A91"/>
      <c r="B91"/>
      <c r="C91"/>
      <c r="D91" s="81" t="str">
        <f t="shared" si="5"/>
        <v/>
      </c>
      <c r="E91" s="90" t="str">
        <f>IF(D91="","",D91+(COUNTIF(D$4:D91,D91)-1)*0.001)</f>
        <v/>
      </c>
      <c r="F91" s="188"/>
      <c r="G91"/>
      <c r="H91"/>
      <c r="I91" s="81" t="str">
        <f t="shared" si="6"/>
        <v/>
      </c>
      <c r="J91" s="81" t="str">
        <f>IF(I91="","",I91+(COUNTIF(I$4:I91,I91)-1)*0.001)</f>
        <v/>
      </c>
      <c r="S91" s="202"/>
      <c r="U91" s="93"/>
    </row>
    <row r="92" spans="1:21" ht="16.5">
      <c r="A92"/>
      <c r="B92"/>
      <c r="C92"/>
      <c r="D92" s="81" t="str">
        <f t="shared" si="5"/>
        <v/>
      </c>
      <c r="E92" s="90" t="str">
        <f>IF(D92="","",D92+(COUNTIF(D$4:D92,D92)-1)*0.001)</f>
        <v/>
      </c>
      <c r="F92" s="188"/>
      <c r="G92"/>
      <c r="H92"/>
      <c r="I92" s="81" t="str">
        <f t="shared" si="6"/>
        <v/>
      </c>
      <c r="J92" s="81" t="str">
        <f>IF(I92="","",I92+(COUNTIF(I$4:I92,I92)-1)*0.001)</f>
        <v/>
      </c>
      <c r="S92" s="202"/>
      <c r="U92" s="93"/>
    </row>
    <row r="93" spans="1:21" ht="16.5">
      <c r="A93"/>
      <c r="B93"/>
      <c r="C93"/>
      <c r="D93" s="81" t="str">
        <f t="shared" si="5"/>
        <v/>
      </c>
      <c r="E93" s="90" t="str">
        <f>IF(D93="","",D93+(COUNTIF(D$4:D93,D93)-1)*0.001)</f>
        <v/>
      </c>
      <c r="F93" s="188"/>
      <c r="G93"/>
      <c r="H93"/>
      <c r="I93" s="81" t="str">
        <f t="shared" si="6"/>
        <v/>
      </c>
      <c r="J93" s="81" t="str">
        <f>IF(I93="","",I93+(COUNTIF(I$4:I93,I93)-1)*0.001)</f>
        <v/>
      </c>
      <c r="S93" s="202"/>
      <c r="U93" s="93"/>
    </row>
    <row r="94" spans="1:21" ht="16.5">
      <c r="A94"/>
      <c r="B94"/>
      <c r="C94"/>
      <c r="D94" s="81" t="str">
        <f t="shared" si="5"/>
        <v/>
      </c>
      <c r="E94" s="90" t="str">
        <f>IF(D94="","",D94+(COUNTIF(D$4:D94,D94)-1)*0.001)</f>
        <v/>
      </c>
      <c r="F94" s="188"/>
      <c r="G94"/>
      <c r="H94"/>
      <c r="I94" s="81" t="str">
        <f t="shared" si="6"/>
        <v/>
      </c>
      <c r="J94" s="81" t="str">
        <f>IF(I94="","",I94+(COUNTIF(I$4:I94,I94)-1)*0.001)</f>
        <v/>
      </c>
      <c r="S94" s="202"/>
      <c r="U94" s="93"/>
    </row>
    <row r="95" spans="1:21" ht="16.5">
      <c r="A95"/>
      <c r="B95"/>
      <c r="C95"/>
      <c r="D95" s="81" t="str">
        <f t="shared" si="5"/>
        <v/>
      </c>
      <c r="E95" s="90" t="str">
        <f>IF(D95="","",D95+(COUNTIF(D$4:D95,D95)-1)*0.001)</f>
        <v/>
      </c>
      <c r="F95" s="188"/>
      <c r="G95"/>
      <c r="H95"/>
      <c r="I95" s="81" t="str">
        <f t="shared" si="6"/>
        <v/>
      </c>
      <c r="J95" s="81" t="str">
        <f>IF(I95="","",I95+(COUNTIF(I$4:I95,I95)-1)*0.001)</f>
        <v/>
      </c>
      <c r="S95" s="202"/>
      <c r="U95" s="93"/>
    </row>
    <row r="96" spans="1:21" ht="16.5">
      <c r="A96"/>
      <c r="B96"/>
      <c r="C96"/>
      <c r="D96" s="81" t="str">
        <f t="shared" si="5"/>
        <v/>
      </c>
      <c r="E96" s="90" t="str">
        <f>IF(D96="","",D96+(COUNTIF(D$4:D96,D96)-1)*0.001)</f>
        <v/>
      </c>
      <c r="F96" s="188"/>
      <c r="G96"/>
      <c r="H96"/>
      <c r="I96" s="81" t="str">
        <f t="shared" si="6"/>
        <v/>
      </c>
      <c r="J96" s="81" t="str">
        <f>IF(I96="","",I96+(COUNTIF(I$4:I96,I96)-1)*0.001)</f>
        <v/>
      </c>
      <c r="S96" s="202"/>
      <c r="U96" s="93"/>
    </row>
    <row r="97" spans="1:21" ht="16.5">
      <c r="A97"/>
      <c r="B97"/>
      <c r="C97"/>
      <c r="D97" s="81" t="str">
        <f t="shared" si="5"/>
        <v/>
      </c>
      <c r="E97" s="90" t="str">
        <f>IF(D97="","",D97+(COUNTIF(D$4:D97,D97)-1)*0.001)</f>
        <v/>
      </c>
      <c r="F97" s="188"/>
      <c r="G97"/>
      <c r="H97"/>
      <c r="I97" s="81" t="str">
        <f t="shared" si="6"/>
        <v/>
      </c>
      <c r="J97" s="81" t="str">
        <f>IF(I97="","",I97+(COUNTIF(I$4:I97,I97)-1)*0.001)</f>
        <v/>
      </c>
      <c r="S97" s="202"/>
      <c r="U97" s="93"/>
    </row>
    <row r="98" spans="1:21" ht="16.5">
      <c r="A98"/>
      <c r="B98"/>
      <c r="C98"/>
      <c r="D98" s="81" t="str">
        <f t="shared" si="5"/>
        <v/>
      </c>
      <c r="E98" s="90" t="str">
        <f>IF(D98="","",D98+(COUNTIF(D$4:D98,D98)-1)*0.001)</f>
        <v/>
      </c>
      <c r="F98" s="188"/>
      <c r="G98"/>
      <c r="H98"/>
      <c r="I98" s="81" t="str">
        <f t="shared" si="6"/>
        <v/>
      </c>
      <c r="J98" s="81" t="str">
        <f>IF(I98="","",I98+(COUNTIF(I$4:I98,I98)-1)*0.001)</f>
        <v/>
      </c>
      <c r="S98" s="202"/>
      <c r="U98" s="93"/>
    </row>
    <row r="99" spans="1:21" ht="16.5">
      <c r="A99"/>
      <c r="B99"/>
      <c r="C99"/>
      <c r="D99" s="81" t="str">
        <f t="shared" si="5"/>
        <v/>
      </c>
      <c r="E99" s="90" t="str">
        <f>IF(D99="","",D99+(COUNTIF(D$4:D99,D99)-1)*0.001)</f>
        <v/>
      </c>
      <c r="F99" s="188"/>
      <c r="G99"/>
      <c r="H99"/>
      <c r="I99" s="81" t="str">
        <f t="shared" si="6"/>
        <v/>
      </c>
      <c r="J99" s="81" t="str">
        <f>IF(I99="","",I99+(COUNTIF(I$4:I99,I99)-1)*0.001)</f>
        <v/>
      </c>
      <c r="S99" s="202"/>
      <c r="U99" s="93"/>
    </row>
    <row r="100" spans="1:21" ht="16.5">
      <c r="A100"/>
      <c r="B100"/>
      <c r="C100"/>
      <c r="D100" s="81" t="str">
        <f t="shared" si="5"/>
        <v/>
      </c>
      <c r="E100" s="90" t="str">
        <f>IF(D100="","",D100+(COUNTIF(D$4:D100,D100)-1)*0.001)</f>
        <v/>
      </c>
      <c r="F100" s="188"/>
      <c r="G100"/>
      <c r="H100"/>
      <c r="I100" s="81" t="str">
        <f t="shared" si="6"/>
        <v/>
      </c>
      <c r="J100" s="81" t="str">
        <f>IF(I100="","",I100+(COUNTIF(I$4:I100,I100)-1)*0.001)</f>
        <v/>
      </c>
      <c r="S100" s="202"/>
      <c r="U100" s="93"/>
    </row>
    <row r="101" spans="1:21" ht="16.5">
      <c r="A101"/>
      <c r="B101"/>
      <c r="C101"/>
      <c r="D101" s="81" t="str">
        <f t="shared" si="5"/>
        <v/>
      </c>
      <c r="E101" s="90" t="str">
        <f>IF(D101="","",D101+(COUNTIF(D$4:D101,D101)-1)*0.001)</f>
        <v/>
      </c>
      <c r="F101" s="188"/>
      <c r="G101"/>
      <c r="H101"/>
      <c r="I101" s="81" t="str">
        <f t="shared" si="6"/>
        <v/>
      </c>
      <c r="J101" s="81" t="str">
        <f>IF(I101="","",I101+(COUNTIF(I$4:I101,I101)-1)*0.001)</f>
        <v/>
      </c>
      <c r="S101" s="202"/>
      <c r="U101" s="93"/>
    </row>
    <row r="102" spans="1:21" ht="16.5">
      <c r="A102"/>
      <c r="B102"/>
      <c r="C102"/>
      <c r="D102" s="81" t="str">
        <f t="shared" si="5"/>
        <v/>
      </c>
      <c r="E102" s="90" t="str">
        <f>IF(D102="","",D102+(COUNTIF(D$4:D102,D102)-1)*0.001)</f>
        <v/>
      </c>
      <c r="F102" s="188"/>
      <c r="G102"/>
      <c r="H102"/>
      <c r="I102" s="81" t="str">
        <f t="shared" si="6"/>
        <v/>
      </c>
      <c r="J102" s="81" t="str">
        <f>IF(I102="","",I102+(COUNTIF(I$4:I102,I102)-1)*0.001)</f>
        <v/>
      </c>
      <c r="S102" s="202"/>
      <c r="U102" s="93"/>
    </row>
    <row r="103" spans="1:21" ht="16.5">
      <c r="A103"/>
      <c r="B103"/>
      <c r="C103"/>
      <c r="D103" s="81" t="str">
        <f t="shared" si="5"/>
        <v/>
      </c>
      <c r="E103" s="90" t="str">
        <f>IF(D103="","",D103+(COUNTIF(D$4:D103,D103)-1)*0.001)</f>
        <v/>
      </c>
      <c r="F103" s="188"/>
      <c r="G103"/>
      <c r="H103"/>
      <c r="I103" s="81" t="str">
        <f t="shared" si="6"/>
        <v/>
      </c>
      <c r="J103" s="81" t="str">
        <f>IF(I103="","",I103+(COUNTIF(I$4:I103,I103)-1)*0.001)</f>
        <v/>
      </c>
      <c r="S103" s="202"/>
      <c r="U103" s="93"/>
    </row>
    <row r="104" spans="1:21" ht="16.5">
      <c r="A104"/>
      <c r="B104"/>
      <c r="C104"/>
      <c r="D104" s="81" t="str">
        <f t="shared" si="5"/>
        <v/>
      </c>
      <c r="E104" s="90" t="str">
        <f>IF(D104="","",D104+(COUNTIF(D$4:D104,D104)-1)*0.001)</f>
        <v/>
      </c>
      <c r="F104" s="188"/>
      <c r="G104"/>
      <c r="H104"/>
      <c r="I104" s="81" t="str">
        <f t="shared" si="6"/>
        <v/>
      </c>
      <c r="J104" s="81" t="str">
        <f>IF(I104="","",I104+(COUNTIF(I$4:I104,I104)-1)*0.001)</f>
        <v/>
      </c>
      <c r="S104" s="202"/>
      <c r="U104" s="93"/>
    </row>
    <row r="105" spans="1:21" ht="16.5">
      <c r="A105"/>
      <c r="B105"/>
      <c r="C105"/>
      <c r="D105" s="81" t="str">
        <f t="shared" si="5"/>
        <v/>
      </c>
      <c r="E105" s="90" t="str">
        <f>IF(D105="","",D105+(COUNTIF(D$4:D105,D105)-1)*0.001)</f>
        <v/>
      </c>
      <c r="F105" s="188"/>
      <c r="G105"/>
      <c r="H105"/>
      <c r="I105" s="81" t="str">
        <f t="shared" si="6"/>
        <v/>
      </c>
      <c r="J105" s="81" t="str">
        <f>IF(I105="","",I105+(COUNTIF(I$4:I105,I105)-1)*0.001)</f>
        <v/>
      </c>
      <c r="S105" s="202"/>
      <c r="U105" s="93"/>
    </row>
    <row r="106" spans="1:21" ht="16.5">
      <c r="A106"/>
      <c r="B106"/>
      <c r="C106"/>
      <c r="D106" s="81" t="str">
        <f t="shared" si="5"/>
        <v/>
      </c>
      <c r="E106" s="90" t="str">
        <f>IF(D106="","",D106+(COUNTIF(D$4:D106,D106)-1)*0.001)</f>
        <v/>
      </c>
      <c r="F106" s="188"/>
      <c r="G106"/>
      <c r="H106"/>
      <c r="I106" s="81" t="str">
        <f t="shared" si="6"/>
        <v/>
      </c>
      <c r="J106" s="81" t="str">
        <f>IF(I106="","",I106+(COUNTIF(I$4:I106,I106)-1)*0.001)</f>
        <v/>
      </c>
      <c r="S106" s="202"/>
      <c r="U106" s="93"/>
    </row>
    <row r="107" spans="1:21" ht="16.5">
      <c r="A107"/>
      <c r="B107"/>
      <c r="C107"/>
      <c r="D107" s="81" t="str">
        <f t="shared" si="5"/>
        <v/>
      </c>
      <c r="E107" s="90" t="str">
        <f>IF(D107="","",D107+(COUNTIF(D$4:D107,D107)-1)*0.001)</f>
        <v/>
      </c>
      <c r="F107" s="188"/>
      <c r="G107"/>
      <c r="H107"/>
      <c r="I107" s="81" t="str">
        <f t="shared" si="6"/>
        <v/>
      </c>
      <c r="J107" s="81" t="str">
        <f>IF(I107="","",I107+(COUNTIF(I$4:I107,I107)-1)*0.001)</f>
        <v/>
      </c>
      <c r="S107" s="202"/>
      <c r="U107" s="93"/>
    </row>
    <row r="108" spans="1:21" ht="16.5">
      <c r="A108"/>
      <c r="B108"/>
      <c r="C108"/>
      <c r="D108" s="81" t="str">
        <f t="shared" si="5"/>
        <v/>
      </c>
      <c r="E108" s="90" t="str">
        <f>IF(D108="","",D108+(COUNTIF(D$4:D108,D108)-1)*0.001)</f>
        <v/>
      </c>
      <c r="F108" s="188"/>
      <c r="G108"/>
      <c r="H108"/>
      <c r="I108" s="81" t="str">
        <f t="shared" si="6"/>
        <v/>
      </c>
      <c r="J108" s="81" t="str">
        <f>IF(I108="","",I108+(COUNTIF(I$4:I108,I108)-1)*0.001)</f>
        <v/>
      </c>
      <c r="S108" s="202"/>
      <c r="U108" s="93"/>
    </row>
    <row r="109" spans="1:21" ht="16.5">
      <c r="A109"/>
      <c r="B109"/>
      <c r="C109"/>
      <c r="D109" s="81" t="str">
        <f t="shared" si="5"/>
        <v/>
      </c>
      <c r="E109" s="90" t="str">
        <f>IF(D109="","",D109+(COUNTIF(D$4:D109,D109)-1)*0.001)</f>
        <v/>
      </c>
      <c r="F109" s="188"/>
      <c r="G109"/>
      <c r="H109"/>
      <c r="I109" s="81" t="str">
        <f t="shared" si="6"/>
        <v/>
      </c>
      <c r="J109" s="81" t="str">
        <f>IF(I109="","",I109+(COUNTIF(I$4:I109,I109)-1)*0.001)</f>
        <v/>
      </c>
      <c r="S109" s="202"/>
      <c r="U109" s="93"/>
    </row>
    <row r="110" spans="1:21" ht="16.5">
      <c r="A110"/>
      <c r="B110"/>
      <c r="C110"/>
      <c r="D110" s="81" t="str">
        <f t="shared" si="5"/>
        <v/>
      </c>
      <c r="E110" s="90" t="str">
        <f>IF(D110="","",D110+(COUNTIF(D$4:D110,D110)-1)*0.001)</f>
        <v/>
      </c>
      <c r="F110" s="188"/>
      <c r="G110"/>
      <c r="H110"/>
      <c r="I110" s="81" t="str">
        <f t="shared" si="6"/>
        <v/>
      </c>
      <c r="J110" s="81" t="str">
        <f>IF(I110="","",I110+(COUNTIF(I$4:I110,I110)-1)*0.001)</f>
        <v/>
      </c>
      <c r="S110" s="202"/>
      <c r="U110" s="93"/>
    </row>
    <row r="111" spans="1:21" ht="16.5">
      <c r="A111"/>
      <c r="B111"/>
      <c r="C111"/>
      <c r="D111" s="81" t="str">
        <f t="shared" si="5"/>
        <v/>
      </c>
      <c r="E111" s="90" t="str">
        <f>IF(D111="","",D111+(COUNTIF(D$4:D111,D111)-1)*0.001)</f>
        <v/>
      </c>
      <c r="F111" s="188"/>
      <c r="G111"/>
      <c r="H111"/>
      <c r="I111" s="81" t="str">
        <f t="shared" si="6"/>
        <v/>
      </c>
      <c r="J111" s="81" t="str">
        <f>IF(I111="","",I111+(COUNTIF(I$4:I111,I111)-1)*0.001)</f>
        <v/>
      </c>
      <c r="S111" s="202"/>
      <c r="U111" s="93"/>
    </row>
    <row r="112" spans="1:21" ht="16.5">
      <c r="A112"/>
      <c r="B112"/>
      <c r="C112"/>
      <c r="D112" s="81" t="str">
        <f t="shared" si="5"/>
        <v/>
      </c>
      <c r="E112" s="90" t="str">
        <f>IF(D112="","",D112+(COUNTIF(D$4:D112,D112)-1)*0.001)</f>
        <v/>
      </c>
      <c r="F112" s="188"/>
      <c r="G112"/>
      <c r="H112"/>
      <c r="I112" s="81" t="str">
        <f t="shared" si="6"/>
        <v/>
      </c>
      <c r="J112" s="81" t="str">
        <f>IF(I112="","",I112+(COUNTIF(I$4:I112,I112)-1)*0.001)</f>
        <v/>
      </c>
      <c r="S112" s="202"/>
      <c r="U112" s="93"/>
    </row>
    <row r="113" spans="1:21" ht="16.5">
      <c r="A113"/>
      <c r="B113"/>
      <c r="C113"/>
      <c r="D113" s="81" t="str">
        <f t="shared" si="5"/>
        <v/>
      </c>
      <c r="E113" s="90" t="str">
        <f>IF(D113="","",D113+(COUNTIF(D$4:D113,D113)-1)*0.001)</f>
        <v/>
      </c>
      <c r="F113" s="188"/>
      <c r="G113"/>
      <c r="H113"/>
      <c r="I113" s="81" t="str">
        <f t="shared" si="6"/>
        <v/>
      </c>
      <c r="J113" s="81" t="str">
        <f>IF(I113="","",I113+(COUNTIF(I$4:I113,I113)-1)*0.001)</f>
        <v/>
      </c>
      <c r="S113" s="202"/>
      <c r="U113" s="93"/>
    </row>
    <row r="114" spans="1:21" ht="16.5">
      <c r="A114"/>
      <c r="B114"/>
      <c r="C114"/>
      <c r="D114" s="81" t="str">
        <f t="shared" si="5"/>
        <v/>
      </c>
      <c r="E114" s="90" t="str">
        <f>IF(D114="","",D114+(COUNTIF(D$4:D114,D114)-1)*0.001)</f>
        <v/>
      </c>
      <c r="F114" s="188"/>
      <c r="G114"/>
      <c r="H114"/>
      <c r="I114" s="81" t="str">
        <f t="shared" si="6"/>
        <v/>
      </c>
      <c r="J114" s="81" t="str">
        <f>IF(I114="","",I114+(COUNTIF(I$4:I114,I114)-1)*0.001)</f>
        <v/>
      </c>
      <c r="S114" s="202"/>
      <c r="U114" s="93"/>
    </row>
    <row r="115" spans="1:21" ht="16.5">
      <c r="A115"/>
      <c r="B115"/>
      <c r="C115"/>
      <c r="D115" s="81" t="str">
        <f t="shared" si="5"/>
        <v/>
      </c>
      <c r="E115" s="90" t="str">
        <f>IF(D115="","",D115+(COUNTIF(D$4:D115,D115)-1)*0.001)</f>
        <v/>
      </c>
      <c r="F115" s="188"/>
      <c r="G115"/>
      <c r="H115"/>
      <c r="I115" s="81" t="str">
        <f t="shared" si="6"/>
        <v/>
      </c>
      <c r="J115" s="81" t="str">
        <f>IF(I115="","",I115+(COUNTIF(I$4:I115,I115)-1)*0.001)</f>
        <v/>
      </c>
      <c r="S115" s="202"/>
      <c r="U115" s="93"/>
    </row>
    <row r="116" spans="1:21" ht="16.5">
      <c r="A116"/>
      <c r="B116"/>
      <c r="C116"/>
      <c r="D116" s="81" t="str">
        <f t="shared" si="5"/>
        <v/>
      </c>
      <c r="E116" s="90" t="str">
        <f>IF(D116="","",D116+(COUNTIF(D$4:D116,D116)-1)*0.001)</f>
        <v/>
      </c>
      <c r="F116" s="188"/>
      <c r="G116"/>
      <c r="H116"/>
      <c r="I116" s="81" t="str">
        <f t="shared" si="6"/>
        <v/>
      </c>
      <c r="J116" s="81" t="str">
        <f>IF(I116="","",I116+(COUNTIF(I$4:I116,I116)-1)*0.001)</f>
        <v/>
      </c>
      <c r="S116" s="202"/>
      <c r="U116" s="93"/>
    </row>
    <row r="117" spans="1:21" ht="16.5">
      <c r="A117"/>
      <c r="B117"/>
      <c r="C117"/>
      <c r="D117" s="81" t="str">
        <f t="shared" si="5"/>
        <v/>
      </c>
      <c r="E117" s="90" t="str">
        <f>IF(D117="","",D117+(COUNTIF(D$4:D117,D117)-1)*0.001)</f>
        <v/>
      </c>
      <c r="F117" s="188"/>
      <c r="G117"/>
      <c r="H117"/>
      <c r="I117" s="81" t="str">
        <f t="shared" si="6"/>
        <v/>
      </c>
      <c r="J117" s="81" t="str">
        <f>IF(I117="","",I117+(COUNTIF(I$4:I117,I117)-1)*0.001)</f>
        <v/>
      </c>
      <c r="S117" s="202"/>
      <c r="U117" s="93"/>
    </row>
    <row r="118" spans="1:21" ht="16.5">
      <c r="A118"/>
      <c r="B118"/>
      <c r="C118"/>
      <c r="D118" s="81" t="str">
        <f t="shared" si="5"/>
        <v/>
      </c>
      <c r="E118" s="90" t="str">
        <f>IF(D118="","",D118+(COUNTIF(D$4:D118,D118)-1)*0.001)</f>
        <v/>
      </c>
      <c r="F118" s="188"/>
      <c r="G118"/>
      <c r="H118"/>
      <c r="I118" s="81" t="str">
        <f t="shared" si="6"/>
        <v/>
      </c>
      <c r="J118" s="81" t="str">
        <f>IF(I118="","",I118+(COUNTIF(I$4:I118,I118)-1)*0.001)</f>
        <v/>
      </c>
      <c r="S118" s="202"/>
      <c r="U118" s="93"/>
    </row>
    <row r="119" spans="1:21" ht="16.5">
      <c r="A119"/>
      <c r="B119"/>
      <c r="C119"/>
      <c r="D119" s="81" t="str">
        <f t="shared" si="5"/>
        <v/>
      </c>
      <c r="E119" s="90" t="str">
        <f>IF(D119="","",D119+(COUNTIF(D$4:D119,D119)-1)*0.001)</f>
        <v/>
      </c>
      <c r="F119" s="188"/>
      <c r="G119"/>
      <c r="H119"/>
      <c r="I119" s="81" t="str">
        <f t="shared" si="6"/>
        <v/>
      </c>
      <c r="J119" s="81" t="str">
        <f>IF(I119="","",I119+(COUNTIF(I$4:I119,I119)-1)*0.001)</f>
        <v/>
      </c>
      <c r="S119" s="202"/>
      <c r="U119" s="93"/>
    </row>
    <row r="120" spans="1:21" ht="16.5">
      <c r="A120"/>
      <c r="B120"/>
      <c r="C120"/>
      <c r="D120" s="81" t="str">
        <f t="shared" si="5"/>
        <v/>
      </c>
      <c r="E120" s="90" t="str">
        <f>IF(D120="","",D120+(COUNTIF(D$4:D120,D120)-1)*0.001)</f>
        <v/>
      </c>
      <c r="F120" s="188"/>
      <c r="G120"/>
      <c r="H120"/>
      <c r="I120" s="81" t="str">
        <f t="shared" si="6"/>
        <v/>
      </c>
      <c r="J120" s="81" t="str">
        <f>IF(I120="","",I120+(COUNTIF(I$4:I120,I120)-1)*0.001)</f>
        <v/>
      </c>
      <c r="S120" s="202"/>
      <c r="U120" s="93"/>
    </row>
    <row r="121" spans="1:21" ht="16.5">
      <c r="A121"/>
      <c r="B121"/>
      <c r="C121"/>
      <c r="D121" s="81" t="str">
        <f t="shared" si="5"/>
        <v/>
      </c>
      <c r="E121" s="90" t="str">
        <f>IF(D121="","",D121+(COUNTIF(D$4:D121,D121)-1)*0.001)</f>
        <v/>
      </c>
      <c r="F121" s="188"/>
      <c r="G121"/>
      <c r="H121"/>
      <c r="I121" s="81" t="str">
        <f t="shared" si="6"/>
        <v/>
      </c>
      <c r="J121" s="81" t="str">
        <f>IF(I121="","",I121+(COUNTIF(I$4:I121,I121)-1)*0.001)</f>
        <v/>
      </c>
      <c r="S121" s="202"/>
      <c r="U121" s="93"/>
    </row>
    <row r="122" spans="1:21" ht="16.5">
      <c r="A122"/>
      <c r="B122"/>
      <c r="C122"/>
      <c r="D122" s="81" t="str">
        <f t="shared" si="5"/>
        <v/>
      </c>
      <c r="E122" s="90" t="str">
        <f>IF(D122="","",D122+(COUNTIF(D$4:D122,D122)-1)*0.001)</f>
        <v/>
      </c>
      <c r="F122" s="188"/>
      <c r="G122"/>
      <c r="H122"/>
      <c r="I122" s="81" t="str">
        <f t="shared" si="6"/>
        <v/>
      </c>
      <c r="J122" s="81" t="str">
        <f>IF(I122="","",I122+(COUNTIF(I$4:I122,I122)-1)*0.001)</f>
        <v/>
      </c>
      <c r="S122" s="202"/>
      <c r="U122" s="93"/>
    </row>
    <row r="123" spans="1:21" ht="16.5">
      <c r="A123"/>
      <c r="B123"/>
      <c r="C123"/>
      <c r="D123" s="81" t="str">
        <f t="shared" si="5"/>
        <v/>
      </c>
      <c r="E123" s="90" t="str">
        <f>IF(D123="","",D123+(COUNTIF(D$4:D123,D123)-1)*0.001)</f>
        <v/>
      </c>
      <c r="F123" s="188"/>
      <c r="G123"/>
      <c r="H123"/>
      <c r="I123" s="81" t="str">
        <f t="shared" si="6"/>
        <v/>
      </c>
      <c r="J123" s="81" t="str">
        <f>IF(I123="","",I123+(COUNTIF(I$4:I123,I123)-1)*0.001)</f>
        <v/>
      </c>
      <c r="S123" s="202"/>
      <c r="U123" s="93"/>
    </row>
    <row r="124" spans="1:21" ht="16.5">
      <c r="A124"/>
      <c r="B124"/>
      <c r="C124"/>
      <c r="D124" s="81" t="str">
        <f t="shared" si="5"/>
        <v/>
      </c>
      <c r="E124" s="90" t="str">
        <f>IF(D124="","",D124+(COUNTIF(D$4:D124,D124)-1)*0.001)</f>
        <v/>
      </c>
      <c r="F124" s="188"/>
      <c r="G124"/>
      <c r="H124"/>
      <c r="I124" s="81" t="str">
        <f t="shared" si="6"/>
        <v/>
      </c>
      <c r="J124" s="81" t="str">
        <f>IF(I124="","",I124+(COUNTIF(I$4:I124,I124)-1)*0.001)</f>
        <v/>
      </c>
      <c r="S124" s="202"/>
      <c r="U124" s="93"/>
    </row>
    <row r="125" spans="1:21" ht="16.5">
      <c r="A125"/>
      <c r="B125"/>
      <c r="C125"/>
      <c r="D125" s="81" t="str">
        <f t="shared" si="5"/>
        <v/>
      </c>
      <c r="E125" s="90" t="str">
        <f>IF(D125="","",D125+(COUNTIF(D$4:D125,D125)-1)*0.001)</f>
        <v/>
      </c>
      <c r="F125" s="188"/>
      <c r="G125"/>
      <c r="H125"/>
      <c r="I125" s="81" t="str">
        <f t="shared" si="6"/>
        <v/>
      </c>
      <c r="J125" s="81" t="str">
        <f>IF(I125="","",I125+(COUNTIF(I$4:I125,I125)-1)*0.001)</f>
        <v/>
      </c>
      <c r="S125" s="202"/>
      <c r="U125" s="93"/>
    </row>
    <row r="126" spans="1:21" ht="16.5">
      <c r="A126"/>
      <c r="B126"/>
      <c r="C126"/>
      <c r="D126" s="81" t="str">
        <f t="shared" si="5"/>
        <v/>
      </c>
      <c r="E126" s="90" t="str">
        <f>IF(D126="","",D126+(COUNTIF(D$4:D126,D126)-1)*0.001)</f>
        <v/>
      </c>
      <c r="F126" s="188"/>
      <c r="G126"/>
      <c r="H126"/>
      <c r="I126" s="81" t="str">
        <f t="shared" si="6"/>
        <v/>
      </c>
      <c r="J126" s="81" t="str">
        <f>IF(I126="","",I126+(COUNTIF(I$4:I126,I126)-1)*0.001)</f>
        <v/>
      </c>
      <c r="S126" s="202"/>
      <c r="U126" s="93"/>
    </row>
    <row r="127" spans="1:21" ht="16.5">
      <c r="A127"/>
      <c r="B127"/>
      <c r="C127"/>
      <c r="D127" s="81" t="str">
        <f t="shared" si="5"/>
        <v/>
      </c>
      <c r="E127" s="90" t="str">
        <f>IF(D127="","",D127+(COUNTIF(D$4:D127,D127)-1)*0.001)</f>
        <v/>
      </c>
      <c r="F127" s="188"/>
      <c r="G127"/>
      <c r="H127"/>
      <c r="I127" s="81" t="str">
        <f t="shared" si="6"/>
        <v/>
      </c>
      <c r="J127" s="81" t="str">
        <f>IF(I127="","",I127+(COUNTIF(I$4:I127,I127)-1)*0.001)</f>
        <v/>
      </c>
      <c r="S127" s="202"/>
      <c r="U127" s="93"/>
    </row>
    <row r="128" spans="1:21" ht="16.5">
      <c r="A128"/>
      <c r="B128"/>
      <c r="C128"/>
      <c r="D128" s="81" t="str">
        <f t="shared" si="5"/>
        <v/>
      </c>
      <c r="E128" s="90" t="str">
        <f>IF(D128="","",D128+(COUNTIF(D$4:D128,D128)-1)*0.001)</f>
        <v/>
      </c>
      <c r="F128" s="188"/>
      <c r="G128"/>
      <c r="H128"/>
      <c r="I128" s="81" t="str">
        <f t="shared" si="6"/>
        <v/>
      </c>
      <c r="J128" s="81" t="str">
        <f>IF(I128="","",I128+(COUNTIF(I$4:I128,I128)-1)*0.001)</f>
        <v/>
      </c>
      <c r="S128" s="202"/>
      <c r="U128" s="93"/>
    </row>
    <row r="129" spans="1:21" ht="16.5">
      <c r="A129"/>
      <c r="B129"/>
      <c r="C129"/>
      <c r="D129" s="81" t="str">
        <f t="shared" si="5"/>
        <v/>
      </c>
      <c r="E129" s="90" t="str">
        <f>IF(D129="","",D129+(COUNTIF(D$4:D129,D129)-1)*0.001)</f>
        <v/>
      </c>
      <c r="F129" s="188"/>
      <c r="G129"/>
      <c r="H129"/>
      <c r="I129" s="81" t="str">
        <f t="shared" si="6"/>
        <v/>
      </c>
      <c r="J129" s="81" t="str">
        <f>IF(I129="","",I129+(COUNTIF(I$4:I129,I129)-1)*0.001)</f>
        <v/>
      </c>
      <c r="S129" s="202"/>
      <c r="U129" s="93"/>
    </row>
    <row r="130" spans="1:21" ht="16.5">
      <c r="A130"/>
      <c r="B130"/>
      <c r="C130"/>
      <c r="D130" s="81" t="str">
        <f t="shared" si="5"/>
        <v/>
      </c>
      <c r="E130" s="90" t="str">
        <f>IF(D130="","",D130+(COUNTIF(D$4:D130,D130)-1)*0.001)</f>
        <v/>
      </c>
      <c r="F130" s="188"/>
      <c r="G130"/>
      <c r="H130"/>
      <c r="I130" s="81" t="str">
        <f t="shared" si="6"/>
        <v/>
      </c>
      <c r="J130" s="81" t="str">
        <f>IF(I130="","",I130+(COUNTIF(I$4:I130,I130)-1)*0.001)</f>
        <v/>
      </c>
      <c r="S130" s="202"/>
      <c r="U130" s="93"/>
    </row>
    <row r="131" spans="1:21" ht="16.5">
      <c r="A131"/>
      <c r="B131"/>
      <c r="C131"/>
      <c r="D131" s="81" t="str">
        <f t="shared" si="5"/>
        <v/>
      </c>
      <c r="E131" s="90" t="str">
        <f>IF(D131="","",D131+(COUNTIF(D$4:D131,D131)-1)*0.001)</f>
        <v/>
      </c>
      <c r="F131" s="188"/>
      <c r="G131"/>
      <c r="H131"/>
      <c r="I131" s="81" t="str">
        <f t="shared" si="6"/>
        <v/>
      </c>
      <c r="J131" s="81" t="str">
        <f>IF(I131="","",I131+(COUNTIF(I$4:I131,I131)-1)*0.001)</f>
        <v/>
      </c>
      <c r="S131" s="202"/>
      <c r="U131" s="93"/>
    </row>
    <row r="132" spans="1:21" ht="16.5">
      <c r="A132"/>
      <c r="B132"/>
      <c r="C132"/>
      <c r="D132" s="81" t="str">
        <f t="shared" ref="D132:D195" si="7">IF(A132="","",IFERROR(INDEX(收盤1,MATCH(A132,代號1,0)),IFERROR(INDEX(收盤2,MATCH(A132,代號2,0)),IFERROR(INDEX(收盤3,MATCH(A132,代號3,0)),INDEX(收盤4,MATCH(A132,代號4,0)))))*C132)</f>
        <v/>
      </c>
      <c r="E132" s="90" t="str">
        <f>IF(D132="","",D132+(COUNTIF(D$4:D132,D132)-1)*0.001)</f>
        <v/>
      </c>
      <c r="F132" s="188"/>
      <c r="G132"/>
      <c r="H132"/>
      <c r="I132" s="81" t="str">
        <f t="shared" ref="I132:I195" si="8">IF(F132="","",IFERROR(INDEX(收盤1,MATCH(F132,代號1,0)),IFERROR(INDEX(收盤2,MATCH(F132,代號2,0)),IFERROR(INDEX(收盤3,MATCH(F132,代號3,0)),INDEX(收盤4,MATCH(F132,代號4,0)))))*H132)</f>
        <v/>
      </c>
      <c r="J132" s="81" t="str">
        <f>IF(I132="","",I132+(COUNTIF(I$4:I132,I132)-1)*0.001)</f>
        <v/>
      </c>
      <c r="S132" s="202"/>
      <c r="U132" s="93"/>
    </row>
    <row r="133" spans="1:21" ht="16.5">
      <c r="A133"/>
      <c r="B133"/>
      <c r="C133"/>
      <c r="D133" s="81" t="str">
        <f t="shared" si="7"/>
        <v/>
      </c>
      <c r="E133" s="90" t="str">
        <f>IF(D133="","",D133+(COUNTIF(D$4:D133,D133)-1)*0.001)</f>
        <v/>
      </c>
      <c r="F133" s="188"/>
      <c r="G133"/>
      <c r="H133"/>
      <c r="I133" s="81" t="str">
        <f t="shared" si="8"/>
        <v/>
      </c>
      <c r="J133" s="81" t="str">
        <f>IF(I133="","",I133+(COUNTIF(I$4:I133,I133)-1)*0.001)</f>
        <v/>
      </c>
      <c r="S133" s="202"/>
      <c r="U133" s="93"/>
    </row>
    <row r="134" spans="1:21" ht="16.5">
      <c r="A134"/>
      <c r="B134"/>
      <c r="C134"/>
      <c r="D134" s="81" t="str">
        <f t="shared" si="7"/>
        <v/>
      </c>
      <c r="E134" s="90" t="str">
        <f>IF(D134="","",D134+(COUNTIF(D$4:D134,D134)-1)*0.001)</f>
        <v/>
      </c>
      <c r="F134" s="188"/>
      <c r="G134"/>
      <c r="H134"/>
      <c r="I134" s="81" t="str">
        <f t="shared" si="8"/>
        <v/>
      </c>
      <c r="J134" s="81" t="str">
        <f>IF(I134="","",I134+(COUNTIF(I$4:I134,I134)-1)*0.001)</f>
        <v/>
      </c>
      <c r="S134" s="202"/>
      <c r="U134" s="93"/>
    </row>
    <row r="135" spans="1:21" ht="16.5">
      <c r="A135"/>
      <c r="B135"/>
      <c r="C135"/>
      <c r="D135" s="81" t="str">
        <f t="shared" si="7"/>
        <v/>
      </c>
      <c r="E135" s="90" t="str">
        <f>IF(D135="","",D135+(COUNTIF(D$4:D135,D135)-1)*0.001)</f>
        <v/>
      </c>
      <c r="F135" s="188"/>
      <c r="G135"/>
      <c r="H135"/>
      <c r="I135" s="81" t="str">
        <f t="shared" si="8"/>
        <v/>
      </c>
      <c r="J135" s="81" t="str">
        <f>IF(I135="","",I135+(COUNTIF(I$4:I135,I135)-1)*0.001)</f>
        <v/>
      </c>
      <c r="S135" s="202"/>
      <c r="U135" s="93"/>
    </row>
    <row r="136" spans="1:21" ht="16.5">
      <c r="A136"/>
      <c r="B136"/>
      <c r="C136"/>
      <c r="D136" s="81" t="str">
        <f t="shared" si="7"/>
        <v/>
      </c>
      <c r="E136" s="90" t="str">
        <f>IF(D136="","",D136+(COUNTIF(D$4:D136,D136)-1)*0.001)</f>
        <v/>
      </c>
      <c r="F136" s="188"/>
      <c r="G136"/>
      <c r="H136"/>
      <c r="I136" s="81" t="str">
        <f t="shared" si="8"/>
        <v/>
      </c>
      <c r="J136" s="81" t="str">
        <f>IF(I136="","",I136+(COUNTIF(I$4:I136,I136)-1)*0.001)</f>
        <v/>
      </c>
      <c r="S136" s="202"/>
      <c r="U136" s="93"/>
    </row>
    <row r="137" spans="1:21" ht="16.5">
      <c r="A137"/>
      <c r="B137"/>
      <c r="C137"/>
      <c r="D137" s="81" t="str">
        <f t="shared" si="7"/>
        <v/>
      </c>
      <c r="E137" s="90" t="str">
        <f>IF(D137="","",D137+(COUNTIF(D$4:D137,D137)-1)*0.001)</f>
        <v/>
      </c>
      <c r="F137" s="188"/>
      <c r="G137"/>
      <c r="H137"/>
      <c r="I137" s="81" t="str">
        <f t="shared" si="8"/>
        <v/>
      </c>
      <c r="J137" s="81" t="str">
        <f>IF(I137="","",I137+(COUNTIF(I$4:I137,I137)-1)*0.001)</f>
        <v/>
      </c>
      <c r="S137" s="202"/>
      <c r="U137" s="93"/>
    </row>
    <row r="138" spans="1:21" ht="16.5">
      <c r="A138"/>
      <c r="B138"/>
      <c r="C138"/>
      <c r="D138" s="81" t="str">
        <f t="shared" si="7"/>
        <v/>
      </c>
      <c r="E138" s="90" t="str">
        <f>IF(D138="","",D138+(COUNTIF(D$4:D138,D138)-1)*0.001)</f>
        <v/>
      </c>
      <c r="F138" s="188"/>
      <c r="G138"/>
      <c r="H138"/>
      <c r="I138" s="81" t="str">
        <f t="shared" si="8"/>
        <v/>
      </c>
      <c r="J138" s="81" t="str">
        <f>IF(I138="","",I138+(COUNTIF(I$4:I138,I138)-1)*0.001)</f>
        <v/>
      </c>
      <c r="S138" s="202"/>
      <c r="U138" s="93"/>
    </row>
    <row r="139" spans="1:21" ht="16.5">
      <c r="A139"/>
      <c r="B139"/>
      <c r="C139"/>
      <c r="D139" s="81" t="str">
        <f t="shared" si="7"/>
        <v/>
      </c>
      <c r="E139" s="90" t="str">
        <f>IF(D139="","",D139+(COUNTIF(D$4:D139,D139)-1)*0.001)</f>
        <v/>
      </c>
      <c r="F139" s="188"/>
      <c r="G139"/>
      <c r="H139"/>
      <c r="I139" s="81" t="str">
        <f t="shared" si="8"/>
        <v/>
      </c>
      <c r="J139" s="81" t="str">
        <f>IF(I139="","",I139+(COUNTIF(I$4:I139,I139)-1)*0.001)</f>
        <v/>
      </c>
      <c r="S139" s="202"/>
      <c r="U139" s="93"/>
    </row>
    <row r="140" spans="1:21" ht="16.5">
      <c r="A140"/>
      <c r="B140"/>
      <c r="C140"/>
      <c r="D140" s="81" t="str">
        <f t="shared" si="7"/>
        <v/>
      </c>
      <c r="E140" s="90" t="str">
        <f>IF(D140="","",D140+(COUNTIF(D$4:D140,D140)-1)*0.001)</f>
        <v/>
      </c>
      <c r="F140" s="188"/>
      <c r="G140"/>
      <c r="H140"/>
      <c r="I140" s="81" t="str">
        <f t="shared" si="8"/>
        <v/>
      </c>
      <c r="J140" s="81" t="str">
        <f>IF(I140="","",I140+(COUNTIF(I$4:I140,I140)-1)*0.001)</f>
        <v/>
      </c>
      <c r="S140" s="202"/>
      <c r="U140" s="93"/>
    </row>
    <row r="141" spans="1:21" ht="16.5">
      <c r="A141"/>
      <c r="B141"/>
      <c r="C141"/>
      <c r="D141" s="81" t="str">
        <f t="shared" si="7"/>
        <v/>
      </c>
      <c r="E141" s="90" t="str">
        <f>IF(D141="","",D141+(COUNTIF(D$4:D141,D141)-1)*0.001)</f>
        <v/>
      </c>
      <c r="F141" s="188"/>
      <c r="G141"/>
      <c r="H141"/>
      <c r="I141" s="81" t="str">
        <f t="shared" si="8"/>
        <v/>
      </c>
      <c r="J141" s="81" t="str">
        <f>IF(I141="","",I141+(COUNTIF(I$4:I141,I141)-1)*0.001)</f>
        <v/>
      </c>
      <c r="S141" s="202"/>
      <c r="U141" s="93"/>
    </row>
    <row r="142" spans="1:21" ht="16.5">
      <c r="A142"/>
      <c r="B142"/>
      <c r="C142"/>
      <c r="D142" s="81" t="str">
        <f t="shared" si="7"/>
        <v/>
      </c>
      <c r="E142" s="90" t="str">
        <f>IF(D142="","",D142+(COUNTIF(D$4:D142,D142)-1)*0.001)</f>
        <v/>
      </c>
      <c r="F142" s="188"/>
      <c r="G142"/>
      <c r="H142"/>
      <c r="I142" s="81" t="str">
        <f t="shared" si="8"/>
        <v/>
      </c>
      <c r="J142" s="81" t="str">
        <f>IF(I142="","",I142+(COUNTIF(I$4:I142,I142)-1)*0.001)</f>
        <v/>
      </c>
      <c r="S142" s="202"/>
      <c r="U142" s="93"/>
    </row>
    <row r="143" spans="1:21" ht="16.5">
      <c r="A143"/>
      <c r="B143"/>
      <c r="C143"/>
      <c r="D143" s="81" t="str">
        <f t="shared" si="7"/>
        <v/>
      </c>
      <c r="E143" s="90" t="str">
        <f>IF(D143="","",D143+(COUNTIF(D$4:D143,D143)-1)*0.001)</f>
        <v/>
      </c>
      <c r="F143" s="188"/>
      <c r="G143"/>
      <c r="H143"/>
      <c r="I143" s="81" t="str">
        <f t="shared" si="8"/>
        <v/>
      </c>
      <c r="J143" s="81" t="str">
        <f>IF(I143="","",I143+(COUNTIF(I$4:I143,I143)-1)*0.001)</f>
        <v/>
      </c>
      <c r="S143" s="202"/>
      <c r="U143" s="93"/>
    </row>
    <row r="144" spans="1:21" ht="16.5">
      <c r="A144"/>
      <c r="B144"/>
      <c r="C144"/>
      <c r="D144" s="81" t="str">
        <f t="shared" si="7"/>
        <v/>
      </c>
      <c r="E144" s="90" t="str">
        <f>IF(D144="","",D144+(COUNTIF(D$4:D144,D144)-1)*0.001)</f>
        <v/>
      </c>
      <c r="F144" s="188"/>
      <c r="G144"/>
      <c r="H144"/>
      <c r="I144" s="81" t="str">
        <f t="shared" si="8"/>
        <v/>
      </c>
      <c r="J144" s="81" t="str">
        <f>IF(I144="","",I144+(COUNTIF(I$4:I144,I144)-1)*0.001)</f>
        <v/>
      </c>
      <c r="S144" s="202"/>
      <c r="U144" s="93"/>
    </row>
    <row r="145" spans="1:21" ht="16.5">
      <c r="A145"/>
      <c r="B145"/>
      <c r="C145"/>
      <c r="D145" s="81" t="str">
        <f t="shared" si="7"/>
        <v/>
      </c>
      <c r="E145" s="90" t="str">
        <f>IF(D145="","",D145+(COUNTIF(D$4:D145,D145)-1)*0.001)</f>
        <v/>
      </c>
      <c r="F145" s="188"/>
      <c r="G145"/>
      <c r="H145"/>
      <c r="I145" s="81" t="str">
        <f t="shared" si="8"/>
        <v/>
      </c>
      <c r="J145" s="81" t="str">
        <f>IF(I145="","",I145+(COUNTIF(I$4:I145,I145)-1)*0.001)</f>
        <v/>
      </c>
      <c r="S145" s="202"/>
      <c r="U145" s="93"/>
    </row>
    <row r="146" spans="1:21" ht="16.5">
      <c r="A146"/>
      <c r="B146"/>
      <c r="C146"/>
      <c r="D146" s="81" t="str">
        <f t="shared" si="7"/>
        <v/>
      </c>
      <c r="E146" s="90" t="str">
        <f>IF(D146="","",D146+(COUNTIF(D$4:D146,D146)-1)*0.001)</f>
        <v/>
      </c>
      <c r="F146" s="188"/>
      <c r="G146"/>
      <c r="H146"/>
      <c r="I146" s="81" t="str">
        <f t="shared" si="8"/>
        <v/>
      </c>
      <c r="J146" s="81" t="str">
        <f>IF(I146="","",I146+(COUNTIF(I$4:I146,I146)-1)*0.001)</f>
        <v/>
      </c>
      <c r="S146" s="202"/>
      <c r="U146" s="93"/>
    </row>
    <row r="147" spans="1:21" ht="16.5">
      <c r="A147"/>
      <c r="B147"/>
      <c r="C147"/>
      <c r="D147" s="81" t="str">
        <f t="shared" si="7"/>
        <v/>
      </c>
      <c r="E147" s="90" t="str">
        <f>IF(D147="","",D147+(COUNTIF(D$4:D147,D147)-1)*0.001)</f>
        <v/>
      </c>
      <c r="F147" s="188"/>
      <c r="G147"/>
      <c r="H147"/>
      <c r="I147" s="81" t="str">
        <f t="shared" si="8"/>
        <v/>
      </c>
      <c r="J147" s="81" t="str">
        <f>IF(I147="","",I147+(COUNTIF(I$4:I147,I147)-1)*0.001)</f>
        <v/>
      </c>
      <c r="S147" s="202"/>
      <c r="U147" s="93"/>
    </row>
    <row r="148" spans="1:21" ht="16.5">
      <c r="A148"/>
      <c r="B148"/>
      <c r="C148"/>
      <c r="D148" s="81" t="str">
        <f t="shared" si="7"/>
        <v/>
      </c>
      <c r="E148" s="90" t="str">
        <f>IF(D148="","",D148+(COUNTIF(D$4:D148,D148)-1)*0.001)</f>
        <v/>
      </c>
      <c r="F148" s="188"/>
      <c r="G148"/>
      <c r="H148"/>
      <c r="I148" s="81" t="str">
        <f t="shared" si="8"/>
        <v/>
      </c>
      <c r="J148" s="81" t="str">
        <f>IF(I148="","",I148+(COUNTIF(I$4:I148,I148)-1)*0.001)</f>
        <v/>
      </c>
      <c r="S148" s="202"/>
      <c r="U148" s="93"/>
    </row>
    <row r="149" spans="1:21" ht="16.5">
      <c r="A149"/>
      <c r="B149"/>
      <c r="C149"/>
      <c r="D149" s="81" t="str">
        <f t="shared" si="7"/>
        <v/>
      </c>
      <c r="E149" s="90" t="str">
        <f>IF(D149="","",D149+(COUNTIF(D$4:D149,D149)-1)*0.001)</f>
        <v/>
      </c>
      <c r="F149" s="188"/>
      <c r="G149"/>
      <c r="H149"/>
      <c r="I149" s="81" t="str">
        <f t="shared" si="8"/>
        <v/>
      </c>
      <c r="J149" s="81" t="str">
        <f>IF(I149="","",I149+(COUNTIF(I$4:I149,I149)-1)*0.001)</f>
        <v/>
      </c>
      <c r="S149" s="202"/>
      <c r="U149" s="93"/>
    </row>
    <row r="150" spans="1:21" ht="16.5">
      <c r="A150"/>
      <c r="B150"/>
      <c r="C150"/>
      <c r="D150" s="81" t="str">
        <f t="shared" si="7"/>
        <v/>
      </c>
      <c r="E150" s="90" t="str">
        <f>IF(D150="","",D150+(COUNTIF(D$4:D150,D150)-1)*0.001)</f>
        <v/>
      </c>
      <c r="F150" s="188"/>
      <c r="G150"/>
      <c r="H150"/>
      <c r="I150" s="81" t="str">
        <f t="shared" si="8"/>
        <v/>
      </c>
      <c r="J150" s="81" t="str">
        <f>IF(I150="","",I150+(COUNTIF(I$4:I150,I150)-1)*0.001)</f>
        <v/>
      </c>
      <c r="S150" s="202"/>
      <c r="U150" s="93"/>
    </row>
    <row r="151" spans="1:21" ht="16.5">
      <c r="A151"/>
      <c r="B151"/>
      <c r="C151"/>
      <c r="D151" s="81" t="str">
        <f t="shared" si="7"/>
        <v/>
      </c>
      <c r="E151" s="90" t="str">
        <f>IF(D151="","",D151+(COUNTIF(D$4:D151,D151)-1)*0.001)</f>
        <v/>
      </c>
      <c r="F151" s="188"/>
      <c r="G151"/>
      <c r="H151"/>
      <c r="I151" s="81" t="str">
        <f t="shared" si="8"/>
        <v/>
      </c>
      <c r="J151" s="81" t="str">
        <f>IF(I151="","",I151+(COUNTIF(I$4:I151,I151)-1)*0.001)</f>
        <v/>
      </c>
      <c r="S151" s="202"/>
      <c r="U151" s="93"/>
    </row>
    <row r="152" spans="1:21" ht="16.5">
      <c r="A152"/>
      <c r="B152"/>
      <c r="C152"/>
      <c r="D152" s="81" t="str">
        <f t="shared" si="7"/>
        <v/>
      </c>
      <c r="E152" s="90" t="str">
        <f>IF(D152="","",D152+(COUNTIF(D$4:D152,D152)-1)*0.001)</f>
        <v/>
      </c>
      <c r="F152" s="188"/>
      <c r="G152"/>
      <c r="H152"/>
      <c r="I152" s="81" t="str">
        <f t="shared" si="8"/>
        <v/>
      </c>
      <c r="J152" s="81" t="str">
        <f>IF(I152="","",I152+(COUNTIF(I$4:I152,I152)-1)*0.001)</f>
        <v/>
      </c>
      <c r="S152" s="202"/>
      <c r="U152" s="93"/>
    </row>
    <row r="153" spans="1:21" ht="16.5">
      <c r="A153"/>
      <c r="B153"/>
      <c r="C153"/>
      <c r="D153" s="81" t="str">
        <f t="shared" si="7"/>
        <v/>
      </c>
      <c r="E153" s="90" t="str">
        <f>IF(D153="","",D153+(COUNTIF(D$4:D153,D153)-1)*0.001)</f>
        <v/>
      </c>
      <c r="F153" s="188"/>
      <c r="G153"/>
      <c r="H153"/>
      <c r="I153" s="81" t="str">
        <f t="shared" si="8"/>
        <v/>
      </c>
      <c r="J153" s="81" t="str">
        <f>IF(I153="","",I153+(COUNTIF(I$4:I153,I153)-1)*0.001)</f>
        <v/>
      </c>
      <c r="S153" s="202"/>
      <c r="U153" s="93"/>
    </row>
    <row r="154" spans="1:21" ht="16.5">
      <c r="A154"/>
      <c r="B154"/>
      <c r="C154"/>
      <c r="D154" s="81" t="str">
        <f t="shared" si="7"/>
        <v/>
      </c>
      <c r="E154" s="90" t="str">
        <f>IF(D154="","",D154+(COUNTIF(D$4:D154,D154)-1)*0.001)</f>
        <v/>
      </c>
      <c r="F154" s="188"/>
      <c r="G154"/>
      <c r="H154"/>
      <c r="I154" s="81" t="str">
        <f t="shared" si="8"/>
        <v/>
      </c>
      <c r="J154" s="81" t="str">
        <f>IF(I154="","",I154+(COUNTIF(I$4:I154,I154)-1)*0.001)</f>
        <v/>
      </c>
      <c r="S154" s="202"/>
      <c r="U154" s="93"/>
    </row>
    <row r="155" spans="1:21" ht="16.5">
      <c r="A155"/>
      <c r="B155"/>
      <c r="C155"/>
      <c r="D155" s="81" t="str">
        <f t="shared" si="7"/>
        <v/>
      </c>
      <c r="E155" s="90" t="str">
        <f>IF(D155="","",D155+(COUNTIF(D$4:D155,D155)-1)*0.001)</f>
        <v/>
      </c>
      <c r="F155" s="188"/>
      <c r="G155"/>
      <c r="H155"/>
      <c r="I155" s="81" t="str">
        <f t="shared" si="8"/>
        <v/>
      </c>
      <c r="J155" s="81" t="str">
        <f>IF(I155="","",I155+(COUNTIF(I$4:I155,I155)-1)*0.001)</f>
        <v/>
      </c>
      <c r="S155" s="202"/>
      <c r="U155" s="93"/>
    </row>
    <row r="156" spans="1:21" ht="16.5">
      <c r="A156"/>
      <c r="B156"/>
      <c r="C156"/>
      <c r="D156" s="81" t="str">
        <f t="shared" si="7"/>
        <v/>
      </c>
      <c r="E156" s="90" t="str">
        <f>IF(D156="","",D156+(COUNTIF(D$4:D156,D156)-1)*0.001)</f>
        <v/>
      </c>
      <c r="F156" s="188"/>
      <c r="G156"/>
      <c r="H156"/>
      <c r="I156" s="81" t="str">
        <f t="shared" si="8"/>
        <v/>
      </c>
      <c r="J156" s="81" t="str">
        <f>IF(I156="","",I156+(COUNTIF(I$4:I156,I156)-1)*0.001)</f>
        <v/>
      </c>
      <c r="S156" s="202"/>
      <c r="U156" s="93"/>
    </row>
    <row r="157" spans="1:21" ht="16.5">
      <c r="A157"/>
      <c r="B157"/>
      <c r="C157"/>
      <c r="D157" s="81" t="str">
        <f t="shared" si="7"/>
        <v/>
      </c>
      <c r="E157" s="90" t="str">
        <f>IF(D157="","",D157+(COUNTIF(D$4:D157,D157)-1)*0.001)</f>
        <v/>
      </c>
      <c r="F157" s="188"/>
      <c r="G157"/>
      <c r="H157"/>
      <c r="I157" s="81" t="str">
        <f t="shared" si="8"/>
        <v/>
      </c>
      <c r="J157" s="81" t="str">
        <f>IF(I157="","",I157+(COUNTIF(I$4:I157,I157)-1)*0.001)</f>
        <v/>
      </c>
      <c r="S157" s="202"/>
      <c r="U157" s="93"/>
    </row>
    <row r="158" spans="1:21" ht="16.5">
      <c r="A158"/>
      <c r="B158"/>
      <c r="C158"/>
      <c r="D158" s="81" t="str">
        <f t="shared" si="7"/>
        <v/>
      </c>
      <c r="E158" s="90" t="str">
        <f>IF(D158="","",D158+(COUNTIF(D$4:D158,D158)-1)*0.001)</f>
        <v/>
      </c>
      <c r="F158" s="188"/>
      <c r="G158"/>
      <c r="H158"/>
      <c r="I158" s="81" t="str">
        <f t="shared" si="8"/>
        <v/>
      </c>
      <c r="J158" s="81" t="str">
        <f>IF(I158="","",I158+(COUNTIF(I$4:I158,I158)-1)*0.001)</f>
        <v/>
      </c>
      <c r="S158" s="202"/>
      <c r="U158" s="93"/>
    </row>
    <row r="159" spans="1:21" ht="16.5">
      <c r="A159"/>
      <c r="B159"/>
      <c r="C159"/>
      <c r="D159" s="81" t="str">
        <f t="shared" si="7"/>
        <v/>
      </c>
      <c r="E159" s="90" t="str">
        <f>IF(D159="","",D159+(COUNTIF(D$4:D159,D159)-1)*0.001)</f>
        <v/>
      </c>
      <c r="F159" s="188"/>
      <c r="G159"/>
      <c r="H159"/>
      <c r="I159" s="81" t="str">
        <f t="shared" si="8"/>
        <v/>
      </c>
      <c r="J159" s="81" t="str">
        <f>IF(I159="","",I159+(COUNTIF(I$4:I159,I159)-1)*0.001)</f>
        <v/>
      </c>
      <c r="S159" s="202"/>
      <c r="U159" s="93"/>
    </row>
    <row r="160" spans="1:21" ht="16.5">
      <c r="A160"/>
      <c r="B160"/>
      <c r="C160"/>
      <c r="D160" s="81" t="str">
        <f t="shared" si="7"/>
        <v/>
      </c>
      <c r="E160" s="90" t="str">
        <f>IF(D160="","",D160+(COUNTIF(D$4:D160,D160)-1)*0.001)</f>
        <v/>
      </c>
      <c r="F160" s="188"/>
      <c r="G160"/>
      <c r="H160"/>
      <c r="I160" s="81" t="str">
        <f t="shared" si="8"/>
        <v/>
      </c>
      <c r="J160" s="81" t="str">
        <f>IF(I160="","",I160+(COUNTIF(I$4:I160,I160)-1)*0.001)</f>
        <v/>
      </c>
      <c r="S160" s="202"/>
      <c r="U160" s="93"/>
    </row>
    <row r="161" spans="1:21" ht="16.5">
      <c r="A161"/>
      <c r="B161"/>
      <c r="C161"/>
      <c r="D161" s="81" t="str">
        <f t="shared" si="7"/>
        <v/>
      </c>
      <c r="E161" s="90" t="str">
        <f>IF(D161="","",D161+(COUNTIF(D$4:D161,D161)-1)*0.001)</f>
        <v/>
      </c>
      <c r="F161" s="188"/>
      <c r="G161"/>
      <c r="H161"/>
      <c r="I161" s="81" t="str">
        <f t="shared" si="8"/>
        <v/>
      </c>
      <c r="J161" s="81" t="str">
        <f>IF(I161="","",I161+(COUNTIF(I$4:I161,I161)-1)*0.001)</f>
        <v/>
      </c>
      <c r="S161" s="202"/>
      <c r="U161" s="93"/>
    </row>
    <row r="162" spans="1:21" ht="16.5">
      <c r="A162"/>
      <c r="B162"/>
      <c r="C162"/>
      <c r="D162" s="81" t="str">
        <f t="shared" si="7"/>
        <v/>
      </c>
      <c r="E162" s="90" t="str">
        <f>IF(D162="","",D162+(COUNTIF(D$4:D162,D162)-1)*0.001)</f>
        <v/>
      </c>
      <c r="F162" s="188"/>
      <c r="G162"/>
      <c r="H162"/>
      <c r="I162" s="81" t="str">
        <f t="shared" si="8"/>
        <v/>
      </c>
      <c r="J162" s="81" t="str">
        <f>IF(I162="","",I162+(COUNTIF(I$4:I162,I162)-1)*0.001)</f>
        <v/>
      </c>
      <c r="S162" s="202"/>
      <c r="U162" s="93"/>
    </row>
    <row r="163" spans="1:21" ht="16.5">
      <c r="A163"/>
      <c r="B163"/>
      <c r="C163"/>
      <c r="D163" s="81" t="str">
        <f t="shared" si="7"/>
        <v/>
      </c>
      <c r="E163" s="90" t="str">
        <f>IF(D163="","",D163+(COUNTIF(D$4:D163,D163)-1)*0.001)</f>
        <v/>
      </c>
      <c r="F163" s="188"/>
      <c r="G163"/>
      <c r="H163"/>
      <c r="I163" s="81" t="str">
        <f t="shared" si="8"/>
        <v/>
      </c>
      <c r="J163" s="81" t="str">
        <f>IF(I163="","",I163+(COUNTIF(I$4:I163,I163)-1)*0.001)</f>
        <v/>
      </c>
      <c r="S163" s="202"/>
      <c r="U163" s="93"/>
    </row>
    <row r="164" spans="1:21" ht="16.5">
      <c r="A164"/>
      <c r="B164"/>
      <c r="C164"/>
      <c r="D164" s="81" t="str">
        <f t="shared" si="7"/>
        <v/>
      </c>
      <c r="E164" s="90" t="str">
        <f>IF(D164="","",D164+(COUNTIF(D$4:D164,D164)-1)*0.001)</f>
        <v/>
      </c>
      <c r="F164" s="188"/>
      <c r="G164"/>
      <c r="H164"/>
      <c r="I164" s="81" t="str">
        <f t="shared" si="8"/>
        <v/>
      </c>
      <c r="J164" s="81" t="str">
        <f>IF(I164="","",I164+(COUNTIF(I$4:I164,I164)-1)*0.001)</f>
        <v/>
      </c>
      <c r="S164" s="202"/>
      <c r="U164" s="93"/>
    </row>
    <row r="165" spans="1:21" ht="16.5">
      <c r="A165"/>
      <c r="B165"/>
      <c r="C165"/>
      <c r="D165" s="81" t="str">
        <f t="shared" si="7"/>
        <v/>
      </c>
      <c r="E165" s="90" t="str">
        <f>IF(D165="","",D165+(COUNTIF(D$4:D165,D165)-1)*0.001)</f>
        <v/>
      </c>
      <c r="F165" s="188"/>
      <c r="G165"/>
      <c r="H165"/>
      <c r="I165" s="81" t="str">
        <f t="shared" si="8"/>
        <v/>
      </c>
      <c r="J165" s="81" t="str">
        <f>IF(I165="","",I165+(COUNTIF(I$4:I165,I165)-1)*0.001)</f>
        <v/>
      </c>
      <c r="S165" s="202"/>
      <c r="U165" s="93"/>
    </row>
    <row r="166" spans="1:21" ht="16.5">
      <c r="A166"/>
      <c r="B166"/>
      <c r="C166"/>
      <c r="D166" s="81" t="str">
        <f t="shared" si="7"/>
        <v/>
      </c>
      <c r="E166" s="90" t="str">
        <f>IF(D166="","",D166+(COUNTIF(D$4:D166,D166)-1)*0.001)</f>
        <v/>
      </c>
      <c r="F166" s="188"/>
      <c r="G166"/>
      <c r="H166"/>
      <c r="I166" s="81" t="str">
        <f t="shared" si="8"/>
        <v/>
      </c>
      <c r="J166" s="81" t="str">
        <f>IF(I166="","",I166+(COUNTIF(I$4:I166,I166)-1)*0.001)</f>
        <v/>
      </c>
      <c r="S166" s="202"/>
      <c r="U166" s="93"/>
    </row>
    <row r="167" spans="1:21" ht="16.5">
      <c r="A167"/>
      <c r="B167"/>
      <c r="C167"/>
      <c r="D167" s="81" t="str">
        <f t="shared" si="7"/>
        <v/>
      </c>
      <c r="E167" s="90" t="str">
        <f>IF(D167="","",D167+(COUNTIF(D$4:D167,D167)-1)*0.001)</f>
        <v/>
      </c>
      <c r="F167" s="188"/>
      <c r="G167"/>
      <c r="H167"/>
      <c r="I167" s="81" t="str">
        <f t="shared" si="8"/>
        <v/>
      </c>
      <c r="J167" s="81" t="str">
        <f>IF(I167="","",I167+(COUNTIF(I$4:I167,I167)-1)*0.001)</f>
        <v/>
      </c>
      <c r="S167" s="202"/>
      <c r="U167" s="93"/>
    </row>
    <row r="168" spans="1:21" ht="16.5">
      <c r="A168"/>
      <c r="B168"/>
      <c r="C168"/>
      <c r="D168" s="81" t="str">
        <f t="shared" si="7"/>
        <v/>
      </c>
      <c r="E168" s="90" t="str">
        <f>IF(D168="","",D168+(COUNTIF(D$4:D168,D168)-1)*0.001)</f>
        <v/>
      </c>
      <c r="F168" s="188"/>
      <c r="G168"/>
      <c r="H168"/>
      <c r="I168" s="81" t="str">
        <f t="shared" si="8"/>
        <v/>
      </c>
      <c r="J168" s="81" t="str">
        <f>IF(I168="","",I168+(COUNTIF(I$4:I168,I168)-1)*0.001)</f>
        <v/>
      </c>
      <c r="S168" s="202"/>
      <c r="U168" s="93"/>
    </row>
    <row r="169" spans="1:21" ht="16.5">
      <c r="A169"/>
      <c r="B169"/>
      <c r="C169"/>
      <c r="D169" s="81" t="str">
        <f t="shared" si="7"/>
        <v/>
      </c>
      <c r="E169" s="90" t="str">
        <f>IF(D169="","",D169+(COUNTIF(D$4:D169,D169)-1)*0.001)</f>
        <v/>
      </c>
      <c r="F169" s="188"/>
      <c r="G169"/>
      <c r="H169"/>
      <c r="I169" s="81" t="str">
        <f t="shared" si="8"/>
        <v/>
      </c>
      <c r="J169" s="81" t="str">
        <f>IF(I169="","",I169+(COUNTIF(I$4:I169,I169)-1)*0.001)</f>
        <v/>
      </c>
      <c r="S169" s="202"/>
      <c r="U169" s="93"/>
    </row>
    <row r="170" spans="1:21" ht="16.5">
      <c r="A170"/>
      <c r="B170"/>
      <c r="C170"/>
      <c r="D170" s="81" t="str">
        <f t="shared" si="7"/>
        <v/>
      </c>
      <c r="E170" s="90" t="str">
        <f>IF(D170="","",D170+(COUNTIF(D$4:D170,D170)-1)*0.001)</f>
        <v/>
      </c>
      <c r="F170" s="188"/>
      <c r="G170"/>
      <c r="H170"/>
      <c r="I170" s="81" t="str">
        <f t="shared" si="8"/>
        <v/>
      </c>
      <c r="J170" s="81" t="str">
        <f>IF(I170="","",I170+(COUNTIF(I$4:I170,I170)-1)*0.001)</f>
        <v/>
      </c>
      <c r="S170" s="202"/>
      <c r="U170" s="93"/>
    </row>
    <row r="171" spans="1:21" ht="16.5">
      <c r="A171"/>
      <c r="B171"/>
      <c r="C171"/>
      <c r="D171" s="81" t="str">
        <f t="shared" si="7"/>
        <v/>
      </c>
      <c r="E171" s="90" t="str">
        <f>IF(D171="","",D171+(COUNTIF(D$4:D171,D171)-1)*0.001)</f>
        <v/>
      </c>
      <c r="F171" s="188"/>
      <c r="G171"/>
      <c r="H171"/>
      <c r="I171" s="81" t="str">
        <f t="shared" si="8"/>
        <v/>
      </c>
      <c r="J171" s="81" t="str">
        <f>IF(I171="","",I171+(COUNTIF(I$4:I171,I171)-1)*0.001)</f>
        <v/>
      </c>
      <c r="S171" s="202"/>
      <c r="U171" s="93"/>
    </row>
    <row r="172" spans="1:21" ht="16.5">
      <c r="A172"/>
      <c r="B172"/>
      <c r="C172"/>
      <c r="D172" s="81" t="str">
        <f t="shared" si="7"/>
        <v/>
      </c>
      <c r="E172" s="90" t="str">
        <f>IF(D172="","",D172+(COUNTIF(D$4:D172,D172)-1)*0.001)</f>
        <v/>
      </c>
      <c r="F172" s="188"/>
      <c r="G172"/>
      <c r="H172"/>
      <c r="I172" s="81" t="str">
        <f t="shared" si="8"/>
        <v/>
      </c>
      <c r="J172" s="81" t="str">
        <f>IF(I172="","",I172+(COUNTIF(I$4:I172,I172)-1)*0.001)</f>
        <v/>
      </c>
      <c r="S172" s="202"/>
      <c r="U172" s="93"/>
    </row>
    <row r="173" spans="1:21" ht="16.5">
      <c r="A173" s="78"/>
      <c r="B173" s="77"/>
      <c r="C173" s="77"/>
      <c r="D173" s="81" t="str">
        <f t="shared" si="7"/>
        <v/>
      </c>
      <c r="E173" s="90" t="str">
        <f>IF(D173="","",D173+(COUNTIF(D$4:D173,D173)-1)*0.001)</f>
        <v/>
      </c>
      <c r="F173" s="189"/>
      <c r="G173" s="77"/>
      <c r="H173" s="77"/>
      <c r="I173" s="81" t="str">
        <f t="shared" si="8"/>
        <v/>
      </c>
      <c r="J173" s="81" t="str">
        <f>IF(I173="","",I173+(COUNTIF(I$4:I173,I173)-1)*0.001)</f>
        <v/>
      </c>
      <c r="S173" s="202"/>
      <c r="U173" s="93"/>
    </row>
    <row r="174" spans="1:21" ht="16.5">
      <c r="A174" s="78"/>
      <c r="B174" s="77"/>
      <c r="C174" s="77"/>
      <c r="D174" s="81" t="str">
        <f t="shared" si="7"/>
        <v/>
      </c>
      <c r="E174" s="90" t="str">
        <f>IF(D174="","",D174+(COUNTIF(D$4:D174,D174)-1)*0.001)</f>
        <v/>
      </c>
      <c r="F174" s="189"/>
      <c r="G174" s="77"/>
      <c r="H174" s="77"/>
      <c r="I174" s="81" t="str">
        <f t="shared" si="8"/>
        <v/>
      </c>
      <c r="J174" s="81" t="str">
        <f>IF(I174="","",I174+(COUNTIF(I$4:I174,I174)-1)*0.001)</f>
        <v/>
      </c>
      <c r="S174" s="202"/>
      <c r="U174" s="93"/>
    </row>
    <row r="175" spans="1:21" ht="16.5">
      <c r="A175" s="78"/>
      <c r="B175" s="77"/>
      <c r="C175" s="77"/>
      <c r="D175" s="81" t="str">
        <f t="shared" si="7"/>
        <v/>
      </c>
      <c r="E175" s="90" t="str">
        <f>IF(D175="","",D175+(COUNTIF(D$4:D175,D175)-1)*0.001)</f>
        <v/>
      </c>
      <c r="F175" s="189"/>
      <c r="G175" s="77"/>
      <c r="H175" s="77"/>
      <c r="I175" s="81" t="str">
        <f t="shared" si="8"/>
        <v/>
      </c>
      <c r="J175" s="81" t="str">
        <f>IF(I175="","",I175+(COUNTIF(I$4:I175,I175)-1)*0.001)</f>
        <v/>
      </c>
      <c r="S175" s="202"/>
      <c r="U175" s="93"/>
    </row>
    <row r="176" spans="1:21" ht="16.5">
      <c r="A176" s="78"/>
      <c r="B176" s="77"/>
      <c r="C176" s="77"/>
      <c r="D176" s="81" t="str">
        <f t="shared" si="7"/>
        <v/>
      </c>
      <c r="E176" s="90" t="str">
        <f>IF(D176="","",D176+(COUNTIF(D$4:D176,D176)-1)*0.001)</f>
        <v/>
      </c>
      <c r="F176" s="189"/>
      <c r="G176" s="77"/>
      <c r="H176" s="77"/>
      <c r="I176" s="81" t="str">
        <f t="shared" si="8"/>
        <v/>
      </c>
      <c r="J176" s="81" t="str">
        <f>IF(I176="","",I176+(COUNTIF(I$4:I176,I176)-1)*0.001)</f>
        <v/>
      </c>
      <c r="S176" s="202"/>
      <c r="U176" s="93"/>
    </row>
    <row r="177" spans="1:21" ht="16.5">
      <c r="A177" s="78"/>
      <c r="B177" s="77"/>
      <c r="C177" s="77"/>
      <c r="D177" s="81" t="str">
        <f t="shared" si="7"/>
        <v/>
      </c>
      <c r="E177" s="90" t="str">
        <f>IF(D177="","",D177+(COUNTIF(D$4:D177,D177)-1)*0.001)</f>
        <v/>
      </c>
      <c r="F177" s="189"/>
      <c r="G177" s="77"/>
      <c r="H177" s="77"/>
      <c r="I177" s="81" t="str">
        <f t="shared" si="8"/>
        <v/>
      </c>
      <c r="J177" s="81" t="str">
        <f>IF(I177="","",I177+(COUNTIF(I$4:I177,I177)-1)*0.001)</f>
        <v/>
      </c>
      <c r="S177" s="202"/>
      <c r="U177" s="93"/>
    </row>
    <row r="178" spans="1:21" ht="16.5">
      <c r="A178" s="78"/>
      <c r="B178" s="77"/>
      <c r="C178" s="77"/>
      <c r="D178" s="81" t="str">
        <f t="shared" si="7"/>
        <v/>
      </c>
      <c r="E178" s="90" t="str">
        <f>IF(D178="","",D178+(COUNTIF(D$4:D178,D178)-1)*0.001)</f>
        <v/>
      </c>
      <c r="F178" s="189"/>
      <c r="G178" s="77"/>
      <c r="H178" s="77"/>
      <c r="I178" s="81" t="str">
        <f t="shared" si="8"/>
        <v/>
      </c>
      <c r="J178" s="81" t="str">
        <f>IF(I178="","",I178+(COUNTIF(I$4:I178,I178)-1)*0.001)</f>
        <v/>
      </c>
      <c r="S178" s="202"/>
      <c r="U178" s="93"/>
    </row>
    <row r="179" spans="1:21" ht="16.5">
      <c r="A179" s="78"/>
      <c r="B179" s="77"/>
      <c r="C179" s="77"/>
      <c r="D179" s="81" t="str">
        <f t="shared" si="7"/>
        <v/>
      </c>
      <c r="E179" s="90" t="str">
        <f>IF(D179="","",D179+(COUNTIF(D$4:D179,D179)-1)*0.001)</f>
        <v/>
      </c>
      <c r="F179" s="189"/>
      <c r="G179" s="77"/>
      <c r="H179" s="77"/>
      <c r="I179" s="81" t="str">
        <f t="shared" si="8"/>
        <v/>
      </c>
      <c r="J179" s="81" t="str">
        <f>IF(I179="","",I179+(COUNTIF(I$4:I179,I179)-1)*0.001)</f>
        <v/>
      </c>
      <c r="S179" s="202"/>
      <c r="U179" s="93"/>
    </row>
    <row r="180" spans="1:21" ht="16.5">
      <c r="A180" s="78"/>
      <c r="B180" s="77"/>
      <c r="C180" s="77"/>
      <c r="D180" s="81" t="str">
        <f t="shared" si="7"/>
        <v/>
      </c>
      <c r="E180" s="90" t="str">
        <f>IF(D180="","",D180+(COUNTIF(D$4:D180,D180)-1)*0.001)</f>
        <v/>
      </c>
      <c r="F180" s="189"/>
      <c r="G180" s="77"/>
      <c r="H180" s="77"/>
      <c r="I180" s="81" t="str">
        <f t="shared" si="8"/>
        <v/>
      </c>
      <c r="J180" s="81" t="str">
        <f>IF(I180="","",I180+(COUNTIF(I$4:I180,I180)-1)*0.001)</f>
        <v/>
      </c>
      <c r="S180" s="202"/>
      <c r="U180" s="93"/>
    </row>
    <row r="181" spans="1:21" ht="16.5">
      <c r="A181" s="78"/>
      <c r="B181" s="77"/>
      <c r="C181" s="77"/>
      <c r="D181" s="81" t="str">
        <f t="shared" si="7"/>
        <v/>
      </c>
      <c r="E181" s="90" t="str">
        <f>IF(D181="","",D181+(COUNTIF(D$4:D181,D181)-1)*0.001)</f>
        <v/>
      </c>
      <c r="F181" s="189"/>
      <c r="G181" s="77"/>
      <c r="H181" s="77"/>
      <c r="I181" s="81" t="str">
        <f t="shared" si="8"/>
        <v/>
      </c>
      <c r="J181" s="81" t="str">
        <f>IF(I181="","",I181+(COUNTIF(I$4:I181,I181)-1)*0.001)</f>
        <v/>
      </c>
      <c r="S181" s="202"/>
      <c r="U181" s="93"/>
    </row>
    <row r="182" spans="1:21" ht="16.5">
      <c r="A182" s="78"/>
      <c r="B182" s="77"/>
      <c r="C182" s="77"/>
      <c r="D182" s="81" t="str">
        <f t="shared" si="7"/>
        <v/>
      </c>
      <c r="E182" s="90" t="str">
        <f>IF(D182="","",D182+(COUNTIF(D$4:D182,D182)-1)*0.001)</f>
        <v/>
      </c>
      <c r="F182" s="189"/>
      <c r="G182" s="77"/>
      <c r="H182" s="77"/>
      <c r="I182" s="81" t="str">
        <f t="shared" si="8"/>
        <v/>
      </c>
      <c r="J182" s="81" t="str">
        <f>IF(I182="","",I182+(COUNTIF(I$4:I182,I182)-1)*0.001)</f>
        <v/>
      </c>
      <c r="S182" s="202"/>
      <c r="U182" s="93"/>
    </row>
    <row r="183" spans="1:21" ht="16.5">
      <c r="A183" s="78"/>
      <c r="B183" s="77"/>
      <c r="C183" s="77"/>
      <c r="D183" s="81" t="str">
        <f t="shared" si="7"/>
        <v/>
      </c>
      <c r="E183" s="90" t="str">
        <f>IF(D183="","",D183+(COUNTIF(D$4:D183,D183)-1)*0.001)</f>
        <v/>
      </c>
      <c r="F183" s="189"/>
      <c r="G183" s="77"/>
      <c r="H183" s="77"/>
      <c r="I183" s="81" t="str">
        <f t="shared" si="8"/>
        <v/>
      </c>
      <c r="J183" s="81" t="str">
        <f>IF(I183="","",I183+(COUNTIF(I$4:I183,I183)-1)*0.001)</f>
        <v/>
      </c>
      <c r="S183" s="202"/>
      <c r="U183" s="93"/>
    </row>
    <row r="184" spans="1:21" ht="16.5">
      <c r="A184" s="78"/>
      <c r="B184" s="77"/>
      <c r="C184" s="77"/>
      <c r="D184" s="81" t="str">
        <f t="shared" si="7"/>
        <v/>
      </c>
      <c r="E184" s="90" t="str">
        <f>IF(D184="","",D184+(COUNTIF(D$4:D184,D184)-1)*0.001)</f>
        <v/>
      </c>
      <c r="F184" s="189"/>
      <c r="G184" s="77"/>
      <c r="H184" s="77"/>
      <c r="I184" s="81" t="str">
        <f t="shared" si="8"/>
        <v/>
      </c>
      <c r="J184" s="81" t="str">
        <f>IF(I184="","",I184+(COUNTIF(I$4:I184,I184)-1)*0.001)</f>
        <v/>
      </c>
      <c r="S184" s="202"/>
      <c r="U184" s="93"/>
    </row>
    <row r="185" spans="1:21" ht="16.5">
      <c r="A185" s="78"/>
      <c r="B185" s="77"/>
      <c r="C185" s="77"/>
      <c r="D185" s="81" t="str">
        <f t="shared" si="7"/>
        <v/>
      </c>
      <c r="E185" s="90" t="str">
        <f>IF(D185="","",D185+(COUNTIF(D$4:D185,D185)-1)*0.001)</f>
        <v/>
      </c>
      <c r="F185" s="189"/>
      <c r="G185" s="77"/>
      <c r="H185" s="77"/>
      <c r="I185" s="81" t="str">
        <f t="shared" si="8"/>
        <v/>
      </c>
      <c r="J185" s="81" t="str">
        <f>IF(I185="","",I185+(COUNTIF(I$4:I185,I185)-1)*0.001)</f>
        <v/>
      </c>
      <c r="S185" s="202"/>
      <c r="U185" s="93"/>
    </row>
    <row r="186" spans="1:21" ht="16.5">
      <c r="A186" s="78"/>
      <c r="B186" s="77"/>
      <c r="C186" s="77"/>
      <c r="D186" s="81" t="str">
        <f t="shared" si="7"/>
        <v/>
      </c>
      <c r="E186" s="90" t="str">
        <f>IF(D186="","",D186+(COUNTIF(D$4:D186,D186)-1)*0.001)</f>
        <v/>
      </c>
      <c r="F186" s="189"/>
      <c r="G186" s="77"/>
      <c r="H186" s="77"/>
      <c r="I186" s="81" t="str">
        <f t="shared" si="8"/>
        <v/>
      </c>
      <c r="J186" s="81" t="str">
        <f>IF(I186="","",I186+(COUNTIF(I$4:I186,I186)-1)*0.001)</f>
        <v/>
      </c>
      <c r="S186" s="202"/>
      <c r="U186" s="93"/>
    </row>
    <row r="187" spans="1:21" ht="16.5">
      <c r="A187" s="78"/>
      <c r="B187" s="77"/>
      <c r="C187" s="77"/>
      <c r="D187" s="81" t="str">
        <f t="shared" si="7"/>
        <v/>
      </c>
      <c r="E187" s="90" t="str">
        <f>IF(D187="","",D187+(COUNTIF(D$4:D187,D187)-1)*0.001)</f>
        <v/>
      </c>
      <c r="F187" s="189"/>
      <c r="G187" s="77"/>
      <c r="H187" s="77"/>
      <c r="I187" s="81" t="str">
        <f t="shared" si="8"/>
        <v/>
      </c>
      <c r="J187" s="81" t="str">
        <f>IF(I187="","",I187+(COUNTIF(I$4:I187,I187)-1)*0.001)</f>
        <v/>
      </c>
      <c r="S187" s="202"/>
      <c r="U187" s="93"/>
    </row>
    <row r="188" spans="1:21" ht="16.5">
      <c r="A188" s="78"/>
      <c r="B188" s="77"/>
      <c r="C188" s="77"/>
      <c r="D188" s="81" t="str">
        <f t="shared" si="7"/>
        <v/>
      </c>
      <c r="E188" s="90" t="str">
        <f>IF(D188="","",D188+(COUNTIF(D$4:D188,D188)-1)*0.001)</f>
        <v/>
      </c>
      <c r="F188" s="189"/>
      <c r="G188" s="77"/>
      <c r="H188" s="77"/>
      <c r="I188" s="81" t="str">
        <f t="shared" si="8"/>
        <v/>
      </c>
      <c r="J188" s="81" t="str">
        <f>IF(I188="","",I188+(COUNTIF(I$4:I188,I188)-1)*0.001)</f>
        <v/>
      </c>
      <c r="S188" s="202"/>
      <c r="U188" s="93"/>
    </row>
    <row r="189" spans="1:21" ht="16.5">
      <c r="A189" s="78"/>
      <c r="B189" s="77"/>
      <c r="C189" s="77"/>
      <c r="D189" s="81" t="str">
        <f t="shared" si="7"/>
        <v/>
      </c>
      <c r="E189" s="90" t="str">
        <f>IF(D189="","",D189+(COUNTIF(D$4:D189,D189)-1)*0.001)</f>
        <v/>
      </c>
      <c r="F189" s="189"/>
      <c r="G189" s="77"/>
      <c r="H189" s="77"/>
      <c r="I189" s="81" t="str">
        <f t="shared" si="8"/>
        <v/>
      </c>
      <c r="J189" s="81" t="str">
        <f>IF(I189="","",I189+(COUNTIF(I$4:I189,I189)-1)*0.001)</f>
        <v/>
      </c>
      <c r="S189" s="202"/>
      <c r="U189" s="93"/>
    </row>
    <row r="190" spans="1:21" ht="16.5">
      <c r="A190" s="78"/>
      <c r="B190" s="77"/>
      <c r="C190" s="77"/>
      <c r="D190" s="81" t="str">
        <f t="shared" si="7"/>
        <v/>
      </c>
      <c r="E190" s="90" t="str">
        <f>IF(D190="","",D190+(COUNTIF(D$4:D190,D190)-1)*0.001)</f>
        <v/>
      </c>
      <c r="F190" s="189"/>
      <c r="G190" s="77"/>
      <c r="H190" s="77"/>
      <c r="I190" s="81" t="str">
        <f t="shared" si="8"/>
        <v/>
      </c>
      <c r="J190" s="81" t="str">
        <f>IF(I190="","",I190+(COUNTIF(I$4:I190,I190)-1)*0.001)</f>
        <v/>
      </c>
      <c r="S190" s="202"/>
      <c r="U190" s="93"/>
    </row>
    <row r="191" spans="1:21" ht="16.5">
      <c r="A191" s="78"/>
      <c r="B191" s="77"/>
      <c r="C191" s="77"/>
      <c r="D191" s="81" t="str">
        <f t="shared" si="7"/>
        <v/>
      </c>
      <c r="E191" s="90" t="str">
        <f>IF(D191="","",D191+(COUNTIF(D$4:D191,D191)-1)*0.001)</f>
        <v/>
      </c>
      <c r="F191" s="189"/>
      <c r="G191" s="77"/>
      <c r="H191" s="77"/>
      <c r="I191" s="81" t="str">
        <f t="shared" si="8"/>
        <v/>
      </c>
      <c r="J191" s="81" t="str">
        <f>IF(I191="","",I191+(COUNTIF(I$4:I191,I191)-1)*0.001)</f>
        <v/>
      </c>
      <c r="S191" s="202"/>
      <c r="U191" s="93"/>
    </row>
    <row r="192" spans="1:21" ht="16.5">
      <c r="A192" s="78"/>
      <c r="B192" s="77"/>
      <c r="C192" s="77"/>
      <c r="D192" s="81" t="str">
        <f t="shared" si="7"/>
        <v/>
      </c>
      <c r="E192" s="90" t="str">
        <f>IF(D192="","",D192+(COUNTIF(D$4:D192,D192)-1)*0.001)</f>
        <v/>
      </c>
      <c r="F192" s="189"/>
      <c r="G192" s="77"/>
      <c r="H192" s="77"/>
      <c r="I192" s="81" t="str">
        <f t="shared" si="8"/>
        <v/>
      </c>
      <c r="J192" s="81" t="str">
        <f>IF(I192="","",I192+(COUNTIF(I$4:I192,I192)-1)*0.001)</f>
        <v/>
      </c>
      <c r="S192" s="202"/>
      <c r="U192" s="93"/>
    </row>
    <row r="193" spans="1:21" ht="16.5">
      <c r="A193" s="78"/>
      <c r="B193" s="77"/>
      <c r="C193" s="77"/>
      <c r="D193" s="81" t="str">
        <f t="shared" si="7"/>
        <v/>
      </c>
      <c r="E193" s="90" t="str">
        <f>IF(D193="","",D193+(COUNTIF(D$4:D193,D193)-1)*0.001)</f>
        <v/>
      </c>
      <c r="F193" s="189"/>
      <c r="G193" s="77"/>
      <c r="H193" s="77"/>
      <c r="I193" s="81" t="str">
        <f t="shared" si="8"/>
        <v/>
      </c>
      <c r="J193" s="81" t="str">
        <f>IF(I193="","",I193+(COUNTIF(I$4:I193,I193)-1)*0.001)</f>
        <v/>
      </c>
      <c r="S193" s="202"/>
      <c r="U193" s="93"/>
    </row>
    <row r="194" spans="1:21" ht="16.5">
      <c r="A194" s="78"/>
      <c r="B194" s="77"/>
      <c r="C194" s="77"/>
      <c r="D194" s="81" t="str">
        <f t="shared" si="7"/>
        <v/>
      </c>
      <c r="E194" s="90" t="str">
        <f>IF(D194="","",D194+(COUNTIF(D$4:D194,D194)-1)*0.001)</f>
        <v/>
      </c>
      <c r="F194" s="189"/>
      <c r="G194" s="77"/>
      <c r="H194" s="77"/>
      <c r="I194" s="81" t="str">
        <f t="shared" si="8"/>
        <v/>
      </c>
      <c r="J194" s="81" t="str">
        <f>IF(I194="","",I194+(COUNTIF(I$4:I194,I194)-1)*0.001)</f>
        <v/>
      </c>
      <c r="S194" s="202"/>
      <c r="U194" s="93"/>
    </row>
    <row r="195" spans="1:21" ht="16.5">
      <c r="A195" s="78"/>
      <c r="B195" s="77"/>
      <c r="C195" s="77"/>
      <c r="D195" s="81" t="str">
        <f t="shared" si="7"/>
        <v/>
      </c>
      <c r="E195" s="90" t="str">
        <f>IF(D195="","",D195+(COUNTIF(D$4:D195,D195)-1)*0.001)</f>
        <v/>
      </c>
      <c r="F195" s="189"/>
      <c r="G195" s="77"/>
      <c r="H195" s="77"/>
      <c r="I195" s="81" t="str">
        <f t="shared" si="8"/>
        <v/>
      </c>
      <c r="J195" s="81" t="str">
        <f>IF(I195="","",I195+(COUNTIF(I$4:I195,I195)-1)*0.001)</f>
        <v/>
      </c>
      <c r="S195" s="202"/>
      <c r="U195" s="93"/>
    </row>
    <row r="196" spans="1:21" ht="16.5">
      <c r="A196" s="78"/>
      <c r="B196" s="77"/>
      <c r="C196" s="77"/>
      <c r="D196" s="81" t="str">
        <f t="shared" ref="D196:D259" si="9">IF(A196="","",IFERROR(INDEX(收盤1,MATCH(A196,代號1,0)),IFERROR(INDEX(收盤2,MATCH(A196,代號2,0)),IFERROR(INDEX(收盤3,MATCH(A196,代號3,0)),INDEX(收盤4,MATCH(A196,代號4,0)))))*C196)</f>
        <v/>
      </c>
      <c r="E196" s="90" t="str">
        <f>IF(D196="","",D196+(COUNTIF(D$4:D196,D196)-1)*0.001)</f>
        <v/>
      </c>
      <c r="F196" s="189"/>
      <c r="G196" s="77"/>
      <c r="H196" s="77"/>
      <c r="I196" s="81" t="str">
        <f t="shared" ref="I196:I259" si="10">IF(F196="","",IFERROR(INDEX(收盤1,MATCH(F196,代號1,0)),IFERROR(INDEX(收盤2,MATCH(F196,代號2,0)),IFERROR(INDEX(收盤3,MATCH(F196,代號3,0)),INDEX(收盤4,MATCH(F196,代號4,0)))))*H196)</f>
        <v/>
      </c>
      <c r="J196" s="81" t="str">
        <f>IF(I196="","",I196+(COUNTIF(I$4:I196,I196)-1)*0.001)</f>
        <v/>
      </c>
      <c r="S196" s="202"/>
      <c r="U196" s="93"/>
    </row>
    <row r="197" spans="1:21" ht="16.5">
      <c r="A197" s="78"/>
      <c r="B197" s="77"/>
      <c r="C197" s="77"/>
      <c r="D197" s="81" t="str">
        <f t="shared" si="9"/>
        <v/>
      </c>
      <c r="E197" s="90" t="str">
        <f>IF(D197="","",D197+(COUNTIF(D$4:D197,D197)-1)*0.001)</f>
        <v/>
      </c>
      <c r="F197" s="189"/>
      <c r="G197" s="77"/>
      <c r="H197" s="77"/>
      <c r="I197" s="81" t="str">
        <f t="shared" si="10"/>
        <v/>
      </c>
      <c r="J197" s="81" t="str">
        <f>IF(I197="","",I197+(COUNTIF(I$4:I197,I197)-1)*0.001)</f>
        <v/>
      </c>
      <c r="S197" s="202"/>
      <c r="U197" s="93"/>
    </row>
    <row r="198" spans="1:21" ht="16.5">
      <c r="A198" s="78"/>
      <c r="B198" s="77"/>
      <c r="C198" s="77"/>
      <c r="D198" s="81" t="str">
        <f t="shared" si="9"/>
        <v/>
      </c>
      <c r="E198" s="90" t="str">
        <f>IF(D198="","",D198+(COUNTIF(D$4:D198,D198)-1)*0.001)</f>
        <v/>
      </c>
      <c r="F198" s="189"/>
      <c r="G198" s="77"/>
      <c r="H198" s="77"/>
      <c r="I198" s="81" t="str">
        <f t="shared" si="10"/>
        <v/>
      </c>
      <c r="J198" s="81" t="str">
        <f>IF(I198="","",I198+(COUNTIF(I$4:I198,I198)-1)*0.001)</f>
        <v/>
      </c>
      <c r="S198" s="202"/>
      <c r="U198" s="93"/>
    </row>
    <row r="199" spans="1:21" ht="16.5">
      <c r="A199" s="78"/>
      <c r="B199" s="77"/>
      <c r="C199" s="77"/>
      <c r="D199" s="81" t="str">
        <f t="shared" si="9"/>
        <v/>
      </c>
      <c r="E199" s="90" t="str">
        <f>IF(D199="","",D199+(COUNTIF(D$4:D199,D199)-1)*0.001)</f>
        <v/>
      </c>
      <c r="F199" s="189"/>
      <c r="G199" s="77"/>
      <c r="H199" s="77"/>
      <c r="I199" s="81" t="str">
        <f t="shared" si="10"/>
        <v/>
      </c>
      <c r="J199" s="81" t="str">
        <f>IF(I199="","",I199+(COUNTIF(I$4:I199,I199)-1)*0.001)</f>
        <v/>
      </c>
      <c r="S199" s="202"/>
      <c r="U199" s="93"/>
    </row>
    <row r="200" spans="1:21" ht="16.5">
      <c r="A200" s="78"/>
      <c r="B200" s="77"/>
      <c r="C200" s="77"/>
      <c r="D200" s="81" t="str">
        <f t="shared" si="9"/>
        <v/>
      </c>
      <c r="E200" s="90" t="str">
        <f>IF(D200="","",D200+(COUNTIF(D$4:D200,D200)-1)*0.001)</f>
        <v/>
      </c>
      <c r="F200" s="189"/>
      <c r="G200" s="77"/>
      <c r="H200" s="77"/>
      <c r="I200" s="81" t="str">
        <f t="shared" si="10"/>
        <v/>
      </c>
      <c r="J200" s="81" t="str">
        <f>IF(I200="","",I200+(COUNTIF(I$4:I200,I200)-1)*0.001)</f>
        <v/>
      </c>
      <c r="S200" s="202"/>
      <c r="U200" s="93"/>
    </row>
    <row r="201" spans="1:21" ht="16.5">
      <c r="A201" s="78"/>
      <c r="B201" s="77"/>
      <c r="C201" s="77"/>
      <c r="D201" s="81" t="str">
        <f t="shared" si="9"/>
        <v/>
      </c>
      <c r="E201" s="90" t="str">
        <f>IF(D201="","",D201+(COUNTIF(D$4:D201,D201)-1)*0.001)</f>
        <v/>
      </c>
      <c r="F201" s="189"/>
      <c r="G201" s="77"/>
      <c r="H201" s="77"/>
      <c r="I201" s="81" t="str">
        <f t="shared" si="10"/>
        <v/>
      </c>
      <c r="J201" s="81" t="str">
        <f>IF(I201="","",I201+(COUNTIF(I$4:I201,I201)-1)*0.001)</f>
        <v/>
      </c>
      <c r="S201" s="202"/>
      <c r="U201" s="93"/>
    </row>
    <row r="202" spans="1:21" ht="16.5">
      <c r="A202" s="78"/>
      <c r="B202" s="77"/>
      <c r="C202" s="77"/>
      <c r="D202" s="81" t="str">
        <f t="shared" si="9"/>
        <v/>
      </c>
      <c r="E202" s="90" t="str">
        <f>IF(D202="","",D202+(COUNTIF(D$4:D202,D202)-1)*0.001)</f>
        <v/>
      </c>
      <c r="F202" s="189"/>
      <c r="G202" s="77"/>
      <c r="H202" s="77"/>
      <c r="I202" s="81" t="str">
        <f t="shared" si="10"/>
        <v/>
      </c>
      <c r="J202" s="81" t="str">
        <f>IF(I202="","",I202+(COUNTIF(I$4:I202,I202)-1)*0.001)</f>
        <v/>
      </c>
      <c r="S202" s="202"/>
      <c r="U202" s="93"/>
    </row>
    <row r="203" spans="1:21" ht="16.5">
      <c r="A203" s="78"/>
      <c r="B203" s="77"/>
      <c r="C203" s="77"/>
      <c r="D203" s="81" t="str">
        <f t="shared" si="9"/>
        <v/>
      </c>
      <c r="E203" s="90" t="str">
        <f>IF(D203="","",D203+(COUNTIF(D$4:D203,D203)-1)*0.001)</f>
        <v/>
      </c>
      <c r="F203" s="189"/>
      <c r="G203" s="77"/>
      <c r="H203" s="77"/>
      <c r="I203" s="81" t="str">
        <f t="shared" si="10"/>
        <v/>
      </c>
      <c r="J203" s="81" t="str">
        <f>IF(I203="","",I203+(COUNTIF(I$4:I203,I203)-1)*0.001)</f>
        <v/>
      </c>
      <c r="S203" s="202"/>
      <c r="U203" s="93"/>
    </row>
    <row r="204" spans="1:21" ht="16.5">
      <c r="A204" s="78"/>
      <c r="B204" s="77"/>
      <c r="C204" s="77"/>
      <c r="D204" s="81" t="str">
        <f t="shared" si="9"/>
        <v/>
      </c>
      <c r="E204" s="90" t="str">
        <f>IF(D204="","",D204+(COUNTIF(D$4:D204,D204)-1)*0.001)</f>
        <v/>
      </c>
      <c r="F204" s="189"/>
      <c r="G204" s="77"/>
      <c r="H204" s="77"/>
      <c r="I204" s="81" t="str">
        <f t="shared" si="10"/>
        <v/>
      </c>
      <c r="J204" s="81" t="str">
        <f>IF(I204="","",I204+(COUNTIF(I$4:I204,I204)-1)*0.001)</f>
        <v/>
      </c>
      <c r="S204" s="202"/>
      <c r="U204" s="93"/>
    </row>
    <row r="205" spans="1:21" ht="16.5">
      <c r="A205" s="78"/>
      <c r="B205" s="77"/>
      <c r="C205" s="77"/>
      <c r="D205" s="81" t="str">
        <f t="shared" si="9"/>
        <v/>
      </c>
      <c r="E205" s="90" t="str">
        <f>IF(D205="","",D205+(COUNTIF(D$4:D205,D205)-1)*0.001)</f>
        <v/>
      </c>
      <c r="F205" s="189"/>
      <c r="G205" s="77"/>
      <c r="H205" s="77"/>
      <c r="I205" s="81" t="str">
        <f t="shared" si="10"/>
        <v/>
      </c>
      <c r="J205" s="81" t="str">
        <f>IF(I205="","",I205+(COUNTIF(I$4:I205,I205)-1)*0.001)</f>
        <v/>
      </c>
      <c r="S205" s="202"/>
      <c r="U205" s="93"/>
    </row>
    <row r="206" spans="1:21" ht="16.5">
      <c r="A206" s="78"/>
      <c r="B206" s="77"/>
      <c r="C206" s="77"/>
      <c r="D206" s="81" t="str">
        <f t="shared" si="9"/>
        <v/>
      </c>
      <c r="E206" s="90" t="str">
        <f>IF(D206="","",D206+(COUNTIF(D$4:D206,D206)-1)*0.001)</f>
        <v/>
      </c>
      <c r="F206" s="189"/>
      <c r="G206" s="77"/>
      <c r="H206" s="77"/>
      <c r="I206" s="81" t="str">
        <f t="shared" si="10"/>
        <v/>
      </c>
      <c r="J206" s="81" t="str">
        <f>IF(I206="","",I206+(COUNTIF(I$4:I206,I206)-1)*0.001)</f>
        <v/>
      </c>
      <c r="S206" s="202"/>
      <c r="U206" s="93"/>
    </row>
    <row r="207" spans="1:21" ht="16.5">
      <c r="A207" s="78"/>
      <c r="B207" s="77"/>
      <c r="C207" s="77"/>
      <c r="D207" s="81" t="str">
        <f t="shared" si="9"/>
        <v/>
      </c>
      <c r="E207" s="90" t="str">
        <f>IF(D207="","",D207+(COUNTIF(D$4:D207,D207)-1)*0.001)</f>
        <v/>
      </c>
      <c r="F207" s="189"/>
      <c r="G207" s="77"/>
      <c r="H207" s="77"/>
      <c r="I207" s="81" t="str">
        <f t="shared" si="10"/>
        <v/>
      </c>
      <c r="J207" s="81" t="str">
        <f>IF(I207="","",I207+(COUNTIF(I$4:I207,I207)-1)*0.001)</f>
        <v/>
      </c>
      <c r="S207" s="202"/>
      <c r="U207" s="93"/>
    </row>
    <row r="208" spans="1:21" ht="16.5">
      <c r="A208" s="78"/>
      <c r="B208" s="77"/>
      <c r="C208" s="77"/>
      <c r="D208" s="81" t="str">
        <f t="shared" si="9"/>
        <v/>
      </c>
      <c r="E208" s="90" t="str">
        <f>IF(D208="","",D208+(COUNTIF(D$4:D208,D208)-1)*0.001)</f>
        <v/>
      </c>
      <c r="F208" s="189"/>
      <c r="G208" s="77"/>
      <c r="H208" s="77"/>
      <c r="I208" s="81" t="str">
        <f t="shared" si="10"/>
        <v/>
      </c>
      <c r="J208" s="81" t="str">
        <f>IF(I208="","",I208+(COUNTIF(I$4:I208,I208)-1)*0.001)</f>
        <v/>
      </c>
      <c r="S208" s="202"/>
      <c r="U208" s="93"/>
    </row>
    <row r="209" spans="1:21" ht="16.5">
      <c r="A209" s="78"/>
      <c r="B209" s="77"/>
      <c r="C209" s="77"/>
      <c r="D209" s="81" t="str">
        <f t="shared" si="9"/>
        <v/>
      </c>
      <c r="E209" s="90" t="str">
        <f>IF(D209="","",D209+(COUNTIF(D$4:D209,D209)-1)*0.001)</f>
        <v/>
      </c>
      <c r="F209" s="189"/>
      <c r="G209" s="77"/>
      <c r="H209" s="77"/>
      <c r="I209" s="81" t="str">
        <f t="shared" si="10"/>
        <v/>
      </c>
      <c r="J209" s="81" t="str">
        <f>IF(I209="","",I209+(COUNTIF(I$4:I209,I209)-1)*0.001)</f>
        <v/>
      </c>
      <c r="S209" s="202"/>
      <c r="U209" s="93"/>
    </row>
    <row r="210" spans="1:21" ht="16.5">
      <c r="A210" s="78"/>
      <c r="B210" s="77"/>
      <c r="C210" s="77"/>
      <c r="D210" s="81" t="str">
        <f t="shared" si="9"/>
        <v/>
      </c>
      <c r="E210" s="90" t="str">
        <f>IF(D210="","",D210+(COUNTIF(D$4:D210,D210)-1)*0.001)</f>
        <v/>
      </c>
      <c r="F210" s="189"/>
      <c r="G210" s="77"/>
      <c r="H210" s="77"/>
      <c r="I210" s="81" t="str">
        <f t="shared" si="10"/>
        <v/>
      </c>
      <c r="J210" s="81" t="str">
        <f>IF(I210="","",I210+(COUNTIF(I$4:I210,I210)-1)*0.001)</f>
        <v/>
      </c>
      <c r="S210" s="202"/>
      <c r="U210" s="93"/>
    </row>
    <row r="211" spans="1:21" ht="16.5">
      <c r="A211" s="78"/>
      <c r="B211" s="77"/>
      <c r="C211" s="77"/>
      <c r="D211" s="81" t="str">
        <f t="shared" si="9"/>
        <v/>
      </c>
      <c r="E211" s="90" t="str">
        <f>IF(D211="","",D211+(COUNTIF(D$4:D211,D211)-1)*0.001)</f>
        <v/>
      </c>
      <c r="F211" s="189"/>
      <c r="G211" s="77"/>
      <c r="H211" s="77"/>
      <c r="I211" s="81" t="str">
        <f t="shared" si="10"/>
        <v/>
      </c>
      <c r="J211" s="81" t="str">
        <f>IF(I211="","",I211+(COUNTIF(I$4:I211,I211)-1)*0.001)</f>
        <v/>
      </c>
      <c r="S211" s="202"/>
      <c r="U211" s="93"/>
    </row>
    <row r="212" spans="1:21" ht="16.5">
      <c r="A212" s="78"/>
      <c r="B212" s="77"/>
      <c r="C212" s="77"/>
      <c r="D212" s="81" t="str">
        <f t="shared" si="9"/>
        <v/>
      </c>
      <c r="E212" s="90" t="str">
        <f>IF(D212="","",D212+(COUNTIF(D$4:D212,D212)-1)*0.001)</f>
        <v/>
      </c>
      <c r="F212" s="189"/>
      <c r="G212" s="77"/>
      <c r="H212" s="77"/>
      <c r="I212" s="81" t="str">
        <f t="shared" si="10"/>
        <v/>
      </c>
      <c r="J212" s="81" t="str">
        <f>IF(I212="","",I212+(COUNTIF(I$4:I212,I212)-1)*0.001)</f>
        <v/>
      </c>
      <c r="S212" s="202"/>
      <c r="U212" s="93"/>
    </row>
    <row r="213" spans="1:21" ht="16.5">
      <c r="A213" s="78"/>
      <c r="B213" s="77"/>
      <c r="C213" s="77"/>
      <c r="D213" s="81" t="str">
        <f t="shared" si="9"/>
        <v/>
      </c>
      <c r="E213" s="90" t="str">
        <f>IF(D213="","",D213+(COUNTIF(D$4:D213,D213)-1)*0.001)</f>
        <v/>
      </c>
      <c r="F213" s="189"/>
      <c r="G213" s="77"/>
      <c r="H213" s="77"/>
      <c r="I213" s="81" t="str">
        <f t="shared" si="10"/>
        <v/>
      </c>
      <c r="J213" s="81" t="str">
        <f>IF(I213="","",I213+(COUNTIF(I$4:I213,I213)-1)*0.001)</f>
        <v/>
      </c>
      <c r="S213" s="202"/>
      <c r="U213" s="93"/>
    </row>
    <row r="214" spans="1:21" ht="16.5">
      <c r="A214" s="78"/>
      <c r="B214" s="77"/>
      <c r="C214" s="77"/>
      <c r="D214" s="81" t="str">
        <f t="shared" si="9"/>
        <v/>
      </c>
      <c r="E214" s="90" t="str">
        <f>IF(D214="","",D214+(COUNTIF(D$4:D214,D214)-1)*0.001)</f>
        <v/>
      </c>
      <c r="F214" s="189"/>
      <c r="G214" s="77"/>
      <c r="H214" s="77"/>
      <c r="I214" s="81" t="str">
        <f t="shared" si="10"/>
        <v/>
      </c>
      <c r="J214" s="81" t="str">
        <f>IF(I214="","",I214+(COUNTIF(I$4:I214,I214)-1)*0.001)</f>
        <v/>
      </c>
      <c r="S214" s="202"/>
      <c r="U214" s="93"/>
    </row>
    <row r="215" spans="1:21" ht="16.5">
      <c r="A215" s="78"/>
      <c r="B215" s="77"/>
      <c r="C215" s="77"/>
      <c r="D215" s="81" t="str">
        <f t="shared" si="9"/>
        <v/>
      </c>
      <c r="E215" s="90" t="str">
        <f>IF(D215="","",D215+(COUNTIF(D$4:D215,D215)-1)*0.001)</f>
        <v/>
      </c>
      <c r="F215" s="189"/>
      <c r="G215" s="77"/>
      <c r="H215" s="77"/>
      <c r="I215" s="81" t="str">
        <f t="shared" si="10"/>
        <v/>
      </c>
      <c r="J215" s="81" t="str">
        <f>IF(I215="","",I215+(COUNTIF(I$4:I215,I215)-1)*0.001)</f>
        <v/>
      </c>
      <c r="S215" s="202"/>
      <c r="U215" s="93"/>
    </row>
    <row r="216" spans="1:21" ht="16.5">
      <c r="A216" s="78"/>
      <c r="B216" s="77"/>
      <c r="C216" s="77"/>
      <c r="D216" s="81" t="str">
        <f t="shared" si="9"/>
        <v/>
      </c>
      <c r="E216" s="90" t="str">
        <f>IF(D216="","",D216+(COUNTIF(D$4:D216,D216)-1)*0.001)</f>
        <v/>
      </c>
      <c r="F216" s="189"/>
      <c r="G216" s="77"/>
      <c r="H216" s="77"/>
      <c r="I216" s="81" t="str">
        <f t="shared" si="10"/>
        <v/>
      </c>
      <c r="J216" s="81" t="str">
        <f>IF(I216="","",I216+(COUNTIF(I$4:I216,I216)-1)*0.001)</f>
        <v/>
      </c>
      <c r="S216" s="202"/>
      <c r="U216" s="93"/>
    </row>
    <row r="217" spans="1:21" ht="16.5">
      <c r="A217" s="78"/>
      <c r="B217" s="77"/>
      <c r="C217" s="77"/>
      <c r="D217" s="81" t="str">
        <f t="shared" si="9"/>
        <v/>
      </c>
      <c r="E217" s="90" t="str">
        <f>IF(D217="","",D217+(COUNTIF(D$4:D217,D217)-1)*0.001)</f>
        <v/>
      </c>
      <c r="F217" s="189"/>
      <c r="G217" s="77"/>
      <c r="H217" s="77"/>
      <c r="I217" s="81" t="str">
        <f t="shared" si="10"/>
        <v/>
      </c>
      <c r="J217" s="81" t="str">
        <f>IF(I217="","",I217+(COUNTIF(I$4:I217,I217)-1)*0.001)</f>
        <v/>
      </c>
      <c r="S217" s="202"/>
      <c r="U217" s="93"/>
    </row>
    <row r="218" spans="1:21" ht="16.5">
      <c r="A218" s="78"/>
      <c r="B218" s="77"/>
      <c r="C218" s="77"/>
      <c r="D218" s="81" t="str">
        <f t="shared" si="9"/>
        <v/>
      </c>
      <c r="E218" s="90" t="str">
        <f>IF(D218="","",D218+(COUNTIF(D$4:D218,D218)-1)*0.001)</f>
        <v/>
      </c>
      <c r="F218" s="189"/>
      <c r="G218" s="77"/>
      <c r="H218" s="77"/>
      <c r="I218" s="81" t="str">
        <f t="shared" si="10"/>
        <v/>
      </c>
      <c r="J218" s="81" t="str">
        <f>IF(I218="","",I218+(COUNTIF(I$4:I218,I218)-1)*0.001)</f>
        <v/>
      </c>
      <c r="S218" s="202"/>
      <c r="U218" s="93"/>
    </row>
    <row r="219" spans="1:21" ht="16.5">
      <c r="A219" s="78"/>
      <c r="B219" s="77"/>
      <c r="C219" s="77"/>
      <c r="D219" s="81" t="str">
        <f t="shared" si="9"/>
        <v/>
      </c>
      <c r="E219" s="90" t="str">
        <f>IF(D219="","",D219+(COUNTIF(D$4:D219,D219)-1)*0.001)</f>
        <v/>
      </c>
      <c r="F219" s="189"/>
      <c r="G219" s="77"/>
      <c r="H219" s="77"/>
      <c r="I219" s="81" t="str">
        <f t="shared" si="10"/>
        <v/>
      </c>
      <c r="J219" s="81" t="str">
        <f>IF(I219="","",I219+(COUNTIF(I$4:I219,I219)-1)*0.001)</f>
        <v/>
      </c>
      <c r="S219" s="202"/>
      <c r="U219" s="93"/>
    </row>
    <row r="220" spans="1:21" ht="16.5">
      <c r="A220" s="78"/>
      <c r="B220" s="77"/>
      <c r="C220" s="77"/>
      <c r="D220" s="81" t="str">
        <f t="shared" si="9"/>
        <v/>
      </c>
      <c r="E220" s="90" t="str">
        <f>IF(D220="","",D220+(COUNTIF(D$4:D220,D220)-1)*0.001)</f>
        <v/>
      </c>
      <c r="F220" s="189"/>
      <c r="G220" s="77"/>
      <c r="H220" s="77"/>
      <c r="I220" s="81" t="str">
        <f t="shared" si="10"/>
        <v/>
      </c>
      <c r="J220" s="81" t="str">
        <f>IF(I220="","",I220+(COUNTIF(I$4:I220,I220)-1)*0.001)</f>
        <v/>
      </c>
      <c r="S220" s="202"/>
      <c r="U220" s="93"/>
    </row>
    <row r="221" spans="1:21" ht="16.5">
      <c r="A221" s="78"/>
      <c r="B221" s="77"/>
      <c r="C221" s="77"/>
      <c r="D221" s="81" t="str">
        <f t="shared" si="9"/>
        <v/>
      </c>
      <c r="E221" s="90" t="str">
        <f>IF(D221="","",D221+(COUNTIF(D$4:D221,D221)-1)*0.001)</f>
        <v/>
      </c>
      <c r="F221" s="189"/>
      <c r="G221" s="77"/>
      <c r="H221" s="77"/>
      <c r="I221" s="81" t="str">
        <f t="shared" si="10"/>
        <v/>
      </c>
      <c r="J221" s="81" t="str">
        <f>IF(I221="","",I221+(COUNTIF(I$4:I221,I221)-1)*0.001)</f>
        <v/>
      </c>
      <c r="S221" s="202"/>
      <c r="U221" s="93"/>
    </row>
    <row r="222" spans="1:21" ht="16.5">
      <c r="A222" s="78"/>
      <c r="B222" s="77"/>
      <c r="C222" s="77"/>
      <c r="D222" s="81" t="str">
        <f t="shared" si="9"/>
        <v/>
      </c>
      <c r="E222" s="90" t="str">
        <f>IF(D222="","",D222+(COUNTIF(D$4:D222,D222)-1)*0.001)</f>
        <v/>
      </c>
      <c r="F222" s="189"/>
      <c r="G222" s="77"/>
      <c r="H222" s="77"/>
      <c r="I222" s="81" t="str">
        <f t="shared" si="10"/>
        <v/>
      </c>
      <c r="J222" s="81" t="str">
        <f>IF(I222="","",I222+(COUNTIF(I$4:I222,I222)-1)*0.001)</f>
        <v/>
      </c>
      <c r="S222" s="202"/>
      <c r="U222" s="93"/>
    </row>
    <row r="223" spans="1:21" ht="16.5">
      <c r="A223" s="78"/>
      <c r="B223" s="77"/>
      <c r="C223" s="77"/>
      <c r="D223" s="81" t="str">
        <f t="shared" si="9"/>
        <v/>
      </c>
      <c r="E223" s="90" t="str">
        <f>IF(D223="","",D223+(COUNTIF(D$4:D223,D223)-1)*0.001)</f>
        <v/>
      </c>
      <c r="F223" s="189"/>
      <c r="G223" s="77"/>
      <c r="H223" s="77"/>
      <c r="I223" s="81" t="str">
        <f t="shared" si="10"/>
        <v/>
      </c>
      <c r="J223" s="81" t="str">
        <f>IF(I223="","",I223+(COUNTIF(I$4:I223,I223)-1)*0.001)</f>
        <v/>
      </c>
      <c r="S223" s="202"/>
      <c r="U223" s="93"/>
    </row>
    <row r="224" spans="1:21" ht="16.5">
      <c r="A224" s="78"/>
      <c r="B224" s="77"/>
      <c r="C224" s="77"/>
      <c r="D224" s="81" t="str">
        <f t="shared" si="9"/>
        <v/>
      </c>
      <c r="E224" s="90" t="str">
        <f>IF(D224="","",D224+(COUNTIF(D$4:D224,D224)-1)*0.001)</f>
        <v/>
      </c>
      <c r="F224" s="189"/>
      <c r="G224" s="77"/>
      <c r="H224" s="77"/>
      <c r="I224" s="81" t="str">
        <f t="shared" si="10"/>
        <v/>
      </c>
      <c r="J224" s="81" t="str">
        <f>IF(I224="","",I224+(COUNTIF(I$4:I224,I224)-1)*0.001)</f>
        <v/>
      </c>
      <c r="S224" s="202"/>
      <c r="U224" s="93"/>
    </row>
    <row r="225" spans="1:21" ht="16.5">
      <c r="A225" s="78"/>
      <c r="B225" s="77"/>
      <c r="C225" s="77"/>
      <c r="D225" s="81" t="str">
        <f t="shared" si="9"/>
        <v/>
      </c>
      <c r="E225" s="90" t="str">
        <f>IF(D225="","",D225+(COUNTIF(D$4:D225,D225)-1)*0.001)</f>
        <v/>
      </c>
      <c r="F225" s="189"/>
      <c r="G225" s="77"/>
      <c r="H225" s="77"/>
      <c r="I225" s="81" t="str">
        <f t="shared" si="10"/>
        <v/>
      </c>
      <c r="J225" s="81" t="str">
        <f>IF(I225="","",I225+(COUNTIF(I$4:I225,I225)-1)*0.001)</f>
        <v/>
      </c>
      <c r="S225" s="202"/>
      <c r="U225" s="93"/>
    </row>
    <row r="226" spans="1:21" ht="16.5">
      <c r="A226" s="78"/>
      <c r="B226" s="77"/>
      <c r="C226" s="77"/>
      <c r="D226" s="81" t="str">
        <f t="shared" si="9"/>
        <v/>
      </c>
      <c r="E226" s="90" t="str">
        <f>IF(D226="","",D226+(COUNTIF(D$4:D226,D226)-1)*0.001)</f>
        <v/>
      </c>
      <c r="F226" s="189"/>
      <c r="G226" s="77"/>
      <c r="H226" s="77"/>
      <c r="I226" s="81" t="str">
        <f t="shared" si="10"/>
        <v/>
      </c>
      <c r="J226" s="81" t="str">
        <f>IF(I226="","",I226+(COUNTIF(I$4:I226,I226)-1)*0.001)</f>
        <v/>
      </c>
      <c r="S226" s="202"/>
      <c r="U226" s="93"/>
    </row>
    <row r="227" spans="1:21" ht="16.5">
      <c r="A227" s="78"/>
      <c r="B227" s="77"/>
      <c r="C227" s="77"/>
      <c r="D227" s="81" t="str">
        <f t="shared" si="9"/>
        <v/>
      </c>
      <c r="E227" s="90" t="str">
        <f>IF(D227="","",D227+(COUNTIF(D$4:D227,D227)-1)*0.001)</f>
        <v/>
      </c>
      <c r="F227" s="189"/>
      <c r="G227" s="77"/>
      <c r="H227" s="77"/>
      <c r="I227" s="81" t="str">
        <f t="shared" si="10"/>
        <v/>
      </c>
      <c r="J227" s="81" t="str">
        <f>IF(I227="","",I227+(COUNTIF(I$4:I227,I227)-1)*0.001)</f>
        <v/>
      </c>
      <c r="S227" s="202"/>
      <c r="U227" s="93"/>
    </row>
    <row r="228" spans="1:21" ht="16.5">
      <c r="A228" s="78"/>
      <c r="B228" s="77"/>
      <c r="C228" s="77"/>
      <c r="D228" s="81" t="str">
        <f t="shared" si="9"/>
        <v/>
      </c>
      <c r="E228" s="90" t="str">
        <f>IF(D228="","",D228+(COUNTIF(D$4:D228,D228)-1)*0.001)</f>
        <v/>
      </c>
      <c r="F228" s="189"/>
      <c r="G228" s="77"/>
      <c r="H228" s="77"/>
      <c r="I228" s="81" t="str">
        <f t="shared" si="10"/>
        <v/>
      </c>
      <c r="J228" s="81" t="str">
        <f>IF(I228="","",I228+(COUNTIF(I$4:I228,I228)-1)*0.001)</f>
        <v/>
      </c>
      <c r="S228" s="202"/>
      <c r="U228" s="93"/>
    </row>
    <row r="229" spans="1:21" ht="16.5">
      <c r="A229" s="78"/>
      <c r="B229" s="77"/>
      <c r="C229" s="77"/>
      <c r="D229" s="81" t="str">
        <f t="shared" si="9"/>
        <v/>
      </c>
      <c r="E229" s="90" t="str">
        <f>IF(D229="","",D229+(COUNTIF(D$4:D229,D229)-1)*0.001)</f>
        <v/>
      </c>
      <c r="F229" s="189"/>
      <c r="G229" s="77"/>
      <c r="H229" s="77"/>
      <c r="I229" s="81" t="str">
        <f t="shared" si="10"/>
        <v/>
      </c>
      <c r="J229" s="81" t="str">
        <f>IF(I229="","",I229+(COUNTIF(I$4:I229,I229)-1)*0.001)</f>
        <v/>
      </c>
      <c r="S229" s="202"/>
      <c r="U229" s="93"/>
    </row>
    <row r="230" spans="1:21" ht="16.5">
      <c r="A230" s="78"/>
      <c r="B230" s="77"/>
      <c r="C230" s="77"/>
      <c r="D230" s="81" t="str">
        <f t="shared" si="9"/>
        <v/>
      </c>
      <c r="E230" s="90" t="str">
        <f>IF(D230="","",D230+(COUNTIF(D$4:D230,D230)-1)*0.001)</f>
        <v/>
      </c>
      <c r="F230" s="189"/>
      <c r="G230" s="77"/>
      <c r="H230" s="77"/>
      <c r="I230" s="81" t="str">
        <f t="shared" si="10"/>
        <v/>
      </c>
      <c r="J230" s="81" t="str">
        <f>IF(I230="","",I230+(COUNTIF(I$4:I230,I230)-1)*0.001)</f>
        <v/>
      </c>
      <c r="S230" s="202"/>
      <c r="U230" s="93"/>
    </row>
    <row r="231" spans="1:21" ht="16.5">
      <c r="A231" s="78"/>
      <c r="B231" s="77"/>
      <c r="C231" s="77"/>
      <c r="D231" s="81" t="str">
        <f t="shared" si="9"/>
        <v/>
      </c>
      <c r="E231" s="90" t="str">
        <f>IF(D231="","",D231+(COUNTIF(D$4:D231,D231)-1)*0.001)</f>
        <v/>
      </c>
      <c r="F231" s="189"/>
      <c r="G231" s="77"/>
      <c r="H231" s="77"/>
      <c r="I231" s="81" t="str">
        <f t="shared" si="10"/>
        <v/>
      </c>
      <c r="J231" s="81" t="str">
        <f>IF(I231="","",I231+(COUNTIF(I$4:I231,I231)-1)*0.001)</f>
        <v/>
      </c>
      <c r="S231" s="202"/>
      <c r="U231" s="93"/>
    </row>
    <row r="232" spans="1:21" ht="16.5">
      <c r="A232" s="78"/>
      <c r="B232" s="77"/>
      <c r="C232" s="77"/>
      <c r="D232" s="81" t="str">
        <f t="shared" si="9"/>
        <v/>
      </c>
      <c r="E232" s="90" t="str">
        <f>IF(D232="","",D232+(COUNTIF(D$4:D232,D232)-1)*0.001)</f>
        <v/>
      </c>
      <c r="F232" s="189"/>
      <c r="G232" s="77"/>
      <c r="H232" s="77"/>
      <c r="I232" s="81" t="str">
        <f t="shared" si="10"/>
        <v/>
      </c>
      <c r="J232" s="81" t="str">
        <f>IF(I232="","",I232+(COUNTIF(I$4:I232,I232)-1)*0.001)</f>
        <v/>
      </c>
      <c r="S232" s="202"/>
      <c r="U232" s="93"/>
    </row>
    <row r="233" spans="1:21" ht="16.5">
      <c r="A233" s="78"/>
      <c r="B233" s="77"/>
      <c r="C233" s="77"/>
      <c r="D233" s="81" t="str">
        <f t="shared" si="9"/>
        <v/>
      </c>
      <c r="E233" s="90" t="str">
        <f>IF(D233="","",D233+(COUNTIF(D$4:D233,D233)-1)*0.001)</f>
        <v/>
      </c>
      <c r="F233" s="189"/>
      <c r="G233" s="77"/>
      <c r="H233" s="77"/>
      <c r="I233" s="81" t="str">
        <f t="shared" si="10"/>
        <v/>
      </c>
      <c r="J233" s="81" t="str">
        <f>IF(I233="","",I233+(COUNTIF(I$4:I233,I233)-1)*0.001)</f>
        <v/>
      </c>
      <c r="S233" s="202"/>
      <c r="U233" s="93"/>
    </row>
    <row r="234" spans="1:21" ht="16.5">
      <c r="A234" s="78"/>
      <c r="B234" s="77"/>
      <c r="C234" s="77"/>
      <c r="D234" s="81" t="str">
        <f t="shared" si="9"/>
        <v/>
      </c>
      <c r="E234" s="90" t="str">
        <f>IF(D234="","",D234+(COUNTIF(D$4:D234,D234)-1)*0.001)</f>
        <v/>
      </c>
      <c r="F234" s="189"/>
      <c r="G234" s="77"/>
      <c r="H234" s="77"/>
      <c r="I234" s="81" t="str">
        <f t="shared" si="10"/>
        <v/>
      </c>
      <c r="J234" s="81" t="str">
        <f>IF(I234="","",I234+(COUNTIF(I$4:I234,I234)-1)*0.001)</f>
        <v/>
      </c>
      <c r="S234" s="202"/>
      <c r="U234" s="93"/>
    </row>
    <row r="235" spans="1:21" ht="16.5">
      <c r="A235" s="78"/>
      <c r="B235" s="77"/>
      <c r="C235" s="77"/>
      <c r="D235" s="81" t="str">
        <f t="shared" si="9"/>
        <v/>
      </c>
      <c r="E235" s="90" t="str">
        <f>IF(D235="","",D235+(COUNTIF(D$4:D235,D235)-1)*0.001)</f>
        <v/>
      </c>
      <c r="F235" s="189"/>
      <c r="G235" s="77"/>
      <c r="H235" s="77"/>
      <c r="I235" s="81" t="str">
        <f t="shared" si="10"/>
        <v/>
      </c>
      <c r="J235" s="81" t="str">
        <f>IF(I235="","",I235+(COUNTIF(I$4:I235,I235)-1)*0.001)</f>
        <v/>
      </c>
      <c r="S235" s="202"/>
      <c r="U235" s="93"/>
    </row>
    <row r="236" spans="1:21" ht="16.5">
      <c r="A236" s="78"/>
      <c r="B236" s="77"/>
      <c r="C236" s="77"/>
      <c r="D236" s="81" t="str">
        <f t="shared" si="9"/>
        <v/>
      </c>
      <c r="E236" s="90" t="str">
        <f>IF(D236="","",D236+(COUNTIF(D$4:D236,D236)-1)*0.001)</f>
        <v/>
      </c>
      <c r="F236" s="189"/>
      <c r="G236" s="77"/>
      <c r="H236" s="77"/>
      <c r="I236" s="81" t="str">
        <f t="shared" si="10"/>
        <v/>
      </c>
      <c r="J236" s="81" t="str">
        <f>IF(I236="","",I236+(COUNTIF(I$4:I236,I236)-1)*0.001)</f>
        <v/>
      </c>
      <c r="S236" s="202"/>
      <c r="U236" s="93"/>
    </row>
    <row r="237" spans="1:21" ht="16.5">
      <c r="A237" s="78"/>
      <c r="B237" s="77"/>
      <c r="C237" s="77"/>
      <c r="D237" s="81" t="str">
        <f t="shared" si="9"/>
        <v/>
      </c>
      <c r="E237" s="90" t="str">
        <f>IF(D237="","",D237+(COUNTIF(D$4:D237,D237)-1)*0.001)</f>
        <v/>
      </c>
      <c r="F237" s="189"/>
      <c r="G237" s="77"/>
      <c r="H237" s="77"/>
      <c r="I237" s="81" t="str">
        <f t="shared" si="10"/>
        <v/>
      </c>
      <c r="J237" s="81" t="str">
        <f>IF(I237="","",I237+(COUNTIF(I$4:I237,I237)-1)*0.001)</f>
        <v/>
      </c>
      <c r="S237" s="202"/>
      <c r="U237" s="93"/>
    </row>
    <row r="238" spans="1:21" ht="16.5">
      <c r="A238" s="78"/>
      <c r="B238" s="77"/>
      <c r="C238" s="77"/>
      <c r="D238" s="81" t="str">
        <f t="shared" si="9"/>
        <v/>
      </c>
      <c r="E238" s="90" t="str">
        <f>IF(D238="","",D238+(COUNTIF(D$4:D238,D238)-1)*0.001)</f>
        <v/>
      </c>
      <c r="F238" s="189"/>
      <c r="G238" s="77"/>
      <c r="H238" s="77"/>
      <c r="I238" s="81" t="str">
        <f t="shared" si="10"/>
        <v/>
      </c>
      <c r="J238" s="81" t="str">
        <f>IF(I238="","",I238+(COUNTIF(I$4:I238,I238)-1)*0.001)</f>
        <v/>
      </c>
      <c r="S238" s="202"/>
      <c r="U238" s="93"/>
    </row>
    <row r="239" spans="1:21" ht="16.5">
      <c r="A239" s="78"/>
      <c r="B239" s="77"/>
      <c r="C239" s="77"/>
      <c r="D239" s="81" t="str">
        <f t="shared" si="9"/>
        <v/>
      </c>
      <c r="E239" s="90" t="str">
        <f>IF(D239="","",D239+(COUNTIF(D$4:D239,D239)-1)*0.001)</f>
        <v/>
      </c>
      <c r="F239" s="189"/>
      <c r="G239" s="77"/>
      <c r="H239" s="77"/>
      <c r="I239" s="81" t="str">
        <f t="shared" si="10"/>
        <v/>
      </c>
      <c r="J239" s="81" t="str">
        <f>IF(I239="","",I239+(COUNTIF(I$4:I239,I239)-1)*0.001)</f>
        <v/>
      </c>
      <c r="S239" s="202"/>
      <c r="U239" s="93"/>
    </row>
    <row r="240" spans="1:21" ht="16.5">
      <c r="A240" s="78"/>
      <c r="B240" s="77"/>
      <c r="C240" s="77"/>
      <c r="D240" s="81" t="str">
        <f t="shared" si="9"/>
        <v/>
      </c>
      <c r="E240" s="90" t="str">
        <f>IF(D240="","",D240+(COUNTIF(D$4:D240,D240)-1)*0.001)</f>
        <v/>
      </c>
      <c r="F240" s="189"/>
      <c r="G240" s="77"/>
      <c r="H240" s="77"/>
      <c r="I240" s="81" t="str">
        <f t="shared" si="10"/>
        <v/>
      </c>
      <c r="J240" s="81" t="str">
        <f>IF(I240="","",I240+(COUNTIF(I$4:I240,I240)-1)*0.001)</f>
        <v/>
      </c>
      <c r="S240" s="202"/>
      <c r="U240" s="93"/>
    </row>
    <row r="241" spans="1:21" ht="16.5">
      <c r="A241" s="78"/>
      <c r="B241" s="77"/>
      <c r="C241" s="77"/>
      <c r="D241" s="81" t="str">
        <f t="shared" si="9"/>
        <v/>
      </c>
      <c r="E241" s="90" t="str">
        <f>IF(D241="","",D241+(COUNTIF(D$4:D241,D241)-1)*0.001)</f>
        <v/>
      </c>
      <c r="F241" s="189"/>
      <c r="G241" s="77"/>
      <c r="H241" s="77"/>
      <c r="I241" s="81" t="str">
        <f t="shared" si="10"/>
        <v/>
      </c>
      <c r="J241" s="81" t="str">
        <f>IF(I241="","",I241+(COUNTIF(I$4:I241,I241)-1)*0.001)</f>
        <v/>
      </c>
      <c r="S241" s="202"/>
      <c r="U241" s="93"/>
    </row>
    <row r="242" spans="1:21" ht="16.5">
      <c r="A242" s="78"/>
      <c r="B242" s="77"/>
      <c r="C242" s="77"/>
      <c r="D242" s="81" t="str">
        <f t="shared" si="9"/>
        <v/>
      </c>
      <c r="E242" s="90" t="str">
        <f>IF(D242="","",D242+(COUNTIF(D$4:D242,D242)-1)*0.001)</f>
        <v/>
      </c>
      <c r="F242" s="189"/>
      <c r="G242" s="77"/>
      <c r="H242" s="77"/>
      <c r="I242" s="81" t="str">
        <f t="shared" si="10"/>
        <v/>
      </c>
      <c r="J242" s="81" t="str">
        <f>IF(I242="","",I242+(COUNTIF(I$4:I242,I242)-1)*0.001)</f>
        <v/>
      </c>
      <c r="S242" s="202"/>
      <c r="U242" s="93"/>
    </row>
    <row r="243" spans="1:21" ht="16.5">
      <c r="A243" s="78"/>
      <c r="B243" s="77"/>
      <c r="C243" s="77"/>
      <c r="D243" s="81" t="str">
        <f t="shared" si="9"/>
        <v/>
      </c>
      <c r="E243" s="90" t="str">
        <f>IF(D243="","",D243+(COUNTIF(D$4:D243,D243)-1)*0.001)</f>
        <v/>
      </c>
      <c r="F243" s="189"/>
      <c r="G243" s="77"/>
      <c r="H243" s="77"/>
      <c r="I243" s="81" t="str">
        <f t="shared" si="10"/>
        <v/>
      </c>
      <c r="J243" s="81" t="str">
        <f>IF(I243="","",I243+(COUNTIF(I$4:I243,I243)-1)*0.001)</f>
        <v/>
      </c>
      <c r="S243" s="202"/>
      <c r="U243" s="93"/>
    </row>
    <row r="244" spans="1:21" ht="16.5">
      <c r="A244" s="78"/>
      <c r="B244" s="77"/>
      <c r="C244" s="77"/>
      <c r="D244" s="81" t="str">
        <f t="shared" si="9"/>
        <v/>
      </c>
      <c r="E244" s="90" t="str">
        <f>IF(D244="","",D244+(COUNTIF(D$4:D244,D244)-1)*0.001)</f>
        <v/>
      </c>
      <c r="F244" s="189"/>
      <c r="G244" s="77"/>
      <c r="H244" s="77"/>
      <c r="I244" s="81" t="str">
        <f t="shared" si="10"/>
        <v/>
      </c>
      <c r="J244" s="81" t="str">
        <f>IF(I244="","",I244+(COUNTIF(I$4:I244,I244)-1)*0.001)</f>
        <v/>
      </c>
      <c r="S244" s="202"/>
      <c r="U244" s="93"/>
    </row>
    <row r="245" spans="1:21" ht="16.5">
      <c r="A245" s="78"/>
      <c r="B245" s="77"/>
      <c r="C245" s="77"/>
      <c r="D245" s="81" t="str">
        <f t="shared" si="9"/>
        <v/>
      </c>
      <c r="E245" s="90" t="str">
        <f>IF(D245="","",D245+(COUNTIF(D$4:D245,D245)-1)*0.001)</f>
        <v/>
      </c>
      <c r="F245" s="189"/>
      <c r="G245" s="77"/>
      <c r="H245" s="77"/>
      <c r="I245" s="81" t="str">
        <f t="shared" si="10"/>
        <v/>
      </c>
      <c r="J245" s="81" t="str">
        <f>IF(I245="","",I245+(COUNTIF(I$4:I245,I245)-1)*0.001)</f>
        <v/>
      </c>
      <c r="S245" s="202"/>
      <c r="U245" s="93"/>
    </row>
    <row r="246" spans="1:21" ht="16.5">
      <c r="A246" s="78"/>
      <c r="B246" s="77"/>
      <c r="C246" s="77"/>
      <c r="D246" s="81" t="str">
        <f t="shared" si="9"/>
        <v/>
      </c>
      <c r="E246" s="90" t="str">
        <f>IF(D246="","",D246+(COUNTIF(D$4:D246,D246)-1)*0.001)</f>
        <v/>
      </c>
      <c r="F246" s="189"/>
      <c r="G246" s="77"/>
      <c r="H246" s="77"/>
      <c r="I246" s="81" t="str">
        <f t="shared" si="10"/>
        <v/>
      </c>
      <c r="J246" s="81" t="str">
        <f>IF(I246="","",I246+(COUNTIF(I$4:I246,I246)-1)*0.001)</f>
        <v/>
      </c>
      <c r="S246" s="202"/>
      <c r="U246" s="93"/>
    </row>
    <row r="247" spans="1:21" ht="16.5">
      <c r="A247" s="78"/>
      <c r="B247" s="77"/>
      <c r="C247" s="77"/>
      <c r="D247" s="81" t="str">
        <f t="shared" si="9"/>
        <v/>
      </c>
      <c r="E247" s="90" t="str">
        <f>IF(D247="","",D247+(COUNTIF(D$4:D247,D247)-1)*0.001)</f>
        <v/>
      </c>
      <c r="F247" s="189"/>
      <c r="G247" s="77"/>
      <c r="H247" s="77"/>
      <c r="I247" s="81" t="str">
        <f t="shared" si="10"/>
        <v/>
      </c>
      <c r="J247" s="81" t="str">
        <f>IF(I247="","",I247+(COUNTIF(I$4:I247,I247)-1)*0.001)</f>
        <v/>
      </c>
      <c r="S247" s="202"/>
      <c r="U247" s="93"/>
    </row>
    <row r="248" spans="1:21" ht="16.5">
      <c r="A248" s="78"/>
      <c r="B248" s="77"/>
      <c r="C248" s="77"/>
      <c r="D248" s="81" t="str">
        <f t="shared" si="9"/>
        <v/>
      </c>
      <c r="E248" s="90" t="str">
        <f>IF(D248="","",D248+(COUNTIF(D$4:D248,D248)-1)*0.001)</f>
        <v/>
      </c>
      <c r="F248" s="189"/>
      <c r="G248" s="77"/>
      <c r="H248" s="77"/>
      <c r="I248" s="81" t="str">
        <f t="shared" si="10"/>
        <v/>
      </c>
      <c r="J248" s="81" t="str">
        <f>IF(I248="","",I248+(COUNTIF(I$4:I248,I248)-1)*0.001)</f>
        <v/>
      </c>
      <c r="S248" s="202"/>
      <c r="U248" s="93"/>
    </row>
    <row r="249" spans="1:21" ht="16.5">
      <c r="A249" s="78"/>
      <c r="B249" s="77"/>
      <c r="C249" s="77"/>
      <c r="D249" s="81" t="str">
        <f t="shared" si="9"/>
        <v/>
      </c>
      <c r="E249" s="90" t="str">
        <f>IF(D249="","",D249+(COUNTIF(D$4:D249,D249)-1)*0.001)</f>
        <v/>
      </c>
      <c r="F249" s="189"/>
      <c r="G249" s="77"/>
      <c r="H249" s="77"/>
      <c r="I249" s="81" t="str">
        <f t="shared" si="10"/>
        <v/>
      </c>
      <c r="J249" s="81" t="str">
        <f>IF(I249="","",I249+(COUNTIF(I$4:I249,I249)-1)*0.001)</f>
        <v/>
      </c>
      <c r="S249" s="202"/>
      <c r="U249" s="93"/>
    </row>
    <row r="250" spans="1:21" ht="16.5">
      <c r="A250" s="78"/>
      <c r="B250" s="77"/>
      <c r="C250" s="77"/>
      <c r="D250" s="81" t="str">
        <f t="shared" si="9"/>
        <v/>
      </c>
      <c r="E250" s="90" t="str">
        <f>IF(D250="","",D250+(COUNTIF(D$4:D250,D250)-1)*0.001)</f>
        <v/>
      </c>
      <c r="F250" s="189"/>
      <c r="G250" s="77"/>
      <c r="H250" s="77"/>
      <c r="I250" s="81" t="str">
        <f t="shared" si="10"/>
        <v/>
      </c>
      <c r="J250" s="81" t="str">
        <f>IF(I250="","",I250+(COUNTIF(I$4:I250,I250)-1)*0.001)</f>
        <v/>
      </c>
      <c r="S250" s="202"/>
      <c r="U250" s="93"/>
    </row>
    <row r="251" spans="1:21" ht="16.5">
      <c r="A251" s="78"/>
      <c r="B251" s="77"/>
      <c r="C251" s="77"/>
      <c r="D251" s="81" t="str">
        <f t="shared" si="9"/>
        <v/>
      </c>
      <c r="E251" s="90" t="str">
        <f>IF(D251="","",D251+(COUNTIF(D$4:D251,D251)-1)*0.001)</f>
        <v/>
      </c>
      <c r="F251" s="189"/>
      <c r="G251" s="77"/>
      <c r="H251" s="77"/>
      <c r="I251" s="81" t="str">
        <f t="shared" si="10"/>
        <v/>
      </c>
      <c r="J251" s="81" t="str">
        <f>IF(I251="","",I251+(COUNTIF(I$4:I251,I251)-1)*0.001)</f>
        <v/>
      </c>
      <c r="S251" s="202"/>
      <c r="U251" s="93"/>
    </row>
    <row r="252" spans="1:21" ht="16.5">
      <c r="A252" s="78"/>
      <c r="B252" s="77"/>
      <c r="C252" s="77"/>
      <c r="D252" s="81" t="str">
        <f t="shared" si="9"/>
        <v/>
      </c>
      <c r="E252" s="90" t="str">
        <f>IF(D252="","",D252+(COUNTIF(D$4:D252,D252)-1)*0.001)</f>
        <v/>
      </c>
      <c r="F252" s="189"/>
      <c r="G252" s="77"/>
      <c r="H252" s="77"/>
      <c r="I252" s="81" t="str">
        <f t="shared" si="10"/>
        <v/>
      </c>
      <c r="J252" s="81" t="str">
        <f>IF(I252="","",I252+(COUNTIF(I$4:I252,I252)-1)*0.001)</f>
        <v/>
      </c>
      <c r="S252" s="202"/>
      <c r="U252" s="93"/>
    </row>
    <row r="253" spans="1:21" ht="16.5">
      <c r="A253" s="78"/>
      <c r="B253" s="77"/>
      <c r="C253" s="77"/>
      <c r="D253" s="81" t="str">
        <f t="shared" si="9"/>
        <v/>
      </c>
      <c r="E253" s="90" t="str">
        <f>IF(D253="","",D253+(COUNTIF(D$4:D253,D253)-1)*0.001)</f>
        <v/>
      </c>
      <c r="F253" s="189"/>
      <c r="G253" s="77"/>
      <c r="H253" s="77"/>
      <c r="I253" s="81" t="str">
        <f t="shared" si="10"/>
        <v/>
      </c>
      <c r="J253" s="81" t="str">
        <f>IF(I253="","",I253+(COUNTIF(I$4:I253,I253)-1)*0.001)</f>
        <v/>
      </c>
      <c r="S253" s="202"/>
      <c r="U253" s="93"/>
    </row>
    <row r="254" spans="1:21" ht="16.5">
      <c r="A254" s="78"/>
      <c r="B254" s="77"/>
      <c r="C254" s="77"/>
      <c r="D254" s="81" t="str">
        <f t="shared" si="9"/>
        <v/>
      </c>
      <c r="E254" s="90" t="str">
        <f>IF(D254="","",D254+(COUNTIF(D$4:D254,D254)-1)*0.001)</f>
        <v/>
      </c>
      <c r="F254" s="189"/>
      <c r="G254" s="77"/>
      <c r="H254" s="77"/>
      <c r="I254" s="81" t="str">
        <f t="shared" si="10"/>
        <v/>
      </c>
      <c r="J254" s="81" t="str">
        <f>IF(I254="","",I254+(COUNTIF(I$4:I254,I254)-1)*0.001)</f>
        <v/>
      </c>
      <c r="S254" s="202"/>
      <c r="U254" s="93"/>
    </row>
    <row r="255" spans="1:21" ht="16.5">
      <c r="A255" s="78"/>
      <c r="B255" s="77"/>
      <c r="C255" s="77"/>
      <c r="D255" s="81" t="str">
        <f t="shared" si="9"/>
        <v/>
      </c>
      <c r="E255" s="90" t="str">
        <f>IF(D255="","",D255+(COUNTIF(D$4:D255,D255)-1)*0.001)</f>
        <v/>
      </c>
      <c r="F255" s="189"/>
      <c r="G255" s="77"/>
      <c r="H255" s="77"/>
      <c r="I255" s="81" t="str">
        <f t="shared" si="10"/>
        <v/>
      </c>
      <c r="J255" s="81" t="str">
        <f>IF(I255="","",I255+(COUNTIF(I$4:I255,I255)-1)*0.001)</f>
        <v/>
      </c>
      <c r="S255" s="202"/>
      <c r="U255" s="93"/>
    </row>
    <row r="256" spans="1:21" ht="16.5">
      <c r="A256" s="78"/>
      <c r="B256" s="77"/>
      <c r="C256" s="77"/>
      <c r="D256" s="81" t="str">
        <f t="shared" si="9"/>
        <v/>
      </c>
      <c r="E256" s="90" t="str">
        <f>IF(D256="","",D256+(COUNTIF(D$4:D256,D256)-1)*0.001)</f>
        <v/>
      </c>
      <c r="F256" s="189"/>
      <c r="G256" s="77"/>
      <c r="H256" s="77"/>
      <c r="I256" s="81" t="str">
        <f t="shared" si="10"/>
        <v/>
      </c>
      <c r="J256" s="81" t="str">
        <f>IF(I256="","",I256+(COUNTIF(I$4:I256,I256)-1)*0.001)</f>
        <v/>
      </c>
      <c r="S256" s="202"/>
      <c r="U256" s="93"/>
    </row>
    <row r="257" spans="1:21" ht="16.5">
      <c r="A257" s="78"/>
      <c r="B257" s="77"/>
      <c r="C257" s="77"/>
      <c r="D257" s="81" t="str">
        <f t="shared" si="9"/>
        <v/>
      </c>
      <c r="E257" s="90" t="str">
        <f>IF(D257="","",D257+(COUNTIF(D$4:D257,D257)-1)*0.001)</f>
        <v/>
      </c>
      <c r="F257" s="189"/>
      <c r="G257" s="77"/>
      <c r="H257" s="77"/>
      <c r="I257" s="81" t="str">
        <f t="shared" si="10"/>
        <v/>
      </c>
      <c r="J257" s="81" t="str">
        <f>IF(I257="","",I257+(COUNTIF(I$4:I257,I257)-1)*0.001)</f>
        <v/>
      </c>
      <c r="S257" s="202"/>
      <c r="U257" s="93"/>
    </row>
    <row r="258" spans="1:21" ht="16.5">
      <c r="A258" s="78"/>
      <c r="B258" s="77"/>
      <c r="C258" s="77"/>
      <c r="D258" s="81" t="str">
        <f t="shared" si="9"/>
        <v/>
      </c>
      <c r="E258" s="90" t="str">
        <f>IF(D258="","",D258+(COUNTIF(D$4:D258,D258)-1)*0.001)</f>
        <v/>
      </c>
      <c r="F258" s="189"/>
      <c r="G258" s="77"/>
      <c r="H258" s="77"/>
      <c r="I258" s="81" t="str">
        <f t="shared" si="10"/>
        <v/>
      </c>
      <c r="J258" s="81" t="str">
        <f>IF(I258="","",I258+(COUNTIF(I$4:I258,I258)-1)*0.001)</f>
        <v/>
      </c>
      <c r="S258" s="202"/>
      <c r="U258" s="93"/>
    </row>
    <row r="259" spans="1:21" ht="16.5">
      <c r="A259" s="78"/>
      <c r="B259" s="77"/>
      <c r="C259" s="77"/>
      <c r="D259" s="81" t="str">
        <f t="shared" si="9"/>
        <v/>
      </c>
      <c r="E259" s="90" t="str">
        <f>IF(D259="","",D259+(COUNTIF(D$4:D259,D259)-1)*0.001)</f>
        <v/>
      </c>
      <c r="F259" s="189"/>
      <c r="G259" s="77"/>
      <c r="H259" s="77"/>
      <c r="I259" s="81" t="str">
        <f t="shared" si="10"/>
        <v/>
      </c>
      <c r="J259" s="81" t="str">
        <f>IF(I259="","",I259+(COUNTIF(I$4:I259,I259)-1)*0.001)</f>
        <v/>
      </c>
      <c r="S259" s="202"/>
      <c r="U259" s="93"/>
    </row>
    <row r="260" spans="1:21" ht="16.5">
      <c r="A260" s="78"/>
      <c r="B260" s="77"/>
      <c r="C260" s="77"/>
      <c r="D260" s="81" t="str">
        <f t="shared" ref="D260:D323" si="11">IF(A260="","",IFERROR(INDEX(收盤1,MATCH(A260,代號1,0)),IFERROR(INDEX(收盤2,MATCH(A260,代號2,0)),IFERROR(INDEX(收盤3,MATCH(A260,代號3,0)),INDEX(收盤4,MATCH(A260,代號4,0)))))*C260)</f>
        <v/>
      </c>
      <c r="E260" s="90" t="str">
        <f>IF(D260="","",D260+(COUNTIF(D$4:D260,D260)-1)*0.001)</f>
        <v/>
      </c>
      <c r="F260" s="189"/>
      <c r="G260" s="77"/>
      <c r="H260" s="77"/>
      <c r="I260" s="81" t="str">
        <f t="shared" ref="I260:I323" si="12">IF(F260="","",IFERROR(INDEX(收盤1,MATCH(F260,代號1,0)),IFERROR(INDEX(收盤2,MATCH(F260,代號2,0)),IFERROR(INDEX(收盤3,MATCH(F260,代號3,0)),INDEX(收盤4,MATCH(F260,代號4,0)))))*H260)</f>
        <v/>
      </c>
      <c r="J260" s="81" t="str">
        <f>IF(I260="","",I260+(COUNTIF(I$4:I260,I260)-1)*0.001)</f>
        <v/>
      </c>
      <c r="S260" s="202"/>
      <c r="U260" s="93"/>
    </row>
    <row r="261" spans="1:21" ht="16.5">
      <c r="A261" s="78"/>
      <c r="B261" s="77"/>
      <c r="C261" s="77"/>
      <c r="D261" s="81" t="str">
        <f t="shared" si="11"/>
        <v/>
      </c>
      <c r="E261" s="90" t="str">
        <f>IF(D261="","",D261+(COUNTIF(D$4:D261,D261)-1)*0.001)</f>
        <v/>
      </c>
      <c r="F261" s="189"/>
      <c r="G261" s="77"/>
      <c r="H261" s="77"/>
      <c r="I261" s="81" t="str">
        <f t="shared" si="12"/>
        <v/>
      </c>
      <c r="J261" s="81" t="str">
        <f>IF(I261="","",I261+(COUNTIF(I$4:I261,I261)-1)*0.001)</f>
        <v/>
      </c>
      <c r="S261" s="202"/>
      <c r="U261" s="93"/>
    </row>
    <row r="262" spans="1:21" ht="16.5">
      <c r="A262" s="78"/>
      <c r="B262" s="77"/>
      <c r="C262" s="77"/>
      <c r="D262" s="81" t="str">
        <f t="shared" si="11"/>
        <v/>
      </c>
      <c r="E262" s="90" t="str">
        <f>IF(D262="","",D262+(COUNTIF(D$4:D262,D262)-1)*0.001)</f>
        <v/>
      </c>
      <c r="F262" s="189"/>
      <c r="G262" s="77"/>
      <c r="H262" s="77"/>
      <c r="I262" s="81" t="str">
        <f t="shared" si="12"/>
        <v/>
      </c>
      <c r="J262" s="81" t="str">
        <f>IF(I262="","",I262+(COUNTIF(I$4:I262,I262)-1)*0.001)</f>
        <v/>
      </c>
      <c r="S262" s="202"/>
      <c r="U262" s="93"/>
    </row>
    <row r="263" spans="1:21" ht="16.5">
      <c r="A263" s="78"/>
      <c r="B263" s="77"/>
      <c r="C263" s="77"/>
      <c r="D263" s="81" t="str">
        <f t="shared" si="11"/>
        <v/>
      </c>
      <c r="E263" s="90" t="str">
        <f>IF(D263="","",D263+(COUNTIF(D$4:D263,D263)-1)*0.001)</f>
        <v/>
      </c>
      <c r="F263" s="189"/>
      <c r="G263" s="77"/>
      <c r="H263" s="77"/>
      <c r="I263" s="81" t="str">
        <f t="shared" si="12"/>
        <v/>
      </c>
      <c r="J263" s="81" t="str">
        <f>IF(I263="","",I263+(COUNTIF(I$4:I263,I263)-1)*0.001)</f>
        <v/>
      </c>
      <c r="S263" s="202"/>
      <c r="U263" s="93"/>
    </row>
    <row r="264" spans="1:21" ht="16.5">
      <c r="A264" s="78"/>
      <c r="B264" s="77"/>
      <c r="C264" s="77"/>
      <c r="D264" s="81" t="str">
        <f t="shared" si="11"/>
        <v/>
      </c>
      <c r="E264" s="90" t="str">
        <f>IF(D264="","",D264+(COUNTIF(D$4:D264,D264)-1)*0.001)</f>
        <v/>
      </c>
      <c r="F264" s="189"/>
      <c r="G264" s="77"/>
      <c r="H264" s="77"/>
      <c r="I264" s="81" t="str">
        <f t="shared" si="12"/>
        <v/>
      </c>
      <c r="J264" s="81" t="str">
        <f>IF(I264="","",I264+(COUNTIF(I$4:I264,I264)-1)*0.001)</f>
        <v/>
      </c>
      <c r="S264" s="202"/>
      <c r="U264" s="93"/>
    </row>
    <row r="265" spans="1:21" ht="16.5">
      <c r="A265" s="78"/>
      <c r="B265" s="77"/>
      <c r="C265" s="77"/>
      <c r="D265" s="81" t="str">
        <f t="shared" si="11"/>
        <v/>
      </c>
      <c r="E265" s="90" t="str">
        <f>IF(D265="","",D265+(COUNTIF(D$4:D265,D265)-1)*0.001)</f>
        <v/>
      </c>
      <c r="F265" s="189"/>
      <c r="G265" s="77"/>
      <c r="H265" s="77"/>
      <c r="I265" s="81" t="str">
        <f t="shared" si="12"/>
        <v/>
      </c>
      <c r="J265" s="81" t="str">
        <f>IF(I265="","",I265+(COUNTIF(I$4:I265,I265)-1)*0.001)</f>
        <v/>
      </c>
      <c r="S265" s="202"/>
      <c r="U265" s="93"/>
    </row>
    <row r="266" spans="1:21" ht="16.5">
      <c r="A266" s="78"/>
      <c r="B266" s="77"/>
      <c r="C266" s="77"/>
      <c r="D266" s="81" t="str">
        <f t="shared" si="11"/>
        <v/>
      </c>
      <c r="E266" s="90" t="str">
        <f>IF(D266="","",D266+(COUNTIF(D$4:D266,D266)-1)*0.001)</f>
        <v/>
      </c>
      <c r="F266" s="189"/>
      <c r="G266" s="77"/>
      <c r="H266" s="77"/>
      <c r="I266" s="81" t="str">
        <f t="shared" si="12"/>
        <v/>
      </c>
      <c r="J266" s="81" t="str">
        <f>IF(I266="","",I266+(COUNTIF(I$4:I266,I266)-1)*0.001)</f>
        <v/>
      </c>
      <c r="S266" s="202"/>
      <c r="U266" s="93"/>
    </row>
    <row r="267" spans="1:21" ht="16.5">
      <c r="A267" s="78"/>
      <c r="B267" s="77"/>
      <c r="C267" s="77"/>
      <c r="D267" s="81" t="str">
        <f t="shared" si="11"/>
        <v/>
      </c>
      <c r="E267" s="90" t="str">
        <f>IF(D267="","",D267+(COUNTIF(D$4:D267,D267)-1)*0.001)</f>
        <v/>
      </c>
      <c r="F267" s="189"/>
      <c r="G267" s="77"/>
      <c r="H267" s="77"/>
      <c r="I267" s="81" t="str">
        <f t="shared" si="12"/>
        <v/>
      </c>
      <c r="J267" s="81" t="str">
        <f>IF(I267="","",I267+(COUNTIF(I$4:I267,I267)-1)*0.001)</f>
        <v/>
      </c>
      <c r="S267" s="202"/>
      <c r="U267" s="93"/>
    </row>
    <row r="268" spans="1:21" ht="16.5">
      <c r="A268" s="78"/>
      <c r="B268" s="77"/>
      <c r="C268" s="77"/>
      <c r="D268" s="81" t="str">
        <f t="shared" si="11"/>
        <v/>
      </c>
      <c r="E268" s="90" t="str">
        <f>IF(D268="","",D268+(COUNTIF(D$4:D268,D268)-1)*0.001)</f>
        <v/>
      </c>
      <c r="F268" s="189"/>
      <c r="G268" s="77"/>
      <c r="H268" s="77"/>
      <c r="I268" s="81" t="str">
        <f t="shared" si="12"/>
        <v/>
      </c>
      <c r="J268" s="81" t="str">
        <f>IF(I268="","",I268+(COUNTIF(I$4:I268,I268)-1)*0.001)</f>
        <v/>
      </c>
      <c r="S268" s="202"/>
      <c r="U268" s="93"/>
    </row>
    <row r="269" spans="1:21" ht="16.5">
      <c r="A269" s="78"/>
      <c r="B269" s="77"/>
      <c r="C269" s="77"/>
      <c r="D269" s="81" t="str">
        <f t="shared" si="11"/>
        <v/>
      </c>
      <c r="E269" s="90" t="str">
        <f>IF(D269="","",D269+(COUNTIF(D$4:D269,D269)-1)*0.001)</f>
        <v/>
      </c>
      <c r="F269" s="189"/>
      <c r="G269" s="77"/>
      <c r="H269" s="77"/>
      <c r="I269" s="81" t="str">
        <f t="shared" si="12"/>
        <v/>
      </c>
      <c r="J269" s="81" t="str">
        <f>IF(I269="","",I269+(COUNTIF(I$4:I269,I269)-1)*0.001)</f>
        <v/>
      </c>
      <c r="S269" s="202"/>
      <c r="U269" s="93"/>
    </row>
    <row r="270" spans="1:21" ht="16.5">
      <c r="A270" s="78"/>
      <c r="B270" s="77"/>
      <c r="C270" s="77"/>
      <c r="D270" s="81" t="str">
        <f t="shared" si="11"/>
        <v/>
      </c>
      <c r="E270" s="90" t="str">
        <f>IF(D270="","",D270+(COUNTIF(D$4:D270,D270)-1)*0.001)</f>
        <v/>
      </c>
      <c r="F270" s="189"/>
      <c r="G270" s="77"/>
      <c r="H270" s="77"/>
      <c r="I270" s="81" t="str">
        <f t="shared" si="12"/>
        <v/>
      </c>
      <c r="J270" s="81" t="str">
        <f>IF(I270="","",I270+(COUNTIF(I$4:I270,I270)-1)*0.001)</f>
        <v/>
      </c>
      <c r="S270" s="202"/>
      <c r="U270" s="93"/>
    </row>
    <row r="271" spans="1:21" ht="16.5">
      <c r="A271" s="78"/>
      <c r="B271" s="77"/>
      <c r="C271" s="77"/>
      <c r="D271" s="81" t="str">
        <f t="shared" si="11"/>
        <v/>
      </c>
      <c r="E271" s="90" t="str">
        <f>IF(D271="","",D271+(COUNTIF(D$4:D271,D271)-1)*0.001)</f>
        <v/>
      </c>
      <c r="F271" s="189"/>
      <c r="G271" s="77"/>
      <c r="H271" s="77"/>
      <c r="I271" s="81" t="str">
        <f t="shared" si="12"/>
        <v/>
      </c>
      <c r="J271" s="81" t="str">
        <f>IF(I271="","",I271+(COUNTIF(I$4:I271,I271)-1)*0.001)</f>
        <v/>
      </c>
      <c r="S271" s="202"/>
      <c r="U271" s="93"/>
    </row>
    <row r="272" spans="1:21" ht="16.5">
      <c r="A272" s="78"/>
      <c r="B272" s="77"/>
      <c r="C272" s="77"/>
      <c r="D272" s="81" t="str">
        <f t="shared" si="11"/>
        <v/>
      </c>
      <c r="E272" s="90" t="str">
        <f>IF(D272="","",D272+(COUNTIF(D$4:D272,D272)-1)*0.001)</f>
        <v/>
      </c>
      <c r="F272" s="189"/>
      <c r="G272" s="77"/>
      <c r="H272" s="77"/>
      <c r="I272" s="81" t="str">
        <f t="shared" si="12"/>
        <v/>
      </c>
      <c r="J272" s="81" t="str">
        <f>IF(I272="","",I272+(COUNTIF(I$4:I272,I272)-1)*0.001)</f>
        <v/>
      </c>
      <c r="S272" s="202"/>
      <c r="U272" s="93"/>
    </row>
    <row r="273" spans="1:21" ht="16.5">
      <c r="A273" s="78"/>
      <c r="B273" s="77"/>
      <c r="C273" s="77"/>
      <c r="D273" s="81" t="str">
        <f t="shared" si="11"/>
        <v/>
      </c>
      <c r="E273" s="90" t="str">
        <f>IF(D273="","",D273+(COUNTIF(D$4:D273,D273)-1)*0.001)</f>
        <v/>
      </c>
      <c r="F273" s="189"/>
      <c r="G273" s="77"/>
      <c r="H273" s="77"/>
      <c r="I273" s="81" t="str">
        <f t="shared" si="12"/>
        <v/>
      </c>
      <c r="J273" s="81" t="str">
        <f>IF(I273="","",I273+(COUNTIF(I$4:I273,I273)-1)*0.001)</f>
        <v/>
      </c>
      <c r="S273" s="202"/>
      <c r="U273" s="93"/>
    </row>
    <row r="274" spans="1:21" ht="16.5">
      <c r="A274" s="78"/>
      <c r="B274" s="77"/>
      <c r="C274" s="77"/>
      <c r="D274" s="81" t="str">
        <f t="shared" si="11"/>
        <v/>
      </c>
      <c r="E274" s="90" t="str">
        <f>IF(D274="","",D274+(COUNTIF(D$4:D274,D274)-1)*0.001)</f>
        <v/>
      </c>
      <c r="F274" s="189"/>
      <c r="G274" s="77"/>
      <c r="H274" s="77"/>
      <c r="I274" s="81" t="str">
        <f t="shared" si="12"/>
        <v/>
      </c>
      <c r="J274" s="81" t="str">
        <f>IF(I274="","",I274+(COUNTIF(I$4:I274,I274)-1)*0.001)</f>
        <v/>
      </c>
      <c r="S274" s="202"/>
      <c r="U274" s="93"/>
    </row>
    <row r="275" spans="1:21" ht="16.5">
      <c r="A275" s="78"/>
      <c r="B275" s="77"/>
      <c r="C275" s="77"/>
      <c r="D275" s="81" t="str">
        <f t="shared" si="11"/>
        <v/>
      </c>
      <c r="E275" s="90" t="str">
        <f>IF(D275="","",D275+(COUNTIF(D$4:D275,D275)-1)*0.001)</f>
        <v/>
      </c>
      <c r="F275" s="189"/>
      <c r="G275" s="77"/>
      <c r="H275" s="77"/>
      <c r="I275" s="81" t="str">
        <f t="shared" si="12"/>
        <v/>
      </c>
      <c r="J275" s="81" t="str">
        <f>IF(I275="","",I275+(COUNTIF(I$4:I275,I275)-1)*0.001)</f>
        <v/>
      </c>
      <c r="S275" s="202"/>
      <c r="U275" s="93"/>
    </row>
    <row r="276" spans="1:21" ht="16.5">
      <c r="A276" s="78"/>
      <c r="B276" s="77"/>
      <c r="C276" s="77"/>
      <c r="D276" s="81" t="str">
        <f t="shared" si="11"/>
        <v/>
      </c>
      <c r="E276" s="90" t="str">
        <f>IF(D276="","",D276+(COUNTIF(D$4:D276,D276)-1)*0.001)</f>
        <v/>
      </c>
      <c r="F276" s="189"/>
      <c r="G276" s="77"/>
      <c r="H276" s="77"/>
      <c r="I276" s="81" t="str">
        <f t="shared" si="12"/>
        <v/>
      </c>
      <c r="J276" s="81" t="str">
        <f>IF(I276="","",I276+(COUNTIF(I$4:I276,I276)-1)*0.001)</f>
        <v/>
      </c>
      <c r="S276" s="202"/>
      <c r="U276" s="93"/>
    </row>
    <row r="277" spans="1:21" ht="16.5">
      <c r="A277" s="78"/>
      <c r="B277" s="77"/>
      <c r="C277" s="77"/>
      <c r="D277" s="81" t="str">
        <f t="shared" si="11"/>
        <v/>
      </c>
      <c r="E277" s="90" t="str">
        <f>IF(D277="","",D277+(COUNTIF(D$4:D277,D277)-1)*0.001)</f>
        <v/>
      </c>
      <c r="F277" s="189"/>
      <c r="G277" s="77"/>
      <c r="H277" s="77"/>
      <c r="I277" s="81" t="str">
        <f t="shared" si="12"/>
        <v/>
      </c>
      <c r="J277" s="81" t="str">
        <f>IF(I277="","",I277+(COUNTIF(I$4:I277,I277)-1)*0.001)</f>
        <v/>
      </c>
      <c r="S277" s="202"/>
      <c r="U277" s="93"/>
    </row>
    <row r="278" spans="1:21" ht="16.5">
      <c r="A278" s="78"/>
      <c r="B278" s="77"/>
      <c r="C278" s="77"/>
      <c r="D278" s="81" t="str">
        <f t="shared" si="11"/>
        <v/>
      </c>
      <c r="E278" s="90" t="str">
        <f>IF(D278="","",D278+(COUNTIF(D$4:D278,D278)-1)*0.001)</f>
        <v/>
      </c>
      <c r="F278" s="189"/>
      <c r="G278" s="77"/>
      <c r="H278" s="77"/>
      <c r="I278" s="81" t="str">
        <f t="shared" si="12"/>
        <v/>
      </c>
      <c r="J278" s="81" t="str">
        <f>IF(I278="","",I278+(COUNTIF(I$4:I278,I278)-1)*0.001)</f>
        <v/>
      </c>
      <c r="S278" s="202"/>
      <c r="U278" s="93"/>
    </row>
    <row r="279" spans="1:21" ht="16.5">
      <c r="A279" s="78"/>
      <c r="B279" s="77"/>
      <c r="C279" s="77"/>
      <c r="D279" s="81" t="str">
        <f t="shared" si="11"/>
        <v/>
      </c>
      <c r="E279" s="90" t="str">
        <f>IF(D279="","",D279+(COUNTIF(D$4:D279,D279)-1)*0.001)</f>
        <v/>
      </c>
      <c r="F279" s="189"/>
      <c r="G279" s="77"/>
      <c r="H279" s="77"/>
      <c r="I279" s="81" t="str">
        <f t="shared" si="12"/>
        <v/>
      </c>
      <c r="J279" s="81" t="str">
        <f>IF(I279="","",I279+(COUNTIF(I$4:I279,I279)-1)*0.001)</f>
        <v/>
      </c>
      <c r="S279" s="202"/>
      <c r="U279" s="93"/>
    </row>
    <row r="280" spans="1:21" ht="16.5">
      <c r="A280" s="78"/>
      <c r="B280" s="77"/>
      <c r="C280" s="77"/>
      <c r="D280" s="81" t="str">
        <f t="shared" si="11"/>
        <v/>
      </c>
      <c r="E280" s="90" t="str">
        <f>IF(D280="","",D280+(COUNTIF(D$4:D280,D280)-1)*0.001)</f>
        <v/>
      </c>
      <c r="F280" s="189"/>
      <c r="G280" s="77"/>
      <c r="H280" s="77"/>
      <c r="I280" s="81" t="str">
        <f t="shared" si="12"/>
        <v/>
      </c>
      <c r="J280" s="81" t="str">
        <f>IF(I280="","",I280+(COUNTIF(I$4:I280,I280)-1)*0.001)</f>
        <v/>
      </c>
      <c r="S280" s="202"/>
      <c r="U280" s="93"/>
    </row>
    <row r="281" spans="1:21" ht="16.5">
      <c r="A281" s="78"/>
      <c r="B281" s="77"/>
      <c r="C281" s="77"/>
      <c r="D281" s="81" t="str">
        <f t="shared" si="11"/>
        <v/>
      </c>
      <c r="E281" s="90" t="str">
        <f>IF(D281="","",D281+(COUNTIF(D$4:D281,D281)-1)*0.001)</f>
        <v/>
      </c>
      <c r="F281" s="189"/>
      <c r="G281" s="77"/>
      <c r="H281" s="77"/>
      <c r="I281" s="81" t="str">
        <f t="shared" si="12"/>
        <v/>
      </c>
      <c r="J281" s="81" t="str">
        <f>IF(I281="","",I281+(COUNTIF(I$4:I281,I281)-1)*0.001)</f>
        <v/>
      </c>
      <c r="S281" s="202"/>
      <c r="U281" s="93"/>
    </row>
    <row r="282" spans="1:21" ht="16.5">
      <c r="A282" s="78"/>
      <c r="B282" s="77"/>
      <c r="C282" s="77"/>
      <c r="D282" s="81" t="str">
        <f t="shared" si="11"/>
        <v/>
      </c>
      <c r="E282" s="90" t="str">
        <f>IF(D282="","",D282+(COUNTIF(D$4:D282,D282)-1)*0.001)</f>
        <v/>
      </c>
      <c r="F282" s="189"/>
      <c r="G282" s="77"/>
      <c r="H282" s="77"/>
      <c r="I282" s="81" t="str">
        <f t="shared" si="12"/>
        <v/>
      </c>
      <c r="J282" s="81" t="str">
        <f>IF(I282="","",I282+(COUNTIF(I$4:I282,I282)-1)*0.001)</f>
        <v/>
      </c>
      <c r="S282" s="202"/>
      <c r="U282" s="93"/>
    </row>
    <row r="283" spans="1:21" ht="16.5">
      <c r="A283" s="78"/>
      <c r="B283" s="77"/>
      <c r="C283" s="77"/>
      <c r="D283" s="81" t="str">
        <f t="shared" si="11"/>
        <v/>
      </c>
      <c r="E283" s="90" t="str">
        <f>IF(D283="","",D283+(COUNTIF(D$4:D283,D283)-1)*0.001)</f>
        <v/>
      </c>
      <c r="F283" s="189"/>
      <c r="G283" s="77"/>
      <c r="H283" s="77"/>
      <c r="I283" s="81" t="str">
        <f t="shared" si="12"/>
        <v/>
      </c>
      <c r="J283" s="81" t="str">
        <f>IF(I283="","",I283+(COUNTIF(I$4:I283,I283)-1)*0.001)</f>
        <v/>
      </c>
      <c r="S283" s="202"/>
      <c r="U283" s="93"/>
    </row>
    <row r="284" spans="1:21" ht="16.5">
      <c r="A284" s="78"/>
      <c r="B284" s="77"/>
      <c r="C284" s="77"/>
      <c r="D284" s="81" t="str">
        <f t="shared" si="11"/>
        <v/>
      </c>
      <c r="E284" s="90" t="str">
        <f>IF(D284="","",D284+(COUNTIF(D$4:D284,D284)-1)*0.001)</f>
        <v/>
      </c>
      <c r="F284" s="189"/>
      <c r="G284" s="77"/>
      <c r="H284" s="77"/>
      <c r="I284" s="81" t="str">
        <f t="shared" si="12"/>
        <v/>
      </c>
      <c r="J284" s="81" t="str">
        <f>IF(I284="","",I284+(COUNTIF(I$4:I284,I284)-1)*0.001)</f>
        <v/>
      </c>
      <c r="S284" s="202"/>
      <c r="U284" s="93"/>
    </row>
    <row r="285" spans="1:21" ht="16.5">
      <c r="A285" s="78"/>
      <c r="B285" s="77"/>
      <c r="C285" s="77"/>
      <c r="D285" s="81" t="str">
        <f t="shared" si="11"/>
        <v/>
      </c>
      <c r="E285" s="90" t="str">
        <f>IF(D285="","",D285+(COUNTIF(D$4:D285,D285)-1)*0.001)</f>
        <v/>
      </c>
      <c r="F285" s="189"/>
      <c r="G285" s="77"/>
      <c r="H285" s="77"/>
      <c r="I285" s="81" t="str">
        <f t="shared" si="12"/>
        <v/>
      </c>
      <c r="J285" s="81" t="str">
        <f>IF(I285="","",I285+(COUNTIF(I$4:I285,I285)-1)*0.001)</f>
        <v/>
      </c>
      <c r="S285" s="202"/>
      <c r="U285" s="93"/>
    </row>
    <row r="286" spans="1:21" ht="16.5">
      <c r="A286" s="78"/>
      <c r="B286" s="77"/>
      <c r="C286" s="77"/>
      <c r="D286" s="81" t="str">
        <f t="shared" si="11"/>
        <v/>
      </c>
      <c r="E286" s="90" t="str">
        <f>IF(D286="","",D286+(COUNTIF(D$4:D286,D286)-1)*0.001)</f>
        <v/>
      </c>
      <c r="F286" s="189"/>
      <c r="G286" s="77"/>
      <c r="H286" s="77"/>
      <c r="I286" s="81" t="str">
        <f t="shared" si="12"/>
        <v/>
      </c>
      <c r="J286" s="81" t="str">
        <f>IF(I286="","",I286+(COUNTIF(I$4:I286,I286)-1)*0.001)</f>
        <v/>
      </c>
      <c r="S286" s="202"/>
      <c r="U286" s="93"/>
    </row>
    <row r="287" spans="1:21" ht="16.5">
      <c r="A287" s="78"/>
      <c r="B287" s="77"/>
      <c r="C287" s="77"/>
      <c r="D287" s="81" t="str">
        <f t="shared" si="11"/>
        <v/>
      </c>
      <c r="E287" s="90" t="str">
        <f>IF(D287="","",D287+(COUNTIF(D$4:D287,D287)-1)*0.001)</f>
        <v/>
      </c>
      <c r="F287" s="189"/>
      <c r="G287" s="77"/>
      <c r="H287" s="77"/>
      <c r="I287" s="81" t="str">
        <f t="shared" si="12"/>
        <v/>
      </c>
      <c r="J287" s="81" t="str">
        <f>IF(I287="","",I287+(COUNTIF(I$4:I287,I287)-1)*0.001)</f>
        <v/>
      </c>
      <c r="S287" s="202"/>
      <c r="U287" s="93"/>
    </row>
    <row r="288" spans="1:21" ht="16.5">
      <c r="A288" s="78"/>
      <c r="B288" s="77"/>
      <c r="C288" s="77"/>
      <c r="D288" s="81" t="str">
        <f t="shared" si="11"/>
        <v/>
      </c>
      <c r="E288" s="90" t="str">
        <f>IF(D288="","",D288+(COUNTIF(D$4:D288,D288)-1)*0.001)</f>
        <v/>
      </c>
      <c r="F288" s="189"/>
      <c r="G288" s="77"/>
      <c r="H288" s="77"/>
      <c r="I288" s="81" t="str">
        <f t="shared" si="12"/>
        <v/>
      </c>
      <c r="J288" s="81" t="str">
        <f>IF(I288="","",I288+(COUNTIF(I$4:I288,I288)-1)*0.001)</f>
        <v/>
      </c>
      <c r="S288" s="202"/>
      <c r="U288" s="93"/>
    </row>
    <row r="289" spans="1:21" ht="16.5">
      <c r="A289" s="78"/>
      <c r="B289" s="77"/>
      <c r="C289" s="77"/>
      <c r="D289" s="81" t="str">
        <f t="shared" si="11"/>
        <v/>
      </c>
      <c r="E289" s="90" t="str">
        <f>IF(D289="","",D289+(COUNTIF(D$4:D289,D289)-1)*0.001)</f>
        <v/>
      </c>
      <c r="F289" s="189"/>
      <c r="G289" s="77"/>
      <c r="H289" s="77"/>
      <c r="I289" s="81" t="str">
        <f t="shared" si="12"/>
        <v/>
      </c>
      <c r="J289" s="81" t="str">
        <f>IF(I289="","",I289+(COUNTIF(I$4:I289,I289)-1)*0.001)</f>
        <v/>
      </c>
      <c r="S289" s="202"/>
      <c r="U289" s="93"/>
    </row>
    <row r="290" spans="1:21" ht="16.5">
      <c r="A290" s="78"/>
      <c r="B290" s="77"/>
      <c r="C290" s="77"/>
      <c r="D290" s="81" t="str">
        <f t="shared" si="11"/>
        <v/>
      </c>
      <c r="E290" s="90" t="str">
        <f>IF(D290="","",D290+(COUNTIF(D$4:D290,D290)-1)*0.001)</f>
        <v/>
      </c>
      <c r="F290" s="189"/>
      <c r="G290" s="77"/>
      <c r="H290" s="77"/>
      <c r="I290" s="81" t="str">
        <f t="shared" si="12"/>
        <v/>
      </c>
      <c r="J290" s="81" t="str">
        <f>IF(I290="","",I290+(COUNTIF(I$4:I290,I290)-1)*0.001)</f>
        <v/>
      </c>
      <c r="S290" s="202"/>
      <c r="U290" s="93"/>
    </row>
    <row r="291" spans="1:21" ht="16.5">
      <c r="A291" s="78"/>
      <c r="B291" s="77"/>
      <c r="C291" s="77"/>
      <c r="D291" s="81" t="str">
        <f t="shared" si="11"/>
        <v/>
      </c>
      <c r="E291" s="90" t="str">
        <f>IF(D291="","",D291+(COUNTIF(D$4:D291,D291)-1)*0.001)</f>
        <v/>
      </c>
      <c r="F291" s="189"/>
      <c r="G291" s="77"/>
      <c r="H291" s="77"/>
      <c r="I291" s="81" t="str">
        <f t="shared" si="12"/>
        <v/>
      </c>
      <c r="J291" s="81" t="str">
        <f>IF(I291="","",I291+(COUNTIF(I$4:I291,I291)-1)*0.001)</f>
        <v/>
      </c>
      <c r="S291" s="202"/>
      <c r="U291" s="93"/>
    </row>
    <row r="292" spans="1:21" ht="16.5">
      <c r="A292" s="78"/>
      <c r="B292" s="77"/>
      <c r="C292" s="77"/>
      <c r="D292" s="81" t="str">
        <f t="shared" si="11"/>
        <v/>
      </c>
      <c r="E292" s="90" t="str">
        <f>IF(D292="","",D292+(COUNTIF(D$4:D292,D292)-1)*0.001)</f>
        <v/>
      </c>
      <c r="F292" s="189"/>
      <c r="G292" s="77"/>
      <c r="H292" s="77"/>
      <c r="I292" s="81" t="str">
        <f t="shared" si="12"/>
        <v/>
      </c>
      <c r="J292" s="81" t="str">
        <f>IF(I292="","",I292+(COUNTIF(I$4:I292,I292)-1)*0.001)</f>
        <v/>
      </c>
      <c r="S292" s="202"/>
      <c r="U292" s="93"/>
    </row>
    <row r="293" spans="1:21" ht="16.5">
      <c r="A293" s="78"/>
      <c r="B293" s="77"/>
      <c r="C293" s="77"/>
      <c r="D293" s="81" t="str">
        <f t="shared" si="11"/>
        <v/>
      </c>
      <c r="E293" s="90" t="str">
        <f>IF(D293="","",D293+(COUNTIF(D$4:D293,D293)-1)*0.001)</f>
        <v/>
      </c>
      <c r="F293" s="189"/>
      <c r="G293" s="77"/>
      <c r="H293" s="77"/>
      <c r="I293" s="81" t="str">
        <f t="shared" si="12"/>
        <v/>
      </c>
      <c r="J293" s="81" t="str">
        <f>IF(I293="","",I293+(COUNTIF(I$4:I293,I293)-1)*0.001)</f>
        <v/>
      </c>
      <c r="S293" s="202"/>
      <c r="U293" s="93"/>
    </row>
    <row r="294" spans="1:21" ht="16.5">
      <c r="A294" s="78"/>
      <c r="B294" s="77"/>
      <c r="C294" s="77"/>
      <c r="D294" s="81" t="str">
        <f t="shared" si="11"/>
        <v/>
      </c>
      <c r="E294" s="90" t="str">
        <f>IF(D294="","",D294+(COUNTIF(D$4:D294,D294)-1)*0.001)</f>
        <v/>
      </c>
      <c r="F294" s="189"/>
      <c r="G294" s="77"/>
      <c r="H294" s="77"/>
      <c r="I294" s="81" t="str">
        <f t="shared" si="12"/>
        <v/>
      </c>
      <c r="J294" s="81" t="str">
        <f>IF(I294="","",I294+(COUNTIF(I$4:I294,I294)-1)*0.001)</f>
        <v/>
      </c>
      <c r="S294" s="202"/>
      <c r="U294" s="93"/>
    </row>
    <row r="295" spans="1:21" ht="16.5">
      <c r="A295" s="78"/>
      <c r="B295" s="77"/>
      <c r="C295" s="77"/>
      <c r="D295" s="81" t="str">
        <f t="shared" si="11"/>
        <v/>
      </c>
      <c r="E295" s="90" t="str">
        <f>IF(D295="","",D295+(COUNTIF(D$4:D295,D295)-1)*0.001)</f>
        <v/>
      </c>
      <c r="F295" s="189"/>
      <c r="G295" s="77"/>
      <c r="H295" s="77"/>
      <c r="I295" s="81" t="str">
        <f t="shared" si="12"/>
        <v/>
      </c>
      <c r="J295" s="81" t="str">
        <f>IF(I295="","",I295+(COUNTIF(I$4:I295,I295)-1)*0.001)</f>
        <v/>
      </c>
      <c r="S295" s="202"/>
      <c r="U295" s="93"/>
    </row>
    <row r="296" spans="1:21" ht="16.5">
      <c r="A296" s="78"/>
      <c r="B296" s="77"/>
      <c r="C296" s="77"/>
      <c r="D296" s="81" t="str">
        <f t="shared" si="11"/>
        <v/>
      </c>
      <c r="E296" s="90" t="str">
        <f>IF(D296="","",D296+(COUNTIF(D$4:D296,D296)-1)*0.001)</f>
        <v/>
      </c>
      <c r="F296" s="189"/>
      <c r="G296" s="77"/>
      <c r="H296" s="77"/>
      <c r="I296" s="81" t="str">
        <f t="shared" si="12"/>
        <v/>
      </c>
      <c r="J296" s="81" t="str">
        <f>IF(I296="","",I296+(COUNTIF(I$4:I296,I296)-1)*0.001)</f>
        <v/>
      </c>
      <c r="S296" s="202"/>
      <c r="U296" s="93"/>
    </row>
    <row r="297" spans="1:21" ht="16.5">
      <c r="A297" s="78"/>
      <c r="B297" s="77"/>
      <c r="C297" s="77"/>
      <c r="D297" s="81" t="str">
        <f t="shared" si="11"/>
        <v/>
      </c>
      <c r="E297" s="90" t="str">
        <f>IF(D297="","",D297+(COUNTIF(D$4:D297,D297)-1)*0.001)</f>
        <v/>
      </c>
      <c r="F297" s="189"/>
      <c r="G297" s="77"/>
      <c r="H297" s="77"/>
      <c r="I297" s="81" t="str">
        <f t="shared" si="12"/>
        <v/>
      </c>
      <c r="J297" s="81" t="str">
        <f>IF(I297="","",I297+(COUNTIF(I$4:I297,I297)-1)*0.001)</f>
        <v/>
      </c>
      <c r="S297" s="202"/>
      <c r="U297" s="93"/>
    </row>
    <row r="298" spans="1:21" ht="16.5">
      <c r="A298" s="78"/>
      <c r="B298" s="77"/>
      <c r="C298" s="77"/>
      <c r="D298" s="81" t="str">
        <f t="shared" si="11"/>
        <v/>
      </c>
      <c r="E298" s="90" t="str">
        <f>IF(D298="","",D298+(COUNTIF(D$4:D298,D298)-1)*0.001)</f>
        <v/>
      </c>
      <c r="F298" s="189"/>
      <c r="G298" s="77"/>
      <c r="H298" s="77"/>
      <c r="I298" s="81" t="str">
        <f t="shared" si="12"/>
        <v/>
      </c>
      <c r="J298" s="81" t="str">
        <f>IF(I298="","",I298+(COUNTIF(I$4:I298,I298)-1)*0.001)</f>
        <v/>
      </c>
      <c r="S298" s="202"/>
      <c r="U298" s="93"/>
    </row>
    <row r="299" spans="1:21" ht="16.5">
      <c r="A299" s="78"/>
      <c r="B299" s="77"/>
      <c r="C299" s="77"/>
      <c r="D299" s="81" t="str">
        <f t="shared" si="11"/>
        <v/>
      </c>
      <c r="E299" s="90" t="str">
        <f>IF(D299="","",D299+(COUNTIF(D$4:D299,D299)-1)*0.001)</f>
        <v/>
      </c>
      <c r="F299" s="189"/>
      <c r="G299" s="77"/>
      <c r="H299" s="77"/>
      <c r="I299" s="81" t="str">
        <f t="shared" si="12"/>
        <v/>
      </c>
      <c r="J299" s="81" t="str">
        <f>IF(I299="","",I299+(COUNTIF(I$4:I299,I299)-1)*0.001)</f>
        <v/>
      </c>
      <c r="S299" s="202"/>
      <c r="U299" s="93"/>
    </row>
    <row r="300" spans="1:21" ht="16.5">
      <c r="A300" s="78"/>
      <c r="B300" s="77"/>
      <c r="C300" s="77"/>
      <c r="D300" s="81" t="str">
        <f t="shared" si="11"/>
        <v/>
      </c>
      <c r="E300" s="90" t="str">
        <f>IF(D300="","",D300+(COUNTIF(D$4:D300,D300)-1)*0.001)</f>
        <v/>
      </c>
      <c r="F300" s="189"/>
      <c r="G300" s="77"/>
      <c r="H300" s="77"/>
      <c r="I300" s="81" t="str">
        <f t="shared" si="12"/>
        <v/>
      </c>
      <c r="J300" s="81" t="str">
        <f>IF(I300="","",I300+(COUNTIF(I$4:I300,I300)-1)*0.001)</f>
        <v/>
      </c>
      <c r="S300" s="202"/>
      <c r="U300" s="93"/>
    </row>
    <row r="301" spans="1:21" ht="16.5">
      <c r="A301" s="78"/>
      <c r="B301" s="77"/>
      <c r="C301" s="77"/>
      <c r="D301" s="81" t="str">
        <f t="shared" si="11"/>
        <v/>
      </c>
      <c r="E301" s="90" t="str">
        <f>IF(D301="","",D301+(COUNTIF(D$4:D301,D301)-1)*0.001)</f>
        <v/>
      </c>
      <c r="F301" s="189"/>
      <c r="G301" s="77"/>
      <c r="H301" s="77"/>
      <c r="I301" s="81" t="str">
        <f t="shared" si="12"/>
        <v/>
      </c>
      <c r="J301" s="81" t="str">
        <f>IF(I301="","",I301+(COUNTIF(I$4:I301,I301)-1)*0.001)</f>
        <v/>
      </c>
      <c r="S301" s="202"/>
      <c r="U301" s="93"/>
    </row>
    <row r="302" spans="1:21" ht="16.5">
      <c r="A302" s="78"/>
      <c r="B302" s="77"/>
      <c r="C302" s="77"/>
      <c r="D302" s="81" t="str">
        <f t="shared" si="11"/>
        <v/>
      </c>
      <c r="E302" s="90" t="str">
        <f>IF(D302="","",D302+(COUNTIF(D$4:D302,D302)-1)*0.001)</f>
        <v/>
      </c>
      <c r="F302" s="189"/>
      <c r="G302" s="77"/>
      <c r="H302" s="77"/>
      <c r="I302" s="81" t="str">
        <f t="shared" si="12"/>
        <v/>
      </c>
      <c r="J302" s="81" t="str">
        <f>IF(I302="","",I302+(COUNTIF(I$4:I302,I302)-1)*0.001)</f>
        <v/>
      </c>
      <c r="S302" s="202"/>
      <c r="U302" s="93"/>
    </row>
    <row r="303" spans="1:21" ht="16.5">
      <c r="A303" s="78"/>
      <c r="B303" s="77"/>
      <c r="C303" s="77"/>
      <c r="D303" s="81" t="str">
        <f t="shared" si="11"/>
        <v/>
      </c>
      <c r="E303" s="90" t="str">
        <f>IF(D303="","",D303+(COUNTIF(D$4:D303,D303)-1)*0.001)</f>
        <v/>
      </c>
      <c r="F303" s="189"/>
      <c r="G303" s="77"/>
      <c r="H303" s="77"/>
      <c r="I303" s="81" t="str">
        <f t="shared" si="12"/>
        <v/>
      </c>
      <c r="J303" s="81" t="str">
        <f>IF(I303="","",I303+(COUNTIF(I$4:I303,I303)-1)*0.001)</f>
        <v/>
      </c>
      <c r="S303" s="202"/>
      <c r="U303" s="93"/>
    </row>
    <row r="304" spans="1:21" ht="16.5">
      <c r="A304" s="78"/>
      <c r="B304" s="77"/>
      <c r="C304" s="77"/>
      <c r="D304" s="81" t="str">
        <f t="shared" si="11"/>
        <v/>
      </c>
      <c r="E304" s="90" t="str">
        <f>IF(D304="","",D304+(COUNTIF(D$4:D304,D304)-1)*0.001)</f>
        <v/>
      </c>
      <c r="F304" s="189"/>
      <c r="G304" s="77"/>
      <c r="H304" s="77"/>
      <c r="I304" s="81" t="str">
        <f t="shared" si="12"/>
        <v/>
      </c>
      <c r="J304" s="81" t="str">
        <f>IF(I304="","",I304+(COUNTIF(I$4:I304,I304)-1)*0.001)</f>
        <v/>
      </c>
      <c r="S304" s="202"/>
      <c r="U304" s="93"/>
    </row>
    <row r="305" spans="1:21" ht="16.5">
      <c r="A305" s="78"/>
      <c r="B305" s="77"/>
      <c r="C305" s="77"/>
      <c r="D305" s="81" t="str">
        <f t="shared" si="11"/>
        <v/>
      </c>
      <c r="E305" s="90" t="str">
        <f>IF(D305="","",D305+(COUNTIF(D$4:D305,D305)-1)*0.001)</f>
        <v/>
      </c>
      <c r="F305" s="189"/>
      <c r="G305" s="77"/>
      <c r="H305" s="77"/>
      <c r="I305" s="81" t="str">
        <f t="shared" si="12"/>
        <v/>
      </c>
      <c r="J305" s="81" t="str">
        <f>IF(I305="","",I305+(COUNTIF(I$4:I305,I305)-1)*0.001)</f>
        <v/>
      </c>
      <c r="S305" s="202"/>
      <c r="U305" s="93"/>
    </row>
    <row r="306" spans="1:21" ht="16.5">
      <c r="A306" s="78"/>
      <c r="B306" s="77"/>
      <c r="C306" s="77"/>
      <c r="D306" s="81" t="str">
        <f t="shared" si="11"/>
        <v/>
      </c>
      <c r="E306" s="90" t="str">
        <f>IF(D306="","",D306+(COUNTIF(D$4:D306,D306)-1)*0.001)</f>
        <v/>
      </c>
      <c r="F306" s="189"/>
      <c r="G306" s="77"/>
      <c r="H306" s="77"/>
      <c r="I306" s="81" t="str">
        <f t="shared" si="12"/>
        <v/>
      </c>
      <c r="J306" s="81" t="str">
        <f>IF(I306="","",I306+(COUNTIF(I$4:I306,I306)-1)*0.001)</f>
        <v/>
      </c>
      <c r="S306" s="202"/>
      <c r="U306" s="93"/>
    </row>
    <row r="307" spans="1:21" ht="16.5">
      <c r="A307" s="78"/>
      <c r="B307" s="77"/>
      <c r="C307" s="77"/>
      <c r="D307" s="81" t="str">
        <f t="shared" si="11"/>
        <v/>
      </c>
      <c r="E307" s="90" t="str">
        <f>IF(D307="","",D307+(COUNTIF(D$4:D307,D307)-1)*0.001)</f>
        <v/>
      </c>
      <c r="F307" s="189"/>
      <c r="G307" s="77"/>
      <c r="H307" s="77"/>
      <c r="I307" s="81" t="str">
        <f t="shared" si="12"/>
        <v/>
      </c>
      <c r="J307" s="81" t="str">
        <f>IF(I307="","",I307+(COUNTIF(I$4:I307,I307)-1)*0.001)</f>
        <v/>
      </c>
      <c r="S307" s="202"/>
      <c r="U307" s="93"/>
    </row>
    <row r="308" spans="1:21" ht="16.5">
      <c r="A308" s="78"/>
      <c r="B308" s="77"/>
      <c r="C308" s="77"/>
      <c r="D308" s="81" t="str">
        <f t="shared" si="11"/>
        <v/>
      </c>
      <c r="E308" s="90" t="str">
        <f>IF(D308="","",D308+(COUNTIF(D$4:D308,D308)-1)*0.001)</f>
        <v/>
      </c>
      <c r="F308" s="189"/>
      <c r="G308" s="77"/>
      <c r="H308" s="77"/>
      <c r="I308" s="81" t="str">
        <f t="shared" si="12"/>
        <v/>
      </c>
      <c r="J308" s="81" t="str">
        <f>IF(I308="","",I308+(COUNTIF(I$4:I308,I308)-1)*0.001)</f>
        <v/>
      </c>
      <c r="S308" s="202"/>
      <c r="U308" s="93"/>
    </row>
    <row r="309" spans="1:21" ht="16.5">
      <c r="A309" s="78"/>
      <c r="B309" s="77"/>
      <c r="C309" s="77"/>
      <c r="D309" s="81" t="str">
        <f t="shared" si="11"/>
        <v/>
      </c>
      <c r="E309" s="90" t="str">
        <f>IF(D309="","",D309+(COUNTIF(D$4:D309,D309)-1)*0.001)</f>
        <v/>
      </c>
      <c r="F309" s="189"/>
      <c r="G309" s="77"/>
      <c r="H309" s="77"/>
      <c r="I309" s="81" t="str">
        <f t="shared" si="12"/>
        <v/>
      </c>
      <c r="J309" s="81" t="str">
        <f>IF(I309="","",I309+(COUNTIF(I$4:I309,I309)-1)*0.001)</f>
        <v/>
      </c>
      <c r="S309" s="202"/>
      <c r="U309" s="93"/>
    </row>
    <row r="310" spans="1:21" ht="16.5">
      <c r="A310" s="78"/>
      <c r="B310" s="77"/>
      <c r="C310" s="77"/>
      <c r="D310" s="81" t="str">
        <f t="shared" si="11"/>
        <v/>
      </c>
      <c r="E310" s="90" t="str">
        <f>IF(D310="","",D310+(COUNTIF(D$4:D310,D310)-1)*0.001)</f>
        <v/>
      </c>
      <c r="F310" s="189"/>
      <c r="G310" s="77"/>
      <c r="H310" s="77"/>
      <c r="I310" s="81" t="str">
        <f t="shared" si="12"/>
        <v/>
      </c>
      <c r="J310" s="81" t="str">
        <f>IF(I310="","",I310+(COUNTIF(I$4:I310,I310)-1)*0.001)</f>
        <v/>
      </c>
      <c r="S310" s="202"/>
      <c r="U310" s="93"/>
    </row>
    <row r="311" spans="1:21" ht="16.5">
      <c r="A311" s="78"/>
      <c r="B311" s="77"/>
      <c r="C311" s="77"/>
      <c r="D311" s="81" t="str">
        <f t="shared" si="11"/>
        <v/>
      </c>
      <c r="E311" s="90" t="str">
        <f>IF(D311="","",D311+(COUNTIF(D$4:D311,D311)-1)*0.001)</f>
        <v/>
      </c>
      <c r="F311" s="189"/>
      <c r="G311" s="77"/>
      <c r="H311" s="77"/>
      <c r="I311" s="81" t="str">
        <f t="shared" si="12"/>
        <v/>
      </c>
      <c r="J311" s="81" t="str">
        <f>IF(I311="","",I311+(COUNTIF(I$4:I311,I311)-1)*0.001)</f>
        <v/>
      </c>
      <c r="S311" s="202"/>
      <c r="U311" s="93"/>
    </row>
    <row r="312" spans="1:21" ht="16.5">
      <c r="A312" s="78"/>
      <c r="B312" s="77"/>
      <c r="C312" s="77"/>
      <c r="D312" s="81" t="str">
        <f t="shared" si="11"/>
        <v/>
      </c>
      <c r="E312" s="90" t="str">
        <f>IF(D312="","",D312+(COUNTIF(D$4:D312,D312)-1)*0.001)</f>
        <v/>
      </c>
      <c r="F312" s="189"/>
      <c r="G312" s="77"/>
      <c r="H312" s="77"/>
      <c r="I312" s="81" t="str">
        <f t="shared" si="12"/>
        <v/>
      </c>
      <c r="J312" s="81" t="str">
        <f>IF(I312="","",I312+(COUNTIF(I$4:I312,I312)-1)*0.001)</f>
        <v/>
      </c>
      <c r="S312" s="202"/>
      <c r="U312" s="93"/>
    </row>
    <row r="313" spans="1:21" ht="16.5">
      <c r="A313" s="78"/>
      <c r="B313" s="77"/>
      <c r="C313" s="77"/>
      <c r="D313" s="81" t="str">
        <f t="shared" si="11"/>
        <v/>
      </c>
      <c r="E313" s="90" t="str">
        <f>IF(D313="","",D313+(COUNTIF(D$4:D313,D313)-1)*0.001)</f>
        <v/>
      </c>
      <c r="F313" s="189"/>
      <c r="G313" s="77"/>
      <c r="H313" s="77"/>
      <c r="I313" s="81" t="str">
        <f t="shared" si="12"/>
        <v/>
      </c>
      <c r="J313" s="81" t="str">
        <f>IF(I313="","",I313+(COUNTIF(I$4:I313,I313)-1)*0.001)</f>
        <v/>
      </c>
      <c r="S313" s="202"/>
      <c r="U313" s="93"/>
    </row>
    <row r="314" spans="1:21" ht="16.5">
      <c r="A314" s="78"/>
      <c r="B314" s="77"/>
      <c r="C314" s="77"/>
      <c r="D314" s="81" t="str">
        <f t="shared" si="11"/>
        <v/>
      </c>
      <c r="E314" s="90" t="str">
        <f>IF(D314="","",D314+(COUNTIF(D$4:D314,D314)-1)*0.001)</f>
        <v/>
      </c>
      <c r="F314" s="189"/>
      <c r="G314" s="77"/>
      <c r="H314" s="77"/>
      <c r="I314" s="81" t="str">
        <f t="shared" si="12"/>
        <v/>
      </c>
      <c r="J314" s="81" t="str">
        <f>IF(I314="","",I314+(COUNTIF(I$4:I314,I314)-1)*0.001)</f>
        <v/>
      </c>
      <c r="S314" s="202"/>
      <c r="U314" s="93"/>
    </row>
    <row r="315" spans="1:21" ht="16.5">
      <c r="A315" s="78"/>
      <c r="B315" s="77"/>
      <c r="C315" s="77"/>
      <c r="D315" s="81" t="str">
        <f t="shared" si="11"/>
        <v/>
      </c>
      <c r="E315" s="90" t="str">
        <f>IF(D315="","",D315+(COUNTIF(D$4:D315,D315)-1)*0.001)</f>
        <v/>
      </c>
      <c r="F315" s="189"/>
      <c r="G315" s="77"/>
      <c r="H315" s="77"/>
      <c r="I315" s="81" t="str">
        <f t="shared" si="12"/>
        <v/>
      </c>
      <c r="J315" s="81" t="str">
        <f>IF(I315="","",I315+(COUNTIF(I$4:I315,I315)-1)*0.001)</f>
        <v/>
      </c>
      <c r="S315" s="202"/>
      <c r="U315" s="93"/>
    </row>
    <row r="316" spans="1:21" ht="16.5">
      <c r="A316" s="78"/>
      <c r="B316" s="77"/>
      <c r="C316" s="77"/>
      <c r="D316" s="81" t="str">
        <f t="shared" si="11"/>
        <v/>
      </c>
      <c r="E316" s="90" t="str">
        <f>IF(D316="","",D316+(COUNTIF(D$4:D316,D316)-1)*0.001)</f>
        <v/>
      </c>
      <c r="F316" s="189"/>
      <c r="G316" s="77"/>
      <c r="H316" s="77"/>
      <c r="I316" s="81" t="str">
        <f t="shared" si="12"/>
        <v/>
      </c>
      <c r="J316" s="81" t="str">
        <f>IF(I316="","",I316+(COUNTIF(I$4:I316,I316)-1)*0.001)</f>
        <v/>
      </c>
      <c r="S316" s="202"/>
      <c r="U316" s="93"/>
    </row>
    <row r="317" spans="1:21" ht="16.5">
      <c r="A317" s="78"/>
      <c r="B317" s="77"/>
      <c r="C317" s="77"/>
      <c r="D317" s="81" t="str">
        <f t="shared" si="11"/>
        <v/>
      </c>
      <c r="E317" s="90" t="str">
        <f>IF(D317="","",D317+(COUNTIF(D$4:D317,D317)-1)*0.001)</f>
        <v/>
      </c>
      <c r="F317" s="189"/>
      <c r="G317" s="77"/>
      <c r="H317" s="77"/>
      <c r="I317" s="81" t="str">
        <f t="shared" si="12"/>
        <v/>
      </c>
      <c r="J317" s="81" t="str">
        <f>IF(I317="","",I317+(COUNTIF(I$4:I317,I317)-1)*0.001)</f>
        <v/>
      </c>
      <c r="S317" s="202"/>
      <c r="U317" s="93"/>
    </row>
    <row r="318" spans="1:21" ht="16.5">
      <c r="A318" s="78"/>
      <c r="B318" s="77"/>
      <c r="C318" s="77"/>
      <c r="D318" s="81" t="str">
        <f t="shared" si="11"/>
        <v/>
      </c>
      <c r="E318" s="90" t="str">
        <f>IF(D318="","",D318+(COUNTIF(D$4:D318,D318)-1)*0.001)</f>
        <v/>
      </c>
      <c r="F318" s="189"/>
      <c r="G318" s="77"/>
      <c r="H318" s="77"/>
      <c r="I318" s="81" t="str">
        <f t="shared" si="12"/>
        <v/>
      </c>
      <c r="J318" s="81" t="str">
        <f>IF(I318="","",I318+(COUNTIF(I$4:I318,I318)-1)*0.001)</f>
        <v/>
      </c>
      <c r="S318" s="202"/>
      <c r="U318" s="93"/>
    </row>
    <row r="319" spans="1:21" ht="16.5">
      <c r="A319" s="78"/>
      <c r="B319" s="77"/>
      <c r="C319" s="77"/>
      <c r="D319" s="81" t="str">
        <f t="shared" si="11"/>
        <v/>
      </c>
      <c r="E319" s="90" t="str">
        <f>IF(D319="","",D319+(COUNTIF(D$4:D319,D319)-1)*0.001)</f>
        <v/>
      </c>
      <c r="F319" s="189"/>
      <c r="G319" s="77"/>
      <c r="H319" s="77"/>
      <c r="I319" s="81" t="str">
        <f t="shared" si="12"/>
        <v/>
      </c>
      <c r="J319" s="81" t="str">
        <f>IF(I319="","",I319+(COUNTIF(I$4:I319,I319)-1)*0.001)</f>
        <v/>
      </c>
      <c r="S319" s="202"/>
      <c r="U319" s="93"/>
    </row>
    <row r="320" spans="1:21" ht="16.5">
      <c r="A320" s="78"/>
      <c r="B320" s="77"/>
      <c r="C320" s="77"/>
      <c r="D320" s="81" t="str">
        <f t="shared" si="11"/>
        <v/>
      </c>
      <c r="E320" s="90" t="str">
        <f>IF(D320="","",D320+(COUNTIF(D$4:D320,D320)-1)*0.001)</f>
        <v/>
      </c>
      <c r="F320" s="189"/>
      <c r="G320" s="77"/>
      <c r="H320" s="77"/>
      <c r="I320" s="81" t="str">
        <f t="shared" si="12"/>
        <v/>
      </c>
      <c r="J320" s="81" t="str">
        <f>IF(I320="","",I320+(COUNTIF(I$4:I320,I320)-1)*0.001)</f>
        <v/>
      </c>
      <c r="S320" s="202"/>
      <c r="U320" s="93"/>
    </row>
    <row r="321" spans="1:21" ht="16.5">
      <c r="A321" s="78"/>
      <c r="B321" s="77"/>
      <c r="C321" s="77"/>
      <c r="D321" s="81" t="str">
        <f t="shared" si="11"/>
        <v/>
      </c>
      <c r="E321" s="90" t="str">
        <f>IF(D321="","",D321+(COUNTIF(D$4:D321,D321)-1)*0.001)</f>
        <v/>
      </c>
      <c r="F321" s="189"/>
      <c r="G321" s="77"/>
      <c r="H321" s="77"/>
      <c r="I321" s="81" t="str">
        <f t="shared" si="12"/>
        <v/>
      </c>
      <c r="J321" s="81" t="str">
        <f>IF(I321="","",I321+(COUNTIF(I$4:I321,I321)-1)*0.001)</f>
        <v/>
      </c>
      <c r="S321" s="202"/>
      <c r="U321" s="93"/>
    </row>
    <row r="322" spans="1:21" ht="16.5">
      <c r="A322" s="78"/>
      <c r="B322" s="77"/>
      <c r="C322" s="77"/>
      <c r="D322" s="81" t="str">
        <f t="shared" si="11"/>
        <v/>
      </c>
      <c r="E322" s="90" t="str">
        <f>IF(D322="","",D322+(COUNTIF(D$4:D322,D322)-1)*0.001)</f>
        <v/>
      </c>
      <c r="F322" s="189"/>
      <c r="G322" s="77"/>
      <c r="H322" s="77"/>
      <c r="I322" s="81" t="str">
        <f t="shared" si="12"/>
        <v/>
      </c>
      <c r="J322" s="81" t="str">
        <f>IF(I322="","",I322+(COUNTIF(I$4:I322,I322)-1)*0.001)</f>
        <v/>
      </c>
      <c r="S322" s="202"/>
      <c r="U322" s="93"/>
    </row>
    <row r="323" spans="1:21" ht="16.5">
      <c r="A323" s="78"/>
      <c r="B323" s="77"/>
      <c r="C323" s="77"/>
      <c r="D323" s="81" t="str">
        <f t="shared" si="11"/>
        <v/>
      </c>
      <c r="E323" s="90" t="str">
        <f>IF(D323="","",D323+(COUNTIF(D$4:D323,D323)-1)*0.001)</f>
        <v/>
      </c>
      <c r="F323" s="189"/>
      <c r="G323" s="77"/>
      <c r="H323" s="77"/>
      <c r="I323" s="81" t="str">
        <f t="shared" si="12"/>
        <v/>
      </c>
      <c r="J323" s="81" t="str">
        <f>IF(I323="","",I323+(COUNTIF(I$4:I323,I323)-1)*0.001)</f>
        <v/>
      </c>
      <c r="S323" s="202"/>
      <c r="U323" s="93"/>
    </row>
    <row r="324" spans="1:21" ht="16.5">
      <c r="A324" s="78"/>
      <c r="B324" s="77"/>
      <c r="C324" s="77"/>
      <c r="D324" s="81" t="str">
        <f t="shared" ref="D324:D387" si="13">IF(A324="","",IFERROR(INDEX(收盤1,MATCH(A324,代號1,0)),IFERROR(INDEX(收盤2,MATCH(A324,代號2,0)),IFERROR(INDEX(收盤3,MATCH(A324,代號3,0)),INDEX(收盤4,MATCH(A324,代號4,0)))))*C324)</f>
        <v/>
      </c>
      <c r="E324" s="90" t="str">
        <f>IF(D324="","",D324+(COUNTIF(D$4:D324,D324)-1)*0.001)</f>
        <v/>
      </c>
      <c r="F324" s="189"/>
      <c r="G324" s="77"/>
      <c r="H324" s="77"/>
      <c r="I324" s="81" t="str">
        <f t="shared" ref="I324:I387" si="14">IF(F324="","",IFERROR(INDEX(收盤1,MATCH(F324,代號1,0)),IFERROR(INDEX(收盤2,MATCH(F324,代號2,0)),IFERROR(INDEX(收盤3,MATCH(F324,代號3,0)),INDEX(收盤4,MATCH(F324,代號4,0)))))*H324)</f>
        <v/>
      </c>
      <c r="J324" s="81" t="str">
        <f>IF(I324="","",I324+(COUNTIF(I$4:I324,I324)-1)*0.001)</f>
        <v/>
      </c>
      <c r="S324" s="202"/>
      <c r="U324" s="93"/>
    </row>
    <row r="325" spans="1:21" ht="16.5">
      <c r="A325" s="78"/>
      <c r="B325" s="77"/>
      <c r="C325" s="77"/>
      <c r="D325" s="81" t="str">
        <f t="shared" si="13"/>
        <v/>
      </c>
      <c r="E325" s="90" t="str">
        <f>IF(D325="","",D325+(COUNTIF(D$4:D325,D325)-1)*0.001)</f>
        <v/>
      </c>
      <c r="F325" s="189"/>
      <c r="G325" s="77"/>
      <c r="H325" s="77"/>
      <c r="I325" s="81" t="str">
        <f t="shared" si="14"/>
        <v/>
      </c>
      <c r="J325" s="81" t="str">
        <f>IF(I325="","",I325+(COUNTIF(I$4:I325,I325)-1)*0.001)</f>
        <v/>
      </c>
      <c r="S325" s="202"/>
      <c r="U325" s="93"/>
    </row>
    <row r="326" spans="1:21" ht="16.5">
      <c r="A326" s="78"/>
      <c r="B326" s="77"/>
      <c r="C326" s="77"/>
      <c r="D326" s="81" t="str">
        <f t="shared" si="13"/>
        <v/>
      </c>
      <c r="E326" s="90" t="str">
        <f>IF(D326="","",D326+(COUNTIF(D$4:D326,D326)-1)*0.001)</f>
        <v/>
      </c>
      <c r="F326" s="189"/>
      <c r="G326" s="77"/>
      <c r="H326" s="77"/>
      <c r="I326" s="81" t="str">
        <f t="shared" si="14"/>
        <v/>
      </c>
      <c r="J326" s="81" t="str">
        <f>IF(I326="","",I326+(COUNTIF(I$4:I326,I326)-1)*0.001)</f>
        <v/>
      </c>
      <c r="S326" s="202"/>
      <c r="U326" s="93"/>
    </row>
    <row r="327" spans="1:21" ht="16.5">
      <c r="A327" s="78"/>
      <c r="B327" s="77"/>
      <c r="C327" s="77"/>
      <c r="D327" s="81" t="str">
        <f t="shared" si="13"/>
        <v/>
      </c>
      <c r="E327" s="90" t="str">
        <f>IF(D327="","",D327+(COUNTIF(D$4:D327,D327)-1)*0.001)</f>
        <v/>
      </c>
      <c r="F327" s="189"/>
      <c r="G327" s="77"/>
      <c r="H327" s="77"/>
      <c r="I327" s="81" t="str">
        <f t="shared" si="14"/>
        <v/>
      </c>
      <c r="J327" s="81" t="str">
        <f>IF(I327="","",I327+(COUNTIF(I$4:I327,I327)-1)*0.001)</f>
        <v/>
      </c>
      <c r="S327" s="202"/>
      <c r="U327" s="93"/>
    </row>
    <row r="328" spans="1:21" ht="16.5">
      <c r="A328" s="78"/>
      <c r="B328" s="77"/>
      <c r="C328" s="77"/>
      <c r="D328" s="81" t="str">
        <f t="shared" si="13"/>
        <v/>
      </c>
      <c r="E328" s="90" t="str">
        <f>IF(D328="","",D328+(COUNTIF(D$4:D328,D328)-1)*0.001)</f>
        <v/>
      </c>
      <c r="F328" s="189"/>
      <c r="G328" s="77"/>
      <c r="H328" s="77"/>
      <c r="I328" s="81" t="str">
        <f t="shared" si="14"/>
        <v/>
      </c>
      <c r="J328" s="81" t="str">
        <f>IF(I328="","",I328+(COUNTIF(I$4:I328,I328)-1)*0.001)</f>
        <v/>
      </c>
      <c r="S328" s="202"/>
      <c r="U328" s="93"/>
    </row>
    <row r="329" spans="1:21" ht="16.5">
      <c r="A329" s="78"/>
      <c r="B329" s="77"/>
      <c r="C329" s="77"/>
      <c r="D329" s="81" t="str">
        <f t="shared" si="13"/>
        <v/>
      </c>
      <c r="E329" s="90" t="str">
        <f>IF(D329="","",D329+(COUNTIF(D$4:D329,D329)-1)*0.001)</f>
        <v/>
      </c>
      <c r="F329" s="189"/>
      <c r="G329" s="77"/>
      <c r="H329" s="77"/>
      <c r="I329" s="81" t="str">
        <f t="shared" si="14"/>
        <v/>
      </c>
      <c r="J329" s="81" t="str">
        <f>IF(I329="","",I329+(COUNTIF(I$4:I329,I329)-1)*0.001)</f>
        <v/>
      </c>
      <c r="S329" s="202"/>
      <c r="U329" s="93"/>
    </row>
    <row r="330" spans="1:21" ht="16.5">
      <c r="A330" s="78"/>
      <c r="B330" s="77"/>
      <c r="C330" s="77"/>
      <c r="D330" s="81" t="str">
        <f t="shared" si="13"/>
        <v/>
      </c>
      <c r="E330" s="90" t="str">
        <f>IF(D330="","",D330+(COUNTIF(D$4:D330,D330)-1)*0.001)</f>
        <v/>
      </c>
      <c r="F330" s="189"/>
      <c r="G330" s="77"/>
      <c r="H330" s="77"/>
      <c r="I330" s="81" t="str">
        <f t="shared" si="14"/>
        <v/>
      </c>
      <c r="J330" s="81" t="str">
        <f>IF(I330="","",I330+(COUNTIF(I$4:I330,I330)-1)*0.001)</f>
        <v/>
      </c>
      <c r="S330" s="202"/>
      <c r="U330" s="93"/>
    </row>
    <row r="331" spans="1:21" ht="16.5">
      <c r="A331" s="78"/>
      <c r="B331" s="77"/>
      <c r="C331" s="77"/>
      <c r="D331" s="81" t="str">
        <f t="shared" si="13"/>
        <v/>
      </c>
      <c r="E331" s="90" t="str">
        <f>IF(D331="","",D331+(COUNTIF(D$4:D331,D331)-1)*0.001)</f>
        <v/>
      </c>
      <c r="F331" s="189"/>
      <c r="G331" s="77"/>
      <c r="H331" s="77"/>
      <c r="I331" s="81" t="str">
        <f t="shared" si="14"/>
        <v/>
      </c>
      <c r="J331" s="81" t="str">
        <f>IF(I331="","",I331+(COUNTIF(I$4:I331,I331)-1)*0.001)</f>
        <v/>
      </c>
      <c r="S331" s="202"/>
      <c r="U331" s="93"/>
    </row>
    <row r="332" spans="1:21" ht="16.5">
      <c r="A332" s="78"/>
      <c r="B332" s="77"/>
      <c r="C332" s="77"/>
      <c r="D332" s="81" t="str">
        <f t="shared" si="13"/>
        <v/>
      </c>
      <c r="E332" s="90" t="str">
        <f>IF(D332="","",D332+(COUNTIF(D$4:D332,D332)-1)*0.001)</f>
        <v/>
      </c>
      <c r="F332" s="189"/>
      <c r="G332" s="77"/>
      <c r="H332" s="77"/>
      <c r="I332" s="81" t="str">
        <f t="shared" si="14"/>
        <v/>
      </c>
      <c r="J332" s="81" t="str">
        <f>IF(I332="","",I332+(COUNTIF(I$4:I332,I332)-1)*0.001)</f>
        <v/>
      </c>
      <c r="S332" s="202"/>
      <c r="U332" s="93"/>
    </row>
    <row r="333" spans="1:21" ht="16.5">
      <c r="A333" s="78"/>
      <c r="B333" s="77"/>
      <c r="C333" s="77"/>
      <c r="D333" s="81" t="str">
        <f t="shared" si="13"/>
        <v/>
      </c>
      <c r="E333" s="90" t="str">
        <f>IF(D333="","",D333+(COUNTIF(D$4:D333,D333)-1)*0.001)</f>
        <v/>
      </c>
      <c r="F333" s="189"/>
      <c r="G333" s="77"/>
      <c r="H333" s="77"/>
      <c r="I333" s="81" t="str">
        <f t="shared" si="14"/>
        <v/>
      </c>
      <c r="J333" s="81" t="str">
        <f>IF(I333="","",I333+(COUNTIF(I$4:I333,I333)-1)*0.001)</f>
        <v/>
      </c>
      <c r="S333" s="202"/>
      <c r="U333" s="93"/>
    </row>
    <row r="334" spans="1:21" ht="16.5">
      <c r="A334" s="78"/>
      <c r="B334" s="77"/>
      <c r="C334" s="77"/>
      <c r="D334" s="81" t="str">
        <f t="shared" si="13"/>
        <v/>
      </c>
      <c r="E334" s="90" t="str">
        <f>IF(D334="","",D334+(COUNTIF(D$4:D334,D334)-1)*0.001)</f>
        <v/>
      </c>
      <c r="F334" s="189"/>
      <c r="G334" s="77"/>
      <c r="H334" s="77"/>
      <c r="I334" s="81" t="str">
        <f t="shared" si="14"/>
        <v/>
      </c>
      <c r="J334" s="81" t="str">
        <f>IF(I334="","",I334+(COUNTIF(I$4:I334,I334)-1)*0.001)</f>
        <v/>
      </c>
      <c r="S334" s="202"/>
      <c r="U334" s="93"/>
    </row>
    <row r="335" spans="1:21" ht="16.5">
      <c r="A335" s="78"/>
      <c r="B335" s="77"/>
      <c r="C335" s="77"/>
      <c r="D335" s="81" t="str">
        <f t="shared" si="13"/>
        <v/>
      </c>
      <c r="E335" s="90" t="str">
        <f>IF(D335="","",D335+(COUNTIF(D$4:D335,D335)-1)*0.001)</f>
        <v/>
      </c>
      <c r="F335" s="189"/>
      <c r="G335" s="77"/>
      <c r="H335" s="77"/>
      <c r="I335" s="81" t="str">
        <f t="shared" si="14"/>
        <v/>
      </c>
      <c r="J335" s="81" t="str">
        <f>IF(I335="","",I335+(COUNTIF(I$4:I335,I335)-1)*0.001)</f>
        <v/>
      </c>
      <c r="S335" s="202"/>
      <c r="U335" s="93"/>
    </row>
    <row r="336" spans="1:21" ht="16.5">
      <c r="A336" s="78"/>
      <c r="B336" s="77"/>
      <c r="C336" s="77"/>
      <c r="D336" s="81" t="str">
        <f t="shared" si="13"/>
        <v/>
      </c>
      <c r="E336" s="90" t="str">
        <f>IF(D336="","",D336+(COUNTIF(D$4:D336,D336)-1)*0.001)</f>
        <v/>
      </c>
      <c r="F336" s="189"/>
      <c r="G336" s="77"/>
      <c r="H336" s="77"/>
      <c r="I336" s="81" t="str">
        <f t="shared" si="14"/>
        <v/>
      </c>
      <c r="J336" s="81" t="str">
        <f>IF(I336="","",I336+(COUNTIF(I$4:I336,I336)-1)*0.001)</f>
        <v/>
      </c>
      <c r="S336" s="202"/>
      <c r="U336" s="93"/>
    </row>
    <row r="337" spans="1:21" ht="16.5">
      <c r="A337" s="78"/>
      <c r="B337" s="77"/>
      <c r="C337" s="77"/>
      <c r="D337" s="81" t="str">
        <f t="shared" si="13"/>
        <v/>
      </c>
      <c r="E337" s="90" t="str">
        <f>IF(D337="","",D337+(COUNTIF(D$4:D337,D337)-1)*0.001)</f>
        <v/>
      </c>
      <c r="F337" s="189"/>
      <c r="G337" s="77"/>
      <c r="H337" s="77"/>
      <c r="I337" s="81" t="str">
        <f t="shared" si="14"/>
        <v/>
      </c>
      <c r="J337" s="81" t="str">
        <f>IF(I337="","",I337+(COUNTIF(I$4:I337,I337)-1)*0.001)</f>
        <v/>
      </c>
      <c r="S337" s="202"/>
      <c r="U337" s="93"/>
    </row>
    <row r="338" spans="1:21" ht="16.5">
      <c r="A338" s="78"/>
      <c r="B338" s="77"/>
      <c r="C338" s="77"/>
      <c r="D338" s="81" t="str">
        <f t="shared" si="13"/>
        <v/>
      </c>
      <c r="E338" s="90" t="str">
        <f>IF(D338="","",D338+(COUNTIF(D$4:D338,D338)-1)*0.001)</f>
        <v/>
      </c>
      <c r="F338" s="189"/>
      <c r="G338" s="77"/>
      <c r="H338" s="77"/>
      <c r="I338" s="81" t="str">
        <f t="shared" si="14"/>
        <v/>
      </c>
      <c r="J338" s="81" t="str">
        <f>IF(I338="","",I338+(COUNTIF(I$4:I338,I338)-1)*0.001)</f>
        <v/>
      </c>
      <c r="S338" s="202"/>
      <c r="U338" s="93"/>
    </row>
    <row r="339" spans="1:21" ht="16.5">
      <c r="A339" s="78"/>
      <c r="B339" s="77"/>
      <c r="C339" s="77"/>
      <c r="D339" s="81" t="str">
        <f t="shared" si="13"/>
        <v/>
      </c>
      <c r="E339" s="90" t="str">
        <f>IF(D339="","",D339+(COUNTIF(D$4:D339,D339)-1)*0.001)</f>
        <v/>
      </c>
      <c r="F339" s="189"/>
      <c r="G339" s="77"/>
      <c r="H339" s="77"/>
      <c r="I339" s="81" t="str">
        <f t="shared" si="14"/>
        <v/>
      </c>
      <c r="J339" s="81" t="str">
        <f>IF(I339="","",I339+(COUNTIF(I$4:I339,I339)-1)*0.001)</f>
        <v/>
      </c>
      <c r="S339" s="202"/>
      <c r="U339" s="93"/>
    </row>
    <row r="340" spans="1:21" ht="16.5">
      <c r="A340" s="78"/>
      <c r="B340" s="77"/>
      <c r="C340" s="77"/>
      <c r="D340" s="81" t="str">
        <f t="shared" si="13"/>
        <v/>
      </c>
      <c r="E340" s="90" t="str">
        <f>IF(D340="","",D340+(COUNTIF(D$4:D340,D340)-1)*0.001)</f>
        <v/>
      </c>
      <c r="F340" s="189"/>
      <c r="G340" s="77"/>
      <c r="H340" s="77"/>
      <c r="I340" s="81" t="str">
        <f t="shared" si="14"/>
        <v/>
      </c>
      <c r="J340" s="81" t="str">
        <f>IF(I340="","",I340+(COUNTIF(I$4:I340,I340)-1)*0.001)</f>
        <v/>
      </c>
      <c r="S340" s="202"/>
      <c r="U340" s="93"/>
    </row>
    <row r="341" spans="1:21" ht="16.5">
      <c r="A341" s="78"/>
      <c r="B341" s="77"/>
      <c r="C341" s="77"/>
      <c r="D341" s="81" t="str">
        <f t="shared" si="13"/>
        <v/>
      </c>
      <c r="E341" s="90" t="str">
        <f>IF(D341="","",D341+(COUNTIF(D$4:D341,D341)-1)*0.001)</f>
        <v/>
      </c>
      <c r="F341" s="189"/>
      <c r="G341" s="77"/>
      <c r="H341" s="77"/>
      <c r="I341" s="81" t="str">
        <f t="shared" si="14"/>
        <v/>
      </c>
      <c r="J341" s="81" t="str">
        <f>IF(I341="","",I341+(COUNTIF(I$4:I341,I341)-1)*0.001)</f>
        <v/>
      </c>
      <c r="S341" s="202"/>
      <c r="U341" s="93"/>
    </row>
    <row r="342" spans="1:21" ht="16.5">
      <c r="A342" s="78"/>
      <c r="B342" s="77"/>
      <c r="C342" s="77"/>
      <c r="D342" s="81" t="str">
        <f t="shared" si="13"/>
        <v/>
      </c>
      <c r="E342" s="90" t="str">
        <f>IF(D342="","",D342+(COUNTIF(D$4:D342,D342)-1)*0.001)</f>
        <v/>
      </c>
      <c r="F342" s="189"/>
      <c r="G342" s="77"/>
      <c r="H342" s="77"/>
      <c r="I342" s="81" t="str">
        <f t="shared" si="14"/>
        <v/>
      </c>
      <c r="J342" s="81" t="str">
        <f>IF(I342="","",I342+(COUNTIF(I$4:I342,I342)-1)*0.001)</f>
        <v/>
      </c>
      <c r="S342" s="202"/>
      <c r="U342" s="93"/>
    </row>
    <row r="343" spans="1:21" ht="16.5">
      <c r="A343" s="78"/>
      <c r="B343" s="77"/>
      <c r="C343" s="77"/>
      <c r="D343" s="81" t="str">
        <f t="shared" si="13"/>
        <v/>
      </c>
      <c r="E343" s="90" t="str">
        <f>IF(D343="","",D343+(COUNTIF(D$4:D343,D343)-1)*0.001)</f>
        <v/>
      </c>
      <c r="F343" s="189"/>
      <c r="G343" s="77"/>
      <c r="H343" s="77"/>
      <c r="I343" s="81" t="str">
        <f t="shared" si="14"/>
        <v/>
      </c>
      <c r="J343" s="81" t="str">
        <f>IF(I343="","",I343+(COUNTIF(I$4:I343,I343)-1)*0.001)</f>
        <v/>
      </c>
      <c r="S343" s="202"/>
      <c r="U343" s="93"/>
    </row>
    <row r="344" spans="1:21" ht="16.5">
      <c r="A344" s="78"/>
      <c r="B344" s="77"/>
      <c r="C344" s="77"/>
      <c r="D344" s="81" t="str">
        <f t="shared" si="13"/>
        <v/>
      </c>
      <c r="E344" s="90" t="str">
        <f>IF(D344="","",D344+(COUNTIF(D$4:D344,D344)-1)*0.001)</f>
        <v/>
      </c>
      <c r="F344" s="189"/>
      <c r="G344" s="77"/>
      <c r="H344" s="77"/>
      <c r="I344" s="81" t="str">
        <f t="shared" si="14"/>
        <v/>
      </c>
      <c r="J344" s="81" t="str">
        <f>IF(I344="","",I344+(COUNTIF(I$4:I344,I344)-1)*0.001)</f>
        <v/>
      </c>
      <c r="S344" s="202"/>
      <c r="U344" s="93"/>
    </row>
    <row r="345" spans="1:21" ht="16.5">
      <c r="A345" s="78"/>
      <c r="B345" s="77"/>
      <c r="C345" s="77"/>
      <c r="D345" s="81" t="str">
        <f t="shared" si="13"/>
        <v/>
      </c>
      <c r="E345" s="90" t="str">
        <f>IF(D345="","",D345+(COUNTIF(D$4:D345,D345)-1)*0.001)</f>
        <v/>
      </c>
      <c r="F345" s="189"/>
      <c r="G345" s="77"/>
      <c r="H345" s="77"/>
      <c r="I345" s="81" t="str">
        <f t="shared" si="14"/>
        <v/>
      </c>
      <c r="J345" s="81" t="str">
        <f>IF(I345="","",I345+(COUNTIF(I$4:I345,I345)-1)*0.001)</f>
        <v/>
      </c>
      <c r="S345" s="202"/>
      <c r="U345" s="93"/>
    </row>
    <row r="346" spans="1:21" ht="16.5">
      <c r="A346" s="78"/>
      <c r="B346" s="77"/>
      <c r="C346" s="77"/>
      <c r="D346" s="81" t="str">
        <f t="shared" si="13"/>
        <v/>
      </c>
      <c r="E346" s="90" t="str">
        <f>IF(D346="","",D346+(COUNTIF(D$4:D346,D346)-1)*0.001)</f>
        <v/>
      </c>
      <c r="F346" s="189"/>
      <c r="G346" s="77"/>
      <c r="H346" s="77"/>
      <c r="I346" s="81" t="str">
        <f t="shared" si="14"/>
        <v/>
      </c>
      <c r="J346" s="81" t="str">
        <f>IF(I346="","",I346+(COUNTIF(I$4:I346,I346)-1)*0.001)</f>
        <v/>
      </c>
      <c r="S346" s="202"/>
      <c r="U346" s="93"/>
    </row>
    <row r="347" spans="1:21" ht="16.5">
      <c r="A347" s="78"/>
      <c r="B347" s="77"/>
      <c r="C347" s="77"/>
      <c r="D347" s="81" t="str">
        <f t="shared" si="13"/>
        <v/>
      </c>
      <c r="E347" s="90" t="str">
        <f>IF(D347="","",D347+(COUNTIF(D$4:D347,D347)-1)*0.001)</f>
        <v/>
      </c>
      <c r="F347" s="189"/>
      <c r="G347" s="77"/>
      <c r="H347" s="77"/>
      <c r="I347" s="81" t="str">
        <f t="shared" si="14"/>
        <v/>
      </c>
      <c r="J347" s="81" t="str">
        <f>IF(I347="","",I347+(COUNTIF(I$4:I347,I347)-1)*0.001)</f>
        <v/>
      </c>
      <c r="S347" s="202"/>
      <c r="U347" s="93"/>
    </row>
    <row r="348" spans="1:21" ht="16.5">
      <c r="A348" s="78"/>
      <c r="B348" s="77"/>
      <c r="C348" s="77"/>
      <c r="D348" s="81" t="str">
        <f t="shared" si="13"/>
        <v/>
      </c>
      <c r="E348" s="90" t="str">
        <f>IF(D348="","",D348+(COUNTIF(D$4:D348,D348)-1)*0.001)</f>
        <v/>
      </c>
      <c r="F348" s="189"/>
      <c r="G348" s="77"/>
      <c r="H348" s="77"/>
      <c r="I348" s="81" t="str">
        <f t="shared" si="14"/>
        <v/>
      </c>
      <c r="J348" s="81" t="str">
        <f>IF(I348="","",I348+(COUNTIF(I$4:I348,I348)-1)*0.001)</f>
        <v/>
      </c>
      <c r="S348" s="202"/>
      <c r="U348" s="93"/>
    </row>
    <row r="349" spans="1:21" ht="16.5">
      <c r="A349" s="78"/>
      <c r="B349" s="77"/>
      <c r="C349" s="77"/>
      <c r="D349" s="81" t="str">
        <f t="shared" si="13"/>
        <v/>
      </c>
      <c r="E349" s="90" t="str">
        <f>IF(D349="","",D349+(COUNTIF(D$4:D349,D349)-1)*0.001)</f>
        <v/>
      </c>
      <c r="F349" s="189"/>
      <c r="G349" s="77"/>
      <c r="H349" s="77"/>
      <c r="I349" s="81" t="str">
        <f t="shared" si="14"/>
        <v/>
      </c>
      <c r="J349" s="81" t="str">
        <f>IF(I349="","",I349+(COUNTIF(I$4:I349,I349)-1)*0.001)</f>
        <v/>
      </c>
      <c r="S349" s="202"/>
      <c r="U349" s="93"/>
    </row>
    <row r="350" spans="1:21" ht="16.5">
      <c r="A350" s="78"/>
      <c r="B350" s="77"/>
      <c r="C350" s="77"/>
      <c r="D350" s="81" t="str">
        <f t="shared" si="13"/>
        <v/>
      </c>
      <c r="E350" s="90" t="str">
        <f>IF(D350="","",D350+(COUNTIF(D$4:D350,D350)-1)*0.001)</f>
        <v/>
      </c>
      <c r="F350" s="189"/>
      <c r="G350" s="77"/>
      <c r="H350" s="77"/>
      <c r="I350" s="81" t="str">
        <f t="shared" si="14"/>
        <v/>
      </c>
      <c r="J350" s="81" t="str">
        <f>IF(I350="","",I350+(COUNTIF(I$4:I350,I350)-1)*0.001)</f>
        <v/>
      </c>
      <c r="S350" s="202"/>
      <c r="U350" s="93"/>
    </row>
    <row r="351" spans="1:21" ht="16.5">
      <c r="A351" s="78"/>
      <c r="B351" s="77"/>
      <c r="C351" s="77"/>
      <c r="D351" s="81" t="str">
        <f t="shared" si="13"/>
        <v/>
      </c>
      <c r="E351" s="90" t="str">
        <f>IF(D351="","",D351+(COUNTIF(D$4:D351,D351)-1)*0.001)</f>
        <v/>
      </c>
      <c r="F351" s="189"/>
      <c r="G351" s="77"/>
      <c r="H351" s="77"/>
      <c r="I351" s="81" t="str">
        <f t="shared" si="14"/>
        <v/>
      </c>
      <c r="J351" s="81" t="str">
        <f>IF(I351="","",I351+(COUNTIF(I$4:I351,I351)-1)*0.001)</f>
        <v/>
      </c>
      <c r="S351" s="202"/>
      <c r="U351" s="93"/>
    </row>
    <row r="352" spans="1:21">
      <c r="D352" s="81" t="str">
        <f t="shared" si="13"/>
        <v/>
      </c>
      <c r="E352" s="90" t="str">
        <f>IF(D352="","",D352+(COUNTIF(D$4:D352,D352)-1)*0.001)</f>
        <v/>
      </c>
      <c r="I352" s="81" t="str">
        <f t="shared" si="14"/>
        <v/>
      </c>
      <c r="J352" s="81" t="str">
        <f>IF(I352="","",I352+(COUNTIF(I$4:I352,I352)-1)*0.001)</f>
        <v/>
      </c>
      <c r="S352" s="202"/>
      <c r="U352" s="93"/>
    </row>
    <row r="353" spans="4:21">
      <c r="D353" s="81" t="str">
        <f t="shared" si="13"/>
        <v/>
      </c>
      <c r="E353" s="90" t="str">
        <f>IF(D353="","",D353+(COUNTIF(D$4:D353,D353)-1)*0.001)</f>
        <v/>
      </c>
      <c r="I353" s="81" t="str">
        <f t="shared" si="14"/>
        <v/>
      </c>
      <c r="J353" s="81" t="str">
        <f>IF(I353="","",I353+(COUNTIF(I$4:I353,I353)-1)*0.001)</f>
        <v/>
      </c>
      <c r="S353" s="202"/>
      <c r="U353" s="93"/>
    </row>
    <row r="354" spans="4:21">
      <c r="D354" s="81" t="str">
        <f t="shared" si="13"/>
        <v/>
      </c>
      <c r="E354" s="90" t="str">
        <f>IF(D354="","",D354+(COUNTIF(D$4:D354,D354)-1)*0.001)</f>
        <v/>
      </c>
      <c r="I354" s="81" t="str">
        <f t="shared" si="14"/>
        <v/>
      </c>
      <c r="J354" s="81" t="str">
        <f>IF(I354="","",I354+(COUNTIF(I$4:I354,I354)-1)*0.001)</f>
        <v/>
      </c>
      <c r="S354" s="202"/>
      <c r="U354" s="93"/>
    </row>
    <row r="355" spans="4:21">
      <c r="D355" s="81" t="str">
        <f t="shared" si="13"/>
        <v/>
      </c>
      <c r="E355" s="90" t="str">
        <f>IF(D355="","",D355+(COUNTIF(D$4:D355,D355)-1)*0.001)</f>
        <v/>
      </c>
      <c r="I355" s="81" t="str">
        <f t="shared" si="14"/>
        <v/>
      </c>
      <c r="J355" s="81" t="str">
        <f>IF(I355="","",I355+(COUNTIF(I$4:I355,I355)-1)*0.001)</f>
        <v/>
      </c>
      <c r="S355" s="202"/>
      <c r="U355" s="93"/>
    </row>
    <row r="356" spans="4:21">
      <c r="D356" s="81" t="str">
        <f t="shared" si="13"/>
        <v/>
      </c>
      <c r="E356" s="90" t="str">
        <f>IF(D356="","",D356+(COUNTIF(D$4:D356,D356)-1)*0.001)</f>
        <v/>
      </c>
      <c r="I356" s="81" t="str">
        <f t="shared" si="14"/>
        <v/>
      </c>
      <c r="J356" s="81" t="str">
        <f>IF(I356="","",I356+(COUNTIF(I$4:I356,I356)-1)*0.001)</f>
        <v/>
      </c>
      <c r="S356" s="202"/>
      <c r="U356" s="93"/>
    </row>
    <row r="357" spans="4:21">
      <c r="D357" s="81" t="str">
        <f t="shared" si="13"/>
        <v/>
      </c>
      <c r="E357" s="90" t="str">
        <f>IF(D357="","",D357+(COUNTIF(D$4:D357,D357)-1)*0.001)</f>
        <v/>
      </c>
      <c r="I357" s="81" t="str">
        <f t="shared" si="14"/>
        <v/>
      </c>
      <c r="J357" s="81" t="str">
        <f>IF(I357="","",I357+(COUNTIF(I$4:I357,I357)-1)*0.001)</f>
        <v/>
      </c>
      <c r="S357" s="202"/>
      <c r="U357" s="93"/>
    </row>
    <row r="358" spans="4:21">
      <c r="D358" s="81" t="str">
        <f t="shared" si="13"/>
        <v/>
      </c>
      <c r="E358" s="90" t="str">
        <f>IF(D358="","",D358+(COUNTIF(D$4:D358,D358)-1)*0.001)</f>
        <v/>
      </c>
      <c r="I358" s="81" t="str">
        <f t="shared" si="14"/>
        <v/>
      </c>
      <c r="J358" s="81" t="str">
        <f>IF(I358="","",I358+(COUNTIF(I$4:I358,I358)-1)*0.001)</f>
        <v/>
      </c>
      <c r="S358" s="202"/>
      <c r="U358" s="93"/>
    </row>
    <row r="359" spans="4:21">
      <c r="D359" s="81" t="str">
        <f t="shared" si="13"/>
        <v/>
      </c>
      <c r="E359" s="90" t="str">
        <f>IF(D359="","",D359+(COUNTIF(D$4:D359,D359)-1)*0.001)</f>
        <v/>
      </c>
      <c r="I359" s="81" t="str">
        <f t="shared" si="14"/>
        <v/>
      </c>
      <c r="J359" s="81" t="str">
        <f>IF(I359="","",I359+(COUNTIF(I$4:I359,I359)-1)*0.001)</f>
        <v/>
      </c>
      <c r="S359" s="202"/>
      <c r="U359" s="93"/>
    </row>
    <row r="360" spans="4:21">
      <c r="D360" s="81" t="str">
        <f t="shared" si="13"/>
        <v/>
      </c>
      <c r="E360" s="90" t="str">
        <f>IF(D360="","",D360+(COUNTIF(D$4:D360,D360)-1)*0.001)</f>
        <v/>
      </c>
      <c r="I360" s="81" t="str">
        <f t="shared" si="14"/>
        <v/>
      </c>
      <c r="J360" s="81" t="str">
        <f>IF(I360="","",I360+(COUNTIF(I$4:I360,I360)-1)*0.001)</f>
        <v/>
      </c>
      <c r="S360" s="202"/>
      <c r="U360" s="93"/>
    </row>
    <row r="361" spans="4:21">
      <c r="D361" s="81" t="str">
        <f t="shared" si="13"/>
        <v/>
      </c>
      <c r="E361" s="90" t="str">
        <f>IF(D361="","",D361+(COUNTIF(D$4:D361,D361)-1)*0.001)</f>
        <v/>
      </c>
      <c r="I361" s="81" t="str">
        <f t="shared" si="14"/>
        <v/>
      </c>
      <c r="J361" s="81" t="str">
        <f>IF(I361="","",I361+(COUNTIF(I$4:I361,I361)-1)*0.001)</f>
        <v/>
      </c>
      <c r="S361" s="202"/>
      <c r="U361" s="93"/>
    </row>
    <row r="362" spans="4:21">
      <c r="D362" s="81" t="str">
        <f t="shared" si="13"/>
        <v/>
      </c>
      <c r="E362" s="90" t="str">
        <f>IF(D362="","",D362+(COUNTIF(D$4:D362,D362)-1)*0.001)</f>
        <v/>
      </c>
      <c r="I362" s="81" t="str">
        <f t="shared" si="14"/>
        <v/>
      </c>
      <c r="J362" s="81" t="str">
        <f>IF(I362="","",I362+(COUNTIF(I$4:I362,I362)-1)*0.001)</f>
        <v/>
      </c>
      <c r="S362" s="202"/>
      <c r="U362" s="93"/>
    </row>
    <row r="363" spans="4:21">
      <c r="D363" s="81" t="str">
        <f t="shared" si="13"/>
        <v/>
      </c>
      <c r="E363" s="90" t="str">
        <f>IF(D363="","",D363+(COUNTIF(D$4:D363,D363)-1)*0.001)</f>
        <v/>
      </c>
      <c r="I363" s="81" t="str">
        <f t="shared" si="14"/>
        <v/>
      </c>
      <c r="J363" s="81" t="str">
        <f>IF(I363="","",I363+(COUNTIF(I$4:I363,I363)-1)*0.001)</f>
        <v/>
      </c>
      <c r="S363" s="202"/>
      <c r="U363" s="93"/>
    </row>
    <row r="364" spans="4:21">
      <c r="D364" s="81" t="str">
        <f t="shared" si="13"/>
        <v/>
      </c>
      <c r="E364" s="90" t="str">
        <f>IF(D364="","",D364+(COUNTIF(D$4:D364,D364)-1)*0.001)</f>
        <v/>
      </c>
      <c r="I364" s="81" t="str">
        <f t="shared" si="14"/>
        <v/>
      </c>
      <c r="J364" s="81" t="str">
        <f>IF(I364="","",I364+(COUNTIF(I$4:I364,I364)-1)*0.001)</f>
        <v/>
      </c>
      <c r="S364" s="202"/>
      <c r="U364" s="93"/>
    </row>
    <row r="365" spans="4:21">
      <c r="D365" s="81" t="str">
        <f t="shared" si="13"/>
        <v/>
      </c>
      <c r="E365" s="90" t="str">
        <f>IF(D365="","",D365+(COUNTIF(D$4:D365,D365)-1)*0.001)</f>
        <v/>
      </c>
      <c r="I365" s="81" t="str">
        <f t="shared" si="14"/>
        <v/>
      </c>
      <c r="J365" s="81" t="str">
        <f>IF(I365="","",I365+(COUNTIF(I$4:I365,I365)-1)*0.001)</f>
        <v/>
      </c>
      <c r="S365" s="202"/>
      <c r="U365" s="93"/>
    </row>
    <row r="366" spans="4:21">
      <c r="D366" s="81" t="str">
        <f t="shared" si="13"/>
        <v/>
      </c>
      <c r="E366" s="90" t="str">
        <f>IF(D366="","",D366+(COUNTIF(D$4:D366,D366)-1)*0.001)</f>
        <v/>
      </c>
      <c r="I366" s="81" t="str">
        <f t="shared" si="14"/>
        <v/>
      </c>
      <c r="J366" s="81" t="str">
        <f>IF(I366="","",I366+(COUNTIF(I$4:I366,I366)-1)*0.001)</f>
        <v/>
      </c>
      <c r="S366" s="202"/>
      <c r="U366" s="93"/>
    </row>
    <row r="367" spans="4:21">
      <c r="D367" s="81" t="str">
        <f t="shared" si="13"/>
        <v/>
      </c>
      <c r="E367" s="90" t="str">
        <f>IF(D367="","",D367+(COUNTIF(D$4:D367,D367)-1)*0.001)</f>
        <v/>
      </c>
      <c r="I367" s="81" t="str">
        <f t="shared" si="14"/>
        <v/>
      </c>
      <c r="J367" s="81" t="str">
        <f>IF(I367="","",I367+(COUNTIF(I$4:I367,I367)-1)*0.001)</f>
        <v/>
      </c>
      <c r="S367" s="202"/>
      <c r="U367" s="93"/>
    </row>
    <row r="368" spans="4:21">
      <c r="D368" s="81" t="str">
        <f t="shared" si="13"/>
        <v/>
      </c>
      <c r="E368" s="90" t="str">
        <f>IF(D368="","",D368+(COUNTIF(D$4:D368,D368)-1)*0.001)</f>
        <v/>
      </c>
      <c r="I368" s="81" t="str">
        <f t="shared" si="14"/>
        <v/>
      </c>
      <c r="J368" s="81" t="str">
        <f>IF(I368="","",I368+(COUNTIF(I$4:I368,I368)-1)*0.001)</f>
        <v/>
      </c>
      <c r="S368" s="202"/>
      <c r="U368" s="93"/>
    </row>
    <row r="369" spans="4:21">
      <c r="D369" s="81" t="str">
        <f t="shared" si="13"/>
        <v/>
      </c>
      <c r="E369" s="90" t="str">
        <f>IF(D369="","",D369+(COUNTIF(D$4:D369,D369)-1)*0.001)</f>
        <v/>
      </c>
      <c r="I369" s="81" t="str">
        <f t="shared" si="14"/>
        <v/>
      </c>
      <c r="J369" s="81" t="str">
        <f>IF(I369="","",I369+(COUNTIF(I$4:I369,I369)-1)*0.001)</f>
        <v/>
      </c>
      <c r="S369" s="202"/>
      <c r="U369" s="93"/>
    </row>
    <row r="370" spans="4:21">
      <c r="D370" s="81" t="str">
        <f t="shared" si="13"/>
        <v/>
      </c>
      <c r="E370" s="90" t="str">
        <f>IF(D370="","",D370+(COUNTIF(D$4:D370,D370)-1)*0.001)</f>
        <v/>
      </c>
      <c r="I370" s="81" t="str">
        <f t="shared" si="14"/>
        <v/>
      </c>
      <c r="J370" s="81" t="str">
        <f>IF(I370="","",I370+(COUNTIF(I$4:I370,I370)-1)*0.001)</f>
        <v/>
      </c>
      <c r="S370" s="202"/>
      <c r="U370" s="93"/>
    </row>
    <row r="371" spans="4:21">
      <c r="D371" s="81" t="str">
        <f t="shared" si="13"/>
        <v/>
      </c>
      <c r="E371" s="90" t="str">
        <f>IF(D371="","",D371+(COUNTIF(D$4:D371,D371)-1)*0.001)</f>
        <v/>
      </c>
      <c r="I371" s="81" t="str">
        <f t="shared" si="14"/>
        <v/>
      </c>
      <c r="J371" s="81" t="str">
        <f>IF(I371="","",I371+(COUNTIF(I$4:I371,I371)-1)*0.001)</f>
        <v/>
      </c>
      <c r="S371" s="202"/>
      <c r="U371" s="93"/>
    </row>
    <row r="372" spans="4:21">
      <c r="D372" s="81" t="str">
        <f t="shared" si="13"/>
        <v/>
      </c>
      <c r="E372" s="90" t="str">
        <f>IF(D372="","",D372+(COUNTIF(D$4:D372,D372)-1)*0.001)</f>
        <v/>
      </c>
      <c r="I372" s="81" t="str">
        <f t="shared" si="14"/>
        <v/>
      </c>
      <c r="J372" s="81" t="str">
        <f>IF(I372="","",I372+(COUNTIF(I$4:I372,I372)-1)*0.001)</f>
        <v/>
      </c>
      <c r="S372" s="202"/>
      <c r="U372" s="93"/>
    </row>
    <row r="373" spans="4:21">
      <c r="D373" s="81" t="str">
        <f t="shared" si="13"/>
        <v/>
      </c>
      <c r="E373" s="90" t="str">
        <f>IF(D373="","",D373+(COUNTIF(D$4:D373,D373)-1)*0.001)</f>
        <v/>
      </c>
      <c r="I373" s="81" t="str">
        <f t="shared" si="14"/>
        <v/>
      </c>
      <c r="J373" s="81" t="str">
        <f>IF(I373="","",I373+(COUNTIF(I$4:I373,I373)-1)*0.001)</f>
        <v/>
      </c>
      <c r="S373" s="202"/>
      <c r="U373" s="93"/>
    </row>
    <row r="374" spans="4:21">
      <c r="D374" s="81" t="str">
        <f t="shared" si="13"/>
        <v/>
      </c>
      <c r="E374" s="90" t="str">
        <f>IF(D374="","",D374+(COUNTIF(D$4:D374,D374)-1)*0.001)</f>
        <v/>
      </c>
      <c r="I374" s="81" t="str">
        <f t="shared" si="14"/>
        <v/>
      </c>
      <c r="J374" s="81" t="str">
        <f>IF(I374="","",I374+(COUNTIF(I$4:I374,I374)-1)*0.001)</f>
        <v/>
      </c>
      <c r="S374" s="202"/>
      <c r="U374" s="93"/>
    </row>
    <row r="375" spans="4:21">
      <c r="D375" s="81" t="str">
        <f t="shared" si="13"/>
        <v/>
      </c>
      <c r="E375" s="90" t="str">
        <f>IF(D375="","",D375+(COUNTIF(D$4:D375,D375)-1)*0.001)</f>
        <v/>
      </c>
      <c r="I375" s="81" t="str">
        <f t="shared" si="14"/>
        <v/>
      </c>
      <c r="J375" s="81" t="str">
        <f>IF(I375="","",I375+(COUNTIF(I$4:I375,I375)-1)*0.001)</f>
        <v/>
      </c>
      <c r="S375" s="202"/>
      <c r="U375" s="93"/>
    </row>
    <row r="376" spans="4:21">
      <c r="D376" s="81" t="str">
        <f t="shared" si="13"/>
        <v/>
      </c>
      <c r="E376" s="90" t="str">
        <f>IF(D376="","",D376+(COUNTIF(D$4:D376,D376)-1)*0.001)</f>
        <v/>
      </c>
      <c r="I376" s="81" t="str">
        <f t="shared" si="14"/>
        <v/>
      </c>
      <c r="J376" s="81" t="str">
        <f>IF(I376="","",I376+(COUNTIF(I$4:I376,I376)-1)*0.001)</f>
        <v/>
      </c>
      <c r="S376" s="202"/>
      <c r="U376" s="93"/>
    </row>
    <row r="377" spans="4:21">
      <c r="D377" s="81" t="str">
        <f t="shared" si="13"/>
        <v/>
      </c>
      <c r="E377" s="90" t="str">
        <f>IF(D377="","",D377+(COUNTIF(D$4:D377,D377)-1)*0.001)</f>
        <v/>
      </c>
      <c r="I377" s="81" t="str">
        <f t="shared" si="14"/>
        <v/>
      </c>
      <c r="J377" s="81" t="str">
        <f>IF(I377="","",I377+(COUNTIF(I$4:I377,I377)-1)*0.001)</f>
        <v/>
      </c>
      <c r="S377" s="202"/>
      <c r="U377" s="93"/>
    </row>
    <row r="378" spans="4:21">
      <c r="D378" s="81" t="str">
        <f t="shared" si="13"/>
        <v/>
      </c>
      <c r="E378" s="90" t="str">
        <f>IF(D378="","",D378+(COUNTIF(D$4:D378,D378)-1)*0.001)</f>
        <v/>
      </c>
      <c r="I378" s="81" t="str">
        <f t="shared" si="14"/>
        <v/>
      </c>
      <c r="J378" s="81" t="str">
        <f>IF(I378="","",I378+(COUNTIF(I$4:I378,I378)-1)*0.001)</f>
        <v/>
      </c>
      <c r="S378" s="202"/>
      <c r="U378" s="93"/>
    </row>
    <row r="379" spans="4:21">
      <c r="D379" s="81" t="str">
        <f t="shared" si="13"/>
        <v/>
      </c>
      <c r="E379" s="90" t="str">
        <f>IF(D379="","",D379+(COUNTIF(D$4:D379,D379)-1)*0.001)</f>
        <v/>
      </c>
      <c r="I379" s="81" t="str">
        <f t="shared" si="14"/>
        <v/>
      </c>
      <c r="J379" s="81" t="str">
        <f>IF(I379="","",I379+(COUNTIF(I$4:I379,I379)-1)*0.001)</f>
        <v/>
      </c>
      <c r="S379" s="202"/>
      <c r="U379" s="93"/>
    </row>
    <row r="380" spans="4:21">
      <c r="D380" s="81" t="str">
        <f t="shared" si="13"/>
        <v/>
      </c>
      <c r="E380" s="90" t="str">
        <f>IF(D380="","",D380+(COUNTIF(D$4:D380,D380)-1)*0.001)</f>
        <v/>
      </c>
      <c r="I380" s="81" t="str">
        <f t="shared" si="14"/>
        <v/>
      </c>
      <c r="J380" s="81" t="str">
        <f>IF(I380="","",I380+(COUNTIF(I$4:I380,I380)-1)*0.001)</f>
        <v/>
      </c>
      <c r="S380" s="202"/>
      <c r="U380" s="93"/>
    </row>
    <row r="381" spans="4:21">
      <c r="D381" s="81" t="str">
        <f t="shared" si="13"/>
        <v/>
      </c>
      <c r="E381" s="90" t="str">
        <f>IF(D381="","",D381+(COUNTIF(D$4:D381,D381)-1)*0.001)</f>
        <v/>
      </c>
      <c r="I381" s="81" t="str">
        <f t="shared" si="14"/>
        <v/>
      </c>
      <c r="J381" s="81" t="str">
        <f>IF(I381="","",I381+(COUNTIF(I$4:I381,I381)-1)*0.001)</f>
        <v/>
      </c>
      <c r="S381" s="202"/>
      <c r="U381" s="93"/>
    </row>
    <row r="382" spans="4:21">
      <c r="D382" s="81" t="str">
        <f t="shared" si="13"/>
        <v/>
      </c>
      <c r="E382" s="90" t="str">
        <f>IF(D382="","",D382+(COUNTIF(D$4:D382,D382)-1)*0.001)</f>
        <v/>
      </c>
      <c r="I382" s="81" t="str">
        <f t="shared" si="14"/>
        <v/>
      </c>
      <c r="J382" s="81" t="str">
        <f>IF(I382="","",I382+(COUNTIF(I$4:I382,I382)-1)*0.001)</f>
        <v/>
      </c>
      <c r="S382" s="202"/>
      <c r="U382" s="93"/>
    </row>
    <row r="383" spans="4:21">
      <c r="D383" s="81" t="str">
        <f t="shared" si="13"/>
        <v/>
      </c>
      <c r="E383" s="90" t="str">
        <f>IF(D383="","",D383+(COUNTIF(D$4:D383,D383)-1)*0.001)</f>
        <v/>
      </c>
      <c r="I383" s="81" t="str">
        <f t="shared" si="14"/>
        <v/>
      </c>
      <c r="J383" s="81" t="str">
        <f>IF(I383="","",I383+(COUNTIF(I$4:I383,I383)-1)*0.001)</f>
        <v/>
      </c>
      <c r="S383" s="202"/>
      <c r="U383" s="93"/>
    </row>
    <row r="384" spans="4:21">
      <c r="D384" s="81" t="str">
        <f t="shared" si="13"/>
        <v/>
      </c>
      <c r="E384" s="90" t="str">
        <f>IF(D384="","",D384+(COUNTIF(D$4:D384,D384)-1)*0.001)</f>
        <v/>
      </c>
      <c r="I384" s="81" t="str">
        <f t="shared" si="14"/>
        <v/>
      </c>
      <c r="J384" s="81" t="str">
        <f>IF(I384="","",I384+(COUNTIF(I$4:I384,I384)-1)*0.001)</f>
        <v/>
      </c>
      <c r="S384" s="202"/>
      <c r="U384" s="93"/>
    </row>
    <row r="385" spans="4:21">
      <c r="D385" s="81" t="str">
        <f t="shared" si="13"/>
        <v/>
      </c>
      <c r="E385" s="90" t="str">
        <f>IF(D385="","",D385+(COUNTIF(D$4:D385,D385)-1)*0.001)</f>
        <v/>
      </c>
      <c r="I385" s="81" t="str">
        <f t="shared" si="14"/>
        <v/>
      </c>
      <c r="J385" s="81" t="str">
        <f>IF(I385="","",I385+(COUNTIF(I$4:I385,I385)-1)*0.001)</f>
        <v/>
      </c>
      <c r="S385" s="202"/>
      <c r="U385" s="93"/>
    </row>
    <row r="386" spans="4:21">
      <c r="D386" s="81" t="str">
        <f t="shared" si="13"/>
        <v/>
      </c>
      <c r="E386" s="90" t="str">
        <f>IF(D386="","",D386+(COUNTIF(D$4:D386,D386)-1)*0.001)</f>
        <v/>
      </c>
      <c r="I386" s="81" t="str">
        <f t="shared" si="14"/>
        <v/>
      </c>
      <c r="J386" s="81" t="str">
        <f>IF(I386="","",I386+(COUNTIF(I$4:I386,I386)-1)*0.001)</f>
        <v/>
      </c>
      <c r="S386" s="202"/>
      <c r="U386" s="93"/>
    </row>
    <row r="387" spans="4:21">
      <c r="D387" s="81" t="str">
        <f t="shared" si="13"/>
        <v/>
      </c>
      <c r="E387" s="90" t="str">
        <f>IF(D387="","",D387+(COUNTIF(D$4:D387,D387)-1)*0.001)</f>
        <v/>
      </c>
      <c r="I387" s="81" t="str">
        <f t="shared" si="14"/>
        <v/>
      </c>
      <c r="J387" s="81" t="str">
        <f>IF(I387="","",I387+(COUNTIF(I$4:I387,I387)-1)*0.001)</f>
        <v/>
      </c>
      <c r="S387" s="202"/>
      <c r="U387" s="93"/>
    </row>
    <row r="388" spans="4:21">
      <c r="D388" s="81" t="str">
        <f t="shared" ref="D388:D451" si="15">IF(A388="","",IFERROR(INDEX(收盤1,MATCH(A388,代號1,0)),IFERROR(INDEX(收盤2,MATCH(A388,代號2,0)),IFERROR(INDEX(收盤3,MATCH(A388,代號3,0)),INDEX(收盤4,MATCH(A388,代號4,0)))))*C388)</f>
        <v/>
      </c>
      <c r="E388" s="90" t="str">
        <f>IF(D388="","",D388+(COUNTIF(D$4:D388,D388)-1)*0.001)</f>
        <v/>
      </c>
      <c r="I388" s="81" t="str">
        <f t="shared" ref="I388:I451" si="16">IF(F388="","",IFERROR(INDEX(收盤1,MATCH(F388,代號1,0)),IFERROR(INDEX(收盤2,MATCH(F388,代號2,0)),IFERROR(INDEX(收盤3,MATCH(F388,代號3,0)),INDEX(收盤4,MATCH(F388,代號4,0)))))*H388)</f>
        <v/>
      </c>
      <c r="J388" s="81" t="str">
        <f>IF(I388="","",I388+(COUNTIF(I$4:I388,I388)-1)*0.001)</f>
        <v/>
      </c>
      <c r="S388" s="202"/>
      <c r="U388" s="93"/>
    </row>
    <row r="389" spans="4:21">
      <c r="D389" s="81" t="str">
        <f t="shared" si="15"/>
        <v/>
      </c>
      <c r="E389" s="90" t="str">
        <f>IF(D389="","",D389+(COUNTIF(D$4:D389,D389)-1)*0.001)</f>
        <v/>
      </c>
      <c r="I389" s="81" t="str">
        <f t="shared" si="16"/>
        <v/>
      </c>
      <c r="J389" s="81" t="str">
        <f>IF(I389="","",I389+(COUNTIF(I$4:I389,I389)-1)*0.001)</f>
        <v/>
      </c>
      <c r="S389" s="202"/>
      <c r="U389" s="93"/>
    </row>
    <row r="390" spans="4:21">
      <c r="D390" s="81" t="str">
        <f t="shared" si="15"/>
        <v/>
      </c>
      <c r="E390" s="90" t="str">
        <f>IF(D390="","",D390+(COUNTIF(D$4:D390,D390)-1)*0.001)</f>
        <v/>
      </c>
      <c r="I390" s="81" t="str">
        <f t="shared" si="16"/>
        <v/>
      </c>
      <c r="J390" s="81" t="str">
        <f>IF(I390="","",I390+(COUNTIF(I$4:I390,I390)-1)*0.001)</f>
        <v/>
      </c>
      <c r="S390" s="202"/>
      <c r="U390" s="93"/>
    </row>
    <row r="391" spans="4:21">
      <c r="D391" s="81" t="str">
        <f t="shared" si="15"/>
        <v/>
      </c>
      <c r="E391" s="90" t="str">
        <f>IF(D391="","",D391+(COUNTIF(D$4:D391,D391)-1)*0.001)</f>
        <v/>
      </c>
      <c r="I391" s="81" t="str">
        <f t="shared" si="16"/>
        <v/>
      </c>
      <c r="J391" s="81" t="str">
        <f>IF(I391="","",I391+(COUNTIF(I$4:I391,I391)-1)*0.001)</f>
        <v/>
      </c>
      <c r="S391" s="202"/>
      <c r="U391" s="93"/>
    </row>
    <row r="392" spans="4:21">
      <c r="D392" s="81" t="str">
        <f t="shared" si="15"/>
        <v/>
      </c>
      <c r="E392" s="90" t="str">
        <f>IF(D392="","",D392+(COUNTIF(D$4:D392,D392)-1)*0.001)</f>
        <v/>
      </c>
      <c r="I392" s="81" t="str">
        <f t="shared" si="16"/>
        <v/>
      </c>
      <c r="J392" s="81" t="str">
        <f>IF(I392="","",I392+(COUNTIF(I$4:I392,I392)-1)*0.001)</f>
        <v/>
      </c>
      <c r="S392" s="202"/>
      <c r="U392" s="93"/>
    </row>
    <row r="393" spans="4:21">
      <c r="D393" s="81" t="str">
        <f t="shared" si="15"/>
        <v/>
      </c>
      <c r="E393" s="90" t="str">
        <f>IF(D393="","",D393+(COUNTIF(D$4:D393,D393)-1)*0.001)</f>
        <v/>
      </c>
      <c r="I393" s="81" t="str">
        <f t="shared" si="16"/>
        <v/>
      </c>
      <c r="J393" s="81" t="str">
        <f>IF(I393="","",I393+(COUNTIF(I$4:I393,I393)-1)*0.001)</f>
        <v/>
      </c>
      <c r="S393" s="202"/>
      <c r="U393" s="93"/>
    </row>
    <row r="394" spans="4:21">
      <c r="D394" s="81" t="str">
        <f t="shared" si="15"/>
        <v/>
      </c>
      <c r="E394" s="90" t="str">
        <f>IF(D394="","",D394+(COUNTIF(D$4:D394,D394)-1)*0.001)</f>
        <v/>
      </c>
      <c r="I394" s="81" t="str">
        <f t="shared" si="16"/>
        <v/>
      </c>
      <c r="J394" s="81" t="str">
        <f>IF(I394="","",I394+(COUNTIF(I$4:I394,I394)-1)*0.001)</f>
        <v/>
      </c>
      <c r="S394" s="202"/>
      <c r="U394" s="93"/>
    </row>
    <row r="395" spans="4:21">
      <c r="D395" s="81" t="str">
        <f t="shared" si="15"/>
        <v/>
      </c>
      <c r="E395" s="90" t="str">
        <f>IF(D395="","",D395+(COUNTIF(D$4:D395,D395)-1)*0.001)</f>
        <v/>
      </c>
      <c r="I395" s="81" t="str">
        <f t="shared" si="16"/>
        <v/>
      </c>
      <c r="J395" s="81" t="str">
        <f>IF(I395="","",I395+(COUNTIF(I$4:I395,I395)-1)*0.001)</f>
        <v/>
      </c>
      <c r="S395" s="202"/>
      <c r="U395" s="93"/>
    </row>
    <row r="396" spans="4:21">
      <c r="D396" s="81" t="str">
        <f t="shared" si="15"/>
        <v/>
      </c>
      <c r="E396" s="90" t="str">
        <f>IF(D396="","",D396+(COUNTIF(D$4:D396,D396)-1)*0.001)</f>
        <v/>
      </c>
      <c r="I396" s="81" t="str">
        <f t="shared" si="16"/>
        <v/>
      </c>
      <c r="J396" s="81" t="str">
        <f>IF(I396="","",I396+(COUNTIF(I$4:I396,I396)-1)*0.001)</f>
        <v/>
      </c>
      <c r="S396" s="202"/>
      <c r="U396" s="93"/>
    </row>
    <row r="397" spans="4:21">
      <c r="D397" s="81" t="str">
        <f t="shared" si="15"/>
        <v/>
      </c>
      <c r="E397" s="90" t="str">
        <f>IF(D397="","",D397+(COUNTIF(D$4:D397,D397)-1)*0.001)</f>
        <v/>
      </c>
      <c r="I397" s="81" t="str">
        <f t="shared" si="16"/>
        <v/>
      </c>
      <c r="J397" s="81" t="str">
        <f>IF(I397="","",I397+(COUNTIF(I$4:I397,I397)-1)*0.001)</f>
        <v/>
      </c>
      <c r="S397" s="202"/>
      <c r="U397" s="93"/>
    </row>
    <row r="398" spans="4:21">
      <c r="D398" s="81" t="str">
        <f t="shared" si="15"/>
        <v/>
      </c>
      <c r="E398" s="90" t="str">
        <f>IF(D398="","",D398+(COUNTIF(D$4:D398,D398)-1)*0.001)</f>
        <v/>
      </c>
      <c r="I398" s="81" t="str">
        <f t="shared" si="16"/>
        <v/>
      </c>
      <c r="J398" s="81" t="str">
        <f>IF(I398="","",I398+(COUNTIF(I$4:I398,I398)-1)*0.001)</f>
        <v/>
      </c>
      <c r="S398" s="202"/>
      <c r="U398" s="93"/>
    </row>
    <row r="399" spans="4:21">
      <c r="D399" s="81" t="str">
        <f t="shared" si="15"/>
        <v/>
      </c>
      <c r="E399" s="90" t="str">
        <f>IF(D399="","",D399+(COUNTIF(D$4:D399,D399)-1)*0.001)</f>
        <v/>
      </c>
      <c r="I399" s="81" t="str">
        <f t="shared" si="16"/>
        <v/>
      </c>
      <c r="J399" s="81" t="str">
        <f>IF(I399="","",I399+(COUNTIF(I$4:I399,I399)-1)*0.001)</f>
        <v/>
      </c>
      <c r="S399" s="202"/>
      <c r="U399" s="93"/>
    </row>
    <row r="400" spans="4:21">
      <c r="D400" s="81" t="str">
        <f t="shared" si="15"/>
        <v/>
      </c>
      <c r="E400" s="90" t="str">
        <f>IF(D400="","",D400+(COUNTIF(D$4:D400,D400)-1)*0.001)</f>
        <v/>
      </c>
      <c r="I400" s="81" t="str">
        <f t="shared" si="16"/>
        <v/>
      </c>
      <c r="J400" s="81" t="str">
        <f>IF(I400="","",I400+(COUNTIF(I$4:I400,I400)-1)*0.001)</f>
        <v/>
      </c>
      <c r="S400" s="202"/>
      <c r="U400" s="93"/>
    </row>
    <row r="401" spans="4:21">
      <c r="D401" s="81" t="str">
        <f t="shared" si="15"/>
        <v/>
      </c>
      <c r="E401" s="90" t="str">
        <f>IF(D401="","",D401+(COUNTIF(D$4:D401,D401)-1)*0.001)</f>
        <v/>
      </c>
      <c r="I401" s="81" t="str">
        <f t="shared" si="16"/>
        <v/>
      </c>
      <c r="J401" s="81" t="str">
        <f>IF(I401="","",I401+(COUNTIF(I$4:I401,I401)-1)*0.001)</f>
        <v/>
      </c>
      <c r="S401" s="202"/>
      <c r="U401" s="93"/>
    </row>
    <row r="402" spans="4:21">
      <c r="D402" s="81" t="str">
        <f t="shared" si="15"/>
        <v/>
      </c>
      <c r="E402" s="90" t="str">
        <f>IF(D402="","",D402+(COUNTIF(D$4:D402,D402)-1)*0.001)</f>
        <v/>
      </c>
      <c r="I402" s="81" t="str">
        <f t="shared" si="16"/>
        <v/>
      </c>
      <c r="J402" s="81" t="str">
        <f>IF(I402="","",I402+(COUNTIF(I$4:I402,I402)-1)*0.001)</f>
        <v/>
      </c>
      <c r="S402" s="202"/>
      <c r="U402" s="93"/>
    </row>
    <row r="403" spans="4:21">
      <c r="D403" s="81" t="str">
        <f t="shared" si="15"/>
        <v/>
      </c>
      <c r="E403" s="90" t="str">
        <f>IF(D403="","",D403+(COUNTIF(D$4:D403,D403)-1)*0.001)</f>
        <v/>
      </c>
      <c r="I403" s="81" t="str">
        <f t="shared" si="16"/>
        <v/>
      </c>
      <c r="J403" s="81" t="str">
        <f>IF(I403="","",I403+(COUNTIF(I$4:I403,I403)-1)*0.001)</f>
        <v/>
      </c>
      <c r="S403" s="202"/>
      <c r="U403" s="93"/>
    </row>
    <row r="404" spans="4:21">
      <c r="D404" s="81" t="str">
        <f t="shared" si="15"/>
        <v/>
      </c>
      <c r="E404" s="90" t="str">
        <f>IF(D404="","",D404+(COUNTIF(D$4:D404,D404)-1)*0.001)</f>
        <v/>
      </c>
      <c r="I404" s="81" t="str">
        <f t="shared" si="16"/>
        <v/>
      </c>
      <c r="J404" s="81" t="str">
        <f>IF(I404="","",I404+(COUNTIF(I$4:I404,I404)-1)*0.001)</f>
        <v/>
      </c>
      <c r="S404" s="202"/>
      <c r="U404" s="93"/>
    </row>
    <row r="405" spans="4:21">
      <c r="D405" s="81" t="str">
        <f t="shared" si="15"/>
        <v/>
      </c>
      <c r="E405" s="90" t="str">
        <f>IF(D405="","",D405+(COUNTIF(D$4:D405,D405)-1)*0.001)</f>
        <v/>
      </c>
      <c r="I405" s="81" t="str">
        <f t="shared" si="16"/>
        <v/>
      </c>
      <c r="J405" s="81" t="str">
        <f>IF(I405="","",I405+(COUNTIF(I$4:I405,I405)-1)*0.001)</f>
        <v/>
      </c>
      <c r="S405" s="202"/>
      <c r="U405" s="93"/>
    </row>
    <row r="406" spans="4:21">
      <c r="D406" s="81" t="str">
        <f t="shared" si="15"/>
        <v/>
      </c>
      <c r="E406" s="90" t="str">
        <f>IF(D406="","",D406+(COUNTIF(D$4:D406,D406)-1)*0.001)</f>
        <v/>
      </c>
      <c r="I406" s="81" t="str">
        <f t="shared" si="16"/>
        <v/>
      </c>
      <c r="J406" s="81" t="str">
        <f>IF(I406="","",I406+(COUNTIF(I$4:I406,I406)-1)*0.001)</f>
        <v/>
      </c>
      <c r="S406" s="202"/>
      <c r="U406" s="93"/>
    </row>
    <row r="407" spans="4:21">
      <c r="D407" s="81" t="str">
        <f t="shared" si="15"/>
        <v/>
      </c>
      <c r="E407" s="90" t="str">
        <f>IF(D407="","",D407+(COUNTIF(D$4:D407,D407)-1)*0.001)</f>
        <v/>
      </c>
      <c r="I407" s="81" t="str">
        <f t="shared" si="16"/>
        <v/>
      </c>
      <c r="J407" s="81" t="str">
        <f>IF(I407="","",I407+(COUNTIF(I$4:I407,I407)-1)*0.001)</f>
        <v/>
      </c>
      <c r="S407" s="202"/>
      <c r="U407" s="93"/>
    </row>
    <row r="408" spans="4:21">
      <c r="D408" s="81" t="str">
        <f t="shared" si="15"/>
        <v/>
      </c>
      <c r="E408" s="90" t="str">
        <f>IF(D408="","",D408+(COUNTIF(D$4:D408,D408)-1)*0.001)</f>
        <v/>
      </c>
      <c r="I408" s="81" t="str">
        <f t="shared" si="16"/>
        <v/>
      </c>
      <c r="J408" s="81" t="str">
        <f>IF(I408="","",I408+(COUNTIF(I$4:I408,I408)-1)*0.001)</f>
        <v/>
      </c>
      <c r="S408" s="202"/>
      <c r="U408" s="93"/>
    </row>
    <row r="409" spans="4:21">
      <c r="D409" s="81" t="str">
        <f t="shared" si="15"/>
        <v/>
      </c>
      <c r="E409" s="90" t="str">
        <f>IF(D409="","",D409+(COUNTIF(D$4:D409,D409)-1)*0.001)</f>
        <v/>
      </c>
      <c r="I409" s="81" t="str">
        <f t="shared" si="16"/>
        <v/>
      </c>
      <c r="J409" s="81" t="str">
        <f>IF(I409="","",I409+(COUNTIF(I$4:I409,I409)-1)*0.001)</f>
        <v/>
      </c>
      <c r="S409" s="202"/>
      <c r="U409" s="93"/>
    </row>
    <row r="410" spans="4:21">
      <c r="D410" s="81" t="str">
        <f t="shared" si="15"/>
        <v/>
      </c>
      <c r="E410" s="90" t="str">
        <f>IF(D410="","",D410+(COUNTIF(D$4:D410,D410)-1)*0.001)</f>
        <v/>
      </c>
      <c r="I410" s="81" t="str">
        <f t="shared" si="16"/>
        <v/>
      </c>
      <c r="J410" s="81" t="str">
        <f>IF(I410="","",I410+(COUNTIF(I$4:I410,I410)-1)*0.001)</f>
        <v/>
      </c>
      <c r="S410" s="202"/>
      <c r="U410" s="93"/>
    </row>
    <row r="411" spans="4:21">
      <c r="D411" s="81" t="str">
        <f t="shared" si="15"/>
        <v/>
      </c>
      <c r="E411" s="90" t="str">
        <f>IF(D411="","",D411+(COUNTIF(D$4:D411,D411)-1)*0.001)</f>
        <v/>
      </c>
      <c r="I411" s="81" t="str">
        <f t="shared" si="16"/>
        <v/>
      </c>
      <c r="J411" s="81" t="str">
        <f>IF(I411="","",I411+(COUNTIF(I$4:I411,I411)-1)*0.001)</f>
        <v/>
      </c>
      <c r="S411" s="202"/>
      <c r="U411" s="93"/>
    </row>
    <row r="412" spans="4:21">
      <c r="D412" s="81" t="str">
        <f t="shared" si="15"/>
        <v/>
      </c>
      <c r="E412" s="90" t="str">
        <f>IF(D412="","",D412+(COUNTIF(D$4:D412,D412)-1)*0.001)</f>
        <v/>
      </c>
      <c r="I412" s="81" t="str">
        <f t="shared" si="16"/>
        <v/>
      </c>
      <c r="J412" s="81" t="str">
        <f>IF(I412="","",I412+(COUNTIF(I$4:I412,I412)-1)*0.001)</f>
        <v/>
      </c>
      <c r="S412" s="202"/>
      <c r="U412" s="93"/>
    </row>
    <row r="413" spans="4:21">
      <c r="D413" s="81" t="str">
        <f t="shared" si="15"/>
        <v/>
      </c>
      <c r="E413" s="90" t="str">
        <f>IF(D413="","",D413+(COUNTIF(D$4:D413,D413)-1)*0.001)</f>
        <v/>
      </c>
      <c r="I413" s="81" t="str">
        <f t="shared" si="16"/>
        <v/>
      </c>
      <c r="J413" s="81" t="str">
        <f>IF(I413="","",I413+(COUNTIF(I$4:I413,I413)-1)*0.001)</f>
        <v/>
      </c>
      <c r="S413" s="202"/>
      <c r="U413" s="93"/>
    </row>
    <row r="414" spans="4:21">
      <c r="D414" s="81" t="str">
        <f t="shared" si="15"/>
        <v/>
      </c>
      <c r="E414" s="90" t="str">
        <f>IF(D414="","",D414+(COUNTIF(D$4:D414,D414)-1)*0.001)</f>
        <v/>
      </c>
      <c r="I414" s="81" t="str">
        <f t="shared" si="16"/>
        <v/>
      </c>
      <c r="J414" s="81" t="str">
        <f>IF(I414="","",I414+(COUNTIF(I$4:I414,I414)-1)*0.001)</f>
        <v/>
      </c>
      <c r="S414" s="202"/>
      <c r="U414" s="93"/>
    </row>
    <row r="415" spans="4:21">
      <c r="D415" s="81" t="str">
        <f t="shared" si="15"/>
        <v/>
      </c>
      <c r="E415" s="90" t="str">
        <f>IF(D415="","",D415+(COUNTIF(D$4:D415,D415)-1)*0.001)</f>
        <v/>
      </c>
      <c r="I415" s="81" t="str">
        <f t="shared" si="16"/>
        <v/>
      </c>
      <c r="J415" s="81" t="str">
        <f>IF(I415="","",I415+(COUNTIF(I$4:I415,I415)-1)*0.001)</f>
        <v/>
      </c>
      <c r="S415" s="202"/>
      <c r="U415" s="93"/>
    </row>
    <row r="416" spans="4:21">
      <c r="D416" s="81" t="str">
        <f t="shared" si="15"/>
        <v/>
      </c>
      <c r="E416" s="90" t="str">
        <f>IF(D416="","",D416+(COUNTIF(D$4:D416,D416)-1)*0.001)</f>
        <v/>
      </c>
      <c r="I416" s="81" t="str">
        <f t="shared" si="16"/>
        <v/>
      </c>
      <c r="J416" s="81" t="str">
        <f>IF(I416="","",I416+(COUNTIF(I$4:I416,I416)-1)*0.001)</f>
        <v/>
      </c>
      <c r="S416" s="202"/>
      <c r="U416" s="93"/>
    </row>
    <row r="417" spans="4:21">
      <c r="D417" s="81" t="str">
        <f t="shared" si="15"/>
        <v/>
      </c>
      <c r="E417" s="90" t="str">
        <f>IF(D417="","",D417+(COUNTIF(D$4:D417,D417)-1)*0.001)</f>
        <v/>
      </c>
      <c r="I417" s="81" t="str">
        <f t="shared" si="16"/>
        <v/>
      </c>
      <c r="J417" s="81" t="str">
        <f>IF(I417="","",I417+(COUNTIF(I$4:I417,I417)-1)*0.001)</f>
        <v/>
      </c>
      <c r="S417" s="202"/>
      <c r="U417" s="93"/>
    </row>
    <row r="418" spans="4:21">
      <c r="D418" s="81" t="str">
        <f t="shared" si="15"/>
        <v/>
      </c>
      <c r="E418" s="90" t="str">
        <f>IF(D418="","",D418+(COUNTIF(D$4:D418,D418)-1)*0.001)</f>
        <v/>
      </c>
      <c r="I418" s="81" t="str">
        <f t="shared" si="16"/>
        <v/>
      </c>
      <c r="J418" s="81" t="str">
        <f>IF(I418="","",I418+(COUNTIF(I$4:I418,I418)-1)*0.001)</f>
        <v/>
      </c>
      <c r="S418" s="202"/>
      <c r="U418" s="93"/>
    </row>
    <row r="419" spans="4:21">
      <c r="D419" s="81" t="str">
        <f t="shared" si="15"/>
        <v/>
      </c>
      <c r="E419" s="90" t="str">
        <f>IF(D419="","",D419+(COUNTIF(D$4:D419,D419)-1)*0.001)</f>
        <v/>
      </c>
      <c r="I419" s="81" t="str">
        <f t="shared" si="16"/>
        <v/>
      </c>
      <c r="J419" s="81" t="str">
        <f>IF(I419="","",I419+(COUNTIF(I$4:I419,I419)-1)*0.001)</f>
        <v/>
      </c>
      <c r="S419" s="202"/>
      <c r="U419" s="93"/>
    </row>
    <row r="420" spans="4:21">
      <c r="D420" s="81" t="str">
        <f t="shared" si="15"/>
        <v/>
      </c>
      <c r="E420" s="90" t="str">
        <f>IF(D420="","",D420+(COUNTIF(D$4:D420,D420)-1)*0.001)</f>
        <v/>
      </c>
      <c r="I420" s="81" t="str">
        <f t="shared" si="16"/>
        <v/>
      </c>
      <c r="J420" s="81" t="str">
        <f>IF(I420="","",I420+(COUNTIF(I$4:I420,I420)-1)*0.001)</f>
        <v/>
      </c>
      <c r="S420" s="202"/>
      <c r="U420" s="93"/>
    </row>
    <row r="421" spans="4:21">
      <c r="D421" s="81" t="str">
        <f t="shared" si="15"/>
        <v/>
      </c>
      <c r="E421" s="90" t="str">
        <f>IF(D421="","",D421+(COUNTIF(D$4:D421,D421)-1)*0.001)</f>
        <v/>
      </c>
      <c r="I421" s="81" t="str">
        <f t="shared" si="16"/>
        <v/>
      </c>
      <c r="J421" s="81" t="str">
        <f>IF(I421="","",I421+(COUNTIF(I$4:I421,I421)-1)*0.001)</f>
        <v/>
      </c>
      <c r="S421" s="202"/>
      <c r="U421" s="93"/>
    </row>
    <row r="422" spans="4:21">
      <c r="D422" s="81" t="str">
        <f t="shared" si="15"/>
        <v/>
      </c>
      <c r="E422" s="90" t="str">
        <f>IF(D422="","",D422+(COUNTIF(D$4:D422,D422)-1)*0.001)</f>
        <v/>
      </c>
      <c r="I422" s="81" t="str">
        <f t="shared" si="16"/>
        <v/>
      </c>
      <c r="J422" s="81" t="str">
        <f>IF(I422="","",I422+(COUNTIF(I$4:I422,I422)-1)*0.001)</f>
        <v/>
      </c>
      <c r="S422" s="202"/>
      <c r="U422" s="93"/>
    </row>
    <row r="423" spans="4:21">
      <c r="D423" s="81" t="str">
        <f t="shared" si="15"/>
        <v/>
      </c>
      <c r="E423" s="90" t="str">
        <f>IF(D423="","",D423+(COUNTIF(D$4:D423,D423)-1)*0.001)</f>
        <v/>
      </c>
      <c r="I423" s="81" t="str">
        <f t="shared" si="16"/>
        <v/>
      </c>
      <c r="J423" s="81" t="str">
        <f>IF(I423="","",I423+(COUNTIF(I$4:I423,I423)-1)*0.001)</f>
        <v/>
      </c>
      <c r="S423" s="202"/>
      <c r="U423" s="93"/>
    </row>
    <row r="424" spans="4:21">
      <c r="D424" s="81" t="str">
        <f t="shared" si="15"/>
        <v/>
      </c>
      <c r="E424" s="90" t="str">
        <f>IF(D424="","",D424+(COUNTIF(D$4:D424,D424)-1)*0.001)</f>
        <v/>
      </c>
      <c r="I424" s="81" t="str">
        <f t="shared" si="16"/>
        <v/>
      </c>
      <c r="J424" s="81" t="str">
        <f>IF(I424="","",I424+(COUNTIF(I$4:I424,I424)-1)*0.001)</f>
        <v/>
      </c>
      <c r="S424" s="202"/>
      <c r="U424" s="93"/>
    </row>
    <row r="425" spans="4:21">
      <c r="D425" s="81" t="str">
        <f t="shared" si="15"/>
        <v/>
      </c>
      <c r="E425" s="90" t="str">
        <f>IF(D425="","",D425+(COUNTIF(D$4:D425,D425)-1)*0.001)</f>
        <v/>
      </c>
      <c r="I425" s="81" t="str">
        <f t="shared" si="16"/>
        <v/>
      </c>
      <c r="J425" s="81" t="str">
        <f>IF(I425="","",I425+(COUNTIF(I$4:I425,I425)-1)*0.001)</f>
        <v/>
      </c>
      <c r="S425" s="202"/>
      <c r="U425" s="93"/>
    </row>
    <row r="426" spans="4:21">
      <c r="D426" s="81" t="str">
        <f t="shared" si="15"/>
        <v/>
      </c>
      <c r="E426" s="90" t="str">
        <f>IF(D426="","",D426+(COUNTIF(D$4:D426,D426)-1)*0.001)</f>
        <v/>
      </c>
      <c r="I426" s="81" t="str">
        <f t="shared" si="16"/>
        <v/>
      </c>
      <c r="J426" s="81" t="str">
        <f>IF(I426="","",I426+(COUNTIF(I$4:I426,I426)-1)*0.001)</f>
        <v/>
      </c>
      <c r="S426" s="202"/>
      <c r="U426" s="93"/>
    </row>
    <row r="427" spans="4:21">
      <c r="D427" s="81" t="str">
        <f t="shared" si="15"/>
        <v/>
      </c>
      <c r="E427" s="90" t="str">
        <f>IF(D427="","",D427+(COUNTIF(D$4:D427,D427)-1)*0.001)</f>
        <v/>
      </c>
      <c r="I427" s="81" t="str">
        <f t="shared" si="16"/>
        <v/>
      </c>
      <c r="J427" s="81" t="str">
        <f>IF(I427="","",I427+(COUNTIF(I$4:I427,I427)-1)*0.001)</f>
        <v/>
      </c>
      <c r="S427" s="202"/>
      <c r="U427" s="93"/>
    </row>
    <row r="428" spans="4:21">
      <c r="D428" s="81" t="str">
        <f t="shared" si="15"/>
        <v/>
      </c>
      <c r="E428" s="90" t="str">
        <f>IF(D428="","",D428+(COUNTIF(D$4:D428,D428)-1)*0.001)</f>
        <v/>
      </c>
      <c r="I428" s="81" t="str">
        <f t="shared" si="16"/>
        <v/>
      </c>
      <c r="J428" s="81" t="str">
        <f>IF(I428="","",I428+(COUNTIF(I$4:I428,I428)-1)*0.001)</f>
        <v/>
      </c>
      <c r="S428" s="202"/>
      <c r="U428" s="93"/>
    </row>
    <row r="429" spans="4:21">
      <c r="D429" s="81" t="str">
        <f t="shared" si="15"/>
        <v/>
      </c>
      <c r="E429" s="90" t="str">
        <f>IF(D429="","",D429+(COUNTIF(D$4:D429,D429)-1)*0.001)</f>
        <v/>
      </c>
      <c r="I429" s="81" t="str">
        <f t="shared" si="16"/>
        <v/>
      </c>
      <c r="J429" s="81" t="str">
        <f>IF(I429="","",I429+(COUNTIF(I$4:I429,I429)-1)*0.001)</f>
        <v/>
      </c>
      <c r="S429" s="202"/>
      <c r="U429" s="93"/>
    </row>
    <row r="430" spans="4:21">
      <c r="D430" s="81" t="str">
        <f t="shared" si="15"/>
        <v/>
      </c>
      <c r="E430" s="90" t="str">
        <f>IF(D430="","",D430+(COUNTIF(D$4:D430,D430)-1)*0.001)</f>
        <v/>
      </c>
      <c r="I430" s="81" t="str">
        <f t="shared" si="16"/>
        <v/>
      </c>
      <c r="J430" s="81" t="str">
        <f>IF(I430="","",I430+(COUNTIF(I$4:I430,I430)-1)*0.001)</f>
        <v/>
      </c>
      <c r="S430" s="202"/>
      <c r="U430" s="93"/>
    </row>
    <row r="431" spans="4:21">
      <c r="D431" s="81" t="str">
        <f t="shared" si="15"/>
        <v/>
      </c>
      <c r="E431" s="90" t="str">
        <f>IF(D431="","",D431+(COUNTIF(D$4:D431,D431)-1)*0.001)</f>
        <v/>
      </c>
      <c r="I431" s="81" t="str">
        <f t="shared" si="16"/>
        <v/>
      </c>
      <c r="J431" s="81" t="str">
        <f>IF(I431="","",I431+(COUNTIF(I$4:I431,I431)-1)*0.001)</f>
        <v/>
      </c>
      <c r="S431" s="202"/>
      <c r="U431" s="93"/>
    </row>
    <row r="432" spans="4:21">
      <c r="D432" s="81" t="str">
        <f t="shared" si="15"/>
        <v/>
      </c>
      <c r="E432" s="90" t="str">
        <f>IF(D432="","",D432+(COUNTIF(D$4:D432,D432)-1)*0.001)</f>
        <v/>
      </c>
      <c r="I432" s="81" t="str">
        <f t="shared" si="16"/>
        <v/>
      </c>
      <c r="J432" s="81" t="str">
        <f>IF(I432="","",I432+(COUNTIF(I$4:I432,I432)-1)*0.001)</f>
        <v/>
      </c>
      <c r="S432" s="202"/>
      <c r="U432" s="93"/>
    </row>
    <row r="433" spans="4:21">
      <c r="D433" s="81" t="str">
        <f t="shared" si="15"/>
        <v/>
      </c>
      <c r="E433" s="90" t="str">
        <f>IF(D433="","",D433+(COUNTIF(D$4:D433,D433)-1)*0.001)</f>
        <v/>
      </c>
      <c r="I433" s="81" t="str">
        <f t="shared" si="16"/>
        <v/>
      </c>
      <c r="J433" s="81" t="str">
        <f>IF(I433="","",I433+(COUNTIF(I$4:I433,I433)-1)*0.001)</f>
        <v/>
      </c>
      <c r="S433" s="202"/>
      <c r="U433" s="93"/>
    </row>
    <row r="434" spans="4:21">
      <c r="D434" s="81" t="str">
        <f t="shared" si="15"/>
        <v/>
      </c>
      <c r="E434" s="90" t="str">
        <f>IF(D434="","",D434+(COUNTIF(D$4:D434,D434)-1)*0.001)</f>
        <v/>
      </c>
      <c r="I434" s="81" t="str">
        <f t="shared" si="16"/>
        <v/>
      </c>
      <c r="J434" s="81" t="str">
        <f>IF(I434="","",I434+(COUNTIF(I$4:I434,I434)-1)*0.001)</f>
        <v/>
      </c>
      <c r="S434" s="202"/>
      <c r="U434" s="93"/>
    </row>
    <row r="435" spans="4:21">
      <c r="D435" s="81" t="str">
        <f t="shared" si="15"/>
        <v/>
      </c>
      <c r="E435" s="90" t="str">
        <f>IF(D435="","",D435+(COUNTIF(D$4:D435,D435)-1)*0.001)</f>
        <v/>
      </c>
      <c r="I435" s="81" t="str">
        <f t="shared" si="16"/>
        <v/>
      </c>
      <c r="J435" s="81" t="str">
        <f>IF(I435="","",I435+(COUNTIF(I$4:I435,I435)-1)*0.001)</f>
        <v/>
      </c>
      <c r="S435" s="202"/>
      <c r="U435" s="93"/>
    </row>
    <row r="436" spans="4:21">
      <c r="D436" s="81" t="str">
        <f t="shared" si="15"/>
        <v/>
      </c>
      <c r="E436" s="90" t="str">
        <f>IF(D436="","",D436+(COUNTIF(D$4:D436,D436)-1)*0.001)</f>
        <v/>
      </c>
      <c r="I436" s="81" t="str">
        <f t="shared" si="16"/>
        <v/>
      </c>
      <c r="J436" s="81" t="str">
        <f>IF(I436="","",I436+(COUNTIF(I$4:I436,I436)-1)*0.001)</f>
        <v/>
      </c>
      <c r="S436" s="202"/>
      <c r="U436" s="93"/>
    </row>
    <row r="437" spans="4:21">
      <c r="D437" s="81" t="str">
        <f t="shared" si="15"/>
        <v/>
      </c>
      <c r="E437" s="90" t="str">
        <f>IF(D437="","",D437+(COUNTIF(D$4:D437,D437)-1)*0.001)</f>
        <v/>
      </c>
      <c r="I437" s="81" t="str">
        <f t="shared" si="16"/>
        <v/>
      </c>
      <c r="J437" s="81" t="str">
        <f>IF(I437="","",I437+(COUNTIF(I$4:I437,I437)-1)*0.001)</f>
        <v/>
      </c>
      <c r="S437" s="202"/>
      <c r="U437" s="93"/>
    </row>
    <row r="438" spans="4:21">
      <c r="D438" s="81" t="str">
        <f t="shared" si="15"/>
        <v/>
      </c>
      <c r="E438" s="90" t="str">
        <f>IF(D438="","",D438+(COUNTIF(D$4:D438,D438)-1)*0.001)</f>
        <v/>
      </c>
      <c r="I438" s="81" t="str">
        <f t="shared" si="16"/>
        <v/>
      </c>
      <c r="J438" s="81" t="str">
        <f>IF(I438="","",I438+(COUNTIF(I$4:I438,I438)-1)*0.001)</f>
        <v/>
      </c>
      <c r="S438" s="202"/>
      <c r="U438" s="93"/>
    </row>
    <row r="439" spans="4:21">
      <c r="D439" s="81" t="str">
        <f t="shared" si="15"/>
        <v/>
      </c>
      <c r="E439" s="90" t="str">
        <f>IF(D439="","",D439+(COUNTIF(D$4:D439,D439)-1)*0.001)</f>
        <v/>
      </c>
      <c r="I439" s="81" t="str">
        <f t="shared" si="16"/>
        <v/>
      </c>
      <c r="J439" s="81" t="str">
        <f>IF(I439="","",I439+(COUNTIF(I$4:I439,I439)-1)*0.001)</f>
        <v/>
      </c>
      <c r="S439" s="202"/>
      <c r="U439" s="93"/>
    </row>
    <row r="440" spans="4:21">
      <c r="D440" s="81" t="str">
        <f t="shared" si="15"/>
        <v/>
      </c>
      <c r="E440" s="90" t="str">
        <f>IF(D440="","",D440+(COUNTIF(D$4:D440,D440)-1)*0.001)</f>
        <v/>
      </c>
      <c r="I440" s="81" t="str">
        <f t="shared" si="16"/>
        <v/>
      </c>
      <c r="J440" s="81" t="str">
        <f>IF(I440="","",I440+(COUNTIF(I$4:I440,I440)-1)*0.001)</f>
        <v/>
      </c>
      <c r="S440" s="202"/>
      <c r="U440" s="93"/>
    </row>
    <row r="441" spans="4:21">
      <c r="D441" s="81" t="str">
        <f t="shared" si="15"/>
        <v/>
      </c>
      <c r="E441" s="90" t="str">
        <f>IF(D441="","",D441+(COUNTIF(D$4:D441,D441)-1)*0.001)</f>
        <v/>
      </c>
      <c r="I441" s="81" t="str">
        <f t="shared" si="16"/>
        <v/>
      </c>
      <c r="J441" s="81" t="str">
        <f>IF(I441="","",I441+(COUNTIF(I$4:I441,I441)-1)*0.001)</f>
        <v/>
      </c>
      <c r="S441" s="202"/>
      <c r="U441" s="93"/>
    </row>
    <row r="442" spans="4:21">
      <c r="D442" s="81" t="str">
        <f t="shared" si="15"/>
        <v/>
      </c>
      <c r="E442" s="90" t="str">
        <f>IF(D442="","",D442+(COUNTIF(D$4:D442,D442)-1)*0.001)</f>
        <v/>
      </c>
      <c r="I442" s="81" t="str">
        <f t="shared" si="16"/>
        <v/>
      </c>
      <c r="J442" s="81" t="str">
        <f>IF(I442="","",I442+(COUNTIF(I$4:I442,I442)-1)*0.001)</f>
        <v/>
      </c>
      <c r="S442" s="202"/>
      <c r="U442" s="93"/>
    </row>
    <row r="443" spans="4:21">
      <c r="D443" s="81" t="str">
        <f t="shared" si="15"/>
        <v/>
      </c>
      <c r="E443" s="90" t="str">
        <f>IF(D443="","",D443+(COUNTIF(D$4:D443,D443)-1)*0.001)</f>
        <v/>
      </c>
      <c r="I443" s="81" t="str">
        <f t="shared" si="16"/>
        <v/>
      </c>
      <c r="J443" s="81" t="str">
        <f>IF(I443="","",I443+(COUNTIF(I$4:I443,I443)-1)*0.001)</f>
        <v/>
      </c>
      <c r="S443" s="202"/>
      <c r="U443" s="93"/>
    </row>
    <row r="444" spans="4:21">
      <c r="D444" s="81" t="str">
        <f t="shared" si="15"/>
        <v/>
      </c>
      <c r="E444" s="90" t="str">
        <f>IF(D444="","",D444+(COUNTIF(D$4:D444,D444)-1)*0.001)</f>
        <v/>
      </c>
      <c r="I444" s="81" t="str">
        <f t="shared" si="16"/>
        <v/>
      </c>
      <c r="J444" s="81" t="str">
        <f>IF(I444="","",I444+(COUNTIF(I$4:I444,I444)-1)*0.001)</f>
        <v/>
      </c>
      <c r="S444" s="202"/>
      <c r="U444" s="93"/>
    </row>
    <row r="445" spans="4:21">
      <c r="D445" s="81" t="str">
        <f t="shared" si="15"/>
        <v/>
      </c>
      <c r="E445" s="90" t="str">
        <f>IF(D445="","",D445+(COUNTIF(D$4:D445,D445)-1)*0.001)</f>
        <v/>
      </c>
      <c r="I445" s="81" t="str">
        <f t="shared" si="16"/>
        <v/>
      </c>
      <c r="J445" s="81" t="str">
        <f>IF(I445="","",I445+(COUNTIF(I$4:I445,I445)-1)*0.001)</f>
        <v/>
      </c>
      <c r="S445" s="202"/>
      <c r="U445" s="93"/>
    </row>
    <row r="446" spans="4:21">
      <c r="D446" s="81" t="str">
        <f t="shared" si="15"/>
        <v/>
      </c>
      <c r="E446" s="90" t="str">
        <f>IF(D446="","",D446+(COUNTIF(D$4:D446,D446)-1)*0.001)</f>
        <v/>
      </c>
      <c r="I446" s="81" t="str">
        <f t="shared" si="16"/>
        <v/>
      </c>
      <c r="J446" s="81" t="str">
        <f>IF(I446="","",I446+(COUNTIF(I$4:I446,I446)-1)*0.001)</f>
        <v/>
      </c>
      <c r="S446" s="202"/>
      <c r="U446" s="93"/>
    </row>
    <row r="447" spans="4:21">
      <c r="D447" s="81" t="str">
        <f t="shared" si="15"/>
        <v/>
      </c>
      <c r="E447" s="90" t="str">
        <f>IF(D447="","",D447+(COUNTIF(D$4:D447,D447)-1)*0.001)</f>
        <v/>
      </c>
      <c r="I447" s="81" t="str">
        <f t="shared" si="16"/>
        <v/>
      </c>
      <c r="J447" s="81" t="str">
        <f>IF(I447="","",I447+(COUNTIF(I$4:I447,I447)-1)*0.001)</f>
        <v/>
      </c>
      <c r="S447" s="202"/>
      <c r="U447" s="93"/>
    </row>
    <row r="448" spans="4:21">
      <c r="D448" s="81" t="str">
        <f t="shared" si="15"/>
        <v/>
      </c>
      <c r="E448" s="90" t="str">
        <f>IF(D448="","",D448+(COUNTIF(D$4:D448,D448)-1)*0.001)</f>
        <v/>
      </c>
      <c r="I448" s="81" t="str">
        <f t="shared" si="16"/>
        <v/>
      </c>
      <c r="J448" s="81" t="str">
        <f>IF(I448="","",I448+(COUNTIF(I$4:I448,I448)-1)*0.001)</f>
        <v/>
      </c>
      <c r="S448" s="202"/>
      <c r="U448" s="93"/>
    </row>
    <row r="449" spans="4:21">
      <c r="D449" s="81" t="str">
        <f t="shared" si="15"/>
        <v/>
      </c>
      <c r="E449" s="90" t="str">
        <f>IF(D449="","",D449+(COUNTIF(D$4:D449,D449)-1)*0.001)</f>
        <v/>
      </c>
      <c r="I449" s="81" t="str">
        <f t="shared" si="16"/>
        <v/>
      </c>
      <c r="J449" s="81" t="str">
        <f>IF(I449="","",I449+(COUNTIF(I$4:I449,I449)-1)*0.001)</f>
        <v/>
      </c>
      <c r="S449" s="202"/>
      <c r="U449" s="93"/>
    </row>
    <row r="450" spans="4:21">
      <c r="D450" s="81" t="str">
        <f t="shared" si="15"/>
        <v/>
      </c>
      <c r="E450" s="90" t="str">
        <f>IF(D450="","",D450+(COUNTIF(D$4:D450,D450)-1)*0.001)</f>
        <v/>
      </c>
      <c r="I450" s="81" t="str">
        <f t="shared" si="16"/>
        <v/>
      </c>
      <c r="J450" s="81" t="str">
        <f>IF(I450="","",I450+(COUNTIF(I$4:I450,I450)-1)*0.001)</f>
        <v/>
      </c>
      <c r="S450" s="202"/>
      <c r="U450" s="93"/>
    </row>
    <row r="451" spans="4:21">
      <c r="D451" s="81" t="str">
        <f t="shared" si="15"/>
        <v/>
      </c>
      <c r="E451" s="90" t="str">
        <f>IF(D451="","",D451+(COUNTIF(D$4:D451,D451)-1)*0.001)</f>
        <v/>
      </c>
      <c r="I451" s="81" t="str">
        <f t="shared" si="16"/>
        <v/>
      </c>
      <c r="J451" s="81" t="str">
        <f>IF(I451="","",I451+(COUNTIF(I$4:I451,I451)-1)*0.001)</f>
        <v/>
      </c>
      <c r="S451" s="202"/>
      <c r="U451" s="93"/>
    </row>
    <row r="452" spans="4:21">
      <c r="D452" s="81" t="str">
        <f t="shared" ref="D452:D515" si="17">IF(A452="","",IFERROR(INDEX(收盤1,MATCH(A452,代號1,0)),IFERROR(INDEX(收盤2,MATCH(A452,代號2,0)),IFERROR(INDEX(收盤3,MATCH(A452,代號3,0)),INDEX(收盤4,MATCH(A452,代號4,0)))))*C452)</f>
        <v/>
      </c>
      <c r="E452" s="90" t="str">
        <f>IF(D452="","",D452+(COUNTIF(D$4:D452,D452)-1)*0.001)</f>
        <v/>
      </c>
      <c r="I452" s="81" t="str">
        <f t="shared" ref="I452:I515" si="18">IF(F452="","",IFERROR(INDEX(收盤1,MATCH(F452,代號1,0)),IFERROR(INDEX(收盤2,MATCH(F452,代號2,0)),IFERROR(INDEX(收盤3,MATCH(F452,代號3,0)),INDEX(收盤4,MATCH(F452,代號4,0)))))*H452)</f>
        <v/>
      </c>
      <c r="J452" s="81" t="str">
        <f>IF(I452="","",I452+(COUNTIF(I$4:I452,I452)-1)*0.001)</f>
        <v/>
      </c>
      <c r="S452" s="202"/>
      <c r="U452" s="93"/>
    </row>
    <row r="453" spans="4:21">
      <c r="D453" s="81" t="str">
        <f t="shared" si="17"/>
        <v/>
      </c>
      <c r="E453" s="90" t="str">
        <f>IF(D453="","",D453+(COUNTIF(D$4:D453,D453)-1)*0.001)</f>
        <v/>
      </c>
      <c r="I453" s="81" t="str">
        <f t="shared" si="18"/>
        <v/>
      </c>
      <c r="J453" s="81" t="str">
        <f>IF(I453="","",I453+(COUNTIF(I$4:I453,I453)-1)*0.001)</f>
        <v/>
      </c>
      <c r="S453" s="202"/>
      <c r="U453" s="93"/>
    </row>
    <row r="454" spans="4:21">
      <c r="D454" s="81" t="str">
        <f t="shared" si="17"/>
        <v/>
      </c>
      <c r="E454" s="90" t="str">
        <f>IF(D454="","",D454+(COUNTIF(D$4:D454,D454)-1)*0.001)</f>
        <v/>
      </c>
      <c r="I454" s="81" t="str">
        <f t="shared" si="18"/>
        <v/>
      </c>
      <c r="J454" s="81" t="str">
        <f>IF(I454="","",I454+(COUNTIF(I$4:I454,I454)-1)*0.001)</f>
        <v/>
      </c>
      <c r="S454" s="202"/>
      <c r="U454" s="93"/>
    </row>
    <row r="455" spans="4:21">
      <c r="D455" s="81" t="str">
        <f t="shared" si="17"/>
        <v/>
      </c>
      <c r="E455" s="90" t="str">
        <f>IF(D455="","",D455+(COUNTIF(D$4:D455,D455)-1)*0.001)</f>
        <v/>
      </c>
      <c r="I455" s="81" t="str">
        <f t="shared" si="18"/>
        <v/>
      </c>
      <c r="J455" s="81" t="str">
        <f>IF(I455="","",I455+(COUNTIF(I$4:I455,I455)-1)*0.001)</f>
        <v/>
      </c>
      <c r="S455" s="202"/>
      <c r="U455" s="93"/>
    </row>
    <row r="456" spans="4:21">
      <c r="D456" s="81" t="str">
        <f t="shared" si="17"/>
        <v/>
      </c>
      <c r="E456" s="90" t="str">
        <f>IF(D456="","",D456+(COUNTIF(D$4:D456,D456)-1)*0.001)</f>
        <v/>
      </c>
      <c r="I456" s="81" t="str">
        <f t="shared" si="18"/>
        <v/>
      </c>
      <c r="J456" s="81" t="str">
        <f>IF(I456="","",I456+(COUNTIF(I$4:I456,I456)-1)*0.001)</f>
        <v/>
      </c>
      <c r="S456" s="202"/>
      <c r="U456" s="93"/>
    </row>
    <row r="457" spans="4:21">
      <c r="D457" s="81" t="str">
        <f t="shared" si="17"/>
        <v/>
      </c>
      <c r="E457" s="90" t="str">
        <f>IF(D457="","",D457+(COUNTIF(D$4:D457,D457)-1)*0.001)</f>
        <v/>
      </c>
      <c r="I457" s="81" t="str">
        <f t="shared" si="18"/>
        <v/>
      </c>
      <c r="J457" s="81" t="str">
        <f>IF(I457="","",I457+(COUNTIF(I$4:I457,I457)-1)*0.001)</f>
        <v/>
      </c>
      <c r="S457" s="202"/>
      <c r="U457" s="93"/>
    </row>
    <row r="458" spans="4:21">
      <c r="D458" s="81" t="str">
        <f t="shared" si="17"/>
        <v/>
      </c>
      <c r="E458" s="90" t="str">
        <f>IF(D458="","",D458+(COUNTIF(D$4:D458,D458)-1)*0.001)</f>
        <v/>
      </c>
      <c r="I458" s="81" t="str">
        <f t="shared" si="18"/>
        <v/>
      </c>
      <c r="J458" s="81" t="str">
        <f>IF(I458="","",I458+(COUNTIF(I$4:I458,I458)-1)*0.001)</f>
        <v/>
      </c>
      <c r="S458" s="202"/>
      <c r="U458" s="93"/>
    </row>
    <row r="459" spans="4:21">
      <c r="D459" s="81" t="str">
        <f t="shared" si="17"/>
        <v/>
      </c>
      <c r="E459" s="90" t="str">
        <f>IF(D459="","",D459+(COUNTIF(D$4:D459,D459)-1)*0.001)</f>
        <v/>
      </c>
      <c r="I459" s="81" t="str">
        <f t="shared" si="18"/>
        <v/>
      </c>
      <c r="J459" s="81" t="str">
        <f>IF(I459="","",I459+(COUNTIF(I$4:I459,I459)-1)*0.001)</f>
        <v/>
      </c>
      <c r="S459" s="202"/>
      <c r="U459" s="93"/>
    </row>
    <row r="460" spans="4:21">
      <c r="D460" s="81" t="str">
        <f t="shared" si="17"/>
        <v/>
      </c>
      <c r="E460" s="90" t="str">
        <f>IF(D460="","",D460+(COUNTIF(D$4:D460,D460)-1)*0.001)</f>
        <v/>
      </c>
      <c r="I460" s="81" t="str">
        <f t="shared" si="18"/>
        <v/>
      </c>
      <c r="J460" s="81" t="str">
        <f>IF(I460="","",I460+(COUNTIF(I$4:I460,I460)-1)*0.001)</f>
        <v/>
      </c>
      <c r="S460" s="202"/>
      <c r="U460" s="93"/>
    </row>
    <row r="461" spans="4:21">
      <c r="D461" s="81" t="str">
        <f t="shared" si="17"/>
        <v/>
      </c>
      <c r="E461" s="90" t="str">
        <f>IF(D461="","",D461+(COUNTIF(D$4:D461,D461)-1)*0.001)</f>
        <v/>
      </c>
      <c r="I461" s="81" t="str">
        <f t="shared" si="18"/>
        <v/>
      </c>
      <c r="J461" s="81" t="str">
        <f>IF(I461="","",I461+(COUNTIF(I$4:I461,I461)-1)*0.001)</f>
        <v/>
      </c>
      <c r="S461" s="202"/>
      <c r="U461" s="93"/>
    </row>
    <row r="462" spans="4:21">
      <c r="D462" s="81" t="str">
        <f t="shared" si="17"/>
        <v/>
      </c>
      <c r="E462" s="90" t="str">
        <f>IF(D462="","",D462+(COUNTIF(D$4:D462,D462)-1)*0.001)</f>
        <v/>
      </c>
      <c r="I462" s="81" t="str">
        <f t="shared" si="18"/>
        <v/>
      </c>
      <c r="J462" s="81" t="str">
        <f>IF(I462="","",I462+(COUNTIF(I$4:I462,I462)-1)*0.001)</f>
        <v/>
      </c>
      <c r="S462" s="202"/>
      <c r="U462" s="93"/>
    </row>
    <row r="463" spans="4:21">
      <c r="D463" s="81" t="str">
        <f t="shared" si="17"/>
        <v/>
      </c>
      <c r="E463" s="90" t="str">
        <f>IF(D463="","",D463+(COUNTIF(D$4:D463,D463)-1)*0.001)</f>
        <v/>
      </c>
      <c r="I463" s="81" t="str">
        <f t="shared" si="18"/>
        <v/>
      </c>
      <c r="J463" s="81" t="str">
        <f>IF(I463="","",I463+(COUNTIF(I$4:I463,I463)-1)*0.001)</f>
        <v/>
      </c>
      <c r="S463" s="202"/>
      <c r="U463" s="93"/>
    </row>
    <row r="464" spans="4:21">
      <c r="D464" s="81" t="str">
        <f t="shared" si="17"/>
        <v/>
      </c>
      <c r="E464" s="90" t="str">
        <f>IF(D464="","",D464+(COUNTIF(D$4:D464,D464)-1)*0.001)</f>
        <v/>
      </c>
      <c r="I464" s="81" t="str">
        <f t="shared" si="18"/>
        <v/>
      </c>
      <c r="J464" s="81" t="str">
        <f>IF(I464="","",I464+(COUNTIF(I$4:I464,I464)-1)*0.001)</f>
        <v/>
      </c>
      <c r="S464" s="202"/>
      <c r="U464" s="93"/>
    </row>
    <row r="465" spans="4:21">
      <c r="D465" s="81" t="str">
        <f t="shared" si="17"/>
        <v/>
      </c>
      <c r="E465" s="90" t="str">
        <f>IF(D465="","",D465+(COUNTIF(D$4:D465,D465)-1)*0.001)</f>
        <v/>
      </c>
      <c r="I465" s="81" t="str">
        <f t="shared" si="18"/>
        <v/>
      </c>
      <c r="J465" s="81" t="str">
        <f>IF(I465="","",I465+(COUNTIF(I$4:I465,I465)-1)*0.001)</f>
        <v/>
      </c>
      <c r="S465" s="202"/>
      <c r="U465" s="93"/>
    </row>
    <row r="466" spans="4:21">
      <c r="D466" s="81" t="str">
        <f t="shared" si="17"/>
        <v/>
      </c>
      <c r="E466" s="90" t="str">
        <f>IF(D466="","",D466+(COUNTIF(D$4:D466,D466)-1)*0.001)</f>
        <v/>
      </c>
      <c r="I466" s="81" t="str">
        <f t="shared" si="18"/>
        <v/>
      </c>
      <c r="J466" s="81" t="str">
        <f>IF(I466="","",I466+(COUNTIF(I$4:I466,I466)-1)*0.001)</f>
        <v/>
      </c>
      <c r="S466" s="202"/>
      <c r="U466" s="93"/>
    </row>
    <row r="467" spans="4:21">
      <c r="D467" s="81" t="str">
        <f t="shared" si="17"/>
        <v/>
      </c>
      <c r="E467" s="90" t="str">
        <f>IF(D467="","",D467+(COUNTIF(D$4:D467,D467)-1)*0.001)</f>
        <v/>
      </c>
      <c r="I467" s="81" t="str">
        <f t="shared" si="18"/>
        <v/>
      </c>
      <c r="J467" s="81" t="str">
        <f>IF(I467="","",I467+(COUNTIF(I$4:I467,I467)-1)*0.001)</f>
        <v/>
      </c>
      <c r="S467" s="202"/>
      <c r="U467" s="93"/>
    </row>
    <row r="468" spans="4:21">
      <c r="D468" s="81" t="str">
        <f t="shared" si="17"/>
        <v/>
      </c>
      <c r="E468" s="90" t="str">
        <f>IF(D468="","",D468+(COUNTIF(D$4:D468,D468)-1)*0.001)</f>
        <v/>
      </c>
      <c r="I468" s="81" t="str">
        <f t="shared" si="18"/>
        <v/>
      </c>
      <c r="J468" s="81" t="str">
        <f>IF(I468="","",I468+(COUNTIF(I$4:I468,I468)-1)*0.001)</f>
        <v/>
      </c>
      <c r="S468" s="202"/>
      <c r="U468" s="93"/>
    </row>
    <row r="469" spans="4:21">
      <c r="D469" s="81" t="str">
        <f t="shared" si="17"/>
        <v/>
      </c>
      <c r="E469" s="90" t="str">
        <f>IF(D469="","",D469+(COUNTIF(D$4:D469,D469)-1)*0.001)</f>
        <v/>
      </c>
      <c r="I469" s="81" t="str">
        <f t="shared" si="18"/>
        <v/>
      </c>
      <c r="J469" s="81" t="str">
        <f>IF(I469="","",I469+(COUNTIF(I$4:I469,I469)-1)*0.001)</f>
        <v/>
      </c>
      <c r="S469" s="202"/>
      <c r="U469" s="93"/>
    </row>
    <row r="470" spans="4:21">
      <c r="D470" s="81" t="str">
        <f t="shared" si="17"/>
        <v/>
      </c>
      <c r="E470" s="90" t="str">
        <f>IF(D470="","",D470+(COUNTIF(D$4:D470,D470)-1)*0.001)</f>
        <v/>
      </c>
      <c r="I470" s="81" t="str">
        <f t="shared" si="18"/>
        <v/>
      </c>
      <c r="J470" s="81" t="str">
        <f>IF(I470="","",I470+(COUNTIF(I$4:I470,I470)-1)*0.001)</f>
        <v/>
      </c>
      <c r="S470" s="202"/>
      <c r="U470" s="93"/>
    </row>
    <row r="471" spans="4:21">
      <c r="D471" s="81" t="str">
        <f t="shared" si="17"/>
        <v/>
      </c>
      <c r="E471" s="90" t="str">
        <f>IF(D471="","",D471+(COUNTIF(D$4:D471,D471)-1)*0.001)</f>
        <v/>
      </c>
      <c r="I471" s="81" t="str">
        <f t="shared" si="18"/>
        <v/>
      </c>
      <c r="J471" s="81" t="str">
        <f>IF(I471="","",I471+(COUNTIF(I$4:I471,I471)-1)*0.001)</f>
        <v/>
      </c>
      <c r="S471" s="202"/>
      <c r="U471" s="93"/>
    </row>
    <row r="472" spans="4:21">
      <c r="D472" s="81" t="str">
        <f t="shared" si="17"/>
        <v/>
      </c>
      <c r="E472" s="90" t="str">
        <f>IF(D472="","",D472+(COUNTIF(D$4:D472,D472)-1)*0.001)</f>
        <v/>
      </c>
      <c r="I472" s="81" t="str">
        <f t="shared" si="18"/>
        <v/>
      </c>
      <c r="J472" s="81" t="str">
        <f>IF(I472="","",I472+(COUNTIF(I$4:I472,I472)-1)*0.001)</f>
        <v/>
      </c>
      <c r="S472" s="202"/>
      <c r="U472" s="93"/>
    </row>
    <row r="473" spans="4:21">
      <c r="D473" s="81" t="str">
        <f t="shared" si="17"/>
        <v/>
      </c>
      <c r="E473" s="90" t="str">
        <f>IF(D473="","",D473+(COUNTIF(D$4:D473,D473)-1)*0.001)</f>
        <v/>
      </c>
      <c r="I473" s="81" t="str">
        <f t="shared" si="18"/>
        <v/>
      </c>
      <c r="J473" s="81" t="str">
        <f>IF(I473="","",I473+(COUNTIF(I$4:I473,I473)-1)*0.001)</f>
        <v/>
      </c>
      <c r="S473" s="202"/>
      <c r="U473" s="93"/>
    </row>
    <row r="474" spans="4:21">
      <c r="D474" s="81" t="str">
        <f t="shared" si="17"/>
        <v/>
      </c>
      <c r="E474" s="90" t="str">
        <f>IF(D474="","",D474+(COUNTIF(D$4:D474,D474)-1)*0.001)</f>
        <v/>
      </c>
      <c r="I474" s="81" t="str">
        <f t="shared" si="18"/>
        <v/>
      </c>
      <c r="J474" s="81" t="str">
        <f>IF(I474="","",I474+(COUNTIF(I$4:I474,I474)-1)*0.001)</f>
        <v/>
      </c>
      <c r="S474" s="202"/>
      <c r="U474" s="93"/>
    </row>
    <row r="475" spans="4:21">
      <c r="D475" s="81" t="str">
        <f t="shared" si="17"/>
        <v/>
      </c>
      <c r="E475" s="90" t="str">
        <f>IF(D475="","",D475+(COUNTIF(D$4:D475,D475)-1)*0.001)</f>
        <v/>
      </c>
      <c r="I475" s="81" t="str">
        <f t="shared" si="18"/>
        <v/>
      </c>
      <c r="J475" s="81" t="str">
        <f>IF(I475="","",I475+(COUNTIF(I$4:I475,I475)-1)*0.001)</f>
        <v/>
      </c>
      <c r="S475" s="202"/>
      <c r="U475" s="93"/>
    </row>
    <row r="476" spans="4:21">
      <c r="D476" s="81" t="str">
        <f t="shared" si="17"/>
        <v/>
      </c>
      <c r="E476" s="90" t="str">
        <f>IF(D476="","",D476+(COUNTIF(D$4:D476,D476)-1)*0.001)</f>
        <v/>
      </c>
      <c r="I476" s="81" t="str">
        <f t="shared" si="18"/>
        <v/>
      </c>
      <c r="J476" s="81" t="str">
        <f>IF(I476="","",I476+(COUNTIF(I$4:I476,I476)-1)*0.001)</f>
        <v/>
      </c>
      <c r="S476" s="202"/>
      <c r="U476" s="93"/>
    </row>
    <row r="477" spans="4:21">
      <c r="D477" s="81" t="str">
        <f t="shared" si="17"/>
        <v/>
      </c>
      <c r="E477" s="90" t="str">
        <f>IF(D477="","",D477+(COUNTIF(D$4:D477,D477)-1)*0.001)</f>
        <v/>
      </c>
      <c r="I477" s="81" t="str">
        <f t="shared" si="18"/>
        <v/>
      </c>
      <c r="J477" s="81" t="str">
        <f>IF(I477="","",I477+(COUNTIF(I$4:I477,I477)-1)*0.001)</f>
        <v/>
      </c>
      <c r="S477" s="202"/>
      <c r="U477" s="93"/>
    </row>
    <row r="478" spans="4:21">
      <c r="D478" s="81" t="str">
        <f t="shared" si="17"/>
        <v/>
      </c>
      <c r="E478" s="90" t="str">
        <f>IF(D478="","",D478+(COUNTIF(D$4:D478,D478)-1)*0.001)</f>
        <v/>
      </c>
      <c r="I478" s="81" t="str">
        <f t="shared" si="18"/>
        <v/>
      </c>
      <c r="J478" s="81" t="str">
        <f>IF(I478="","",I478+(COUNTIF(I$4:I478,I478)-1)*0.001)</f>
        <v/>
      </c>
      <c r="S478" s="202"/>
      <c r="U478" s="93"/>
    </row>
    <row r="479" spans="4:21">
      <c r="D479" s="81" t="str">
        <f t="shared" si="17"/>
        <v/>
      </c>
      <c r="E479" s="90" t="str">
        <f>IF(D479="","",D479+(COUNTIF(D$4:D479,D479)-1)*0.001)</f>
        <v/>
      </c>
      <c r="I479" s="81" t="str">
        <f t="shared" si="18"/>
        <v/>
      </c>
      <c r="J479" s="81" t="str">
        <f>IF(I479="","",I479+(COUNTIF(I$4:I479,I479)-1)*0.001)</f>
        <v/>
      </c>
      <c r="S479" s="202"/>
      <c r="U479" s="93"/>
    </row>
    <row r="480" spans="4:21">
      <c r="D480" s="81" t="str">
        <f t="shared" si="17"/>
        <v/>
      </c>
      <c r="E480" s="90" t="str">
        <f>IF(D480="","",D480+(COUNTIF(D$4:D480,D480)-1)*0.001)</f>
        <v/>
      </c>
      <c r="I480" s="81" t="str">
        <f t="shared" si="18"/>
        <v/>
      </c>
      <c r="J480" s="81" t="str">
        <f>IF(I480="","",I480+(COUNTIF(I$4:I480,I480)-1)*0.001)</f>
        <v/>
      </c>
      <c r="S480" s="202"/>
      <c r="U480" s="93"/>
    </row>
    <row r="481" spans="4:21">
      <c r="D481" s="81" t="str">
        <f t="shared" si="17"/>
        <v/>
      </c>
      <c r="E481" s="90" t="str">
        <f>IF(D481="","",D481+(COUNTIF(D$4:D481,D481)-1)*0.001)</f>
        <v/>
      </c>
      <c r="I481" s="81" t="str">
        <f t="shared" si="18"/>
        <v/>
      </c>
      <c r="J481" s="81" t="str">
        <f>IF(I481="","",I481+(COUNTIF(I$4:I481,I481)-1)*0.001)</f>
        <v/>
      </c>
      <c r="S481" s="202"/>
      <c r="U481" s="93"/>
    </row>
    <row r="482" spans="4:21">
      <c r="D482" s="81" t="str">
        <f t="shared" si="17"/>
        <v/>
      </c>
      <c r="E482" s="90" t="str">
        <f>IF(D482="","",D482+(COUNTIF(D$4:D482,D482)-1)*0.001)</f>
        <v/>
      </c>
      <c r="I482" s="81" t="str">
        <f t="shared" si="18"/>
        <v/>
      </c>
      <c r="J482" s="81" t="str">
        <f>IF(I482="","",I482+(COUNTIF(I$4:I482,I482)-1)*0.001)</f>
        <v/>
      </c>
      <c r="S482" s="202"/>
      <c r="U482" s="93"/>
    </row>
    <row r="483" spans="4:21">
      <c r="D483" s="81" t="str">
        <f t="shared" si="17"/>
        <v/>
      </c>
      <c r="E483" s="90" t="str">
        <f>IF(D483="","",D483+(COUNTIF(D$4:D483,D483)-1)*0.001)</f>
        <v/>
      </c>
      <c r="I483" s="81" t="str">
        <f t="shared" si="18"/>
        <v/>
      </c>
      <c r="J483" s="81" t="str">
        <f>IF(I483="","",I483+(COUNTIF(I$4:I483,I483)-1)*0.001)</f>
        <v/>
      </c>
      <c r="S483" s="202"/>
      <c r="U483" s="93"/>
    </row>
    <row r="484" spans="4:21">
      <c r="D484" s="81" t="str">
        <f t="shared" si="17"/>
        <v/>
      </c>
      <c r="E484" s="90" t="str">
        <f>IF(D484="","",D484+(COUNTIF(D$4:D484,D484)-1)*0.001)</f>
        <v/>
      </c>
      <c r="I484" s="81" t="str">
        <f t="shared" si="18"/>
        <v/>
      </c>
      <c r="J484" s="81" t="str">
        <f>IF(I484="","",I484+(COUNTIF(I$4:I484,I484)-1)*0.001)</f>
        <v/>
      </c>
      <c r="S484" s="202"/>
      <c r="U484" s="93"/>
    </row>
    <row r="485" spans="4:21">
      <c r="D485" s="81" t="str">
        <f t="shared" si="17"/>
        <v/>
      </c>
      <c r="E485" s="90" t="str">
        <f>IF(D485="","",D485+(COUNTIF(D$4:D485,D485)-1)*0.001)</f>
        <v/>
      </c>
      <c r="I485" s="81" t="str">
        <f t="shared" si="18"/>
        <v/>
      </c>
      <c r="J485" s="81" t="str">
        <f>IF(I485="","",I485+(COUNTIF(I$4:I485,I485)-1)*0.001)</f>
        <v/>
      </c>
      <c r="S485" s="202"/>
      <c r="U485" s="93"/>
    </row>
    <row r="486" spans="4:21">
      <c r="D486" s="81" t="str">
        <f t="shared" si="17"/>
        <v/>
      </c>
      <c r="E486" s="90" t="str">
        <f>IF(D486="","",D486+(COUNTIF(D$4:D486,D486)-1)*0.001)</f>
        <v/>
      </c>
      <c r="I486" s="81" t="str">
        <f t="shared" si="18"/>
        <v/>
      </c>
      <c r="J486" s="81" t="str">
        <f>IF(I486="","",I486+(COUNTIF(I$4:I486,I486)-1)*0.001)</f>
        <v/>
      </c>
      <c r="S486" s="202"/>
      <c r="U486" s="93"/>
    </row>
    <row r="487" spans="4:21">
      <c r="D487" s="81" t="str">
        <f t="shared" si="17"/>
        <v/>
      </c>
      <c r="E487" s="90" t="str">
        <f>IF(D487="","",D487+(COUNTIF(D$4:D487,D487)-1)*0.001)</f>
        <v/>
      </c>
      <c r="I487" s="81" t="str">
        <f t="shared" si="18"/>
        <v/>
      </c>
      <c r="J487" s="81" t="str">
        <f>IF(I487="","",I487+(COUNTIF(I$4:I487,I487)-1)*0.001)</f>
        <v/>
      </c>
      <c r="S487" s="202"/>
      <c r="U487" s="93"/>
    </row>
    <row r="488" spans="4:21">
      <c r="D488" s="81" t="str">
        <f t="shared" si="17"/>
        <v/>
      </c>
      <c r="E488" s="90" t="str">
        <f>IF(D488="","",D488+(COUNTIF(D$4:D488,D488)-1)*0.001)</f>
        <v/>
      </c>
      <c r="I488" s="81" t="str">
        <f t="shared" si="18"/>
        <v/>
      </c>
      <c r="J488" s="81" t="str">
        <f>IF(I488="","",I488+(COUNTIF(I$4:I488,I488)-1)*0.001)</f>
        <v/>
      </c>
      <c r="S488" s="202"/>
      <c r="U488" s="93"/>
    </row>
    <row r="489" spans="4:21">
      <c r="D489" s="81" t="str">
        <f t="shared" si="17"/>
        <v/>
      </c>
      <c r="E489" s="90" t="str">
        <f>IF(D489="","",D489+(COUNTIF(D$4:D489,D489)-1)*0.001)</f>
        <v/>
      </c>
      <c r="I489" s="81" t="str">
        <f t="shared" si="18"/>
        <v/>
      </c>
      <c r="J489" s="81" t="str">
        <f>IF(I489="","",I489+(COUNTIF(I$4:I489,I489)-1)*0.001)</f>
        <v/>
      </c>
      <c r="S489" s="202"/>
      <c r="U489" s="93"/>
    </row>
    <row r="490" spans="4:21">
      <c r="D490" s="81" t="str">
        <f t="shared" si="17"/>
        <v/>
      </c>
      <c r="E490" s="90" t="str">
        <f>IF(D490="","",D490+(COUNTIF(D$4:D490,D490)-1)*0.001)</f>
        <v/>
      </c>
      <c r="I490" s="81" t="str">
        <f t="shared" si="18"/>
        <v/>
      </c>
      <c r="J490" s="81" t="str">
        <f>IF(I490="","",I490+(COUNTIF(I$4:I490,I490)-1)*0.001)</f>
        <v/>
      </c>
      <c r="S490" s="202"/>
      <c r="U490" s="93"/>
    </row>
    <row r="491" spans="4:21">
      <c r="D491" s="81" t="str">
        <f t="shared" si="17"/>
        <v/>
      </c>
      <c r="E491" s="90" t="str">
        <f>IF(D491="","",D491+(COUNTIF(D$4:D491,D491)-1)*0.001)</f>
        <v/>
      </c>
      <c r="I491" s="81" t="str">
        <f t="shared" si="18"/>
        <v/>
      </c>
      <c r="J491" s="81" t="str">
        <f>IF(I491="","",I491+(COUNTIF(I$4:I491,I491)-1)*0.001)</f>
        <v/>
      </c>
      <c r="S491" s="202"/>
      <c r="U491" s="93"/>
    </row>
    <row r="492" spans="4:21">
      <c r="D492" s="81" t="str">
        <f t="shared" si="17"/>
        <v/>
      </c>
      <c r="E492" s="90" t="str">
        <f>IF(D492="","",D492+(COUNTIF(D$4:D492,D492)-1)*0.001)</f>
        <v/>
      </c>
      <c r="I492" s="81" t="str">
        <f t="shared" si="18"/>
        <v/>
      </c>
      <c r="J492" s="81" t="str">
        <f>IF(I492="","",I492+(COUNTIF(I$4:I492,I492)-1)*0.001)</f>
        <v/>
      </c>
      <c r="S492" s="202"/>
      <c r="U492" s="93"/>
    </row>
    <row r="493" spans="4:21">
      <c r="D493" s="81" t="str">
        <f t="shared" si="17"/>
        <v/>
      </c>
      <c r="E493" s="90" t="str">
        <f>IF(D493="","",D493+(COUNTIF(D$4:D493,D493)-1)*0.001)</f>
        <v/>
      </c>
      <c r="I493" s="81" t="str">
        <f t="shared" si="18"/>
        <v/>
      </c>
      <c r="J493" s="81" t="str">
        <f>IF(I493="","",I493+(COUNTIF(I$4:I493,I493)-1)*0.001)</f>
        <v/>
      </c>
      <c r="S493" s="202"/>
      <c r="U493" s="93"/>
    </row>
    <row r="494" spans="4:21">
      <c r="D494" s="81" t="str">
        <f t="shared" si="17"/>
        <v/>
      </c>
      <c r="E494" s="90" t="str">
        <f>IF(D494="","",D494+(COUNTIF(D$4:D494,D494)-1)*0.001)</f>
        <v/>
      </c>
      <c r="I494" s="81" t="str">
        <f t="shared" si="18"/>
        <v/>
      </c>
      <c r="J494" s="81" t="str">
        <f>IF(I494="","",I494+(COUNTIF(I$4:I494,I494)-1)*0.001)</f>
        <v/>
      </c>
      <c r="S494" s="202"/>
      <c r="U494" s="93"/>
    </row>
    <row r="495" spans="4:21">
      <c r="D495" s="81" t="str">
        <f t="shared" si="17"/>
        <v/>
      </c>
      <c r="E495" s="90" t="str">
        <f>IF(D495="","",D495+(COUNTIF(D$4:D495,D495)-1)*0.001)</f>
        <v/>
      </c>
      <c r="I495" s="81" t="str">
        <f t="shared" si="18"/>
        <v/>
      </c>
      <c r="J495" s="81" t="str">
        <f>IF(I495="","",I495+(COUNTIF(I$4:I495,I495)-1)*0.001)</f>
        <v/>
      </c>
      <c r="S495" s="202"/>
      <c r="U495" s="93"/>
    </row>
    <row r="496" spans="4:21">
      <c r="D496" s="81" t="str">
        <f t="shared" si="17"/>
        <v/>
      </c>
      <c r="E496" s="90" t="str">
        <f>IF(D496="","",D496+(COUNTIF(D$4:D496,D496)-1)*0.001)</f>
        <v/>
      </c>
      <c r="I496" s="81" t="str">
        <f t="shared" si="18"/>
        <v/>
      </c>
      <c r="J496" s="81" t="str">
        <f>IF(I496="","",I496+(COUNTIF(I$4:I496,I496)-1)*0.001)</f>
        <v/>
      </c>
      <c r="S496" s="202"/>
      <c r="U496" s="93"/>
    </row>
    <row r="497" spans="4:21">
      <c r="D497" s="81" t="str">
        <f t="shared" si="17"/>
        <v/>
      </c>
      <c r="E497" s="90" t="str">
        <f>IF(D497="","",D497+(COUNTIF(D$4:D497,D497)-1)*0.001)</f>
        <v/>
      </c>
      <c r="I497" s="81" t="str">
        <f t="shared" si="18"/>
        <v/>
      </c>
      <c r="J497" s="81" t="str">
        <f>IF(I497="","",I497+(COUNTIF(I$4:I497,I497)-1)*0.001)</f>
        <v/>
      </c>
      <c r="S497" s="202"/>
      <c r="U497" s="93"/>
    </row>
    <row r="498" spans="4:21">
      <c r="D498" s="81" t="str">
        <f t="shared" si="17"/>
        <v/>
      </c>
      <c r="E498" s="90" t="str">
        <f>IF(D498="","",D498+(COUNTIF(D$4:D498,D498)-1)*0.001)</f>
        <v/>
      </c>
      <c r="I498" s="81" t="str">
        <f t="shared" si="18"/>
        <v/>
      </c>
      <c r="J498" s="81" t="str">
        <f>IF(I498="","",I498+(COUNTIF(I$4:I498,I498)-1)*0.001)</f>
        <v/>
      </c>
      <c r="S498" s="202"/>
      <c r="U498" s="93"/>
    </row>
    <row r="499" spans="4:21">
      <c r="D499" s="81" t="str">
        <f t="shared" si="17"/>
        <v/>
      </c>
      <c r="E499" s="90" t="str">
        <f>IF(D499="","",D499+(COUNTIF(D$4:D499,D499)-1)*0.001)</f>
        <v/>
      </c>
      <c r="I499" s="81" t="str">
        <f t="shared" si="18"/>
        <v/>
      </c>
      <c r="J499" s="81" t="str">
        <f>IF(I499="","",I499+(COUNTIF(I$4:I499,I499)-1)*0.001)</f>
        <v/>
      </c>
      <c r="S499" s="202"/>
      <c r="U499" s="93"/>
    </row>
    <row r="500" spans="4:21">
      <c r="D500" s="81" t="str">
        <f t="shared" si="17"/>
        <v/>
      </c>
      <c r="E500" s="90" t="str">
        <f>IF(D500="","",D500+(COUNTIF(D$4:D500,D500)-1)*0.001)</f>
        <v/>
      </c>
      <c r="I500" s="81" t="str">
        <f t="shared" si="18"/>
        <v/>
      </c>
      <c r="J500" s="81" t="str">
        <f>IF(I500="","",I500+(COUNTIF(I$4:I500,I500)-1)*0.001)</f>
        <v/>
      </c>
      <c r="S500" s="202"/>
      <c r="U500" s="93"/>
    </row>
    <row r="501" spans="4:21">
      <c r="D501" s="81" t="str">
        <f t="shared" si="17"/>
        <v/>
      </c>
      <c r="E501" s="90" t="str">
        <f>IF(D501="","",D501+(COUNTIF(D$4:D501,D501)-1)*0.001)</f>
        <v/>
      </c>
      <c r="I501" s="81" t="str">
        <f t="shared" si="18"/>
        <v/>
      </c>
      <c r="J501" s="81" t="str">
        <f>IF(I501="","",I501+(COUNTIF(I$4:I501,I501)-1)*0.001)</f>
        <v/>
      </c>
      <c r="S501" s="202"/>
      <c r="U501" s="93"/>
    </row>
    <row r="502" spans="4:21">
      <c r="D502" s="81" t="str">
        <f t="shared" si="17"/>
        <v/>
      </c>
      <c r="E502" s="90" t="str">
        <f>IF(D502="","",D502+(COUNTIF(D$4:D502,D502)-1)*0.001)</f>
        <v/>
      </c>
      <c r="I502" s="81" t="str">
        <f t="shared" si="18"/>
        <v/>
      </c>
      <c r="J502" s="81" t="str">
        <f>IF(I502="","",I502+(COUNTIF(I$4:I502,I502)-1)*0.001)</f>
        <v/>
      </c>
      <c r="S502" s="202"/>
      <c r="U502" s="93"/>
    </row>
    <row r="503" spans="4:21">
      <c r="D503" s="81" t="str">
        <f t="shared" si="17"/>
        <v/>
      </c>
      <c r="E503" s="90" t="str">
        <f>IF(D503="","",D503+(COUNTIF(D$4:D503,D503)-1)*0.001)</f>
        <v/>
      </c>
      <c r="I503" s="81" t="str">
        <f t="shared" si="18"/>
        <v/>
      </c>
      <c r="J503" s="81" t="str">
        <f>IF(I503="","",I503+(COUNTIF(I$4:I503,I503)-1)*0.001)</f>
        <v/>
      </c>
      <c r="S503" s="202"/>
      <c r="U503" s="93"/>
    </row>
    <row r="504" spans="4:21">
      <c r="D504" s="81" t="str">
        <f t="shared" si="17"/>
        <v/>
      </c>
      <c r="E504" s="90" t="str">
        <f>IF(D504="","",D504+(COUNTIF(D$4:D504,D504)-1)*0.001)</f>
        <v/>
      </c>
      <c r="I504" s="81" t="str">
        <f t="shared" si="18"/>
        <v/>
      </c>
      <c r="J504" s="81" t="str">
        <f>IF(I504="","",I504+(COUNTIF(I$4:I504,I504)-1)*0.001)</f>
        <v/>
      </c>
      <c r="S504" s="202"/>
      <c r="U504" s="93"/>
    </row>
    <row r="505" spans="4:21">
      <c r="D505" s="81" t="str">
        <f t="shared" si="17"/>
        <v/>
      </c>
      <c r="E505" s="90" t="str">
        <f>IF(D505="","",D505+(COUNTIF(D$4:D505,D505)-1)*0.001)</f>
        <v/>
      </c>
      <c r="I505" s="81" t="str">
        <f t="shared" si="18"/>
        <v/>
      </c>
      <c r="J505" s="81" t="str">
        <f>IF(I505="","",I505+(COUNTIF(I$4:I505,I505)-1)*0.001)</f>
        <v/>
      </c>
      <c r="S505" s="202"/>
      <c r="U505" s="93"/>
    </row>
    <row r="506" spans="4:21">
      <c r="D506" s="81" t="str">
        <f t="shared" si="17"/>
        <v/>
      </c>
      <c r="E506" s="90" t="str">
        <f>IF(D506="","",D506+(COUNTIF(D$4:D506,D506)-1)*0.001)</f>
        <v/>
      </c>
      <c r="I506" s="81" t="str">
        <f t="shared" si="18"/>
        <v/>
      </c>
      <c r="J506" s="81" t="str">
        <f>IF(I506="","",I506+(COUNTIF(I$4:I506,I506)-1)*0.001)</f>
        <v/>
      </c>
      <c r="S506" s="202"/>
      <c r="U506" s="93"/>
    </row>
    <row r="507" spans="4:21">
      <c r="D507" s="81" t="str">
        <f t="shared" si="17"/>
        <v/>
      </c>
      <c r="E507" s="90" t="str">
        <f>IF(D507="","",D507+(COUNTIF(D$4:D507,D507)-1)*0.001)</f>
        <v/>
      </c>
      <c r="I507" s="81" t="str">
        <f t="shared" si="18"/>
        <v/>
      </c>
      <c r="J507" s="81" t="str">
        <f>IF(I507="","",I507+(COUNTIF(I$4:I507,I507)-1)*0.001)</f>
        <v/>
      </c>
      <c r="S507" s="202"/>
      <c r="U507" s="93"/>
    </row>
    <row r="508" spans="4:21">
      <c r="D508" s="81" t="str">
        <f t="shared" si="17"/>
        <v/>
      </c>
      <c r="E508" s="90" t="str">
        <f>IF(D508="","",D508+(COUNTIF(D$4:D508,D508)-1)*0.001)</f>
        <v/>
      </c>
      <c r="I508" s="81" t="str">
        <f t="shared" si="18"/>
        <v/>
      </c>
      <c r="J508" s="81" t="str">
        <f>IF(I508="","",I508+(COUNTIF(I$4:I508,I508)-1)*0.001)</f>
        <v/>
      </c>
      <c r="S508" s="202"/>
      <c r="U508" s="93"/>
    </row>
    <row r="509" spans="4:21">
      <c r="D509" s="81" t="str">
        <f t="shared" si="17"/>
        <v/>
      </c>
      <c r="E509" s="90" t="str">
        <f>IF(D509="","",D509+(COUNTIF(D$4:D509,D509)-1)*0.001)</f>
        <v/>
      </c>
      <c r="I509" s="81" t="str">
        <f t="shared" si="18"/>
        <v/>
      </c>
      <c r="J509" s="81" t="str">
        <f>IF(I509="","",I509+(COUNTIF(I$4:I509,I509)-1)*0.001)</f>
        <v/>
      </c>
      <c r="S509" s="202"/>
      <c r="U509" s="93"/>
    </row>
    <row r="510" spans="4:21">
      <c r="D510" s="81" t="str">
        <f t="shared" si="17"/>
        <v/>
      </c>
      <c r="E510" s="90" t="str">
        <f>IF(D510="","",D510+(COUNTIF(D$4:D510,D510)-1)*0.001)</f>
        <v/>
      </c>
      <c r="I510" s="81" t="str">
        <f t="shared" si="18"/>
        <v/>
      </c>
      <c r="J510" s="81" t="str">
        <f>IF(I510="","",I510+(COUNTIF(I$4:I510,I510)-1)*0.001)</f>
        <v/>
      </c>
      <c r="S510" s="202"/>
      <c r="U510" s="93"/>
    </row>
    <row r="511" spans="4:21">
      <c r="D511" s="81" t="str">
        <f t="shared" si="17"/>
        <v/>
      </c>
      <c r="E511" s="90" t="str">
        <f>IF(D511="","",D511+(COUNTIF(D$4:D511,D511)-1)*0.001)</f>
        <v/>
      </c>
      <c r="I511" s="81" t="str">
        <f t="shared" si="18"/>
        <v/>
      </c>
      <c r="J511" s="81" t="str">
        <f>IF(I511="","",I511+(COUNTIF(I$4:I511,I511)-1)*0.001)</f>
        <v/>
      </c>
      <c r="S511" s="202"/>
      <c r="U511" s="93"/>
    </row>
    <row r="512" spans="4:21">
      <c r="D512" s="81" t="str">
        <f t="shared" si="17"/>
        <v/>
      </c>
      <c r="E512" s="90" t="str">
        <f>IF(D512="","",D512+(COUNTIF(D$4:D512,D512)-1)*0.001)</f>
        <v/>
      </c>
      <c r="I512" s="81" t="str">
        <f t="shared" si="18"/>
        <v/>
      </c>
      <c r="J512" s="81" t="str">
        <f>IF(I512="","",I512+(COUNTIF(I$4:I512,I512)-1)*0.001)</f>
        <v/>
      </c>
      <c r="S512" s="202"/>
      <c r="U512" s="93"/>
    </row>
    <row r="513" spans="4:21">
      <c r="D513" s="81" t="str">
        <f t="shared" si="17"/>
        <v/>
      </c>
      <c r="E513" s="90" t="str">
        <f>IF(D513="","",D513+(COUNTIF(D$4:D513,D513)-1)*0.001)</f>
        <v/>
      </c>
      <c r="I513" s="81" t="str">
        <f t="shared" si="18"/>
        <v/>
      </c>
      <c r="J513" s="81" t="str">
        <f>IF(I513="","",I513+(COUNTIF(I$4:I513,I513)-1)*0.001)</f>
        <v/>
      </c>
      <c r="S513" s="202"/>
      <c r="U513" s="93"/>
    </row>
    <row r="514" spans="4:21">
      <c r="D514" s="81" t="str">
        <f t="shared" si="17"/>
        <v/>
      </c>
      <c r="E514" s="90" t="str">
        <f>IF(D514="","",D514+(COUNTIF(D$4:D514,D514)-1)*0.001)</f>
        <v/>
      </c>
      <c r="I514" s="81" t="str">
        <f t="shared" si="18"/>
        <v/>
      </c>
      <c r="J514" s="81" t="str">
        <f>IF(I514="","",I514+(COUNTIF(I$4:I514,I514)-1)*0.001)</f>
        <v/>
      </c>
      <c r="S514" s="202"/>
      <c r="U514" s="93"/>
    </row>
    <row r="515" spans="4:21">
      <c r="D515" s="81" t="str">
        <f t="shared" si="17"/>
        <v/>
      </c>
      <c r="E515" s="90" t="str">
        <f>IF(D515="","",D515+(COUNTIF(D$4:D515,D515)-1)*0.001)</f>
        <v/>
      </c>
      <c r="I515" s="81" t="str">
        <f t="shared" si="18"/>
        <v/>
      </c>
      <c r="J515" s="81" t="str">
        <f>IF(I515="","",I515+(COUNTIF(I$4:I515,I515)-1)*0.001)</f>
        <v/>
      </c>
      <c r="S515" s="202"/>
      <c r="U515" s="93"/>
    </row>
    <row r="516" spans="4:21">
      <c r="D516" s="81" t="str">
        <f t="shared" ref="D516:D579" si="19">IF(A516="","",IFERROR(INDEX(收盤1,MATCH(A516,代號1,0)),IFERROR(INDEX(收盤2,MATCH(A516,代號2,0)),IFERROR(INDEX(收盤3,MATCH(A516,代號3,0)),INDEX(收盤4,MATCH(A516,代號4,0)))))*C516)</f>
        <v/>
      </c>
      <c r="E516" s="90" t="str">
        <f>IF(D516="","",D516+(COUNTIF(D$4:D516,D516)-1)*0.001)</f>
        <v/>
      </c>
      <c r="I516" s="81" t="str">
        <f t="shared" ref="I516:I579" si="20">IF(F516="","",IFERROR(INDEX(收盤1,MATCH(F516,代號1,0)),IFERROR(INDEX(收盤2,MATCH(F516,代號2,0)),IFERROR(INDEX(收盤3,MATCH(F516,代號3,0)),INDEX(收盤4,MATCH(F516,代號4,0)))))*H516)</f>
        <v/>
      </c>
      <c r="J516" s="81" t="str">
        <f>IF(I516="","",I516+(COUNTIF(I$4:I516,I516)-1)*0.001)</f>
        <v/>
      </c>
      <c r="S516" s="202"/>
      <c r="U516" s="93"/>
    </row>
    <row r="517" spans="4:21">
      <c r="D517" s="81" t="str">
        <f t="shared" si="19"/>
        <v/>
      </c>
      <c r="E517" s="90" t="str">
        <f>IF(D517="","",D517+(COUNTIF(D$4:D517,D517)-1)*0.001)</f>
        <v/>
      </c>
      <c r="I517" s="81" t="str">
        <f t="shared" si="20"/>
        <v/>
      </c>
      <c r="J517" s="81" t="str">
        <f>IF(I517="","",I517+(COUNTIF(I$4:I517,I517)-1)*0.001)</f>
        <v/>
      </c>
      <c r="S517" s="202"/>
      <c r="U517" s="93"/>
    </row>
    <row r="518" spans="4:21">
      <c r="D518" s="81" t="str">
        <f t="shared" si="19"/>
        <v/>
      </c>
      <c r="E518" s="90" t="str">
        <f>IF(D518="","",D518+(COUNTIF(D$4:D518,D518)-1)*0.001)</f>
        <v/>
      </c>
      <c r="I518" s="81" t="str">
        <f t="shared" si="20"/>
        <v/>
      </c>
      <c r="J518" s="81" t="str">
        <f>IF(I518="","",I518+(COUNTIF(I$4:I518,I518)-1)*0.001)</f>
        <v/>
      </c>
      <c r="S518" s="202"/>
      <c r="U518" s="93"/>
    </row>
    <row r="519" spans="4:21">
      <c r="D519" s="81" t="str">
        <f t="shared" si="19"/>
        <v/>
      </c>
      <c r="E519" s="90" t="str">
        <f>IF(D519="","",D519+(COUNTIF(D$4:D519,D519)-1)*0.001)</f>
        <v/>
      </c>
      <c r="I519" s="81" t="str">
        <f t="shared" si="20"/>
        <v/>
      </c>
      <c r="J519" s="81" t="str">
        <f>IF(I519="","",I519+(COUNTIF(I$4:I519,I519)-1)*0.001)</f>
        <v/>
      </c>
      <c r="S519" s="202"/>
      <c r="U519" s="93"/>
    </row>
    <row r="520" spans="4:21">
      <c r="D520" s="81" t="str">
        <f t="shared" si="19"/>
        <v/>
      </c>
      <c r="E520" s="90" t="str">
        <f>IF(D520="","",D520+(COUNTIF(D$4:D520,D520)-1)*0.001)</f>
        <v/>
      </c>
      <c r="I520" s="81" t="str">
        <f t="shared" si="20"/>
        <v/>
      </c>
      <c r="J520" s="81" t="str">
        <f>IF(I520="","",I520+(COUNTIF(I$4:I520,I520)-1)*0.001)</f>
        <v/>
      </c>
      <c r="S520" s="202"/>
      <c r="U520" s="93"/>
    </row>
    <row r="521" spans="4:21">
      <c r="D521" s="81" t="str">
        <f t="shared" si="19"/>
        <v/>
      </c>
      <c r="E521" s="90" t="str">
        <f>IF(D521="","",D521+(COUNTIF(D$4:D521,D521)-1)*0.001)</f>
        <v/>
      </c>
      <c r="I521" s="81" t="str">
        <f t="shared" si="20"/>
        <v/>
      </c>
      <c r="J521" s="81" t="str">
        <f>IF(I521="","",I521+(COUNTIF(I$4:I521,I521)-1)*0.001)</f>
        <v/>
      </c>
      <c r="S521" s="202"/>
      <c r="U521" s="93"/>
    </row>
    <row r="522" spans="4:21">
      <c r="D522" s="81" t="str">
        <f t="shared" si="19"/>
        <v/>
      </c>
      <c r="E522" s="90" t="str">
        <f>IF(D522="","",D522+(COUNTIF(D$4:D522,D522)-1)*0.001)</f>
        <v/>
      </c>
      <c r="I522" s="81" t="str">
        <f t="shared" si="20"/>
        <v/>
      </c>
      <c r="J522" s="81" t="str">
        <f>IF(I522="","",I522+(COUNTIF(I$4:I522,I522)-1)*0.001)</f>
        <v/>
      </c>
      <c r="S522" s="202"/>
      <c r="U522" s="93"/>
    </row>
    <row r="523" spans="4:21">
      <c r="D523" s="81" t="str">
        <f t="shared" si="19"/>
        <v/>
      </c>
      <c r="E523" s="90" t="str">
        <f>IF(D523="","",D523+(COUNTIF(D$4:D523,D523)-1)*0.001)</f>
        <v/>
      </c>
      <c r="I523" s="81" t="str">
        <f t="shared" si="20"/>
        <v/>
      </c>
      <c r="J523" s="81" t="str">
        <f>IF(I523="","",I523+(COUNTIF(I$4:I523,I523)-1)*0.001)</f>
        <v/>
      </c>
      <c r="S523" s="202"/>
      <c r="U523" s="93"/>
    </row>
    <row r="524" spans="4:21">
      <c r="D524" s="81" t="str">
        <f t="shared" si="19"/>
        <v/>
      </c>
      <c r="E524" s="90" t="str">
        <f>IF(D524="","",D524+(COUNTIF(D$4:D524,D524)-1)*0.001)</f>
        <v/>
      </c>
      <c r="I524" s="81" t="str">
        <f t="shared" si="20"/>
        <v/>
      </c>
      <c r="J524" s="81" t="str">
        <f>IF(I524="","",I524+(COUNTIF(I$4:I524,I524)-1)*0.001)</f>
        <v/>
      </c>
      <c r="S524" s="202"/>
      <c r="U524" s="93"/>
    </row>
    <row r="525" spans="4:21">
      <c r="D525" s="81" t="str">
        <f t="shared" si="19"/>
        <v/>
      </c>
      <c r="E525" s="90" t="str">
        <f>IF(D525="","",D525+(COUNTIF(D$4:D525,D525)-1)*0.001)</f>
        <v/>
      </c>
      <c r="I525" s="81" t="str">
        <f t="shared" si="20"/>
        <v/>
      </c>
      <c r="J525" s="81" t="str">
        <f>IF(I525="","",I525+(COUNTIF(I$4:I525,I525)-1)*0.001)</f>
        <v/>
      </c>
      <c r="S525" s="202"/>
      <c r="U525" s="93"/>
    </row>
    <row r="526" spans="4:21">
      <c r="D526" s="81" t="str">
        <f t="shared" si="19"/>
        <v/>
      </c>
      <c r="E526" s="90" t="str">
        <f>IF(D526="","",D526+(COUNTIF(D$4:D526,D526)-1)*0.001)</f>
        <v/>
      </c>
      <c r="I526" s="81" t="str">
        <f t="shared" si="20"/>
        <v/>
      </c>
      <c r="J526" s="81" t="str">
        <f>IF(I526="","",I526+(COUNTIF(I$4:I526,I526)-1)*0.001)</f>
        <v/>
      </c>
      <c r="S526" s="202"/>
      <c r="U526" s="93"/>
    </row>
    <row r="527" spans="4:21">
      <c r="D527" s="81" t="str">
        <f t="shared" si="19"/>
        <v/>
      </c>
      <c r="E527" s="90" t="str">
        <f>IF(D527="","",D527+(COUNTIF(D$4:D527,D527)-1)*0.001)</f>
        <v/>
      </c>
      <c r="I527" s="81" t="str">
        <f t="shared" si="20"/>
        <v/>
      </c>
      <c r="J527" s="81" t="str">
        <f>IF(I527="","",I527+(COUNTIF(I$4:I527,I527)-1)*0.001)</f>
        <v/>
      </c>
      <c r="S527" s="202"/>
      <c r="U527" s="93"/>
    </row>
    <row r="528" spans="4:21">
      <c r="D528" s="81" t="str">
        <f t="shared" si="19"/>
        <v/>
      </c>
      <c r="E528" s="90" t="str">
        <f>IF(D528="","",D528+(COUNTIF(D$4:D528,D528)-1)*0.001)</f>
        <v/>
      </c>
      <c r="I528" s="81" t="str">
        <f t="shared" si="20"/>
        <v/>
      </c>
      <c r="J528" s="81" t="str">
        <f>IF(I528="","",I528+(COUNTIF(I$4:I528,I528)-1)*0.001)</f>
        <v/>
      </c>
      <c r="S528" s="202"/>
      <c r="U528" s="93"/>
    </row>
    <row r="529" spans="4:21">
      <c r="D529" s="81" t="str">
        <f t="shared" si="19"/>
        <v/>
      </c>
      <c r="E529" s="90" t="str">
        <f>IF(D529="","",D529+(COUNTIF(D$4:D529,D529)-1)*0.001)</f>
        <v/>
      </c>
      <c r="I529" s="81" t="str">
        <f t="shared" si="20"/>
        <v/>
      </c>
      <c r="J529" s="81" t="str">
        <f>IF(I529="","",I529+(COUNTIF(I$4:I529,I529)-1)*0.001)</f>
        <v/>
      </c>
      <c r="S529" s="202"/>
      <c r="U529" s="93"/>
    </row>
    <row r="530" spans="4:21">
      <c r="D530" s="81" t="str">
        <f t="shared" si="19"/>
        <v/>
      </c>
      <c r="E530" s="90" t="str">
        <f>IF(D530="","",D530+(COUNTIF(D$4:D530,D530)-1)*0.001)</f>
        <v/>
      </c>
      <c r="I530" s="81" t="str">
        <f t="shared" si="20"/>
        <v/>
      </c>
      <c r="J530" s="81" t="str">
        <f>IF(I530="","",I530+(COUNTIF(I$4:I530,I530)-1)*0.001)</f>
        <v/>
      </c>
      <c r="S530" s="202"/>
      <c r="U530" s="93"/>
    </row>
    <row r="531" spans="4:21">
      <c r="D531" s="81" t="str">
        <f t="shared" si="19"/>
        <v/>
      </c>
      <c r="E531" s="90" t="str">
        <f>IF(D531="","",D531+(COUNTIF(D$4:D531,D531)-1)*0.001)</f>
        <v/>
      </c>
      <c r="I531" s="81" t="str">
        <f t="shared" si="20"/>
        <v/>
      </c>
      <c r="J531" s="81" t="str">
        <f>IF(I531="","",I531+(COUNTIF(I$4:I531,I531)-1)*0.001)</f>
        <v/>
      </c>
      <c r="S531" s="202"/>
      <c r="U531" s="93"/>
    </row>
    <row r="532" spans="4:21">
      <c r="D532" s="81" t="str">
        <f t="shared" si="19"/>
        <v/>
      </c>
      <c r="E532" s="90" t="str">
        <f>IF(D532="","",D532+(COUNTIF(D$4:D532,D532)-1)*0.001)</f>
        <v/>
      </c>
      <c r="I532" s="81" t="str">
        <f t="shared" si="20"/>
        <v/>
      </c>
      <c r="J532" s="81" t="str">
        <f>IF(I532="","",I532+(COUNTIF(I$4:I532,I532)-1)*0.001)</f>
        <v/>
      </c>
      <c r="S532" s="202"/>
      <c r="U532" s="93"/>
    </row>
    <row r="533" spans="4:21">
      <c r="D533" s="81" t="str">
        <f t="shared" si="19"/>
        <v/>
      </c>
      <c r="E533" s="90" t="str">
        <f>IF(D533="","",D533+(COUNTIF(D$4:D533,D533)-1)*0.001)</f>
        <v/>
      </c>
      <c r="I533" s="81" t="str">
        <f t="shared" si="20"/>
        <v/>
      </c>
      <c r="J533" s="81" t="str">
        <f>IF(I533="","",I533+(COUNTIF(I$4:I533,I533)-1)*0.001)</f>
        <v/>
      </c>
      <c r="S533" s="202"/>
      <c r="U533" s="93"/>
    </row>
    <row r="534" spans="4:21">
      <c r="D534" s="81" t="str">
        <f t="shared" si="19"/>
        <v/>
      </c>
      <c r="E534" s="90" t="str">
        <f>IF(D534="","",D534+(COUNTIF(D$4:D534,D534)-1)*0.001)</f>
        <v/>
      </c>
      <c r="I534" s="81" t="str">
        <f t="shared" si="20"/>
        <v/>
      </c>
      <c r="J534" s="81" t="str">
        <f>IF(I534="","",I534+(COUNTIF(I$4:I534,I534)-1)*0.001)</f>
        <v/>
      </c>
      <c r="S534" s="202"/>
      <c r="U534" s="93"/>
    </row>
    <row r="535" spans="4:21">
      <c r="D535" s="81" t="str">
        <f t="shared" si="19"/>
        <v/>
      </c>
      <c r="E535" s="90" t="str">
        <f>IF(D535="","",D535+(COUNTIF(D$4:D535,D535)-1)*0.001)</f>
        <v/>
      </c>
      <c r="I535" s="81" t="str">
        <f t="shared" si="20"/>
        <v/>
      </c>
      <c r="J535" s="81" t="str">
        <f>IF(I535="","",I535+(COUNTIF(I$4:I535,I535)-1)*0.001)</f>
        <v/>
      </c>
      <c r="S535" s="202"/>
      <c r="U535" s="93"/>
    </row>
    <row r="536" spans="4:21">
      <c r="D536" s="81" t="str">
        <f t="shared" si="19"/>
        <v/>
      </c>
      <c r="E536" s="90" t="str">
        <f>IF(D536="","",D536+(COUNTIF(D$4:D536,D536)-1)*0.001)</f>
        <v/>
      </c>
      <c r="I536" s="81" t="str">
        <f t="shared" si="20"/>
        <v/>
      </c>
      <c r="J536" s="81" t="str">
        <f>IF(I536="","",I536+(COUNTIF(I$4:I536,I536)-1)*0.001)</f>
        <v/>
      </c>
      <c r="S536" s="202"/>
      <c r="U536" s="93"/>
    </row>
    <row r="537" spans="4:21">
      <c r="D537" s="81" t="str">
        <f t="shared" si="19"/>
        <v/>
      </c>
      <c r="E537" s="90" t="str">
        <f>IF(D537="","",D537+(COUNTIF(D$4:D537,D537)-1)*0.001)</f>
        <v/>
      </c>
      <c r="I537" s="81" t="str">
        <f t="shared" si="20"/>
        <v/>
      </c>
      <c r="J537" s="81" t="str">
        <f>IF(I537="","",I537+(COUNTIF(I$4:I537,I537)-1)*0.001)</f>
        <v/>
      </c>
      <c r="S537" s="202"/>
      <c r="U537" s="93"/>
    </row>
    <row r="538" spans="4:21">
      <c r="D538" s="81" t="str">
        <f t="shared" si="19"/>
        <v/>
      </c>
      <c r="E538" s="90" t="str">
        <f>IF(D538="","",D538+(COUNTIF(D$4:D538,D538)-1)*0.001)</f>
        <v/>
      </c>
      <c r="I538" s="81" t="str">
        <f t="shared" si="20"/>
        <v/>
      </c>
      <c r="J538" s="81" t="str">
        <f>IF(I538="","",I538+(COUNTIF(I$4:I538,I538)-1)*0.001)</f>
        <v/>
      </c>
      <c r="S538" s="202"/>
      <c r="U538" s="93"/>
    </row>
    <row r="539" spans="4:21">
      <c r="D539" s="81" t="str">
        <f t="shared" si="19"/>
        <v/>
      </c>
      <c r="E539" s="90" t="str">
        <f>IF(D539="","",D539+(COUNTIF(D$4:D539,D539)-1)*0.001)</f>
        <v/>
      </c>
      <c r="I539" s="81" t="str">
        <f t="shared" si="20"/>
        <v/>
      </c>
      <c r="J539" s="81" t="str">
        <f>IF(I539="","",I539+(COUNTIF(I$4:I539,I539)-1)*0.001)</f>
        <v/>
      </c>
      <c r="S539" s="202"/>
      <c r="U539" s="93"/>
    </row>
    <row r="540" spans="4:21">
      <c r="D540" s="81" t="str">
        <f t="shared" si="19"/>
        <v/>
      </c>
      <c r="E540" s="90" t="str">
        <f>IF(D540="","",D540+(COUNTIF(D$4:D540,D540)-1)*0.001)</f>
        <v/>
      </c>
      <c r="I540" s="81" t="str">
        <f t="shared" si="20"/>
        <v/>
      </c>
      <c r="J540" s="81" t="str">
        <f>IF(I540="","",I540+(COUNTIF(I$4:I540,I540)-1)*0.001)</f>
        <v/>
      </c>
      <c r="S540" s="202"/>
      <c r="U540" s="93"/>
    </row>
    <row r="541" spans="4:21">
      <c r="D541" s="81" t="str">
        <f t="shared" si="19"/>
        <v/>
      </c>
      <c r="E541" s="90" t="str">
        <f>IF(D541="","",D541+(COUNTIF(D$4:D541,D541)-1)*0.001)</f>
        <v/>
      </c>
      <c r="I541" s="81" t="str">
        <f t="shared" si="20"/>
        <v/>
      </c>
      <c r="J541" s="81" t="str">
        <f>IF(I541="","",I541+(COUNTIF(I$4:I541,I541)-1)*0.001)</f>
        <v/>
      </c>
      <c r="S541" s="202"/>
      <c r="U541" s="93"/>
    </row>
    <row r="542" spans="4:21">
      <c r="D542" s="81" t="str">
        <f t="shared" si="19"/>
        <v/>
      </c>
      <c r="E542" s="90" t="str">
        <f>IF(D542="","",D542+(COUNTIF(D$4:D542,D542)-1)*0.001)</f>
        <v/>
      </c>
      <c r="I542" s="81" t="str">
        <f t="shared" si="20"/>
        <v/>
      </c>
      <c r="J542" s="81" t="str">
        <f>IF(I542="","",I542+(COUNTIF(I$4:I542,I542)-1)*0.001)</f>
        <v/>
      </c>
      <c r="S542" s="202"/>
      <c r="U542" s="93"/>
    </row>
    <row r="543" spans="4:21">
      <c r="D543" s="81" t="str">
        <f t="shared" si="19"/>
        <v/>
      </c>
      <c r="E543" s="90" t="str">
        <f>IF(D543="","",D543+(COUNTIF(D$4:D543,D543)-1)*0.001)</f>
        <v/>
      </c>
      <c r="I543" s="81" t="str">
        <f t="shared" si="20"/>
        <v/>
      </c>
      <c r="J543" s="81" t="str">
        <f>IF(I543="","",I543+(COUNTIF(I$4:I543,I543)-1)*0.001)</f>
        <v/>
      </c>
      <c r="S543" s="202"/>
      <c r="U543" s="93"/>
    </row>
    <row r="544" spans="4:21">
      <c r="D544" s="81" t="str">
        <f t="shared" si="19"/>
        <v/>
      </c>
      <c r="E544" s="90" t="str">
        <f>IF(D544="","",D544+(COUNTIF(D$4:D544,D544)-1)*0.001)</f>
        <v/>
      </c>
      <c r="I544" s="81" t="str">
        <f t="shared" si="20"/>
        <v/>
      </c>
      <c r="J544" s="81" t="str">
        <f>IF(I544="","",I544+(COUNTIF(I$4:I544,I544)-1)*0.001)</f>
        <v/>
      </c>
      <c r="S544" s="202"/>
      <c r="U544" s="93"/>
    </row>
    <row r="545" spans="4:21">
      <c r="D545" s="81" t="str">
        <f t="shared" si="19"/>
        <v/>
      </c>
      <c r="E545" s="90" t="str">
        <f>IF(D545="","",D545+(COUNTIF(D$4:D545,D545)-1)*0.001)</f>
        <v/>
      </c>
      <c r="I545" s="81" t="str">
        <f t="shared" si="20"/>
        <v/>
      </c>
      <c r="J545" s="81" t="str">
        <f>IF(I545="","",I545+(COUNTIF(I$4:I545,I545)-1)*0.001)</f>
        <v/>
      </c>
      <c r="S545" s="202"/>
      <c r="U545" s="93"/>
    </row>
    <row r="546" spans="4:21">
      <c r="D546" s="81" t="str">
        <f t="shared" si="19"/>
        <v/>
      </c>
      <c r="E546" s="90" t="str">
        <f>IF(D546="","",D546+(COUNTIF(D$4:D546,D546)-1)*0.001)</f>
        <v/>
      </c>
      <c r="I546" s="81" t="str">
        <f t="shared" si="20"/>
        <v/>
      </c>
      <c r="J546" s="81" t="str">
        <f>IF(I546="","",I546+(COUNTIF(I$4:I546,I546)-1)*0.001)</f>
        <v/>
      </c>
      <c r="S546" s="202"/>
      <c r="U546" s="93"/>
    </row>
    <row r="547" spans="4:21">
      <c r="D547" s="81" t="str">
        <f t="shared" si="19"/>
        <v/>
      </c>
      <c r="E547" s="90" t="str">
        <f>IF(D547="","",D547+(COUNTIF(D$4:D547,D547)-1)*0.001)</f>
        <v/>
      </c>
      <c r="I547" s="81" t="str">
        <f t="shared" si="20"/>
        <v/>
      </c>
      <c r="J547" s="81" t="str">
        <f>IF(I547="","",I547+(COUNTIF(I$4:I547,I547)-1)*0.001)</f>
        <v/>
      </c>
      <c r="S547" s="202"/>
      <c r="U547" s="93"/>
    </row>
    <row r="548" spans="4:21">
      <c r="D548" s="81" t="str">
        <f t="shared" si="19"/>
        <v/>
      </c>
      <c r="E548" s="90" t="str">
        <f>IF(D548="","",D548+(COUNTIF(D$4:D548,D548)-1)*0.001)</f>
        <v/>
      </c>
      <c r="I548" s="81" t="str">
        <f t="shared" si="20"/>
        <v/>
      </c>
      <c r="J548" s="81" t="str">
        <f>IF(I548="","",I548+(COUNTIF(I$4:I548,I548)-1)*0.001)</f>
        <v/>
      </c>
      <c r="S548" s="202"/>
      <c r="U548" s="93"/>
    </row>
    <row r="549" spans="4:21">
      <c r="D549" s="81" t="str">
        <f t="shared" si="19"/>
        <v/>
      </c>
      <c r="E549" s="90" t="str">
        <f>IF(D549="","",D549+(COUNTIF(D$4:D549,D549)-1)*0.001)</f>
        <v/>
      </c>
      <c r="I549" s="81" t="str">
        <f t="shared" si="20"/>
        <v/>
      </c>
      <c r="J549" s="81" t="str">
        <f>IF(I549="","",I549+(COUNTIF(I$4:I549,I549)-1)*0.001)</f>
        <v/>
      </c>
      <c r="S549" s="202"/>
      <c r="U549" s="93"/>
    </row>
    <row r="550" spans="4:21">
      <c r="D550" s="81" t="str">
        <f t="shared" si="19"/>
        <v/>
      </c>
      <c r="E550" s="90" t="str">
        <f>IF(D550="","",D550+(COUNTIF(D$4:D550,D550)-1)*0.001)</f>
        <v/>
      </c>
      <c r="I550" s="81" t="str">
        <f t="shared" si="20"/>
        <v/>
      </c>
      <c r="J550" s="81" t="str">
        <f>IF(I550="","",I550+(COUNTIF(I$4:I550,I550)-1)*0.001)</f>
        <v/>
      </c>
      <c r="S550" s="202"/>
      <c r="U550" s="93"/>
    </row>
    <row r="551" spans="4:21">
      <c r="D551" s="81" t="str">
        <f t="shared" si="19"/>
        <v/>
      </c>
      <c r="E551" s="90" t="str">
        <f>IF(D551="","",D551+(COUNTIF(D$4:D551,D551)-1)*0.001)</f>
        <v/>
      </c>
      <c r="I551" s="81" t="str">
        <f t="shared" si="20"/>
        <v/>
      </c>
      <c r="J551" s="81" t="str">
        <f>IF(I551="","",I551+(COUNTIF(I$4:I551,I551)-1)*0.001)</f>
        <v/>
      </c>
      <c r="S551" s="202"/>
      <c r="U551" s="93"/>
    </row>
    <row r="552" spans="4:21">
      <c r="D552" s="81" t="str">
        <f t="shared" si="19"/>
        <v/>
      </c>
      <c r="E552" s="90" t="str">
        <f>IF(D552="","",D552+(COUNTIF(D$4:D552,D552)-1)*0.001)</f>
        <v/>
      </c>
      <c r="I552" s="81" t="str">
        <f t="shared" si="20"/>
        <v/>
      </c>
      <c r="J552" s="81" t="str">
        <f>IF(I552="","",I552+(COUNTIF(I$4:I552,I552)-1)*0.001)</f>
        <v/>
      </c>
      <c r="S552" s="202"/>
      <c r="U552" s="93"/>
    </row>
    <row r="553" spans="4:21">
      <c r="D553" s="81" t="str">
        <f t="shared" si="19"/>
        <v/>
      </c>
      <c r="E553" s="90" t="str">
        <f>IF(D553="","",D553+(COUNTIF(D$4:D553,D553)-1)*0.001)</f>
        <v/>
      </c>
      <c r="I553" s="81" t="str">
        <f t="shared" si="20"/>
        <v/>
      </c>
      <c r="J553" s="81" t="str">
        <f>IF(I553="","",I553+(COUNTIF(I$4:I553,I553)-1)*0.001)</f>
        <v/>
      </c>
      <c r="S553" s="202"/>
      <c r="U553" s="93"/>
    </row>
    <row r="554" spans="4:21">
      <c r="D554" s="81" t="str">
        <f t="shared" si="19"/>
        <v/>
      </c>
      <c r="E554" s="90" t="str">
        <f>IF(D554="","",D554+(COUNTIF(D$4:D554,D554)-1)*0.001)</f>
        <v/>
      </c>
      <c r="I554" s="81" t="str">
        <f t="shared" si="20"/>
        <v/>
      </c>
      <c r="J554" s="81" t="str">
        <f>IF(I554="","",I554+(COUNTIF(I$4:I554,I554)-1)*0.001)</f>
        <v/>
      </c>
      <c r="S554" s="202"/>
      <c r="U554" s="93"/>
    </row>
    <row r="555" spans="4:21">
      <c r="D555" s="81" t="str">
        <f t="shared" si="19"/>
        <v/>
      </c>
      <c r="E555" s="90" t="str">
        <f>IF(D555="","",D555+(COUNTIF(D$4:D555,D555)-1)*0.001)</f>
        <v/>
      </c>
      <c r="I555" s="81" t="str">
        <f t="shared" si="20"/>
        <v/>
      </c>
      <c r="J555" s="81" t="str">
        <f>IF(I555="","",I555+(COUNTIF(I$4:I555,I555)-1)*0.001)</f>
        <v/>
      </c>
      <c r="S555" s="202"/>
      <c r="U555" s="93"/>
    </row>
    <row r="556" spans="4:21">
      <c r="D556" s="81" t="str">
        <f t="shared" si="19"/>
        <v/>
      </c>
      <c r="E556" s="90" t="str">
        <f>IF(D556="","",D556+(COUNTIF(D$4:D556,D556)-1)*0.001)</f>
        <v/>
      </c>
      <c r="I556" s="81" t="str">
        <f t="shared" si="20"/>
        <v/>
      </c>
      <c r="J556" s="81" t="str">
        <f>IF(I556="","",I556+(COUNTIF(I$4:I556,I556)-1)*0.001)</f>
        <v/>
      </c>
      <c r="S556" s="202"/>
      <c r="U556" s="93"/>
    </row>
    <row r="557" spans="4:21">
      <c r="D557" s="81" t="str">
        <f t="shared" si="19"/>
        <v/>
      </c>
      <c r="E557" s="90" t="str">
        <f>IF(D557="","",D557+(COUNTIF(D$4:D557,D557)-1)*0.001)</f>
        <v/>
      </c>
      <c r="I557" s="81" t="str">
        <f t="shared" si="20"/>
        <v/>
      </c>
      <c r="J557" s="81" t="str">
        <f>IF(I557="","",I557+(COUNTIF(I$4:I557,I557)-1)*0.001)</f>
        <v/>
      </c>
      <c r="S557" s="202"/>
      <c r="U557" s="93"/>
    </row>
    <row r="558" spans="4:21">
      <c r="D558" s="81" t="str">
        <f t="shared" si="19"/>
        <v/>
      </c>
      <c r="E558" s="90" t="str">
        <f>IF(D558="","",D558+(COUNTIF(D$4:D558,D558)-1)*0.001)</f>
        <v/>
      </c>
      <c r="I558" s="81" t="str">
        <f t="shared" si="20"/>
        <v/>
      </c>
      <c r="J558" s="81" t="str">
        <f>IF(I558="","",I558+(COUNTIF(I$4:I558,I558)-1)*0.001)</f>
        <v/>
      </c>
      <c r="S558" s="202"/>
      <c r="U558" s="93"/>
    </row>
    <row r="559" spans="4:21">
      <c r="D559" s="81" t="str">
        <f t="shared" si="19"/>
        <v/>
      </c>
      <c r="E559" s="90" t="str">
        <f>IF(D559="","",D559+(COUNTIF(D$4:D559,D559)-1)*0.001)</f>
        <v/>
      </c>
      <c r="I559" s="81" t="str">
        <f t="shared" si="20"/>
        <v/>
      </c>
      <c r="J559" s="81" t="str">
        <f>IF(I559="","",I559+(COUNTIF(I$4:I559,I559)-1)*0.001)</f>
        <v/>
      </c>
      <c r="S559" s="202"/>
      <c r="U559" s="93"/>
    </row>
    <row r="560" spans="4:21">
      <c r="D560" s="81" t="str">
        <f t="shared" si="19"/>
        <v/>
      </c>
      <c r="E560" s="90" t="str">
        <f>IF(D560="","",D560+(COUNTIF(D$4:D560,D560)-1)*0.001)</f>
        <v/>
      </c>
      <c r="I560" s="81" t="str">
        <f t="shared" si="20"/>
        <v/>
      </c>
      <c r="J560" s="81" t="str">
        <f>IF(I560="","",I560+(COUNTIF(I$4:I560,I560)-1)*0.001)</f>
        <v/>
      </c>
      <c r="S560" s="202"/>
      <c r="U560" s="93"/>
    </row>
    <row r="561" spans="4:21">
      <c r="D561" s="81" t="str">
        <f t="shared" si="19"/>
        <v/>
      </c>
      <c r="E561" s="90" t="str">
        <f>IF(D561="","",D561+(COUNTIF(D$4:D561,D561)-1)*0.001)</f>
        <v/>
      </c>
      <c r="I561" s="81" t="str">
        <f t="shared" si="20"/>
        <v/>
      </c>
      <c r="J561" s="81" t="str">
        <f>IF(I561="","",I561+(COUNTIF(I$4:I561,I561)-1)*0.001)</f>
        <v/>
      </c>
      <c r="S561" s="202"/>
      <c r="U561" s="93"/>
    </row>
    <row r="562" spans="4:21">
      <c r="D562" s="81" t="str">
        <f t="shared" si="19"/>
        <v/>
      </c>
      <c r="E562" s="90" t="str">
        <f>IF(D562="","",D562+(COUNTIF(D$4:D562,D562)-1)*0.001)</f>
        <v/>
      </c>
      <c r="I562" s="81" t="str">
        <f t="shared" si="20"/>
        <v/>
      </c>
      <c r="J562" s="81" t="str">
        <f>IF(I562="","",I562+(COUNTIF(I$4:I562,I562)-1)*0.001)</f>
        <v/>
      </c>
      <c r="S562" s="202"/>
      <c r="U562" s="93"/>
    </row>
    <row r="563" spans="4:21">
      <c r="D563" s="81" t="str">
        <f t="shared" si="19"/>
        <v/>
      </c>
      <c r="E563" s="90" t="str">
        <f>IF(D563="","",D563+(COUNTIF(D$4:D563,D563)-1)*0.001)</f>
        <v/>
      </c>
      <c r="I563" s="81" t="str">
        <f t="shared" si="20"/>
        <v/>
      </c>
      <c r="J563" s="81" t="str">
        <f>IF(I563="","",I563+(COUNTIF(I$4:I563,I563)-1)*0.001)</f>
        <v/>
      </c>
      <c r="S563" s="202"/>
      <c r="U563" s="93"/>
    </row>
    <row r="564" spans="4:21">
      <c r="D564" s="81" t="str">
        <f t="shared" si="19"/>
        <v/>
      </c>
      <c r="E564" s="90" t="str">
        <f>IF(D564="","",D564+(COUNTIF(D$4:D564,D564)-1)*0.001)</f>
        <v/>
      </c>
      <c r="I564" s="81" t="str">
        <f t="shared" si="20"/>
        <v/>
      </c>
      <c r="J564" s="81" t="str">
        <f>IF(I564="","",I564+(COUNTIF(I$4:I564,I564)-1)*0.001)</f>
        <v/>
      </c>
      <c r="S564" s="202"/>
      <c r="U564" s="93"/>
    </row>
    <row r="565" spans="4:21">
      <c r="D565" s="81" t="str">
        <f t="shared" si="19"/>
        <v/>
      </c>
      <c r="E565" s="90" t="str">
        <f>IF(D565="","",D565+(COUNTIF(D$4:D565,D565)-1)*0.001)</f>
        <v/>
      </c>
      <c r="I565" s="81" t="str">
        <f t="shared" si="20"/>
        <v/>
      </c>
      <c r="J565" s="81" t="str">
        <f>IF(I565="","",I565+(COUNTIF(I$4:I565,I565)-1)*0.001)</f>
        <v/>
      </c>
      <c r="S565" s="202"/>
      <c r="U565" s="93"/>
    </row>
    <row r="566" spans="4:21">
      <c r="D566" s="81" t="str">
        <f t="shared" si="19"/>
        <v/>
      </c>
      <c r="E566" s="90" t="str">
        <f>IF(D566="","",D566+(COUNTIF(D$4:D566,D566)-1)*0.001)</f>
        <v/>
      </c>
      <c r="I566" s="81" t="str">
        <f t="shared" si="20"/>
        <v/>
      </c>
      <c r="J566" s="81" t="str">
        <f>IF(I566="","",I566+(COUNTIF(I$4:I566,I566)-1)*0.001)</f>
        <v/>
      </c>
      <c r="S566" s="202"/>
      <c r="U566" s="93"/>
    </row>
    <row r="567" spans="4:21">
      <c r="D567" s="81" t="str">
        <f t="shared" si="19"/>
        <v/>
      </c>
      <c r="E567" s="90" t="str">
        <f>IF(D567="","",D567+(COUNTIF(D$4:D567,D567)-1)*0.001)</f>
        <v/>
      </c>
      <c r="I567" s="81" t="str">
        <f t="shared" si="20"/>
        <v/>
      </c>
      <c r="J567" s="81" t="str">
        <f>IF(I567="","",I567+(COUNTIF(I$4:I567,I567)-1)*0.001)</f>
        <v/>
      </c>
      <c r="S567" s="202"/>
      <c r="U567" s="93"/>
    </row>
    <row r="568" spans="4:21">
      <c r="D568" s="81" t="str">
        <f t="shared" si="19"/>
        <v/>
      </c>
      <c r="E568" s="90" t="str">
        <f>IF(D568="","",D568+(COUNTIF(D$4:D568,D568)-1)*0.001)</f>
        <v/>
      </c>
      <c r="I568" s="81" t="str">
        <f t="shared" si="20"/>
        <v/>
      </c>
      <c r="J568" s="81" t="str">
        <f>IF(I568="","",I568+(COUNTIF(I$4:I568,I568)-1)*0.001)</f>
        <v/>
      </c>
      <c r="S568" s="202"/>
      <c r="U568" s="93"/>
    </row>
    <row r="569" spans="4:21">
      <c r="D569" s="81" t="str">
        <f t="shared" si="19"/>
        <v/>
      </c>
      <c r="E569" s="90" t="str">
        <f>IF(D569="","",D569+(COUNTIF(D$4:D569,D569)-1)*0.001)</f>
        <v/>
      </c>
      <c r="I569" s="81" t="str">
        <f t="shared" si="20"/>
        <v/>
      </c>
      <c r="J569" s="81" t="str">
        <f>IF(I569="","",I569+(COUNTIF(I$4:I569,I569)-1)*0.001)</f>
        <v/>
      </c>
      <c r="S569" s="202"/>
      <c r="U569" s="93"/>
    </row>
    <row r="570" spans="4:21">
      <c r="D570" s="81" t="str">
        <f t="shared" si="19"/>
        <v/>
      </c>
      <c r="E570" s="90" t="str">
        <f>IF(D570="","",D570+(COUNTIF(D$4:D570,D570)-1)*0.001)</f>
        <v/>
      </c>
      <c r="I570" s="81" t="str">
        <f t="shared" si="20"/>
        <v/>
      </c>
      <c r="J570" s="81" t="str">
        <f>IF(I570="","",I570+(COUNTIF(I$4:I570,I570)-1)*0.001)</f>
        <v/>
      </c>
      <c r="S570" s="202"/>
      <c r="U570" s="93"/>
    </row>
    <row r="571" spans="4:21">
      <c r="D571" s="81" t="str">
        <f t="shared" si="19"/>
        <v/>
      </c>
      <c r="E571" s="90" t="str">
        <f>IF(D571="","",D571+(COUNTIF(D$4:D571,D571)-1)*0.001)</f>
        <v/>
      </c>
      <c r="I571" s="81" t="str">
        <f t="shared" si="20"/>
        <v/>
      </c>
      <c r="J571" s="81" t="str">
        <f>IF(I571="","",I571+(COUNTIF(I$4:I571,I571)-1)*0.001)</f>
        <v/>
      </c>
      <c r="S571" s="202"/>
      <c r="U571" s="93"/>
    </row>
    <row r="572" spans="4:21">
      <c r="D572" s="81" t="str">
        <f t="shared" si="19"/>
        <v/>
      </c>
      <c r="E572" s="90" t="str">
        <f>IF(D572="","",D572+(COUNTIF(D$4:D572,D572)-1)*0.001)</f>
        <v/>
      </c>
      <c r="I572" s="81" t="str">
        <f t="shared" si="20"/>
        <v/>
      </c>
      <c r="J572" s="81" t="str">
        <f>IF(I572="","",I572+(COUNTIF(I$4:I572,I572)-1)*0.001)</f>
        <v/>
      </c>
      <c r="S572" s="202"/>
      <c r="U572" s="93"/>
    </row>
    <row r="573" spans="4:21">
      <c r="D573" s="81" t="str">
        <f t="shared" si="19"/>
        <v/>
      </c>
      <c r="E573" s="90" t="str">
        <f>IF(D573="","",D573+(COUNTIF(D$4:D573,D573)-1)*0.001)</f>
        <v/>
      </c>
      <c r="I573" s="81" t="str">
        <f t="shared" si="20"/>
        <v/>
      </c>
      <c r="J573" s="81" t="str">
        <f>IF(I573="","",I573+(COUNTIF(I$4:I573,I573)-1)*0.001)</f>
        <v/>
      </c>
      <c r="S573" s="202"/>
      <c r="U573" s="93"/>
    </row>
    <row r="574" spans="4:21">
      <c r="D574" s="81" t="str">
        <f t="shared" si="19"/>
        <v/>
      </c>
      <c r="E574" s="90" t="str">
        <f>IF(D574="","",D574+(COUNTIF(D$4:D574,D574)-1)*0.001)</f>
        <v/>
      </c>
      <c r="I574" s="81" t="str">
        <f t="shared" si="20"/>
        <v/>
      </c>
      <c r="J574" s="81" t="str">
        <f>IF(I574="","",I574+(COUNTIF(I$4:I574,I574)-1)*0.001)</f>
        <v/>
      </c>
      <c r="S574" s="202"/>
      <c r="U574" s="93"/>
    </row>
    <row r="575" spans="4:21">
      <c r="D575" s="81" t="str">
        <f t="shared" si="19"/>
        <v/>
      </c>
      <c r="E575" s="90" t="str">
        <f>IF(D575="","",D575+(COUNTIF(D$4:D575,D575)-1)*0.001)</f>
        <v/>
      </c>
      <c r="I575" s="81" t="str">
        <f t="shared" si="20"/>
        <v/>
      </c>
      <c r="J575" s="81" t="str">
        <f>IF(I575="","",I575+(COUNTIF(I$4:I575,I575)-1)*0.001)</f>
        <v/>
      </c>
      <c r="S575" s="202"/>
      <c r="U575" s="93"/>
    </row>
    <row r="576" spans="4:21">
      <c r="D576" s="81" t="str">
        <f t="shared" si="19"/>
        <v/>
      </c>
      <c r="E576" s="90" t="str">
        <f>IF(D576="","",D576+(COUNTIF(D$4:D576,D576)-1)*0.001)</f>
        <v/>
      </c>
      <c r="I576" s="81" t="str">
        <f t="shared" si="20"/>
        <v/>
      </c>
      <c r="J576" s="81" t="str">
        <f>IF(I576="","",I576+(COUNTIF(I$4:I576,I576)-1)*0.001)</f>
        <v/>
      </c>
      <c r="S576" s="202"/>
      <c r="U576" s="93"/>
    </row>
    <row r="577" spans="4:21">
      <c r="D577" s="81" t="str">
        <f t="shared" si="19"/>
        <v/>
      </c>
      <c r="E577" s="90" t="str">
        <f>IF(D577="","",D577+(COUNTIF(D$4:D577,D577)-1)*0.001)</f>
        <v/>
      </c>
      <c r="I577" s="81" t="str">
        <f t="shared" si="20"/>
        <v/>
      </c>
      <c r="J577" s="81" t="str">
        <f>IF(I577="","",I577+(COUNTIF(I$4:I577,I577)-1)*0.001)</f>
        <v/>
      </c>
      <c r="S577" s="202"/>
      <c r="U577" s="93"/>
    </row>
    <row r="578" spans="4:21">
      <c r="D578" s="81" t="str">
        <f t="shared" si="19"/>
        <v/>
      </c>
      <c r="E578" s="90" t="str">
        <f>IF(D578="","",D578+(COUNTIF(D$4:D578,D578)-1)*0.001)</f>
        <v/>
      </c>
      <c r="I578" s="81" t="str">
        <f t="shared" si="20"/>
        <v/>
      </c>
      <c r="J578" s="81" t="str">
        <f>IF(I578="","",I578+(COUNTIF(I$4:I578,I578)-1)*0.001)</f>
        <v/>
      </c>
      <c r="S578" s="202"/>
      <c r="U578" s="93"/>
    </row>
    <row r="579" spans="4:21">
      <c r="D579" s="81" t="str">
        <f t="shared" si="19"/>
        <v/>
      </c>
      <c r="E579" s="90" t="str">
        <f>IF(D579="","",D579+(COUNTIF(D$4:D579,D579)-1)*0.001)</f>
        <v/>
      </c>
      <c r="I579" s="81" t="str">
        <f t="shared" si="20"/>
        <v/>
      </c>
      <c r="J579" s="81" t="str">
        <f>IF(I579="","",I579+(COUNTIF(I$4:I579,I579)-1)*0.001)</f>
        <v/>
      </c>
      <c r="S579" s="202"/>
      <c r="U579" s="93"/>
    </row>
    <row r="580" spans="4:21">
      <c r="D580" s="81" t="str">
        <f t="shared" ref="D580:D643" si="21">IF(A580="","",IFERROR(INDEX(收盤1,MATCH(A580,代號1,0)),IFERROR(INDEX(收盤2,MATCH(A580,代號2,0)),IFERROR(INDEX(收盤3,MATCH(A580,代號3,0)),INDEX(收盤4,MATCH(A580,代號4,0)))))*C580)</f>
        <v/>
      </c>
      <c r="E580" s="90" t="str">
        <f>IF(D580="","",D580+(COUNTIF(D$4:D580,D580)-1)*0.001)</f>
        <v/>
      </c>
      <c r="I580" s="81" t="str">
        <f t="shared" ref="I580:I643" si="22">IF(F580="","",IFERROR(INDEX(收盤1,MATCH(F580,代號1,0)),IFERROR(INDEX(收盤2,MATCH(F580,代號2,0)),IFERROR(INDEX(收盤3,MATCH(F580,代號3,0)),INDEX(收盤4,MATCH(F580,代號4,0)))))*H580)</f>
        <v/>
      </c>
      <c r="J580" s="81" t="str">
        <f>IF(I580="","",I580+(COUNTIF(I$4:I580,I580)-1)*0.001)</f>
        <v/>
      </c>
      <c r="S580" s="202"/>
      <c r="U580" s="93"/>
    </row>
    <row r="581" spans="4:21">
      <c r="D581" s="81" t="str">
        <f t="shared" si="21"/>
        <v/>
      </c>
      <c r="E581" s="90" t="str">
        <f>IF(D581="","",D581+(COUNTIF(D$4:D581,D581)-1)*0.001)</f>
        <v/>
      </c>
      <c r="I581" s="81" t="str">
        <f t="shared" si="22"/>
        <v/>
      </c>
      <c r="J581" s="81" t="str">
        <f>IF(I581="","",I581+(COUNTIF(I$4:I581,I581)-1)*0.001)</f>
        <v/>
      </c>
      <c r="S581" s="202"/>
      <c r="U581" s="93"/>
    </row>
    <row r="582" spans="4:21">
      <c r="D582" s="81" t="str">
        <f t="shared" si="21"/>
        <v/>
      </c>
      <c r="E582" s="90" t="str">
        <f>IF(D582="","",D582+(COUNTIF(D$4:D582,D582)-1)*0.001)</f>
        <v/>
      </c>
      <c r="I582" s="81" t="str">
        <f t="shared" si="22"/>
        <v/>
      </c>
      <c r="J582" s="81" t="str">
        <f>IF(I582="","",I582+(COUNTIF(I$4:I582,I582)-1)*0.001)</f>
        <v/>
      </c>
      <c r="S582" s="202"/>
      <c r="U582" s="93"/>
    </row>
    <row r="583" spans="4:21">
      <c r="D583" s="81" t="str">
        <f t="shared" si="21"/>
        <v/>
      </c>
      <c r="E583" s="90" t="str">
        <f>IF(D583="","",D583+(COUNTIF(D$4:D583,D583)-1)*0.001)</f>
        <v/>
      </c>
      <c r="I583" s="81" t="str">
        <f t="shared" si="22"/>
        <v/>
      </c>
      <c r="J583" s="81" t="str">
        <f>IF(I583="","",I583+(COUNTIF(I$4:I583,I583)-1)*0.001)</f>
        <v/>
      </c>
      <c r="S583" s="202"/>
      <c r="U583" s="93"/>
    </row>
    <row r="584" spans="4:21">
      <c r="D584" s="81" t="str">
        <f t="shared" si="21"/>
        <v/>
      </c>
      <c r="E584" s="90" t="str">
        <f>IF(D584="","",D584+(COUNTIF(D$4:D584,D584)-1)*0.001)</f>
        <v/>
      </c>
      <c r="I584" s="81" t="str">
        <f t="shared" si="22"/>
        <v/>
      </c>
      <c r="J584" s="81" t="str">
        <f>IF(I584="","",I584+(COUNTIF(I$4:I584,I584)-1)*0.001)</f>
        <v/>
      </c>
      <c r="S584" s="202"/>
      <c r="U584" s="93"/>
    </row>
    <row r="585" spans="4:21">
      <c r="D585" s="81" t="str">
        <f t="shared" si="21"/>
        <v/>
      </c>
      <c r="E585" s="90" t="str">
        <f>IF(D585="","",D585+(COUNTIF(D$4:D585,D585)-1)*0.001)</f>
        <v/>
      </c>
      <c r="I585" s="81" t="str">
        <f t="shared" si="22"/>
        <v/>
      </c>
      <c r="J585" s="81" t="str">
        <f>IF(I585="","",I585+(COUNTIF(I$4:I585,I585)-1)*0.001)</f>
        <v/>
      </c>
      <c r="S585" s="202"/>
      <c r="U585" s="93"/>
    </row>
    <row r="586" spans="4:21">
      <c r="D586" s="81" t="str">
        <f t="shared" si="21"/>
        <v/>
      </c>
      <c r="E586" s="90" t="str">
        <f>IF(D586="","",D586+(COUNTIF(D$4:D586,D586)-1)*0.001)</f>
        <v/>
      </c>
      <c r="I586" s="81" t="str">
        <f t="shared" si="22"/>
        <v/>
      </c>
      <c r="J586" s="81" t="str">
        <f>IF(I586="","",I586+(COUNTIF(I$4:I586,I586)-1)*0.001)</f>
        <v/>
      </c>
      <c r="S586" s="202"/>
      <c r="U586" s="93"/>
    </row>
    <row r="587" spans="4:21">
      <c r="D587" s="81" t="str">
        <f t="shared" si="21"/>
        <v/>
      </c>
      <c r="E587" s="90" t="str">
        <f>IF(D587="","",D587+(COUNTIF(D$4:D587,D587)-1)*0.001)</f>
        <v/>
      </c>
      <c r="I587" s="81" t="str">
        <f t="shared" si="22"/>
        <v/>
      </c>
      <c r="J587" s="81" t="str">
        <f>IF(I587="","",I587+(COUNTIF(I$4:I587,I587)-1)*0.001)</f>
        <v/>
      </c>
      <c r="S587" s="202"/>
      <c r="U587" s="93"/>
    </row>
    <row r="588" spans="4:21">
      <c r="D588" s="81" t="str">
        <f t="shared" si="21"/>
        <v/>
      </c>
      <c r="E588" s="90" t="str">
        <f>IF(D588="","",D588+(COUNTIF(D$4:D588,D588)-1)*0.001)</f>
        <v/>
      </c>
      <c r="I588" s="81" t="str">
        <f t="shared" si="22"/>
        <v/>
      </c>
      <c r="J588" s="81" t="str">
        <f>IF(I588="","",I588+(COUNTIF(I$4:I588,I588)-1)*0.001)</f>
        <v/>
      </c>
      <c r="S588" s="202"/>
      <c r="U588" s="93"/>
    </row>
    <row r="589" spans="4:21">
      <c r="D589" s="81" t="str">
        <f t="shared" si="21"/>
        <v/>
      </c>
      <c r="E589" s="90" t="str">
        <f>IF(D589="","",D589+(COUNTIF(D$4:D589,D589)-1)*0.001)</f>
        <v/>
      </c>
      <c r="I589" s="81" t="str">
        <f t="shared" si="22"/>
        <v/>
      </c>
      <c r="J589" s="81" t="str">
        <f>IF(I589="","",I589+(COUNTIF(I$4:I589,I589)-1)*0.001)</f>
        <v/>
      </c>
      <c r="S589" s="202"/>
      <c r="U589" s="93"/>
    </row>
    <row r="590" spans="4:21">
      <c r="D590" s="81" t="str">
        <f t="shared" si="21"/>
        <v/>
      </c>
      <c r="E590" s="90" t="str">
        <f>IF(D590="","",D590+(COUNTIF(D$4:D590,D590)-1)*0.001)</f>
        <v/>
      </c>
      <c r="I590" s="81" t="str">
        <f t="shared" si="22"/>
        <v/>
      </c>
      <c r="J590" s="81" t="str">
        <f>IF(I590="","",I590+(COUNTIF(I$4:I590,I590)-1)*0.001)</f>
        <v/>
      </c>
      <c r="S590" s="202"/>
      <c r="U590" s="93"/>
    </row>
    <row r="591" spans="4:21">
      <c r="D591" s="81" t="str">
        <f t="shared" si="21"/>
        <v/>
      </c>
      <c r="E591" s="90" t="str">
        <f>IF(D591="","",D591+(COUNTIF(D$4:D591,D591)-1)*0.001)</f>
        <v/>
      </c>
      <c r="I591" s="81" t="str">
        <f t="shared" si="22"/>
        <v/>
      </c>
      <c r="J591" s="81" t="str">
        <f>IF(I591="","",I591+(COUNTIF(I$4:I591,I591)-1)*0.001)</f>
        <v/>
      </c>
      <c r="S591" s="202"/>
      <c r="U591" s="93"/>
    </row>
    <row r="592" spans="4:21">
      <c r="D592" s="81" t="str">
        <f t="shared" si="21"/>
        <v/>
      </c>
      <c r="E592" s="90" t="str">
        <f>IF(D592="","",D592+(COUNTIF(D$4:D592,D592)-1)*0.001)</f>
        <v/>
      </c>
      <c r="I592" s="81" t="str">
        <f t="shared" si="22"/>
        <v/>
      </c>
      <c r="J592" s="81" t="str">
        <f>IF(I592="","",I592+(COUNTIF(I$4:I592,I592)-1)*0.001)</f>
        <v/>
      </c>
      <c r="S592" s="202"/>
      <c r="U592" s="93"/>
    </row>
    <row r="593" spans="4:21">
      <c r="D593" s="81" t="str">
        <f t="shared" si="21"/>
        <v/>
      </c>
      <c r="E593" s="90" t="str">
        <f>IF(D593="","",D593+(COUNTIF(D$4:D593,D593)-1)*0.001)</f>
        <v/>
      </c>
      <c r="I593" s="81" t="str">
        <f t="shared" si="22"/>
        <v/>
      </c>
      <c r="J593" s="81" t="str">
        <f>IF(I593="","",I593+(COUNTIF(I$4:I593,I593)-1)*0.001)</f>
        <v/>
      </c>
      <c r="S593" s="202"/>
      <c r="U593" s="93"/>
    </row>
    <row r="594" spans="4:21">
      <c r="D594" s="81" t="str">
        <f t="shared" si="21"/>
        <v/>
      </c>
      <c r="E594" s="90" t="str">
        <f>IF(D594="","",D594+(COUNTIF(D$4:D594,D594)-1)*0.001)</f>
        <v/>
      </c>
      <c r="I594" s="81" t="str">
        <f t="shared" si="22"/>
        <v/>
      </c>
      <c r="J594" s="81" t="str">
        <f>IF(I594="","",I594+(COUNTIF(I$4:I594,I594)-1)*0.001)</f>
        <v/>
      </c>
      <c r="S594" s="202"/>
      <c r="U594" s="93"/>
    </row>
    <row r="595" spans="4:21">
      <c r="D595" s="81" t="str">
        <f t="shared" si="21"/>
        <v/>
      </c>
      <c r="E595" s="90" t="str">
        <f>IF(D595="","",D595+(COUNTIF(D$4:D595,D595)-1)*0.001)</f>
        <v/>
      </c>
      <c r="I595" s="81" t="str">
        <f t="shared" si="22"/>
        <v/>
      </c>
      <c r="J595" s="81" t="str">
        <f>IF(I595="","",I595+(COUNTIF(I$4:I595,I595)-1)*0.001)</f>
        <v/>
      </c>
      <c r="S595" s="202"/>
      <c r="U595" s="93"/>
    </row>
    <row r="596" spans="4:21">
      <c r="D596" s="81" t="str">
        <f t="shared" si="21"/>
        <v/>
      </c>
      <c r="E596" s="90" t="str">
        <f>IF(D596="","",D596+(COUNTIF(D$4:D596,D596)-1)*0.001)</f>
        <v/>
      </c>
      <c r="I596" s="81" t="str">
        <f t="shared" si="22"/>
        <v/>
      </c>
      <c r="J596" s="81" t="str">
        <f>IF(I596="","",I596+(COUNTIF(I$4:I596,I596)-1)*0.001)</f>
        <v/>
      </c>
      <c r="S596" s="202"/>
      <c r="U596" s="93"/>
    </row>
    <row r="597" spans="4:21">
      <c r="D597" s="81" t="str">
        <f t="shared" si="21"/>
        <v/>
      </c>
      <c r="E597" s="90" t="str">
        <f>IF(D597="","",D597+(COUNTIF(D$4:D597,D597)-1)*0.001)</f>
        <v/>
      </c>
      <c r="I597" s="81" t="str">
        <f t="shared" si="22"/>
        <v/>
      </c>
      <c r="J597" s="81" t="str">
        <f>IF(I597="","",I597+(COUNTIF(I$4:I597,I597)-1)*0.001)</f>
        <v/>
      </c>
      <c r="S597" s="202"/>
      <c r="U597" s="93"/>
    </row>
    <row r="598" spans="4:21">
      <c r="D598" s="81" t="str">
        <f t="shared" si="21"/>
        <v/>
      </c>
      <c r="E598" s="90" t="str">
        <f>IF(D598="","",D598+(COUNTIF(D$4:D598,D598)-1)*0.001)</f>
        <v/>
      </c>
      <c r="I598" s="81" t="str">
        <f t="shared" si="22"/>
        <v/>
      </c>
      <c r="J598" s="81" t="str">
        <f>IF(I598="","",I598+(COUNTIF(I$4:I598,I598)-1)*0.001)</f>
        <v/>
      </c>
      <c r="S598" s="202"/>
      <c r="U598" s="93"/>
    </row>
    <row r="599" spans="4:21">
      <c r="D599" s="81" t="str">
        <f t="shared" si="21"/>
        <v/>
      </c>
      <c r="E599" s="90" t="str">
        <f>IF(D599="","",D599+(COUNTIF(D$4:D599,D599)-1)*0.001)</f>
        <v/>
      </c>
      <c r="I599" s="81" t="str">
        <f t="shared" si="22"/>
        <v/>
      </c>
      <c r="J599" s="81" t="str">
        <f>IF(I599="","",I599+(COUNTIF(I$4:I599,I599)-1)*0.001)</f>
        <v/>
      </c>
      <c r="S599" s="202"/>
      <c r="U599" s="93"/>
    </row>
    <row r="600" spans="4:21">
      <c r="D600" s="81" t="str">
        <f t="shared" si="21"/>
        <v/>
      </c>
      <c r="E600" s="90" t="str">
        <f>IF(D600="","",D600+(COUNTIF(D$4:D600,D600)-1)*0.001)</f>
        <v/>
      </c>
      <c r="I600" s="81" t="str">
        <f t="shared" si="22"/>
        <v/>
      </c>
      <c r="J600" s="81" t="str">
        <f>IF(I600="","",I600+(COUNTIF(I$4:I600,I600)-1)*0.001)</f>
        <v/>
      </c>
      <c r="S600" s="202"/>
      <c r="U600" s="93"/>
    </row>
    <row r="601" spans="4:21">
      <c r="D601" s="81" t="str">
        <f t="shared" si="21"/>
        <v/>
      </c>
      <c r="E601" s="90" t="str">
        <f>IF(D601="","",D601+(COUNTIF(D$4:D601,D601)-1)*0.001)</f>
        <v/>
      </c>
      <c r="I601" s="81" t="str">
        <f t="shared" si="22"/>
        <v/>
      </c>
      <c r="J601" s="81" t="str">
        <f>IF(I601="","",I601+(COUNTIF(I$4:I601,I601)-1)*0.001)</f>
        <v/>
      </c>
      <c r="S601" s="202"/>
      <c r="U601" s="93"/>
    </row>
    <row r="602" spans="4:21">
      <c r="D602" s="81" t="str">
        <f t="shared" si="21"/>
        <v/>
      </c>
      <c r="E602" s="90" t="str">
        <f>IF(D602="","",D602+(COUNTIF(D$4:D602,D602)-1)*0.001)</f>
        <v/>
      </c>
      <c r="I602" s="81" t="str">
        <f t="shared" si="22"/>
        <v/>
      </c>
      <c r="J602" s="81" t="str">
        <f>IF(I602="","",I602+(COUNTIF(I$4:I602,I602)-1)*0.001)</f>
        <v/>
      </c>
      <c r="S602" s="202"/>
      <c r="U602" s="93"/>
    </row>
    <row r="603" spans="4:21">
      <c r="D603" s="81" t="str">
        <f t="shared" si="21"/>
        <v/>
      </c>
      <c r="E603" s="90" t="str">
        <f>IF(D603="","",D603+(COUNTIF(D$4:D603,D603)-1)*0.001)</f>
        <v/>
      </c>
      <c r="I603" s="81" t="str">
        <f t="shared" si="22"/>
        <v/>
      </c>
      <c r="J603" s="81" t="str">
        <f>IF(I603="","",I603+(COUNTIF(I$4:I603,I603)-1)*0.001)</f>
        <v/>
      </c>
      <c r="S603" s="202"/>
      <c r="U603" s="93"/>
    </row>
    <row r="604" spans="4:21">
      <c r="D604" s="81" t="str">
        <f t="shared" si="21"/>
        <v/>
      </c>
      <c r="E604" s="90" t="str">
        <f>IF(D604="","",D604+(COUNTIF(D$4:D604,D604)-1)*0.001)</f>
        <v/>
      </c>
      <c r="I604" s="81" t="str">
        <f t="shared" si="22"/>
        <v/>
      </c>
      <c r="J604" s="81" t="str">
        <f>IF(I604="","",I604+(COUNTIF(I$4:I604,I604)-1)*0.001)</f>
        <v/>
      </c>
      <c r="S604" s="202"/>
      <c r="U604" s="93"/>
    </row>
    <row r="605" spans="4:21">
      <c r="D605" s="81" t="str">
        <f t="shared" si="21"/>
        <v/>
      </c>
      <c r="E605" s="90" t="str">
        <f>IF(D605="","",D605+(COUNTIF(D$4:D605,D605)-1)*0.001)</f>
        <v/>
      </c>
      <c r="I605" s="81" t="str">
        <f t="shared" si="22"/>
        <v/>
      </c>
      <c r="J605" s="81" t="str">
        <f>IF(I605="","",I605+(COUNTIF(I$4:I605,I605)-1)*0.001)</f>
        <v/>
      </c>
      <c r="S605" s="202"/>
      <c r="U605" s="93"/>
    </row>
    <row r="606" spans="4:21">
      <c r="D606" s="81" t="str">
        <f t="shared" si="21"/>
        <v/>
      </c>
      <c r="E606" s="90" t="str">
        <f>IF(D606="","",D606+(COUNTIF(D$4:D606,D606)-1)*0.001)</f>
        <v/>
      </c>
      <c r="I606" s="81" t="str">
        <f t="shared" si="22"/>
        <v/>
      </c>
      <c r="J606" s="81" t="str">
        <f>IF(I606="","",I606+(COUNTIF(I$4:I606,I606)-1)*0.001)</f>
        <v/>
      </c>
      <c r="S606" s="202"/>
      <c r="U606" s="93"/>
    </row>
    <row r="607" spans="4:21">
      <c r="D607" s="81" t="str">
        <f t="shared" si="21"/>
        <v/>
      </c>
      <c r="E607" s="90" t="str">
        <f>IF(D607="","",D607+(COUNTIF(D$4:D607,D607)-1)*0.001)</f>
        <v/>
      </c>
      <c r="I607" s="81" t="str">
        <f t="shared" si="22"/>
        <v/>
      </c>
      <c r="J607" s="81" t="str">
        <f>IF(I607="","",I607+(COUNTIF(I$4:I607,I607)-1)*0.001)</f>
        <v/>
      </c>
      <c r="S607" s="202"/>
      <c r="U607" s="93"/>
    </row>
    <row r="608" spans="4:21">
      <c r="D608" s="81" t="str">
        <f t="shared" si="21"/>
        <v/>
      </c>
      <c r="E608" s="90" t="str">
        <f>IF(D608="","",D608+(COUNTIF(D$4:D608,D608)-1)*0.001)</f>
        <v/>
      </c>
      <c r="I608" s="81" t="str">
        <f t="shared" si="22"/>
        <v/>
      </c>
      <c r="J608" s="81" t="str">
        <f>IF(I608="","",I608+(COUNTIF(I$4:I608,I608)-1)*0.001)</f>
        <v/>
      </c>
      <c r="S608" s="202"/>
      <c r="U608" s="93"/>
    </row>
    <row r="609" spans="4:21">
      <c r="D609" s="81" t="str">
        <f t="shared" si="21"/>
        <v/>
      </c>
      <c r="E609" s="90" t="str">
        <f>IF(D609="","",D609+(COUNTIF(D$4:D609,D609)-1)*0.001)</f>
        <v/>
      </c>
      <c r="I609" s="81" t="str">
        <f t="shared" si="22"/>
        <v/>
      </c>
      <c r="J609" s="81" t="str">
        <f>IF(I609="","",I609+(COUNTIF(I$4:I609,I609)-1)*0.001)</f>
        <v/>
      </c>
      <c r="S609" s="202"/>
      <c r="U609" s="93"/>
    </row>
    <row r="610" spans="4:21">
      <c r="D610" s="81" t="str">
        <f t="shared" si="21"/>
        <v/>
      </c>
      <c r="E610" s="90" t="str">
        <f>IF(D610="","",D610+(COUNTIF(D$4:D610,D610)-1)*0.001)</f>
        <v/>
      </c>
      <c r="I610" s="81" t="str">
        <f t="shared" si="22"/>
        <v/>
      </c>
      <c r="J610" s="81" t="str">
        <f>IF(I610="","",I610+(COUNTIF(I$4:I610,I610)-1)*0.001)</f>
        <v/>
      </c>
      <c r="S610" s="202"/>
      <c r="U610" s="93"/>
    </row>
    <row r="611" spans="4:21">
      <c r="D611" s="81" t="str">
        <f t="shared" si="21"/>
        <v/>
      </c>
      <c r="E611" s="90" t="str">
        <f>IF(D611="","",D611+(COUNTIF(D$4:D611,D611)-1)*0.001)</f>
        <v/>
      </c>
      <c r="I611" s="81" t="str">
        <f t="shared" si="22"/>
        <v/>
      </c>
      <c r="J611" s="81" t="str">
        <f>IF(I611="","",I611+(COUNTIF(I$4:I611,I611)-1)*0.001)</f>
        <v/>
      </c>
      <c r="S611" s="202"/>
      <c r="U611" s="93"/>
    </row>
    <row r="612" spans="4:21">
      <c r="D612" s="81" t="str">
        <f t="shared" si="21"/>
        <v/>
      </c>
      <c r="E612" s="90" t="str">
        <f>IF(D612="","",D612+(COUNTIF(D$4:D612,D612)-1)*0.001)</f>
        <v/>
      </c>
      <c r="I612" s="81" t="str">
        <f t="shared" si="22"/>
        <v/>
      </c>
      <c r="J612" s="81" t="str">
        <f>IF(I612="","",I612+(COUNTIF(I$4:I612,I612)-1)*0.001)</f>
        <v/>
      </c>
      <c r="S612" s="202"/>
      <c r="U612" s="93"/>
    </row>
    <row r="613" spans="4:21">
      <c r="D613" s="81" t="str">
        <f t="shared" si="21"/>
        <v/>
      </c>
      <c r="E613" s="90" t="str">
        <f>IF(D613="","",D613+(COUNTIF(D$4:D613,D613)-1)*0.001)</f>
        <v/>
      </c>
      <c r="I613" s="81" t="str">
        <f t="shared" si="22"/>
        <v/>
      </c>
      <c r="J613" s="81" t="str">
        <f>IF(I613="","",I613+(COUNTIF(I$4:I613,I613)-1)*0.001)</f>
        <v/>
      </c>
      <c r="S613" s="202"/>
      <c r="U613" s="93"/>
    </row>
    <row r="614" spans="4:21">
      <c r="D614" s="81" t="str">
        <f t="shared" si="21"/>
        <v/>
      </c>
      <c r="E614" s="90" t="str">
        <f>IF(D614="","",D614+(COUNTIF(D$4:D614,D614)-1)*0.001)</f>
        <v/>
      </c>
      <c r="I614" s="81" t="str">
        <f t="shared" si="22"/>
        <v/>
      </c>
      <c r="J614" s="81" t="str">
        <f>IF(I614="","",I614+(COUNTIF(I$4:I614,I614)-1)*0.001)</f>
        <v/>
      </c>
      <c r="S614" s="202"/>
      <c r="U614" s="93"/>
    </row>
    <row r="615" spans="4:21">
      <c r="D615" s="81" t="str">
        <f t="shared" si="21"/>
        <v/>
      </c>
      <c r="E615" s="90" t="str">
        <f>IF(D615="","",D615+(COUNTIF(D$4:D615,D615)-1)*0.001)</f>
        <v/>
      </c>
      <c r="I615" s="81" t="str">
        <f t="shared" si="22"/>
        <v/>
      </c>
      <c r="J615" s="81" t="str">
        <f>IF(I615="","",I615+(COUNTIF(I$4:I615,I615)-1)*0.001)</f>
        <v/>
      </c>
      <c r="S615" s="202"/>
      <c r="U615" s="93"/>
    </row>
    <row r="616" spans="4:21">
      <c r="D616" s="81" t="str">
        <f t="shared" si="21"/>
        <v/>
      </c>
      <c r="E616" s="90" t="str">
        <f>IF(D616="","",D616+(COUNTIF(D$4:D616,D616)-1)*0.001)</f>
        <v/>
      </c>
      <c r="I616" s="81" t="str">
        <f t="shared" si="22"/>
        <v/>
      </c>
      <c r="J616" s="81" t="str">
        <f>IF(I616="","",I616+(COUNTIF(I$4:I616,I616)-1)*0.001)</f>
        <v/>
      </c>
      <c r="S616" s="202"/>
      <c r="U616" s="93"/>
    </row>
    <row r="617" spans="4:21">
      <c r="D617" s="81" t="str">
        <f t="shared" si="21"/>
        <v/>
      </c>
      <c r="E617" s="90" t="str">
        <f>IF(D617="","",D617+(COUNTIF(D$4:D617,D617)-1)*0.001)</f>
        <v/>
      </c>
      <c r="I617" s="81" t="str">
        <f t="shared" si="22"/>
        <v/>
      </c>
      <c r="J617" s="81" t="str">
        <f>IF(I617="","",I617+(COUNTIF(I$4:I617,I617)-1)*0.001)</f>
        <v/>
      </c>
      <c r="S617" s="202"/>
      <c r="U617" s="93"/>
    </row>
    <row r="618" spans="4:21">
      <c r="D618" s="81" t="str">
        <f t="shared" si="21"/>
        <v/>
      </c>
      <c r="E618" s="90" t="str">
        <f>IF(D618="","",D618+(COUNTIF(D$4:D618,D618)-1)*0.001)</f>
        <v/>
      </c>
      <c r="I618" s="81" t="str">
        <f t="shared" si="22"/>
        <v/>
      </c>
      <c r="J618" s="81" t="str">
        <f>IF(I618="","",I618+(COUNTIF(I$4:I618,I618)-1)*0.001)</f>
        <v/>
      </c>
      <c r="S618" s="202"/>
      <c r="U618" s="93"/>
    </row>
    <row r="619" spans="4:21">
      <c r="D619" s="81" t="str">
        <f t="shared" si="21"/>
        <v/>
      </c>
      <c r="E619" s="90" t="str">
        <f>IF(D619="","",D619+(COUNTIF(D$4:D619,D619)-1)*0.001)</f>
        <v/>
      </c>
      <c r="I619" s="81" t="str">
        <f t="shared" si="22"/>
        <v/>
      </c>
      <c r="J619" s="81" t="str">
        <f>IF(I619="","",I619+(COUNTIF(I$4:I619,I619)-1)*0.001)</f>
        <v/>
      </c>
      <c r="S619" s="202"/>
      <c r="U619" s="93"/>
    </row>
    <row r="620" spans="4:21">
      <c r="D620" s="81" t="str">
        <f t="shared" si="21"/>
        <v/>
      </c>
      <c r="E620" s="90" t="str">
        <f>IF(D620="","",D620+(COUNTIF(D$4:D620,D620)-1)*0.001)</f>
        <v/>
      </c>
      <c r="I620" s="81" t="str">
        <f t="shared" si="22"/>
        <v/>
      </c>
      <c r="J620" s="81" t="str">
        <f>IF(I620="","",I620+(COUNTIF(I$4:I620,I620)-1)*0.001)</f>
        <v/>
      </c>
      <c r="S620" s="202"/>
      <c r="U620" s="93"/>
    </row>
    <row r="621" spans="4:21">
      <c r="D621" s="81" t="str">
        <f t="shared" si="21"/>
        <v/>
      </c>
      <c r="E621" s="90" t="str">
        <f>IF(D621="","",D621+(COUNTIF(D$4:D621,D621)-1)*0.001)</f>
        <v/>
      </c>
      <c r="I621" s="81" t="str">
        <f t="shared" si="22"/>
        <v/>
      </c>
      <c r="J621" s="81" t="str">
        <f>IF(I621="","",I621+(COUNTIF(I$4:I621,I621)-1)*0.001)</f>
        <v/>
      </c>
      <c r="S621" s="202"/>
      <c r="U621" s="93"/>
    </row>
    <row r="622" spans="4:21">
      <c r="D622" s="81" t="str">
        <f t="shared" si="21"/>
        <v/>
      </c>
      <c r="E622" s="90" t="str">
        <f>IF(D622="","",D622+(COUNTIF(D$4:D622,D622)-1)*0.001)</f>
        <v/>
      </c>
      <c r="I622" s="81" t="str">
        <f t="shared" si="22"/>
        <v/>
      </c>
      <c r="J622" s="81" t="str">
        <f>IF(I622="","",I622+(COUNTIF(I$4:I622,I622)-1)*0.001)</f>
        <v/>
      </c>
      <c r="S622" s="202"/>
      <c r="U622" s="93"/>
    </row>
    <row r="623" spans="4:21">
      <c r="D623" s="81" t="str">
        <f t="shared" si="21"/>
        <v/>
      </c>
      <c r="E623" s="90" t="str">
        <f>IF(D623="","",D623+(COUNTIF(D$4:D623,D623)-1)*0.001)</f>
        <v/>
      </c>
      <c r="I623" s="81" t="str">
        <f t="shared" si="22"/>
        <v/>
      </c>
      <c r="J623" s="81" t="str">
        <f>IF(I623="","",I623+(COUNTIF(I$4:I623,I623)-1)*0.001)</f>
        <v/>
      </c>
      <c r="S623" s="202"/>
      <c r="U623" s="93"/>
    </row>
    <row r="624" spans="4:21">
      <c r="D624" s="81" t="str">
        <f t="shared" si="21"/>
        <v/>
      </c>
      <c r="E624" s="90" t="str">
        <f>IF(D624="","",D624+(COUNTIF(D$4:D624,D624)-1)*0.001)</f>
        <v/>
      </c>
      <c r="I624" s="81" t="str">
        <f t="shared" si="22"/>
        <v/>
      </c>
      <c r="J624" s="81" t="str">
        <f>IF(I624="","",I624+(COUNTIF(I$4:I624,I624)-1)*0.001)</f>
        <v/>
      </c>
      <c r="S624" s="202"/>
      <c r="U624" s="93"/>
    </row>
    <row r="625" spans="4:21">
      <c r="D625" s="81" t="str">
        <f t="shared" si="21"/>
        <v/>
      </c>
      <c r="E625" s="90" t="str">
        <f>IF(D625="","",D625+(COUNTIF(D$4:D625,D625)-1)*0.001)</f>
        <v/>
      </c>
      <c r="I625" s="81" t="str">
        <f t="shared" si="22"/>
        <v/>
      </c>
      <c r="J625" s="81" t="str">
        <f>IF(I625="","",I625+(COUNTIF(I$4:I625,I625)-1)*0.001)</f>
        <v/>
      </c>
      <c r="S625" s="202"/>
      <c r="U625" s="93"/>
    </row>
    <row r="626" spans="4:21">
      <c r="D626" s="81" t="str">
        <f t="shared" si="21"/>
        <v/>
      </c>
      <c r="E626" s="90" t="str">
        <f>IF(D626="","",D626+(COUNTIF(D$4:D626,D626)-1)*0.001)</f>
        <v/>
      </c>
      <c r="I626" s="81" t="str">
        <f t="shared" si="22"/>
        <v/>
      </c>
      <c r="J626" s="81" t="str">
        <f>IF(I626="","",I626+(COUNTIF(I$4:I626,I626)-1)*0.001)</f>
        <v/>
      </c>
      <c r="S626" s="202"/>
      <c r="U626" s="93"/>
    </row>
    <row r="627" spans="4:21">
      <c r="D627" s="81" t="str">
        <f t="shared" si="21"/>
        <v/>
      </c>
      <c r="E627" s="90" t="str">
        <f>IF(D627="","",D627+(COUNTIF(D$4:D627,D627)-1)*0.001)</f>
        <v/>
      </c>
      <c r="I627" s="81" t="str">
        <f t="shared" si="22"/>
        <v/>
      </c>
      <c r="J627" s="81" t="str">
        <f>IF(I627="","",I627+(COUNTIF(I$4:I627,I627)-1)*0.001)</f>
        <v/>
      </c>
      <c r="S627" s="202"/>
      <c r="U627" s="93"/>
    </row>
    <row r="628" spans="4:21">
      <c r="D628" s="81" t="str">
        <f t="shared" si="21"/>
        <v/>
      </c>
      <c r="E628" s="90" t="str">
        <f>IF(D628="","",D628+(COUNTIF(D$4:D628,D628)-1)*0.001)</f>
        <v/>
      </c>
      <c r="I628" s="81" t="str">
        <f t="shared" si="22"/>
        <v/>
      </c>
      <c r="J628" s="81" t="str">
        <f>IF(I628="","",I628+(COUNTIF(I$4:I628,I628)-1)*0.001)</f>
        <v/>
      </c>
      <c r="S628" s="202"/>
      <c r="U628" s="93"/>
    </row>
    <row r="629" spans="4:21">
      <c r="D629" s="81" t="str">
        <f t="shared" si="21"/>
        <v/>
      </c>
      <c r="E629" s="90" t="str">
        <f>IF(D629="","",D629+(COUNTIF(D$4:D629,D629)-1)*0.001)</f>
        <v/>
      </c>
      <c r="I629" s="81" t="str">
        <f t="shared" si="22"/>
        <v/>
      </c>
      <c r="J629" s="81" t="str">
        <f>IF(I629="","",I629+(COUNTIF(I$4:I629,I629)-1)*0.001)</f>
        <v/>
      </c>
      <c r="S629" s="202"/>
      <c r="U629" s="93"/>
    </row>
    <row r="630" spans="4:21">
      <c r="D630" s="81" t="str">
        <f t="shared" si="21"/>
        <v/>
      </c>
      <c r="E630" s="90" t="str">
        <f>IF(D630="","",D630+(COUNTIF(D$4:D630,D630)-1)*0.001)</f>
        <v/>
      </c>
      <c r="I630" s="81" t="str">
        <f t="shared" si="22"/>
        <v/>
      </c>
      <c r="J630" s="81" t="str">
        <f>IF(I630="","",I630+(COUNTIF(I$4:I630,I630)-1)*0.001)</f>
        <v/>
      </c>
      <c r="S630" s="202"/>
      <c r="U630" s="93"/>
    </row>
    <row r="631" spans="4:21">
      <c r="D631" s="81" t="str">
        <f t="shared" si="21"/>
        <v/>
      </c>
      <c r="E631" s="90" t="str">
        <f>IF(D631="","",D631+(COUNTIF(D$4:D631,D631)-1)*0.001)</f>
        <v/>
      </c>
      <c r="I631" s="81" t="str">
        <f t="shared" si="22"/>
        <v/>
      </c>
      <c r="J631" s="81" t="str">
        <f>IF(I631="","",I631+(COUNTIF(I$4:I631,I631)-1)*0.001)</f>
        <v/>
      </c>
      <c r="S631" s="202"/>
      <c r="U631" s="93"/>
    </row>
    <row r="632" spans="4:21">
      <c r="D632" s="81" t="str">
        <f t="shared" si="21"/>
        <v/>
      </c>
      <c r="E632" s="90" t="str">
        <f>IF(D632="","",D632+(COUNTIF(D$4:D632,D632)-1)*0.001)</f>
        <v/>
      </c>
      <c r="I632" s="81" t="str">
        <f t="shared" si="22"/>
        <v/>
      </c>
      <c r="J632" s="81" t="str">
        <f>IF(I632="","",I632+(COUNTIF(I$4:I632,I632)-1)*0.001)</f>
        <v/>
      </c>
      <c r="S632" s="202"/>
      <c r="U632" s="93"/>
    </row>
    <row r="633" spans="4:21">
      <c r="D633" s="81" t="str">
        <f t="shared" si="21"/>
        <v/>
      </c>
      <c r="E633" s="90" t="str">
        <f>IF(D633="","",D633+(COUNTIF(D$4:D633,D633)-1)*0.001)</f>
        <v/>
      </c>
      <c r="I633" s="81" t="str">
        <f t="shared" si="22"/>
        <v/>
      </c>
      <c r="J633" s="81" t="str">
        <f>IF(I633="","",I633+(COUNTIF(I$4:I633,I633)-1)*0.001)</f>
        <v/>
      </c>
      <c r="S633" s="202"/>
      <c r="U633" s="93"/>
    </row>
    <row r="634" spans="4:21">
      <c r="D634" s="81" t="str">
        <f t="shared" si="21"/>
        <v/>
      </c>
      <c r="E634" s="90" t="str">
        <f>IF(D634="","",D634+(COUNTIF(D$4:D634,D634)-1)*0.001)</f>
        <v/>
      </c>
      <c r="I634" s="81" t="str">
        <f t="shared" si="22"/>
        <v/>
      </c>
      <c r="J634" s="81" t="str">
        <f>IF(I634="","",I634+(COUNTIF(I$4:I634,I634)-1)*0.001)</f>
        <v/>
      </c>
      <c r="S634" s="202"/>
      <c r="U634" s="93"/>
    </row>
    <row r="635" spans="4:21">
      <c r="D635" s="81" t="str">
        <f t="shared" si="21"/>
        <v/>
      </c>
      <c r="E635" s="90" t="str">
        <f>IF(D635="","",D635+(COUNTIF(D$4:D635,D635)-1)*0.001)</f>
        <v/>
      </c>
      <c r="I635" s="81" t="str">
        <f t="shared" si="22"/>
        <v/>
      </c>
      <c r="J635" s="81" t="str">
        <f>IF(I635="","",I635+(COUNTIF(I$4:I635,I635)-1)*0.001)</f>
        <v/>
      </c>
      <c r="S635" s="202"/>
      <c r="U635" s="93"/>
    </row>
    <row r="636" spans="4:21">
      <c r="D636" s="81" t="str">
        <f t="shared" si="21"/>
        <v/>
      </c>
      <c r="E636" s="90" t="str">
        <f>IF(D636="","",D636+(COUNTIF(D$4:D636,D636)-1)*0.001)</f>
        <v/>
      </c>
      <c r="I636" s="81" t="str">
        <f t="shared" si="22"/>
        <v/>
      </c>
      <c r="J636" s="81" t="str">
        <f>IF(I636="","",I636+(COUNTIF(I$4:I636,I636)-1)*0.001)</f>
        <v/>
      </c>
      <c r="S636" s="202"/>
      <c r="U636" s="93"/>
    </row>
    <row r="637" spans="4:21">
      <c r="D637" s="81" t="str">
        <f t="shared" si="21"/>
        <v/>
      </c>
      <c r="E637" s="90" t="str">
        <f>IF(D637="","",D637+(COUNTIF(D$4:D637,D637)-1)*0.001)</f>
        <v/>
      </c>
      <c r="I637" s="81" t="str">
        <f t="shared" si="22"/>
        <v/>
      </c>
      <c r="J637" s="81" t="str">
        <f>IF(I637="","",I637+(COUNTIF(I$4:I637,I637)-1)*0.001)</f>
        <v/>
      </c>
      <c r="S637" s="202"/>
      <c r="U637" s="93"/>
    </row>
    <row r="638" spans="4:21">
      <c r="D638" s="81" t="str">
        <f t="shared" si="21"/>
        <v/>
      </c>
      <c r="E638" s="90" t="str">
        <f>IF(D638="","",D638+(COUNTIF(D$4:D638,D638)-1)*0.001)</f>
        <v/>
      </c>
      <c r="I638" s="81" t="str">
        <f t="shared" si="22"/>
        <v/>
      </c>
      <c r="J638" s="81" t="str">
        <f>IF(I638="","",I638+(COUNTIF(I$4:I638,I638)-1)*0.001)</f>
        <v/>
      </c>
      <c r="S638" s="202"/>
      <c r="U638" s="93"/>
    </row>
    <row r="639" spans="4:21">
      <c r="D639" s="81" t="str">
        <f t="shared" si="21"/>
        <v/>
      </c>
      <c r="E639" s="90" t="str">
        <f>IF(D639="","",D639+(COUNTIF(D$4:D639,D639)-1)*0.001)</f>
        <v/>
      </c>
      <c r="I639" s="81" t="str">
        <f t="shared" si="22"/>
        <v/>
      </c>
      <c r="J639" s="81" t="str">
        <f>IF(I639="","",I639+(COUNTIF(I$4:I639,I639)-1)*0.001)</f>
        <v/>
      </c>
      <c r="S639" s="202"/>
      <c r="U639" s="93"/>
    </row>
    <row r="640" spans="4:21">
      <c r="D640" s="81" t="str">
        <f t="shared" si="21"/>
        <v/>
      </c>
      <c r="E640" s="90" t="str">
        <f>IF(D640="","",D640+(COUNTIF(D$4:D640,D640)-1)*0.001)</f>
        <v/>
      </c>
      <c r="I640" s="81" t="str">
        <f t="shared" si="22"/>
        <v/>
      </c>
      <c r="J640" s="81" t="str">
        <f>IF(I640="","",I640+(COUNTIF(I$4:I640,I640)-1)*0.001)</f>
        <v/>
      </c>
      <c r="S640" s="202"/>
      <c r="U640" s="93"/>
    </row>
    <row r="641" spans="4:21">
      <c r="D641" s="81" t="str">
        <f t="shared" si="21"/>
        <v/>
      </c>
      <c r="E641" s="90" t="str">
        <f>IF(D641="","",D641+(COUNTIF(D$4:D641,D641)-1)*0.001)</f>
        <v/>
      </c>
      <c r="I641" s="81" t="str">
        <f t="shared" si="22"/>
        <v/>
      </c>
      <c r="J641" s="81" t="str">
        <f>IF(I641="","",I641+(COUNTIF(I$4:I641,I641)-1)*0.001)</f>
        <v/>
      </c>
      <c r="S641" s="202"/>
      <c r="U641" s="93"/>
    </row>
    <row r="642" spans="4:21">
      <c r="D642" s="81" t="str">
        <f t="shared" si="21"/>
        <v/>
      </c>
      <c r="E642" s="90" t="str">
        <f>IF(D642="","",D642+(COUNTIF(D$4:D642,D642)-1)*0.001)</f>
        <v/>
      </c>
      <c r="I642" s="81" t="str">
        <f t="shared" si="22"/>
        <v/>
      </c>
      <c r="J642" s="81" t="str">
        <f>IF(I642="","",I642+(COUNTIF(I$4:I642,I642)-1)*0.001)</f>
        <v/>
      </c>
      <c r="S642" s="202"/>
      <c r="U642" s="93"/>
    </row>
    <row r="643" spans="4:21">
      <c r="D643" s="81" t="str">
        <f t="shared" si="21"/>
        <v/>
      </c>
      <c r="E643" s="90" t="str">
        <f>IF(D643="","",D643+(COUNTIF(D$4:D643,D643)-1)*0.001)</f>
        <v/>
      </c>
      <c r="I643" s="81" t="str">
        <f t="shared" si="22"/>
        <v/>
      </c>
      <c r="J643" s="81" t="str">
        <f>IF(I643="","",I643+(COUNTIF(I$4:I643,I643)-1)*0.001)</f>
        <v/>
      </c>
      <c r="S643" s="202"/>
      <c r="U643" s="93"/>
    </row>
    <row r="644" spans="4:21">
      <c r="D644" s="81" t="str">
        <f t="shared" ref="D644:D707" si="23">IF(A644="","",IFERROR(INDEX(收盤1,MATCH(A644,代號1,0)),IFERROR(INDEX(收盤2,MATCH(A644,代號2,0)),IFERROR(INDEX(收盤3,MATCH(A644,代號3,0)),INDEX(收盤4,MATCH(A644,代號4,0)))))*C644)</f>
        <v/>
      </c>
      <c r="E644" s="90" t="str">
        <f>IF(D644="","",D644+(COUNTIF(D$4:D644,D644)-1)*0.001)</f>
        <v/>
      </c>
      <c r="I644" s="81" t="str">
        <f t="shared" ref="I644:I707" si="24">IF(F644="","",IFERROR(INDEX(收盤1,MATCH(F644,代號1,0)),IFERROR(INDEX(收盤2,MATCH(F644,代號2,0)),IFERROR(INDEX(收盤3,MATCH(F644,代號3,0)),INDEX(收盤4,MATCH(F644,代號4,0)))))*H644)</f>
        <v/>
      </c>
      <c r="J644" s="81" t="str">
        <f>IF(I644="","",I644+(COUNTIF(I$4:I644,I644)-1)*0.001)</f>
        <v/>
      </c>
      <c r="S644" s="202"/>
      <c r="U644" s="93"/>
    </row>
    <row r="645" spans="4:21">
      <c r="D645" s="81" t="str">
        <f t="shared" si="23"/>
        <v/>
      </c>
      <c r="E645" s="90" t="str">
        <f>IF(D645="","",D645+(COUNTIF(D$4:D645,D645)-1)*0.001)</f>
        <v/>
      </c>
      <c r="I645" s="81" t="str">
        <f t="shared" si="24"/>
        <v/>
      </c>
      <c r="J645" s="81" t="str">
        <f>IF(I645="","",I645+(COUNTIF(I$4:I645,I645)-1)*0.001)</f>
        <v/>
      </c>
      <c r="S645" s="202"/>
      <c r="U645" s="93"/>
    </row>
    <row r="646" spans="4:21">
      <c r="D646" s="81" t="str">
        <f t="shared" si="23"/>
        <v/>
      </c>
      <c r="E646" s="90" t="str">
        <f>IF(D646="","",D646+(COUNTIF(D$4:D646,D646)-1)*0.001)</f>
        <v/>
      </c>
      <c r="I646" s="81" t="str">
        <f t="shared" si="24"/>
        <v/>
      </c>
      <c r="J646" s="81" t="str">
        <f>IF(I646="","",I646+(COUNTIF(I$4:I646,I646)-1)*0.001)</f>
        <v/>
      </c>
      <c r="S646" s="202"/>
      <c r="U646" s="93"/>
    </row>
    <row r="647" spans="4:21">
      <c r="D647" s="81" t="str">
        <f t="shared" si="23"/>
        <v/>
      </c>
      <c r="E647" s="90" t="str">
        <f>IF(D647="","",D647+(COUNTIF(D$4:D647,D647)-1)*0.001)</f>
        <v/>
      </c>
      <c r="I647" s="81" t="str">
        <f t="shared" si="24"/>
        <v/>
      </c>
      <c r="J647" s="81" t="str">
        <f>IF(I647="","",I647+(COUNTIF(I$4:I647,I647)-1)*0.001)</f>
        <v/>
      </c>
      <c r="S647" s="202"/>
      <c r="U647" s="93"/>
    </row>
    <row r="648" spans="4:21">
      <c r="D648" s="81" t="str">
        <f t="shared" si="23"/>
        <v/>
      </c>
      <c r="E648" s="90" t="str">
        <f>IF(D648="","",D648+(COUNTIF(D$4:D648,D648)-1)*0.001)</f>
        <v/>
      </c>
      <c r="I648" s="81" t="str">
        <f t="shared" si="24"/>
        <v/>
      </c>
      <c r="J648" s="81" t="str">
        <f>IF(I648="","",I648+(COUNTIF(I$4:I648,I648)-1)*0.001)</f>
        <v/>
      </c>
      <c r="S648" s="202"/>
      <c r="U648" s="93"/>
    </row>
    <row r="649" spans="4:21">
      <c r="D649" s="81" t="str">
        <f t="shared" si="23"/>
        <v/>
      </c>
      <c r="E649" s="90" t="str">
        <f>IF(D649="","",D649+(COUNTIF(D$4:D649,D649)-1)*0.001)</f>
        <v/>
      </c>
      <c r="I649" s="81" t="str">
        <f t="shared" si="24"/>
        <v/>
      </c>
      <c r="J649" s="81" t="str">
        <f>IF(I649="","",I649+(COUNTIF(I$4:I649,I649)-1)*0.001)</f>
        <v/>
      </c>
      <c r="S649" s="202"/>
      <c r="U649" s="93"/>
    </row>
    <row r="650" spans="4:21">
      <c r="D650" s="81" t="str">
        <f t="shared" si="23"/>
        <v/>
      </c>
      <c r="E650" s="90" t="str">
        <f>IF(D650="","",D650+(COUNTIF(D$4:D650,D650)-1)*0.001)</f>
        <v/>
      </c>
      <c r="I650" s="81" t="str">
        <f t="shared" si="24"/>
        <v/>
      </c>
      <c r="J650" s="81" t="str">
        <f>IF(I650="","",I650+(COUNTIF(I$4:I650,I650)-1)*0.001)</f>
        <v/>
      </c>
      <c r="S650" s="202"/>
      <c r="U650" s="93"/>
    </row>
    <row r="651" spans="4:21">
      <c r="D651" s="81" t="str">
        <f t="shared" si="23"/>
        <v/>
      </c>
      <c r="E651" s="90" t="str">
        <f>IF(D651="","",D651+(COUNTIF(D$4:D651,D651)-1)*0.001)</f>
        <v/>
      </c>
      <c r="I651" s="81" t="str">
        <f t="shared" si="24"/>
        <v/>
      </c>
      <c r="J651" s="81" t="str">
        <f>IF(I651="","",I651+(COUNTIF(I$4:I651,I651)-1)*0.001)</f>
        <v/>
      </c>
      <c r="S651" s="202"/>
      <c r="U651" s="93"/>
    </row>
    <row r="652" spans="4:21">
      <c r="D652" s="81" t="str">
        <f t="shared" si="23"/>
        <v/>
      </c>
      <c r="E652" s="90" t="str">
        <f>IF(D652="","",D652+(COUNTIF(D$4:D652,D652)-1)*0.001)</f>
        <v/>
      </c>
      <c r="I652" s="81" t="str">
        <f t="shared" si="24"/>
        <v/>
      </c>
      <c r="J652" s="81" t="str">
        <f>IF(I652="","",I652+(COUNTIF(I$4:I652,I652)-1)*0.001)</f>
        <v/>
      </c>
      <c r="S652" s="202"/>
      <c r="U652" s="93"/>
    </row>
    <row r="653" spans="4:21">
      <c r="D653" s="81" t="str">
        <f t="shared" si="23"/>
        <v/>
      </c>
      <c r="E653" s="90" t="str">
        <f>IF(D653="","",D653+(COUNTIF(D$4:D653,D653)-1)*0.001)</f>
        <v/>
      </c>
      <c r="I653" s="81" t="str">
        <f t="shared" si="24"/>
        <v/>
      </c>
      <c r="J653" s="81" t="str">
        <f>IF(I653="","",I653+(COUNTIF(I$4:I653,I653)-1)*0.001)</f>
        <v/>
      </c>
      <c r="S653" s="202"/>
      <c r="U653" s="93"/>
    </row>
    <row r="654" spans="4:21">
      <c r="D654" s="81" t="str">
        <f t="shared" si="23"/>
        <v/>
      </c>
      <c r="E654" s="90" t="str">
        <f>IF(D654="","",D654+(COUNTIF(D$4:D654,D654)-1)*0.001)</f>
        <v/>
      </c>
      <c r="I654" s="81" t="str">
        <f t="shared" si="24"/>
        <v/>
      </c>
      <c r="J654" s="81" t="str">
        <f>IF(I654="","",I654+(COUNTIF(I$4:I654,I654)-1)*0.001)</f>
        <v/>
      </c>
      <c r="S654" s="202"/>
      <c r="U654" s="93"/>
    </row>
    <row r="655" spans="4:21">
      <c r="D655" s="81" t="str">
        <f t="shared" si="23"/>
        <v/>
      </c>
      <c r="E655" s="90" t="str">
        <f>IF(D655="","",D655+(COUNTIF(D$4:D655,D655)-1)*0.001)</f>
        <v/>
      </c>
      <c r="I655" s="81" t="str">
        <f t="shared" si="24"/>
        <v/>
      </c>
      <c r="J655" s="81" t="str">
        <f>IF(I655="","",I655+(COUNTIF(I$4:I655,I655)-1)*0.001)</f>
        <v/>
      </c>
      <c r="S655" s="202"/>
      <c r="U655" s="93"/>
    </row>
    <row r="656" spans="4:21">
      <c r="D656" s="81" t="str">
        <f t="shared" si="23"/>
        <v/>
      </c>
      <c r="E656" s="90" t="str">
        <f>IF(D656="","",D656+(COUNTIF(D$4:D656,D656)-1)*0.001)</f>
        <v/>
      </c>
      <c r="I656" s="81" t="str">
        <f t="shared" si="24"/>
        <v/>
      </c>
      <c r="J656" s="81" t="str">
        <f>IF(I656="","",I656+(COUNTIF(I$4:I656,I656)-1)*0.001)</f>
        <v/>
      </c>
      <c r="S656" s="202"/>
      <c r="U656" s="93"/>
    </row>
    <row r="657" spans="4:21">
      <c r="D657" s="81" t="str">
        <f t="shared" si="23"/>
        <v/>
      </c>
      <c r="E657" s="90" t="str">
        <f>IF(D657="","",D657+(COUNTIF(D$4:D657,D657)-1)*0.001)</f>
        <v/>
      </c>
      <c r="I657" s="81" t="str">
        <f t="shared" si="24"/>
        <v/>
      </c>
      <c r="J657" s="81" t="str">
        <f>IF(I657="","",I657+(COUNTIF(I$4:I657,I657)-1)*0.001)</f>
        <v/>
      </c>
      <c r="S657" s="202"/>
      <c r="U657" s="93"/>
    </row>
    <row r="658" spans="4:21">
      <c r="D658" s="81" t="str">
        <f t="shared" si="23"/>
        <v/>
      </c>
      <c r="E658" s="90" t="str">
        <f>IF(D658="","",D658+(COUNTIF(D$4:D658,D658)-1)*0.001)</f>
        <v/>
      </c>
      <c r="I658" s="81" t="str">
        <f t="shared" si="24"/>
        <v/>
      </c>
      <c r="J658" s="81" t="str">
        <f>IF(I658="","",I658+(COUNTIF(I$4:I658,I658)-1)*0.001)</f>
        <v/>
      </c>
      <c r="S658" s="202"/>
      <c r="U658" s="93"/>
    </row>
    <row r="659" spans="4:21">
      <c r="D659" s="81" t="str">
        <f t="shared" si="23"/>
        <v/>
      </c>
      <c r="E659" s="90" t="str">
        <f>IF(D659="","",D659+(COUNTIF(D$4:D659,D659)-1)*0.001)</f>
        <v/>
      </c>
      <c r="I659" s="81" t="str">
        <f t="shared" si="24"/>
        <v/>
      </c>
      <c r="J659" s="81" t="str">
        <f>IF(I659="","",I659+(COUNTIF(I$4:I659,I659)-1)*0.001)</f>
        <v/>
      </c>
      <c r="S659" s="202"/>
      <c r="U659" s="93"/>
    </row>
    <row r="660" spans="4:21">
      <c r="D660" s="81" t="str">
        <f t="shared" si="23"/>
        <v/>
      </c>
      <c r="E660" s="90" t="str">
        <f>IF(D660="","",D660+(COUNTIF(D$4:D660,D660)-1)*0.001)</f>
        <v/>
      </c>
      <c r="I660" s="81" t="str">
        <f t="shared" si="24"/>
        <v/>
      </c>
      <c r="J660" s="81" t="str">
        <f>IF(I660="","",I660+(COUNTIF(I$4:I660,I660)-1)*0.001)</f>
        <v/>
      </c>
      <c r="S660" s="202"/>
      <c r="U660" s="93"/>
    </row>
    <row r="661" spans="4:21">
      <c r="D661" s="81" t="str">
        <f t="shared" si="23"/>
        <v/>
      </c>
      <c r="E661" s="90" t="str">
        <f>IF(D661="","",D661+(COUNTIF(D$4:D661,D661)-1)*0.001)</f>
        <v/>
      </c>
      <c r="I661" s="81" t="str">
        <f t="shared" si="24"/>
        <v/>
      </c>
      <c r="J661" s="81" t="str">
        <f>IF(I661="","",I661+(COUNTIF(I$4:I661,I661)-1)*0.001)</f>
        <v/>
      </c>
      <c r="S661" s="202"/>
      <c r="U661" s="93"/>
    </row>
    <row r="662" spans="4:21">
      <c r="D662" s="81" t="str">
        <f t="shared" si="23"/>
        <v/>
      </c>
      <c r="E662" s="90" t="str">
        <f>IF(D662="","",D662+(COUNTIF(D$4:D662,D662)-1)*0.001)</f>
        <v/>
      </c>
      <c r="I662" s="81" t="str">
        <f t="shared" si="24"/>
        <v/>
      </c>
      <c r="J662" s="81" t="str">
        <f>IF(I662="","",I662+(COUNTIF(I$4:I662,I662)-1)*0.001)</f>
        <v/>
      </c>
      <c r="S662" s="202"/>
      <c r="U662" s="93"/>
    </row>
    <row r="663" spans="4:21">
      <c r="D663" s="81" t="str">
        <f t="shared" si="23"/>
        <v/>
      </c>
      <c r="E663" s="90" t="str">
        <f>IF(D663="","",D663+(COUNTIF(D$4:D663,D663)-1)*0.001)</f>
        <v/>
      </c>
      <c r="I663" s="81" t="str">
        <f t="shared" si="24"/>
        <v/>
      </c>
      <c r="J663" s="81" t="str">
        <f>IF(I663="","",I663+(COUNTIF(I$4:I663,I663)-1)*0.001)</f>
        <v/>
      </c>
      <c r="S663" s="202"/>
      <c r="U663" s="93"/>
    </row>
    <row r="664" spans="4:21">
      <c r="D664" s="81" t="str">
        <f t="shared" si="23"/>
        <v/>
      </c>
      <c r="E664" s="90" t="str">
        <f>IF(D664="","",D664+(COUNTIF(D$4:D664,D664)-1)*0.001)</f>
        <v/>
      </c>
      <c r="I664" s="81" t="str">
        <f t="shared" si="24"/>
        <v/>
      </c>
      <c r="J664" s="81" t="str">
        <f>IF(I664="","",I664+(COUNTIF(I$4:I664,I664)-1)*0.001)</f>
        <v/>
      </c>
      <c r="S664" s="202"/>
      <c r="U664" s="93"/>
    </row>
    <row r="665" spans="4:21">
      <c r="D665" s="81" t="str">
        <f t="shared" si="23"/>
        <v/>
      </c>
      <c r="E665" s="90" t="str">
        <f>IF(D665="","",D665+(COUNTIF(D$4:D665,D665)-1)*0.001)</f>
        <v/>
      </c>
      <c r="I665" s="81" t="str">
        <f t="shared" si="24"/>
        <v/>
      </c>
      <c r="J665" s="81" t="str">
        <f>IF(I665="","",I665+(COUNTIF(I$4:I665,I665)-1)*0.001)</f>
        <v/>
      </c>
      <c r="S665" s="202"/>
      <c r="U665" s="93"/>
    </row>
    <row r="666" spans="4:21">
      <c r="D666" s="81" t="str">
        <f t="shared" si="23"/>
        <v/>
      </c>
      <c r="E666" s="90" t="str">
        <f>IF(D666="","",D666+(COUNTIF(D$4:D666,D666)-1)*0.001)</f>
        <v/>
      </c>
      <c r="I666" s="81" t="str">
        <f t="shared" si="24"/>
        <v/>
      </c>
      <c r="J666" s="81" t="str">
        <f>IF(I666="","",I666+(COUNTIF(I$4:I666,I666)-1)*0.001)</f>
        <v/>
      </c>
      <c r="S666" s="202"/>
      <c r="U666" s="93"/>
    </row>
    <row r="667" spans="4:21">
      <c r="D667" s="81" t="str">
        <f t="shared" si="23"/>
        <v/>
      </c>
      <c r="E667" s="90" t="str">
        <f>IF(D667="","",D667+(COUNTIF(D$4:D667,D667)-1)*0.001)</f>
        <v/>
      </c>
      <c r="I667" s="81" t="str">
        <f t="shared" si="24"/>
        <v/>
      </c>
      <c r="J667" s="81" t="str">
        <f>IF(I667="","",I667+(COUNTIF(I$4:I667,I667)-1)*0.001)</f>
        <v/>
      </c>
      <c r="S667" s="202"/>
      <c r="U667" s="93"/>
    </row>
    <row r="668" spans="4:21">
      <c r="D668" s="81" t="str">
        <f t="shared" si="23"/>
        <v/>
      </c>
      <c r="E668" s="90" t="str">
        <f>IF(D668="","",D668+(COUNTIF(D$4:D668,D668)-1)*0.001)</f>
        <v/>
      </c>
      <c r="I668" s="81" t="str">
        <f t="shared" si="24"/>
        <v/>
      </c>
      <c r="J668" s="81" t="str">
        <f>IF(I668="","",I668+(COUNTIF(I$4:I668,I668)-1)*0.001)</f>
        <v/>
      </c>
      <c r="S668" s="202"/>
      <c r="U668" s="93"/>
    </row>
    <row r="669" spans="4:21">
      <c r="D669" s="81" t="str">
        <f t="shared" si="23"/>
        <v/>
      </c>
      <c r="E669" s="90" t="str">
        <f>IF(D669="","",D669+(COUNTIF(D$4:D669,D669)-1)*0.001)</f>
        <v/>
      </c>
      <c r="I669" s="81" t="str">
        <f t="shared" si="24"/>
        <v/>
      </c>
      <c r="J669" s="81" t="str">
        <f>IF(I669="","",I669+(COUNTIF(I$4:I669,I669)-1)*0.001)</f>
        <v/>
      </c>
      <c r="S669" s="202"/>
      <c r="U669" s="93"/>
    </row>
    <row r="670" spans="4:21">
      <c r="D670" s="81" t="str">
        <f t="shared" si="23"/>
        <v/>
      </c>
      <c r="E670" s="90" t="str">
        <f>IF(D670="","",D670+(COUNTIF(D$4:D670,D670)-1)*0.001)</f>
        <v/>
      </c>
      <c r="I670" s="81" t="str">
        <f t="shared" si="24"/>
        <v/>
      </c>
      <c r="J670" s="81" t="str">
        <f>IF(I670="","",I670+(COUNTIF(I$4:I670,I670)-1)*0.001)</f>
        <v/>
      </c>
      <c r="S670" s="202"/>
      <c r="U670" s="93"/>
    </row>
    <row r="671" spans="4:21">
      <c r="D671" s="81" t="str">
        <f t="shared" si="23"/>
        <v/>
      </c>
      <c r="E671" s="90" t="str">
        <f>IF(D671="","",D671+(COUNTIF(D$4:D671,D671)-1)*0.001)</f>
        <v/>
      </c>
      <c r="I671" s="81" t="str">
        <f t="shared" si="24"/>
        <v/>
      </c>
      <c r="J671" s="81" t="str">
        <f>IF(I671="","",I671+(COUNTIF(I$4:I671,I671)-1)*0.001)</f>
        <v/>
      </c>
      <c r="S671" s="202"/>
      <c r="U671" s="93"/>
    </row>
    <row r="672" spans="4:21">
      <c r="D672" s="81" t="str">
        <f t="shared" si="23"/>
        <v/>
      </c>
      <c r="E672" s="90" t="str">
        <f>IF(D672="","",D672+(COUNTIF(D$4:D672,D672)-1)*0.001)</f>
        <v/>
      </c>
      <c r="I672" s="81" t="str">
        <f t="shared" si="24"/>
        <v/>
      </c>
      <c r="J672" s="81" t="str">
        <f>IF(I672="","",I672+(COUNTIF(I$4:I672,I672)-1)*0.001)</f>
        <v/>
      </c>
      <c r="S672" s="202"/>
      <c r="U672" s="93"/>
    </row>
    <row r="673" spans="4:21">
      <c r="D673" s="81" t="str">
        <f t="shared" si="23"/>
        <v/>
      </c>
      <c r="E673" s="90" t="str">
        <f>IF(D673="","",D673+(COUNTIF(D$4:D673,D673)-1)*0.001)</f>
        <v/>
      </c>
      <c r="I673" s="81" t="str">
        <f t="shared" si="24"/>
        <v/>
      </c>
      <c r="J673" s="81" t="str">
        <f>IF(I673="","",I673+(COUNTIF(I$4:I673,I673)-1)*0.001)</f>
        <v/>
      </c>
      <c r="S673" s="202"/>
      <c r="U673" s="93"/>
    </row>
    <row r="674" spans="4:21">
      <c r="D674" s="81" t="str">
        <f t="shared" si="23"/>
        <v/>
      </c>
      <c r="E674" s="90" t="str">
        <f>IF(D674="","",D674+(COUNTIF(D$4:D674,D674)-1)*0.001)</f>
        <v/>
      </c>
      <c r="I674" s="81" t="str">
        <f t="shared" si="24"/>
        <v/>
      </c>
      <c r="J674" s="81" t="str">
        <f>IF(I674="","",I674+(COUNTIF(I$4:I674,I674)-1)*0.001)</f>
        <v/>
      </c>
      <c r="S674" s="202"/>
      <c r="U674" s="93"/>
    </row>
    <row r="675" spans="4:21">
      <c r="D675" s="81" t="str">
        <f t="shared" si="23"/>
        <v/>
      </c>
      <c r="E675" s="90" t="str">
        <f>IF(D675="","",D675+(COUNTIF(D$4:D675,D675)-1)*0.001)</f>
        <v/>
      </c>
      <c r="I675" s="81" t="str">
        <f t="shared" si="24"/>
        <v/>
      </c>
      <c r="J675" s="81" t="str">
        <f>IF(I675="","",I675+(COUNTIF(I$4:I675,I675)-1)*0.001)</f>
        <v/>
      </c>
      <c r="S675" s="202"/>
      <c r="U675" s="93"/>
    </row>
    <row r="676" spans="4:21">
      <c r="D676" s="81" t="str">
        <f t="shared" si="23"/>
        <v/>
      </c>
      <c r="E676" s="90" t="str">
        <f>IF(D676="","",D676+(COUNTIF(D$4:D676,D676)-1)*0.001)</f>
        <v/>
      </c>
      <c r="I676" s="81" t="str">
        <f t="shared" si="24"/>
        <v/>
      </c>
      <c r="J676" s="81" t="str">
        <f>IF(I676="","",I676+(COUNTIF(I$4:I676,I676)-1)*0.001)</f>
        <v/>
      </c>
      <c r="S676" s="202"/>
      <c r="U676" s="93"/>
    </row>
    <row r="677" spans="4:21">
      <c r="D677" s="81" t="str">
        <f t="shared" si="23"/>
        <v/>
      </c>
      <c r="E677" s="90" t="str">
        <f>IF(D677="","",D677+(COUNTIF(D$4:D677,D677)-1)*0.001)</f>
        <v/>
      </c>
      <c r="I677" s="81" t="str">
        <f t="shared" si="24"/>
        <v/>
      </c>
      <c r="J677" s="81" t="str">
        <f>IF(I677="","",I677+(COUNTIF(I$4:I677,I677)-1)*0.001)</f>
        <v/>
      </c>
      <c r="S677" s="202"/>
      <c r="U677" s="93"/>
    </row>
    <row r="678" spans="4:21">
      <c r="D678" s="81" t="str">
        <f t="shared" si="23"/>
        <v/>
      </c>
      <c r="E678" s="90" t="str">
        <f>IF(D678="","",D678+(COUNTIF(D$4:D678,D678)-1)*0.001)</f>
        <v/>
      </c>
      <c r="I678" s="81" t="str">
        <f t="shared" si="24"/>
        <v/>
      </c>
      <c r="J678" s="81" t="str">
        <f>IF(I678="","",I678+(COUNTIF(I$4:I678,I678)-1)*0.001)</f>
        <v/>
      </c>
      <c r="S678" s="202"/>
      <c r="U678" s="93"/>
    </row>
    <row r="679" spans="4:21">
      <c r="D679" s="81" t="str">
        <f t="shared" si="23"/>
        <v/>
      </c>
      <c r="E679" s="90" t="str">
        <f>IF(D679="","",D679+(COUNTIF(D$4:D679,D679)-1)*0.001)</f>
        <v/>
      </c>
      <c r="I679" s="81" t="str">
        <f t="shared" si="24"/>
        <v/>
      </c>
      <c r="J679" s="81" t="str">
        <f>IF(I679="","",I679+(COUNTIF(I$4:I679,I679)-1)*0.001)</f>
        <v/>
      </c>
      <c r="S679" s="202"/>
      <c r="U679" s="93"/>
    </row>
    <row r="680" spans="4:21">
      <c r="D680" s="81" t="str">
        <f t="shared" si="23"/>
        <v/>
      </c>
      <c r="E680" s="90" t="str">
        <f>IF(D680="","",D680+(COUNTIF(D$4:D680,D680)-1)*0.001)</f>
        <v/>
      </c>
      <c r="I680" s="81" t="str">
        <f t="shared" si="24"/>
        <v/>
      </c>
      <c r="J680" s="81" t="str">
        <f>IF(I680="","",I680+(COUNTIF(I$4:I680,I680)-1)*0.001)</f>
        <v/>
      </c>
      <c r="S680" s="202"/>
      <c r="U680" s="93"/>
    </row>
    <row r="681" spans="4:21">
      <c r="D681" s="81" t="str">
        <f t="shared" si="23"/>
        <v/>
      </c>
      <c r="E681" s="90" t="str">
        <f>IF(D681="","",D681+(COUNTIF(D$4:D681,D681)-1)*0.001)</f>
        <v/>
      </c>
      <c r="I681" s="81" t="str">
        <f t="shared" si="24"/>
        <v/>
      </c>
      <c r="J681" s="81" t="str">
        <f>IF(I681="","",I681+(COUNTIF(I$4:I681,I681)-1)*0.001)</f>
        <v/>
      </c>
      <c r="S681" s="202"/>
      <c r="U681" s="93"/>
    </row>
    <row r="682" spans="4:21">
      <c r="D682" s="81" t="str">
        <f t="shared" si="23"/>
        <v/>
      </c>
      <c r="E682" s="90" t="str">
        <f>IF(D682="","",D682+(COUNTIF(D$4:D682,D682)-1)*0.001)</f>
        <v/>
      </c>
      <c r="I682" s="81" t="str">
        <f t="shared" si="24"/>
        <v/>
      </c>
      <c r="J682" s="81" t="str">
        <f>IF(I682="","",I682+(COUNTIF(I$4:I682,I682)-1)*0.001)</f>
        <v/>
      </c>
      <c r="S682" s="202"/>
      <c r="U682" s="93"/>
    </row>
    <row r="683" spans="4:21">
      <c r="D683" s="81" t="str">
        <f t="shared" si="23"/>
        <v/>
      </c>
      <c r="E683" s="90" t="str">
        <f>IF(D683="","",D683+(COUNTIF(D$4:D683,D683)-1)*0.001)</f>
        <v/>
      </c>
      <c r="I683" s="81" t="str">
        <f t="shared" si="24"/>
        <v/>
      </c>
      <c r="J683" s="81" t="str">
        <f>IF(I683="","",I683+(COUNTIF(I$4:I683,I683)-1)*0.001)</f>
        <v/>
      </c>
      <c r="S683" s="202"/>
      <c r="U683" s="93"/>
    </row>
    <row r="684" spans="4:21">
      <c r="D684" s="81" t="str">
        <f t="shared" si="23"/>
        <v/>
      </c>
      <c r="E684" s="90" t="str">
        <f>IF(D684="","",D684+(COUNTIF(D$4:D684,D684)-1)*0.001)</f>
        <v/>
      </c>
      <c r="I684" s="81" t="str">
        <f t="shared" si="24"/>
        <v/>
      </c>
      <c r="J684" s="81" t="str">
        <f>IF(I684="","",I684+(COUNTIF(I$4:I684,I684)-1)*0.001)</f>
        <v/>
      </c>
      <c r="S684" s="202"/>
      <c r="U684" s="93"/>
    </row>
    <row r="685" spans="4:21">
      <c r="D685" s="81" t="str">
        <f t="shared" si="23"/>
        <v/>
      </c>
      <c r="E685" s="90" t="str">
        <f>IF(D685="","",D685+(COUNTIF(D$4:D685,D685)-1)*0.001)</f>
        <v/>
      </c>
      <c r="I685" s="81" t="str">
        <f t="shared" si="24"/>
        <v/>
      </c>
      <c r="J685" s="81" t="str">
        <f>IF(I685="","",I685+(COUNTIF(I$4:I685,I685)-1)*0.001)</f>
        <v/>
      </c>
      <c r="S685" s="202"/>
      <c r="U685" s="93"/>
    </row>
    <row r="686" spans="4:21">
      <c r="D686" s="81" t="str">
        <f t="shared" si="23"/>
        <v/>
      </c>
      <c r="E686" s="90" t="str">
        <f>IF(D686="","",D686+(COUNTIF(D$4:D686,D686)-1)*0.001)</f>
        <v/>
      </c>
      <c r="I686" s="81" t="str">
        <f t="shared" si="24"/>
        <v/>
      </c>
      <c r="J686" s="81" t="str">
        <f>IF(I686="","",I686+(COUNTIF(I$4:I686,I686)-1)*0.001)</f>
        <v/>
      </c>
      <c r="S686" s="202"/>
      <c r="U686" s="93"/>
    </row>
    <row r="687" spans="4:21">
      <c r="D687" s="81" t="str">
        <f t="shared" si="23"/>
        <v/>
      </c>
      <c r="E687" s="90" t="str">
        <f>IF(D687="","",D687+(COUNTIF(D$4:D687,D687)-1)*0.001)</f>
        <v/>
      </c>
      <c r="I687" s="81" t="str">
        <f t="shared" si="24"/>
        <v/>
      </c>
      <c r="J687" s="81" t="str">
        <f>IF(I687="","",I687+(COUNTIF(I$4:I687,I687)-1)*0.001)</f>
        <v/>
      </c>
      <c r="S687" s="202"/>
      <c r="U687" s="93"/>
    </row>
    <row r="688" spans="4:21">
      <c r="D688" s="81" t="str">
        <f t="shared" si="23"/>
        <v/>
      </c>
      <c r="E688" s="90" t="str">
        <f>IF(D688="","",D688+(COUNTIF(D$4:D688,D688)-1)*0.001)</f>
        <v/>
      </c>
      <c r="I688" s="81" t="str">
        <f t="shared" si="24"/>
        <v/>
      </c>
      <c r="J688" s="81" t="str">
        <f>IF(I688="","",I688+(COUNTIF(I$4:I688,I688)-1)*0.001)</f>
        <v/>
      </c>
      <c r="S688" s="202"/>
      <c r="U688" s="93"/>
    </row>
    <row r="689" spans="4:21">
      <c r="D689" s="81" t="str">
        <f t="shared" si="23"/>
        <v/>
      </c>
      <c r="E689" s="90" t="str">
        <f>IF(D689="","",D689+(COUNTIF(D$4:D689,D689)-1)*0.001)</f>
        <v/>
      </c>
      <c r="I689" s="81" t="str">
        <f t="shared" si="24"/>
        <v/>
      </c>
      <c r="J689" s="81" t="str">
        <f>IF(I689="","",I689+(COUNTIF(I$4:I689,I689)-1)*0.001)</f>
        <v/>
      </c>
      <c r="S689" s="202"/>
      <c r="U689" s="93"/>
    </row>
    <row r="690" spans="4:21">
      <c r="D690" s="81" t="str">
        <f t="shared" si="23"/>
        <v/>
      </c>
      <c r="E690" s="90" t="str">
        <f>IF(D690="","",D690+(COUNTIF(D$4:D690,D690)-1)*0.001)</f>
        <v/>
      </c>
      <c r="I690" s="81" t="str">
        <f t="shared" si="24"/>
        <v/>
      </c>
      <c r="J690" s="81" t="str">
        <f>IF(I690="","",I690+(COUNTIF(I$4:I690,I690)-1)*0.001)</f>
        <v/>
      </c>
      <c r="S690" s="202"/>
      <c r="U690" s="93"/>
    </row>
    <row r="691" spans="4:21">
      <c r="D691" s="81" t="str">
        <f t="shared" si="23"/>
        <v/>
      </c>
      <c r="E691" s="90" t="str">
        <f>IF(D691="","",D691+(COUNTIF(D$4:D691,D691)-1)*0.001)</f>
        <v/>
      </c>
      <c r="I691" s="81" t="str">
        <f t="shared" si="24"/>
        <v/>
      </c>
      <c r="J691" s="81" t="str">
        <f>IF(I691="","",I691+(COUNTIF(I$4:I691,I691)-1)*0.001)</f>
        <v/>
      </c>
      <c r="S691" s="202"/>
      <c r="U691" s="93"/>
    </row>
    <row r="692" spans="4:21">
      <c r="D692" s="81" t="str">
        <f t="shared" si="23"/>
        <v/>
      </c>
      <c r="E692" s="90" t="str">
        <f>IF(D692="","",D692+(COUNTIF(D$4:D692,D692)-1)*0.001)</f>
        <v/>
      </c>
      <c r="I692" s="81" t="str">
        <f t="shared" si="24"/>
        <v/>
      </c>
      <c r="J692" s="81" t="str">
        <f>IF(I692="","",I692+(COUNTIF(I$4:I692,I692)-1)*0.001)</f>
        <v/>
      </c>
      <c r="S692" s="202"/>
      <c r="U692" s="93"/>
    </row>
    <row r="693" spans="4:21">
      <c r="D693" s="81" t="str">
        <f t="shared" si="23"/>
        <v/>
      </c>
      <c r="E693" s="90" t="str">
        <f>IF(D693="","",D693+(COUNTIF(D$4:D693,D693)-1)*0.001)</f>
        <v/>
      </c>
      <c r="I693" s="81" t="str">
        <f t="shared" si="24"/>
        <v/>
      </c>
      <c r="J693" s="81" t="str">
        <f>IF(I693="","",I693+(COUNTIF(I$4:I693,I693)-1)*0.001)</f>
        <v/>
      </c>
      <c r="S693" s="202"/>
      <c r="U693" s="93"/>
    </row>
    <row r="694" spans="4:21">
      <c r="D694" s="81" t="str">
        <f t="shared" si="23"/>
        <v/>
      </c>
      <c r="E694" s="90" t="str">
        <f>IF(D694="","",D694+(COUNTIF(D$4:D694,D694)-1)*0.001)</f>
        <v/>
      </c>
      <c r="I694" s="81" t="str">
        <f t="shared" si="24"/>
        <v/>
      </c>
      <c r="J694" s="81" t="str">
        <f>IF(I694="","",I694+(COUNTIF(I$4:I694,I694)-1)*0.001)</f>
        <v/>
      </c>
      <c r="S694" s="202"/>
      <c r="U694" s="93"/>
    </row>
    <row r="695" spans="4:21">
      <c r="D695" s="81" t="str">
        <f t="shared" si="23"/>
        <v/>
      </c>
      <c r="E695" s="90" t="str">
        <f>IF(D695="","",D695+(COUNTIF(D$4:D695,D695)-1)*0.001)</f>
        <v/>
      </c>
      <c r="I695" s="81" t="str">
        <f t="shared" si="24"/>
        <v/>
      </c>
      <c r="J695" s="81" t="str">
        <f>IF(I695="","",I695+(COUNTIF(I$4:I695,I695)-1)*0.001)</f>
        <v/>
      </c>
      <c r="S695" s="202"/>
      <c r="U695" s="93"/>
    </row>
    <row r="696" spans="4:21">
      <c r="D696" s="81" t="str">
        <f t="shared" si="23"/>
        <v/>
      </c>
      <c r="E696" s="90" t="str">
        <f>IF(D696="","",D696+(COUNTIF(D$4:D696,D696)-1)*0.001)</f>
        <v/>
      </c>
      <c r="I696" s="81" t="str">
        <f t="shared" si="24"/>
        <v/>
      </c>
      <c r="J696" s="81" t="str">
        <f>IF(I696="","",I696+(COUNTIF(I$4:I696,I696)-1)*0.001)</f>
        <v/>
      </c>
      <c r="S696" s="202"/>
      <c r="U696" s="93"/>
    </row>
    <row r="697" spans="4:21">
      <c r="D697" s="81" t="str">
        <f t="shared" si="23"/>
        <v/>
      </c>
      <c r="E697" s="90" t="str">
        <f>IF(D697="","",D697+(COUNTIF(D$4:D697,D697)-1)*0.001)</f>
        <v/>
      </c>
      <c r="I697" s="81" t="str">
        <f t="shared" si="24"/>
        <v/>
      </c>
      <c r="J697" s="81" t="str">
        <f>IF(I697="","",I697+(COUNTIF(I$4:I697,I697)-1)*0.001)</f>
        <v/>
      </c>
      <c r="S697" s="202"/>
      <c r="U697" s="93"/>
    </row>
    <row r="698" spans="4:21">
      <c r="D698" s="81" t="str">
        <f t="shared" si="23"/>
        <v/>
      </c>
      <c r="E698" s="90" t="str">
        <f>IF(D698="","",D698+(COUNTIF(D$4:D698,D698)-1)*0.001)</f>
        <v/>
      </c>
      <c r="I698" s="81" t="str">
        <f t="shared" si="24"/>
        <v/>
      </c>
      <c r="J698" s="81" t="str">
        <f>IF(I698="","",I698+(COUNTIF(I$4:I698,I698)-1)*0.001)</f>
        <v/>
      </c>
      <c r="S698" s="202"/>
      <c r="U698" s="93"/>
    </row>
    <row r="699" spans="4:21">
      <c r="D699" s="81" t="str">
        <f t="shared" si="23"/>
        <v/>
      </c>
      <c r="E699" s="90" t="str">
        <f>IF(D699="","",D699+(COUNTIF(D$4:D699,D699)-1)*0.001)</f>
        <v/>
      </c>
      <c r="I699" s="81" t="str">
        <f t="shared" si="24"/>
        <v/>
      </c>
      <c r="J699" s="81" t="str">
        <f>IF(I699="","",I699+(COUNTIF(I$4:I699,I699)-1)*0.001)</f>
        <v/>
      </c>
      <c r="S699" s="202"/>
      <c r="U699" s="93"/>
    </row>
    <row r="700" spans="4:21">
      <c r="D700" s="81" t="str">
        <f t="shared" si="23"/>
        <v/>
      </c>
      <c r="E700" s="90" t="str">
        <f>IF(D700="","",D700+(COUNTIF(D$4:D700,D700)-1)*0.001)</f>
        <v/>
      </c>
      <c r="I700" s="81" t="str">
        <f t="shared" si="24"/>
        <v/>
      </c>
      <c r="J700" s="81" t="str">
        <f>IF(I700="","",I700+(COUNTIF(I$4:I700,I700)-1)*0.001)</f>
        <v/>
      </c>
      <c r="S700" s="202"/>
      <c r="U700" s="93"/>
    </row>
    <row r="701" spans="4:21">
      <c r="D701" s="81" t="str">
        <f t="shared" si="23"/>
        <v/>
      </c>
      <c r="E701" s="90" t="str">
        <f>IF(D701="","",D701+(COUNTIF(D$4:D701,D701)-1)*0.001)</f>
        <v/>
      </c>
      <c r="I701" s="81" t="str">
        <f t="shared" si="24"/>
        <v/>
      </c>
      <c r="J701" s="81" t="str">
        <f>IF(I701="","",I701+(COUNTIF(I$4:I701,I701)-1)*0.001)</f>
        <v/>
      </c>
      <c r="S701" s="202"/>
      <c r="U701" s="93"/>
    </row>
    <row r="702" spans="4:21">
      <c r="D702" s="81" t="str">
        <f t="shared" si="23"/>
        <v/>
      </c>
      <c r="E702" s="90" t="str">
        <f>IF(D702="","",D702+(COUNTIF(D$4:D702,D702)-1)*0.001)</f>
        <v/>
      </c>
      <c r="I702" s="81" t="str">
        <f t="shared" si="24"/>
        <v/>
      </c>
      <c r="J702" s="81" t="str">
        <f>IF(I702="","",I702+(COUNTIF(I$4:I702,I702)-1)*0.001)</f>
        <v/>
      </c>
      <c r="S702" s="202"/>
      <c r="U702" s="93"/>
    </row>
    <row r="703" spans="4:21">
      <c r="D703" s="81" t="str">
        <f t="shared" si="23"/>
        <v/>
      </c>
      <c r="E703" s="90" t="str">
        <f>IF(D703="","",D703+(COUNTIF(D$4:D703,D703)-1)*0.001)</f>
        <v/>
      </c>
      <c r="I703" s="81" t="str">
        <f t="shared" si="24"/>
        <v/>
      </c>
      <c r="J703" s="81" t="str">
        <f>IF(I703="","",I703+(COUNTIF(I$4:I703,I703)-1)*0.001)</f>
        <v/>
      </c>
      <c r="S703" s="202"/>
      <c r="U703" s="93"/>
    </row>
    <row r="704" spans="4:21">
      <c r="D704" s="81" t="str">
        <f t="shared" si="23"/>
        <v/>
      </c>
      <c r="E704" s="90" t="str">
        <f>IF(D704="","",D704+(COUNTIF(D$4:D704,D704)-1)*0.001)</f>
        <v/>
      </c>
      <c r="I704" s="81" t="str">
        <f t="shared" si="24"/>
        <v/>
      </c>
      <c r="J704" s="81" t="str">
        <f>IF(I704="","",I704+(COUNTIF(I$4:I704,I704)-1)*0.001)</f>
        <v/>
      </c>
      <c r="S704" s="202"/>
      <c r="U704" s="93"/>
    </row>
    <row r="705" spans="4:21">
      <c r="D705" s="81" t="str">
        <f t="shared" si="23"/>
        <v/>
      </c>
      <c r="E705" s="90" t="str">
        <f>IF(D705="","",D705+(COUNTIF(D$4:D705,D705)-1)*0.001)</f>
        <v/>
      </c>
      <c r="I705" s="81" t="str">
        <f t="shared" si="24"/>
        <v/>
      </c>
      <c r="J705" s="81" t="str">
        <f>IF(I705="","",I705+(COUNTIF(I$4:I705,I705)-1)*0.001)</f>
        <v/>
      </c>
      <c r="S705" s="202"/>
      <c r="U705" s="93"/>
    </row>
    <row r="706" spans="4:21">
      <c r="D706" s="81" t="str">
        <f t="shared" si="23"/>
        <v/>
      </c>
      <c r="E706" s="90" t="str">
        <f>IF(D706="","",D706+(COUNTIF(D$4:D706,D706)-1)*0.001)</f>
        <v/>
      </c>
      <c r="I706" s="81" t="str">
        <f t="shared" si="24"/>
        <v/>
      </c>
      <c r="J706" s="81" t="str">
        <f>IF(I706="","",I706+(COUNTIF(I$4:I706,I706)-1)*0.001)</f>
        <v/>
      </c>
      <c r="S706" s="202"/>
      <c r="U706" s="93"/>
    </row>
    <row r="707" spans="4:21">
      <c r="D707" s="81" t="str">
        <f t="shared" si="23"/>
        <v/>
      </c>
      <c r="E707" s="90" t="str">
        <f>IF(D707="","",D707+(COUNTIF(D$4:D707,D707)-1)*0.001)</f>
        <v/>
      </c>
      <c r="I707" s="81" t="str">
        <f t="shared" si="24"/>
        <v/>
      </c>
      <c r="J707" s="81" t="str">
        <f>IF(I707="","",I707+(COUNTIF(I$4:I707,I707)-1)*0.001)</f>
        <v/>
      </c>
      <c r="S707" s="202"/>
      <c r="U707" s="93"/>
    </row>
    <row r="708" spans="4:21">
      <c r="D708" s="81" t="str">
        <f t="shared" ref="D708:D771" si="25">IF(A708="","",IFERROR(INDEX(收盤1,MATCH(A708,代號1,0)),IFERROR(INDEX(收盤2,MATCH(A708,代號2,0)),IFERROR(INDEX(收盤3,MATCH(A708,代號3,0)),INDEX(收盤4,MATCH(A708,代號4,0)))))*C708)</f>
        <v/>
      </c>
      <c r="E708" s="90" t="str">
        <f>IF(D708="","",D708+(COUNTIF(D$4:D708,D708)-1)*0.001)</f>
        <v/>
      </c>
      <c r="I708" s="81" t="str">
        <f t="shared" ref="I708:I771" si="26">IF(F708="","",IFERROR(INDEX(收盤1,MATCH(F708,代號1,0)),IFERROR(INDEX(收盤2,MATCH(F708,代號2,0)),IFERROR(INDEX(收盤3,MATCH(F708,代號3,0)),INDEX(收盤4,MATCH(F708,代號4,0)))))*H708)</f>
        <v/>
      </c>
      <c r="J708" s="81" t="str">
        <f>IF(I708="","",I708+(COUNTIF(I$4:I708,I708)-1)*0.001)</f>
        <v/>
      </c>
      <c r="S708" s="202"/>
      <c r="U708" s="93"/>
    </row>
    <row r="709" spans="4:21">
      <c r="D709" s="81" t="str">
        <f t="shared" si="25"/>
        <v/>
      </c>
      <c r="E709" s="90" t="str">
        <f>IF(D709="","",D709+(COUNTIF(D$4:D709,D709)-1)*0.001)</f>
        <v/>
      </c>
      <c r="I709" s="81" t="str">
        <f t="shared" si="26"/>
        <v/>
      </c>
      <c r="J709" s="81" t="str">
        <f>IF(I709="","",I709+(COUNTIF(I$4:I709,I709)-1)*0.001)</f>
        <v/>
      </c>
      <c r="S709" s="202"/>
      <c r="U709" s="93"/>
    </row>
    <row r="710" spans="4:21">
      <c r="D710" s="81" t="str">
        <f t="shared" si="25"/>
        <v/>
      </c>
      <c r="E710" s="90" t="str">
        <f>IF(D710="","",D710+(COUNTIF(D$4:D710,D710)-1)*0.001)</f>
        <v/>
      </c>
      <c r="I710" s="81" t="str">
        <f t="shared" si="26"/>
        <v/>
      </c>
      <c r="J710" s="81" t="str">
        <f>IF(I710="","",I710+(COUNTIF(I$4:I710,I710)-1)*0.001)</f>
        <v/>
      </c>
      <c r="S710" s="202"/>
      <c r="U710" s="93"/>
    </row>
    <row r="711" spans="4:21">
      <c r="D711" s="81" t="str">
        <f t="shared" si="25"/>
        <v/>
      </c>
      <c r="E711" s="90" t="str">
        <f>IF(D711="","",D711+(COUNTIF(D$4:D711,D711)-1)*0.001)</f>
        <v/>
      </c>
      <c r="I711" s="81" t="str">
        <f t="shared" si="26"/>
        <v/>
      </c>
      <c r="J711" s="81" t="str">
        <f>IF(I711="","",I711+(COUNTIF(I$4:I711,I711)-1)*0.001)</f>
        <v/>
      </c>
      <c r="S711" s="202"/>
      <c r="U711" s="93"/>
    </row>
    <row r="712" spans="4:21">
      <c r="D712" s="81" t="str">
        <f t="shared" si="25"/>
        <v/>
      </c>
      <c r="E712" s="90" t="str">
        <f>IF(D712="","",D712+(COUNTIF(D$4:D712,D712)-1)*0.001)</f>
        <v/>
      </c>
      <c r="I712" s="81" t="str">
        <f t="shared" si="26"/>
        <v/>
      </c>
      <c r="J712" s="81" t="str">
        <f>IF(I712="","",I712+(COUNTIF(I$4:I712,I712)-1)*0.001)</f>
        <v/>
      </c>
      <c r="S712" s="202"/>
      <c r="U712" s="93"/>
    </row>
    <row r="713" spans="4:21">
      <c r="D713" s="81" t="str">
        <f t="shared" si="25"/>
        <v/>
      </c>
      <c r="E713" s="90" t="str">
        <f>IF(D713="","",D713+(COUNTIF(D$4:D713,D713)-1)*0.001)</f>
        <v/>
      </c>
      <c r="I713" s="81" t="str">
        <f t="shared" si="26"/>
        <v/>
      </c>
      <c r="J713" s="81" t="str">
        <f>IF(I713="","",I713+(COUNTIF(I$4:I713,I713)-1)*0.001)</f>
        <v/>
      </c>
      <c r="S713" s="202"/>
      <c r="U713" s="93"/>
    </row>
    <row r="714" spans="4:21">
      <c r="D714" s="81" t="str">
        <f t="shared" si="25"/>
        <v/>
      </c>
      <c r="E714" s="90" t="str">
        <f>IF(D714="","",D714+(COUNTIF(D$4:D714,D714)-1)*0.001)</f>
        <v/>
      </c>
      <c r="I714" s="81" t="str">
        <f t="shared" si="26"/>
        <v/>
      </c>
      <c r="J714" s="81" t="str">
        <f>IF(I714="","",I714+(COUNTIF(I$4:I714,I714)-1)*0.001)</f>
        <v/>
      </c>
      <c r="S714" s="202"/>
      <c r="U714" s="93"/>
    </row>
    <row r="715" spans="4:21">
      <c r="D715" s="81" t="str">
        <f t="shared" si="25"/>
        <v/>
      </c>
      <c r="E715" s="90" t="str">
        <f>IF(D715="","",D715+(COUNTIF(D$4:D715,D715)-1)*0.001)</f>
        <v/>
      </c>
      <c r="I715" s="81" t="str">
        <f t="shared" si="26"/>
        <v/>
      </c>
      <c r="J715" s="81" t="str">
        <f>IF(I715="","",I715+(COUNTIF(I$4:I715,I715)-1)*0.001)</f>
        <v/>
      </c>
      <c r="S715" s="202"/>
      <c r="U715" s="93"/>
    </row>
    <row r="716" spans="4:21">
      <c r="D716" s="81" t="str">
        <f t="shared" si="25"/>
        <v/>
      </c>
      <c r="E716" s="90" t="str">
        <f>IF(D716="","",D716+(COUNTIF(D$4:D716,D716)-1)*0.001)</f>
        <v/>
      </c>
      <c r="I716" s="81" t="str">
        <f t="shared" si="26"/>
        <v/>
      </c>
      <c r="J716" s="81" t="str">
        <f>IF(I716="","",I716+(COUNTIF(I$4:I716,I716)-1)*0.001)</f>
        <v/>
      </c>
      <c r="S716" s="202"/>
      <c r="U716" s="93"/>
    </row>
    <row r="717" spans="4:21">
      <c r="D717" s="81" t="str">
        <f t="shared" si="25"/>
        <v/>
      </c>
      <c r="E717" s="90" t="str">
        <f>IF(D717="","",D717+(COUNTIF(D$4:D717,D717)-1)*0.001)</f>
        <v/>
      </c>
      <c r="I717" s="81" t="str">
        <f t="shared" si="26"/>
        <v/>
      </c>
      <c r="J717" s="81" t="str">
        <f>IF(I717="","",I717+(COUNTIF(I$4:I717,I717)-1)*0.001)</f>
        <v/>
      </c>
      <c r="S717" s="202"/>
      <c r="U717" s="93"/>
    </row>
    <row r="718" spans="4:21">
      <c r="D718" s="81" t="str">
        <f t="shared" si="25"/>
        <v/>
      </c>
      <c r="E718" s="90" t="str">
        <f>IF(D718="","",D718+(COUNTIF(D$4:D718,D718)-1)*0.001)</f>
        <v/>
      </c>
      <c r="I718" s="81" t="str">
        <f t="shared" si="26"/>
        <v/>
      </c>
      <c r="J718" s="81" t="str">
        <f>IF(I718="","",I718+(COUNTIF(I$4:I718,I718)-1)*0.001)</f>
        <v/>
      </c>
      <c r="S718" s="202"/>
      <c r="U718" s="93"/>
    </row>
    <row r="719" spans="4:21">
      <c r="D719" s="81" t="str">
        <f t="shared" si="25"/>
        <v/>
      </c>
      <c r="E719" s="90" t="str">
        <f>IF(D719="","",D719+(COUNTIF(D$4:D719,D719)-1)*0.001)</f>
        <v/>
      </c>
      <c r="I719" s="81" t="str">
        <f t="shared" si="26"/>
        <v/>
      </c>
      <c r="J719" s="81" t="str">
        <f>IF(I719="","",I719+(COUNTIF(I$4:I719,I719)-1)*0.001)</f>
        <v/>
      </c>
      <c r="S719" s="202"/>
      <c r="U719" s="93"/>
    </row>
    <row r="720" spans="4:21">
      <c r="D720" s="81" t="str">
        <f t="shared" si="25"/>
        <v/>
      </c>
      <c r="E720" s="90" t="str">
        <f>IF(D720="","",D720+(COUNTIF(D$4:D720,D720)-1)*0.001)</f>
        <v/>
      </c>
      <c r="I720" s="81" t="str">
        <f t="shared" si="26"/>
        <v/>
      </c>
      <c r="J720" s="81" t="str">
        <f>IF(I720="","",I720+(COUNTIF(I$4:I720,I720)-1)*0.001)</f>
        <v/>
      </c>
      <c r="S720" s="202"/>
      <c r="U720" s="93"/>
    </row>
    <row r="721" spans="4:21">
      <c r="D721" s="81" t="str">
        <f t="shared" si="25"/>
        <v/>
      </c>
      <c r="E721" s="90" t="str">
        <f>IF(D721="","",D721+(COUNTIF(D$4:D721,D721)-1)*0.001)</f>
        <v/>
      </c>
      <c r="I721" s="81" t="str">
        <f t="shared" si="26"/>
        <v/>
      </c>
      <c r="J721" s="81" t="str">
        <f>IF(I721="","",I721+(COUNTIF(I$4:I721,I721)-1)*0.001)</f>
        <v/>
      </c>
      <c r="S721" s="202"/>
      <c r="U721" s="93"/>
    </row>
    <row r="722" spans="4:21">
      <c r="D722" s="81" t="str">
        <f t="shared" si="25"/>
        <v/>
      </c>
      <c r="E722" s="90" t="str">
        <f>IF(D722="","",D722+(COUNTIF(D$4:D722,D722)-1)*0.001)</f>
        <v/>
      </c>
      <c r="I722" s="81" t="str">
        <f t="shared" si="26"/>
        <v/>
      </c>
      <c r="J722" s="81" t="str">
        <f>IF(I722="","",I722+(COUNTIF(I$4:I722,I722)-1)*0.001)</f>
        <v/>
      </c>
      <c r="S722" s="202"/>
      <c r="U722" s="93"/>
    </row>
    <row r="723" spans="4:21">
      <c r="D723" s="81" t="str">
        <f t="shared" si="25"/>
        <v/>
      </c>
      <c r="E723" s="90" t="str">
        <f>IF(D723="","",D723+(COUNTIF(D$4:D723,D723)-1)*0.001)</f>
        <v/>
      </c>
      <c r="I723" s="81" t="str">
        <f t="shared" si="26"/>
        <v/>
      </c>
      <c r="J723" s="81" t="str">
        <f>IF(I723="","",I723+(COUNTIF(I$4:I723,I723)-1)*0.001)</f>
        <v/>
      </c>
      <c r="S723" s="202"/>
      <c r="U723" s="93"/>
    </row>
    <row r="724" spans="4:21">
      <c r="D724" s="81" t="str">
        <f t="shared" si="25"/>
        <v/>
      </c>
      <c r="E724" s="90" t="str">
        <f>IF(D724="","",D724+(COUNTIF(D$4:D724,D724)-1)*0.001)</f>
        <v/>
      </c>
      <c r="I724" s="81" t="str">
        <f t="shared" si="26"/>
        <v/>
      </c>
      <c r="J724" s="81" t="str">
        <f>IF(I724="","",I724+(COUNTIF(I$4:I724,I724)-1)*0.001)</f>
        <v/>
      </c>
      <c r="S724" s="202"/>
      <c r="U724" s="93"/>
    </row>
    <row r="725" spans="4:21">
      <c r="D725" s="81" t="str">
        <f t="shared" si="25"/>
        <v/>
      </c>
      <c r="E725" s="90" t="str">
        <f>IF(D725="","",D725+(COUNTIF(D$4:D725,D725)-1)*0.001)</f>
        <v/>
      </c>
      <c r="I725" s="81" t="str">
        <f t="shared" si="26"/>
        <v/>
      </c>
      <c r="J725" s="81" t="str">
        <f>IF(I725="","",I725+(COUNTIF(I$4:I725,I725)-1)*0.001)</f>
        <v/>
      </c>
      <c r="S725" s="202"/>
      <c r="U725" s="93"/>
    </row>
    <row r="726" spans="4:21">
      <c r="D726" s="81" t="str">
        <f t="shared" si="25"/>
        <v/>
      </c>
      <c r="E726" s="90" t="str">
        <f>IF(D726="","",D726+(COUNTIF(D$4:D726,D726)-1)*0.001)</f>
        <v/>
      </c>
      <c r="I726" s="81" t="str">
        <f t="shared" si="26"/>
        <v/>
      </c>
      <c r="J726" s="81" t="str">
        <f>IF(I726="","",I726+(COUNTIF(I$4:I726,I726)-1)*0.001)</f>
        <v/>
      </c>
      <c r="S726" s="202"/>
      <c r="U726" s="93"/>
    </row>
    <row r="727" spans="4:21">
      <c r="D727" s="81" t="str">
        <f t="shared" si="25"/>
        <v/>
      </c>
      <c r="E727" s="90" t="str">
        <f>IF(D727="","",D727+(COUNTIF(D$4:D727,D727)-1)*0.001)</f>
        <v/>
      </c>
      <c r="I727" s="81" t="str">
        <f t="shared" si="26"/>
        <v/>
      </c>
      <c r="J727" s="81" t="str">
        <f>IF(I727="","",I727+(COUNTIF(I$4:I727,I727)-1)*0.001)</f>
        <v/>
      </c>
      <c r="S727" s="202"/>
      <c r="U727" s="93"/>
    </row>
    <row r="728" spans="4:21">
      <c r="D728" s="81" t="str">
        <f t="shared" si="25"/>
        <v/>
      </c>
      <c r="E728" s="90" t="str">
        <f>IF(D728="","",D728+(COUNTIF(D$4:D728,D728)-1)*0.001)</f>
        <v/>
      </c>
      <c r="I728" s="81" t="str">
        <f t="shared" si="26"/>
        <v/>
      </c>
      <c r="J728" s="81" t="str">
        <f>IF(I728="","",I728+(COUNTIF(I$4:I728,I728)-1)*0.001)</f>
        <v/>
      </c>
      <c r="S728" s="202"/>
      <c r="U728" s="93"/>
    </row>
    <row r="729" spans="4:21">
      <c r="D729" s="81" t="str">
        <f t="shared" si="25"/>
        <v/>
      </c>
      <c r="E729" s="90" t="str">
        <f>IF(D729="","",D729+(COUNTIF(D$4:D729,D729)-1)*0.001)</f>
        <v/>
      </c>
      <c r="I729" s="81" t="str">
        <f t="shared" si="26"/>
        <v/>
      </c>
      <c r="J729" s="81" t="str">
        <f>IF(I729="","",I729+(COUNTIF(I$4:I729,I729)-1)*0.001)</f>
        <v/>
      </c>
      <c r="S729" s="202"/>
      <c r="U729" s="93"/>
    </row>
    <row r="730" spans="4:21">
      <c r="D730" s="81" t="str">
        <f t="shared" si="25"/>
        <v/>
      </c>
      <c r="E730" s="90" t="str">
        <f>IF(D730="","",D730+(COUNTIF(D$4:D730,D730)-1)*0.001)</f>
        <v/>
      </c>
      <c r="I730" s="81" t="str">
        <f t="shared" si="26"/>
        <v/>
      </c>
      <c r="J730" s="81" t="str">
        <f>IF(I730="","",I730+(COUNTIF(I$4:I730,I730)-1)*0.001)</f>
        <v/>
      </c>
      <c r="S730" s="202"/>
      <c r="U730" s="93"/>
    </row>
    <row r="731" spans="4:21">
      <c r="D731" s="81" t="str">
        <f t="shared" si="25"/>
        <v/>
      </c>
      <c r="E731" s="90" t="str">
        <f>IF(D731="","",D731+(COUNTIF(D$4:D731,D731)-1)*0.001)</f>
        <v/>
      </c>
      <c r="I731" s="81" t="str">
        <f t="shared" si="26"/>
        <v/>
      </c>
      <c r="J731" s="81" t="str">
        <f>IF(I731="","",I731+(COUNTIF(I$4:I731,I731)-1)*0.001)</f>
        <v/>
      </c>
      <c r="S731" s="202"/>
      <c r="U731" s="93"/>
    </row>
    <row r="732" spans="4:21">
      <c r="D732" s="81" t="str">
        <f t="shared" si="25"/>
        <v/>
      </c>
      <c r="E732" s="90" t="str">
        <f>IF(D732="","",D732+(COUNTIF(D$4:D732,D732)-1)*0.001)</f>
        <v/>
      </c>
      <c r="I732" s="81" t="str">
        <f t="shared" si="26"/>
        <v/>
      </c>
      <c r="J732" s="81" t="str">
        <f>IF(I732="","",I732+(COUNTIF(I$4:I732,I732)-1)*0.001)</f>
        <v/>
      </c>
      <c r="S732" s="202"/>
      <c r="U732" s="93"/>
    </row>
    <row r="733" spans="4:21">
      <c r="D733" s="81" t="str">
        <f t="shared" si="25"/>
        <v/>
      </c>
      <c r="E733" s="90" t="str">
        <f>IF(D733="","",D733+(COUNTIF(D$4:D733,D733)-1)*0.001)</f>
        <v/>
      </c>
      <c r="I733" s="81" t="str">
        <f t="shared" si="26"/>
        <v/>
      </c>
      <c r="J733" s="81" t="str">
        <f>IF(I733="","",I733+(COUNTIF(I$4:I733,I733)-1)*0.001)</f>
        <v/>
      </c>
      <c r="S733" s="202"/>
      <c r="U733" s="93"/>
    </row>
    <row r="734" spans="4:21">
      <c r="D734" s="81" t="str">
        <f t="shared" si="25"/>
        <v/>
      </c>
      <c r="E734" s="90" t="str">
        <f>IF(D734="","",D734+(COUNTIF(D$4:D734,D734)-1)*0.001)</f>
        <v/>
      </c>
      <c r="I734" s="81" t="str">
        <f t="shared" si="26"/>
        <v/>
      </c>
      <c r="J734" s="81" t="str">
        <f>IF(I734="","",I734+(COUNTIF(I$4:I734,I734)-1)*0.001)</f>
        <v/>
      </c>
      <c r="S734" s="202"/>
      <c r="U734" s="93"/>
    </row>
    <row r="735" spans="4:21">
      <c r="D735" s="81" t="str">
        <f t="shared" si="25"/>
        <v/>
      </c>
      <c r="E735" s="90" t="str">
        <f>IF(D735="","",D735+(COUNTIF(D$4:D735,D735)-1)*0.001)</f>
        <v/>
      </c>
      <c r="I735" s="81" t="str">
        <f t="shared" si="26"/>
        <v/>
      </c>
      <c r="J735" s="81" t="str">
        <f>IF(I735="","",I735+(COUNTIF(I$4:I735,I735)-1)*0.001)</f>
        <v/>
      </c>
      <c r="S735" s="202"/>
      <c r="U735" s="93"/>
    </row>
    <row r="736" spans="4:21">
      <c r="D736" s="81" t="str">
        <f t="shared" si="25"/>
        <v/>
      </c>
      <c r="E736" s="90" t="str">
        <f>IF(D736="","",D736+(COUNTIF(D$4:D736,D736)-1)*0.001)</f>
        <v/>
      </c>
      <c r="I736" s="81" t="str">
        <f t="shared" si="26"/>
        <v/>
      </c>
      <c r="J736" s="81" t="str">
        <f>IF(I736="","",I736+(COUNTIF(I$4:I736,I736)-1)*0.001)</f>
        <v/>
      </c>
      <c r="S736" s="202"/>
      <c r="U736" s="93"/>
    </row>
    <row r="737" spans="4:21">
      <c r="D737" s="81" t="str">
        <f t="shared" si="25"/>
        <v/>
      </c>
      <c r="E737" s="90" t="str">
        <f>IF(D737="","",D737+(COUNTIF(D$4:D737,D737)-1)*0.001)</f>
        <v/>
      </c>
      <c r="I737" s="81" t="str">
        <f t="shared" si="26"/>
        <v/>
      </c>
      <c r="J737" s="81" t="str">
        <f>IF(I737="","",I737+(COUNTIF(I$4:I737,I737)-1)*0.001)</f>
        <v/>
      </c>
      <c r="S737" s="202"/>
      <c r="U737" s="93"/>
    </row>
    <row r="738" spans="4:21">
      <c r="D738" s="81" t="str">
        <f t="shared" si="25"/>
        <v/>
      </c>
      <c r="E738" s="90" t="str">
        <f>IF(D738="","",D738+(COUNTIF(D$4:D738,D738)-1)*0.001)</f>
        <v/>
      </c>
      <c r="I738" s="81" t="str">
        <f t="shared" si="26"/>
        <v/>
      </c>
      <c r="J738" s="81" t="str">
        <f>IF(I738="","",I738+(COUNTIF(I$4:I738,I738)-1)*0.001)</f>
        <v/>
      </c>
      <c r="S738" s="202"/>
      <c r="U738" s="93"/>
    </row>
    <row r="739" spans="4:21">
      <c r="D739" s="81" t="str">
        <f t="shared" si="25"/>
        <v/>
      </c>
      <c r="E739" s="90" t="str">
        <f>IF(D739="","",D739+(COUNTIF(D$4:D739,D739)-1)*0.001)</f>
        <v/>
      </c>
      <c r="I739" s="81" t="str">
        <f t="shared" si="26"/>
        <v/>
      </c>
      <c r="J739" s="81" t="str">
        <f>IF(I739="","",I739+(COUNTIF(I$4:I739,I739)-1)*0.001)</f>
        <v/>
      </c>
      <c r="S739" s="202"/>
      <c r="U739" s="93"/>
    </row>
    <row r="740" spans="4:21">
      <c r="D740" s="81" t="str">
        <f t="shared" si="25"/>
        <v/>
      </c>
      <c r="E740" s="90" t="str">
        <f>IF(D740="","",D740+(COUNTIF(D$4:D740,D740)-1)*0.001)</f>
        <v/>
      </c>
      <c r="I740" s="81" t="str">
        <f t="shared" si="26"/>
        <v/>
      </c>
      <c r="J740" s="81" t="str">
        <f>IF(I740="","",I740+(COUNTIF(I$4:I740,I740)-1)*0.001)</f>
        <v/>
      </c>
      <c r="S740" s="202"/>
      <c r="U740" s="93"/>
    </row>
    <row r="741" spans="4:21">
      <c r="D741" s="81" t="str">
        <f t="shared" si="25"/>
        <v/>
      </c>
      <c r="E741" s="90" t="str">
        <f>IF(D741="","",D741+(COUNTIF(D$4:D741,D741)-1)*0.001)</f>
        <v/>
      </c>
      <c r="I741" s="81" t="str">
        <f t="shared" si="26"/>
        <v/>
      </c>
      <c r="J741" s="81" t="str">
        <f>IF(I741="","",I741+(COUNTIF(I$4:I741,I741)-1)*0.001)</f>
        <v/>
      </c>
      <c r="S741" s="202"/>
      <c r="U741" s="93"/>
    </row>
    <row r="742" spans="4:21">
      <c r="D742" s="81" t="str">
        <f t="shared" si="25"/>
        <v/>
      </c>
      <c r="E742" s="90" t="str">
        <f>IF(D742="","",D742+(COUNTIF(D$4:D742,D742)-1)*0.001)</f>
        <v/>
      </c>
      <c r="I742" s="81" t="str">
        <f t="shared" si="26"/>
        <v/>
      </c>
      <c r="J742" s="81" t="str">
        <f>IF(I742="","",I742+(COUNTIF(I$4:I742,I742)-1)*0.001)</f>
        <v/>
      </c>
      <c r="S742" s="202"/>
      <c r="U742" s="93"/>
    </row>
    <row r="743" spans="4:21">
      <c r="D743" s="81" t="str">
        <f t="shared" si="25"/>
        <v/>
      </c>
      <c r="E743" s="90" t="str">
        <f>IF(D743="","",D743+(COUNTIF(D$4:D743,D743)-1)*0.001)</f>
        <v/>
      </c>
      <c r="I743" s="81" t="str">
        <f t="shared" si="26"/>
        <v/>
      </c>
      <c r="J743" s="81" t="str">
        <f>IF(I743="","",I743+(COUNTIF(I$4:I743,I743)-1)*0.001)</f>
        <v/>
      </c>
      <c r="S743" s="202"/>
      <c r="U743" s="93"/>
    </row>
    <row r="744" spans="4:21">
      <c r="D744" s="81" t="str">
        <f t="shared" si="25"/>
        <v/>
      </c>
      <c r="E744" s="90" t="str">
        <f>IF(D744="","",D744+(COUNTIF(D$4:D744,D744)-1)*0.001)</f>
        <v/>
      </c>
      <c r="I744" s="81" t="str">
        <f t="shared" si="26"/>
        <v/>
      </c>
      <c r="J744" s="81" t="str">
        <f>IF(I744="","",I744+(COUNTIF(I$4:I744,I744)-1)*0.001)</f>
        <v/>
      </c>
      <c r="S744" s="202"/>
      <c r="U744" s="93"/>
    </row>
    <row r="745" spans="4:21">
      <c r="D745" s="81" t="str">
        <f t="shared" si="25"/>
        <v/>
      </c>
      <c r="E745" s="90" t="str">
        <f>IF(D745="","",D745+(COUNTIF(D$4:D745,D745)-1)*0.001)</f>
        <v/>
      </c>
      <c r="I745" s="81" t="str">
        <f t="shared" si="26"/>
        <v/>
      </c>
      <c r="J745" s="81" t="str">
        <f>IF(I745="","",I745+(COUNTIF(I$4:I745,I745)-1)*0.001)</f>
        <v/>
      </c>
      <c r="S745" s="202"/>
      <c r="U745" s="93"/>
    </row>
    <row r="746" spans="4:21">
      <c r="D746" s="81" t="str">
        <f t="shared" si="25"/>
        <v/>
      </c>
      <c r="E746" s="90" t="str">
        <f>IF(D746="","",D746+(COUNTIF(D$4:D746,D746)-1)*0.001)</f>
        <v/>
      </c>
      <c r="I746" s="81" t="str">
        <f t="shared" si="26"/>
        <v/>
      </c>
      <c r="J746" s="81" t="str">
        <f>IF(I746="","",I746+(COUNTIF(I$4:I746,I746)-1)*0.001)</f>
        <v/>
      </c>
      <c r="S746" s="202"/>
      <c r="U746" s="93"/>
    </row>
    <row r="747" spans="4:21">
      <c r="D747" s="81" t="str">
        <f t="shared" si="25"/>
        <v/>
      </c>
      <c r="E747" s="90" t="str">
        <f>IF(D747="","",D747+(COUNTIF(D$4:D747,D747)-1)*0.001)</f>
        <v/>
      </c>
      <c r="I747" s="81" t="str">
        <f t="shared" si="26"/>
        <v/>
      </c>
      <c r="J747" s="81" t="str">
        <f>IF(I747="","",I747+(COUNTIF(I$4:I747,I747)-1)*0.001)</f>
        <v/>
      </c>
      <c r="S747" s="202"/>
      <c r="U747" s="93"/>
    </row>
    <row r="748" spans="4:21">
      <c r="D748" s="81" t="str">
        <f t="shared" si="25"/>
        <v/>
      </c>
      <c r="E748" s="90" t="str">
        <f>IF(D748="","",D748+(COUNTIF(D$4:D748,D748)-1)*0.001)</f>
        <v/>
      </c>
      <c r="I748" s="81" t="str">
        <f t="shared" si="26"/>
        <v/>
      </c>
      <c r="J748" s="81" t="str">
        <f>IF(I748="","",I748+(COUNTIF(I$4:I748,I748)-1)*0.001)</f>
        <v/>
      </c>
      <c r="S748" s="202"/>
      <c r="U748" s="93"/>
    </row>
    <row r="749" spans="4:21">
      <c r="D749" s="81" t="str">
        <f t="shared" si="25"/>
        <v/>
      </c>
      <c r="E749" s="90" t="str">
        <f>IF(D749="","",D749+(COUNTIF(D$4:D749,D749)-1)*0.001)</f>
        <v/>
      </c>
      <c r="I749" s="81" t="str">
        <f t="shared" si="26"/>
        <v/>
      </c>
      <c r="J749" s="81" t="str">
        <f>IF(I749="","",I749+(COUNTIF(I$4:I749,I749)-1)*0.001)</f>
        <v/>
      </c>
      <c r="S749" s="202"/>
      <c r="U749" s="93"/>
    </row>
    <row r="750" spans="4:21">
      <c r="D750" s="81" t="str">
        <f t="shared" si="25"/>
        <v/>
      </c>
      <c r="E750" s="90" t="str">
        <f>IF(D750="","",D750+(COUNTIF(D$4:D750,D750)-1)*0.001)</f>
        <v/>
      </c>
      <c r="I750" s="81" t="str">
        <f t="shared" si="26"/>
        <v/>
      </c>
      <c r="J750" s="81" t="str">
        <f>IF(I750="","",I750+(COUNTIF(I$4:I750,I750)-1)*0.001)</f>
        <v/>
      </c>
      <c r="S750" s="202"/>
      <c r="U750" s="93"/>
    </row>
    <row r="751" spans="4:21">
      <c r="D751" s="81" t="str">
        <f t="shared" si="25"/>
        <v/>
      </c>
      <c r="E751" s="90" t="str">
        <f>IF(D751="","",D751+(COUNTIF(D$4:D751,D751)-1)*0.001)</f>
        <v/>
      </c>
      <c r="I751" s="81" t="str">
        <f t="shared" si="26"/>
        <v/>
      </c>
      <c r="J751" s="81" t="str">
        <f>IF(I751="","",I751+(COUNTIF(I$4:I751,I751)-1)*0.001)</f>
        <v/>
      </c>
      <c r="S751" s="202"/>
      <c r="U751" s="93"/>
    </row>
    <row r="752" spans="4:21">
      <c r="D752" s="81" t="str">
        <f t="shared" si="25"/>
        <v/>
      </c>
      <c r="E752" s="90" t="str">
        <f>IF(D752="","",D752+(COUNTIF(D$4:D752,D752)-1)*0.001)</f>
        <v/>
      </c>
      <c r="I752" s="81" t="str">
        <f t="shared" si="26"/>
        <v/>
      </c>
      <c r="J752" s="81" t="str">
        <f>IF(I752="","",I752+(COUNTIF(I$4:I752,I752)-1)*0.001)</f>
        <v/>
      </c>
      <c r="S752" s="202"/>
      <c r="U752" s="93"/>
    </row>
    <row r="753" spans="4:21">
      <c r="D753" s="81" t="str">
        <f t="shared" si="25"/>
        <v/>
      </c>
      <c r="E753" s="90" t="str">
        <f>IF(D753="","",D753+(COUNTIF(D$4:D753,D753)-1)*0.001)</f>
        <v/>
      </c>
      <c r="I753" s="81" t="str">
        <f t="shared" si="26"/>
        <v/>
      </c>
      <c r="J753" s="81" t="str">
        <f>IF(I753="","",I753+(COUNTIF(I$4:I753,I753)-1)*0.001)</f>
        <v/>
      </c>
      <c r="S753" s="202"/>
      <c r="U753" s="93"/>
    </row>
    <row r="754" spans="4:21">
      <c r="D754" s="81" t="str">
        <f t="shared" si="25"/>
        <v/>
      </c>
      <c r="E754" s="90" t="str">
        <f>IF(D754="","",D754+(COUNTIF(D$4:D754,D754)-1)*0.001)</f>
        <v/>
      </c>
      <c r="I754" s="81" t="str">
        <f t="shared" si="26"/>
        <v/>
      </c>
      <c r="J754" s="81" t="str">
        <f>IF(I754="","",I754+(COUNTIF(I$4:I754,I754)-1)*0.001)</f>
        <v/>
      </c>
      <c r="S754" s="202"/>
      <c r="U754" s="93"/>
    </row>
    <row r="755" spans="4:21">
      <c r="D755" s="81" t="str">
        <f t="shared" si="25"/>
        <v/>
      </c>
      <c r="E755" s="90" t="str">
        <f>IF(D755="","",D755+(COUNTIF(D$4:D755,D755)-1)*0.001)</f>
        <v/>
      </c>
      <c r="I755" s="81" t="str">
        <f t="shared" si="26"/>
        <v/>
      </c>
      <c r="J755" s="81" t="str">
        <f>IF(I755="","",I755+(COUNTIF(I$4:I755,I755)-1)*0.001)</f>
        <v/>
      </c>
      <c r="S755" s="202"/>
      <c r="U755" s="93"/>
    </row>
    <row r="756" spans="4:21">
      <c r="D756" s="81" t="str">
        <f t="shared" si="25"/>
        <v/>
      </c>
      <c r="E756" s="90" t="str">
        <f>IF(D756="","",D756+(COUNTIF(D$4:D756,D756)-1)*0.001)</f>
        <v/>
      </c>
      <c r="I756" s="81" t="str">
        <f t="shared" si="26"/>
        <v/>
      </c>
      <c r="J756" s="81" t="str">
        <f>IF(I756="","",I756+(COUNTIF(I$4:I756,I756)-1)*0.001)</f>
        <v/>
      </c>
      <c r="S756" s="202"/>
      <c r="U756" s="93"/>
    </row>
    <row r="757" spans="4:21">
      <c r="D757" s="81" t="str">
        <f t="shared" si="25"/>
        <v/>
      </c>
      <c r="E757" s="90" t="str">
        <f>IF(D757="","",D757+(COUNTIF(D$4:D757,D757)-1)*0.001)</f>
        <v/>
      </c>
      <c r="I757" s="81" t="str">
        <f t="shared" si="26"/>
        <v/>
      </c>
      <c r="J757" s="81" t="str">
        <f>IF(I757="","",I757+(COUNTIF(I$4:I757,I757)-1)*0.001)</f>
        <v/>
      </c>
      <c r="S757" s="202"/>
      <c r="U757" s="93"/>
    </row>
    <row r="758" spans="4:21">
      <c r="D758" s="81" t="str">
        <f t="shared" si="25"/>
        <v/>
      </c>
      <c r="E758" s="90" t="str">
        <f>IF(D758="","",D758+(COUNTIF(D$4:D758,D758)-1)*0.001)</f>
        <v/>
      </c>
      <c r="I758" s="81" t="str">
        <f t="shared" si="26"/>
        <v/>
      </c>
      <c r="J758" s="81" t="str">
        <f>IF(I758="","",I758+(COUNTIF(I$4:I758,I758)-1)*0.001)</f>
        <v/>
      </c>
      <c r="S758" s="202"/>
      <c r="U758" s="93"/>
    </row>
    <row r="759" spans="4:21">
      <c r="D759" s="81" t="str">
        <f t="shared" si="25"/>
        <v/>
      </c>
      <c r="E759" s="90" t="str">
        <f>IF(D759="","",D759+(COUNTIF(D$4:D759,D759)-1)*0.001)</f>
        <v/>
      </c>
      <c r="I759" s="81" t="str">
        <f t="shared" si="26"/>
        <v/>
      </c>
      <c r="J759" s="81" t="str">
        <f>IF(I759="","",I759+(COUNTIF(I$4:I759,I759)-1)*0.001)</f>
        <v/>
      </c>
      <c r="S759" s="202"/>
      <c r="U759" s="93"/>
    </row>
    <row r="760" spans="4:21">
      <c r="D760" s="81" t="str">
        <f t="shared" si="25"/>
        <v/>
      </c>
      <c r="E760" s="90" t="str">
        <f>IF(D760="","",D760+(COUNTIF(D$4:D760,D760)-1)*0.001)</f>
        <v/>
      </c>
      <c r="I760" s="81" t="str">
        <f t="shared" si="26"/>
        <v/>
      </c>
      <c r="J760" s="81" t="str">
        <f>IF(I760="","",I760+(COUNTIF(I$4:I760,I760)-1)*0.001)</f>
        <v/>
      </c>
      <c r="S760" s="202"/>
      <c r="U760" s="93"/>
    </row>
    <row r="761" spans="4:21">
      <c r="D761" s="81" t="str">
        <f t="shared" si="25"/>
        <v/>
      </c>
      <c r="E761" s="90" t="str">
        <f>IF(D761="","",D761+(COUNTIF(D$4:D761,D761)-1)*0.001)</f>
        <v/>
      </c>
      <c r="I761" s="81" t="str">
        <f t="shared" si="26"/>
        <v/>
      </c>
      <c r="J761" s="81" t="str">
        <f>IF(I761="","",I761+(COUNTIF(I$4:I761,I761)-1)*0.001)</f>
        <v/>
      </c>
      <c r="S761" s="202"/>
      <c r="U761" s="93"/>
    </row>
    <row r="762" spans="4:21">
      <c r="D762" s="81" t="str">
        <f t="shared" si="25"/>
        <v/>
      </c>
      <c r="E762" s="90" t="str">
        <f>IF(D762="","",D762+(COUNTIF(D$4:D762,D762)-1)*0.001)</f>
        <v/>
      </c>
      <c r="I762" s="81" t="str">
        <f t="shared" si="26"/>
        <v/>
      </c>
      <c r="J762" s="81" t="str">
        <f>IF(I762="","",I762+(COUNTIF(I$4:I762,I762)-1)*0.001)</f>
        <v/>
      </c>
      <c r="S762" s="202"/>
      <c r="U762" s="93"/>
    </row>
    <row r="763" spans="4:21">
      <c r="D763" s="81" t="str">
        <f t="shared" si="25"/>
        <v/>
      </c>
      <c r="E763" s="90" t="str">
        <f>IF(D763="","",D763+(COUNTIF(D$4:D763,D763)-1)*0.001)</f>
        <v/>
      </c>
      <c r="I763" s="81" t="str">
        <f t="shared" si="26"/>
        <v/>
      </c>
      <c r="J763" s="81" t="str">
        <f>IF(I763="","",I763+(COUNTIF(I$4:I763,I763)-1)*0.001)</f>
        <v/>
      </c>
      <c r="S763" s="202"/>
      <c r="U763" s="93"/>
    </row>
    <row r="764" spans="4:21">
      <c r="D764" s="81" t="str">
        <f t="shared" si="25"/>
        <v/>
      </c>
      <c r="E764" s="90" t="str">
        <f>IF(D764="","",D764+(COUNTIF(D$4:D764,D764)-1)*0.001)</f>
        <v/>
      </c>
      <c r="I764" s="81" t="str">
        <f t="shared" si="26"/>
        <v/>
      </c>
      <c r="J764" s="81" t="str">
        <f>IF(I764="","",I764+(COUNTIF(I$4:I764,I764)-1)*0.001)</f>
        <v/>
      </c>
      <c r="S764" s="202"/>
      <c r="U764" s="93"/>
    </row>
    <row r="765" spans="4:21">
      <c r="D765" s="81" t="str">
        <f t="shared" si="25"/>
        <v/>
      </c>
      <c r="E765" s="90" t="str">
        <f>IF(D765="","",D765+(COUNTIF(D$4:D765,D765)-1)*0.001)</f>
        <v/>
      </c>
      <c r="I765" s="81" t="str">
        <f t="shared" si="26"/>
        <v/>
      </c>
      <c r="J765" s="81" t="str">
        <f>IF(I765="","",I765+(COUNTIF(I$4:I765,I765)-1)*0.001)</f>
        <v/>
      </c>
      <c r="S765" s="202"/>
      <c r="U765" s="93"/>
    </row>
    <row r="766" spans="4:21">
      <c r="D766" s="81" t="str">
        <f t="shared" si="25"/>
        <v/>
      </c>
      <c r="E766" s="90" t="str">
        <f>IF(D766="","",D766+(COUNTIF(D$4:D766,D766)-1)*0.001)</f>
        <v/>
      </c>
      <c r="I766" s="81" t="str">
        <f t="shared" si="26"/>
        <v/>
      </c>
      <c r="J766" s="81" t="str">
        <f>IF(I766="","",I766+(COUNTIF(I$4:I766,I766)-1)*0.001)</f>
        <v/>
      </c>
      <c r="S766" s="202"/>
      <c r="U766" s="93"/>
    </row>
    <row r="767" spans="4:21">
      <c r="D767" s="81" t="str">
        <f t="shared" si="25"/>
        <v/>
      </c>
      <c r="E767" s="90" t="str">
        <f>IF(D767="","",D767+(COUNTIF(D$4:D767,D767)-1)*0.001)</f>
        <v/>
      </c>
      <c r="I767" s="81" t="str">
        <f t="shared" si="26"/>
        <v/>
      </c>
      <c r="J767" s="81" t="str">
        <f>IF(I767="","",I767+(COUNTIF(I$4:I767,I767)-1)*0.001)</f>
        <v/>
      </c>
      <c r="S767" s="202"/>
      <c r="U767" s="93"/>
    </row>
    <row r="768" spans="4:21">
      <c r="D768" s="81" t="str">
        <f t="shared" si="25"/>
        <v/>
      </c>
      <c r="E768" s="90" t="str">
        <f>IF(D768="","",D768+(COUNTIF(D$4:D768,D768)-1)*0.001)</f>
        <v/>
      </c>
      <c r="I768" s="81" t="str">
        <f t="shared" si="26"/>
        <v/>
      </c>
      <c r="J768" s="81" t="str">
        <f>IF(I768="","",I768+(COUNTIF(I$4:I768,I768)-1)*0.001)</f>
        <v/>
      </c>
      <c r="S768" s="202"/>
      <c r="U768" s="93"/>
    </row>
    <row r="769" spans="4:21">
      <c r="D769" s="81" t="str">
        <f t="shared" si="25"/>
        <v/>
      </c>
      <c r="E769" s="90" t="str">
        <f>IF(D769="","",D769+(COUNTIF(D$4:D769,D769)-1)*0.001)</f>
        <v/>
      </c>
      <c r="I769" s="81" t="str">
        <f t="shared" si="26"/>
        <v/>
      </c>
      <c r="J769" s="81" t="str">
        <f>IF(I769="","",I769+(COUNTIF(I$4:I769,I769)-1)*0.001)</f>
        <v/>
      </c>
      <c r="S769" s="202"/>
      <c r="U769" s="93"/>
    </row>
    <row r="770" spans="4:21">
      <c r="D770" s="81" t="str">
        <f t="shared" si="25"/>
        <v/>
      </c>
      <c r="E770" s="90" t="str">
        <f>IF(D770="","",D770+(COUNTIF(D$4:D770,D770)-1)*0.001)</f>
        <v/>
      </c>
      <c r="I770" s="81" t="str">
        <f t="shared" si="26"/>
        <v/>
      </c>
      <c r="J770" s="81" t="str">
        <f>IF(I770="","",I770+(COUNTIF(I$4:I770,I770)-1)*0.001)</f>
        <v/>
      </c>
      <c r="S770" s="202"/>
      <c r="U770" s="93"/>
    </row>
    <row r="771" spans="4:21">
      <c r="D771" s="81" t="str">
        <f t="shared" si="25"/>
        <v/>
      </c>
      <c r="E771" s="90" t="str">
        <f>IF(D771="","",D771+(COUNTIF(D$4:D771,D771)-1)*0.001)</f>
        <v/>
      </c>
      <c r="I771" s="81" t="str">
        <f t="shared" si="26"/>
        <v/>
      </c>
      <c r="J771" s="81" t="str">
        <f>IF(I771="","",I771+(COUNTIF(I$4:I771,I771)-1)*0.001)</f>
        <v/>
      </c>
      <c r="S771" s="202"/>
      <c r="U771" s="93"/>
    </row>
    <row r="772" spans="4:21">
      <c r="D772" s="81" t="str">
        <f t="shared" ref="D772:D835" si="27">IF(A772="","",IFERROR(INDEX(收盤1,MATCH(A772,代號1,0)),IFERROR(INDEX(收盤2,MATCH(A772,代號2,0)),IFERROR(INDEX(收盤3,MATCH(A772,代號3,0)),INDEX(收盤4,MATCH(A772,代號4,0)))))*C772)</f>
        <v/>
      </c>
      <c r="E772" s="90" t="str">
        <f>IF(D772="","",D772+(COUNTIF(D$4:D772,D772)-1)*0.001)</f>
        <v/>
      </c>
      <c r="I772" s="81" t="str">
        <f t="shared" ref="I772:I835" si="28">IF(F772="","",IFERROR(INDEX(收盤1,MATCH(F772,代號1,0)),IFERROR(INDEX(收盤2,MATCH(F772,代號2,0)),IFERROR(INDEX(收盤3,MATCH(F772,代號3,0)),INDEX(收盤4,MATCH(F772,代號4,0)))))*H772)</f>
        <v/>
      </c>
      <c r="J772" s="81" t="str">
        <f>IF(I772="","",I772+(COUNTIF(I$4:I772,I772)-1)*0.001)</f>
        <v/>
      </c>
      <c r="S772" s="202"/>
      <c r="U772" s="93"/>
    </row>
    <row r="773" spans="4:21">
      <c r="D773" s="81" t="str">
        <f t="shared" si="27"/>
        <v/>
      </c>
      <c r="E773" s="90" t="str">
        <f>IF(D773="","",D773+(COUNTIF(D$4:D773,D773)-1)*0.001)</f>
        <v/>
      </c>
      <c r="I773" s="81" t="str">
        <f t="shared" si="28"/>
        <v/>
      </c>
      <c r="J773" s="81" t="str">
        <f>IF(I773="","",I773+(COUNTIF(I$4:I773,I773)-1)*0.001)</f>
        <v/>
      </c>
      <c r="S773" s="202"/>
      <c r="U773" s="93"/>
    </row>
    <row r="774" spans="4:21">
      <c r="D774" s="81" t="str">
        <f t="shared" si="27"/>
        <v/>
      </c>
      <c r="E774" s="90" t="str">
        <f>IF(D774="","",D774+(COUNTIF(D$4:D774,D774)-1)*0.001)</f>
        <v/>
      </c>
      <c r="I774" s="81" t="str">
        <f t="shared" si="28"/>
        <v/>
      </c>
      <c r="J774" s="81" t="str">
        <f>IF(I774="","",I774+(COUNTIF(I$4:I774,I774)-1)*0.001)</f>
        <v/>
      </c>
      <c r="S774" s="202"/>
      <c r="U774" s="93"/>
    </row>
    <row r="775" spans="4:21">
      <c r="D775" s="81" t="str">
        <f t="shared" si="27"/>
        <v/>
      </c>
      <c r="E775" s="90" t="str">
        <f>IF(D775="","",D775+(COUNTIF(D$4:D775,D775)-1)*0.001)</f>
        <v/>
      </c>
      <c r="I775" s="81" t="str">
        <f t="shared" si="28"/>
        <v/>
      </c>
      <c r="J775" s="81" t="str">
        <f>IF(I775="","",I775+(COUNTIF(I$4:I775,I775)-1)*0.001)</f>
        <v/>
      </c>
      <c r="S775" s="202"/>
      <c r="U775" s="93"/>
    </row>
    <row r="776" spans="4:21">
      <c r="D776" s="81" t="str">
        <f t="shared" si="27"/>
        <v/>
      </c>
      <c r="E776" s="90" t="str">
        <f>IF(D776="","",D776+(COUNTIF(D$4:D776,D776)-1)*0.001)</f>
        <v/>
      </c>
      <c r="I776" s="81" t="str">
        <f t="shared" si="28"/>
        <v/>
      </c>
      <c r="J776" s="81" t="str">
        <f>IF(I776="","",I776+(COUNTIF(I$4:I776,I776)-1)*0.001)</f>
        <v/>
      </c>
      <c r="S776" s="202"/>
      <c r="U776" s="93"/>
    </row>
    <row r="777" spans="4:21">
      <c r="D777" s="81" t="str">
        <f t="shared" si="27"/>
        <v/>
      </c>
      <c r="E777" s="90" t="str">
        <f>IF(D777="","",D777+(COUNTIF(D$4:D777,D777)-1)*0.001)</f>
        <v/>
      </c>
      <c r="I777" s="81" t="str">
        <f t="shared" si="28"/>
        <v/>
      </c>
      <c r="J777" s="81" t="str">
        <f>IF(I777="","",I777+(COUNTIF(I$4:I777,I777)-1)*0.001)</f>
        <v/>
      </c>
      <c r="S777" s="202"/>
      <c r="U777" s="93"/>
    </row>
    <row r="778" spans="4:21">
      <c r="D778" s="81" t="str">
        <f t="shared" si="27"/>
        <v/>
      </c>
      <c r="E778" s="90" t="str">
        <f>IF(D778="","",D778+(COUNTIF(D$4:D778,D778)-1)*0.001)</f>
        <v/>
      </c>
      <c r="I778" s="81" t="str">
        <f t="shared" si="28"/>
        <v/>
      </c>
      <c r="J778" s="81" t="str">
        <f>IF(I778="","",I778+(COUNTIF(I$4:I778,I778)-1)*0.001)</f>
        <v/>
      </c>
      <c r="S778" s="202"/>
      <c r="U778" s="93"/>
    </row>
    <row r="779" spans="4:21">
      <c r="D779" s="81" t="str">
        <f t="shared" si="27"/>
        <v/>
      </c>
      <c r="E779" s="90" t="str">
        <f>IF(D779="","",D779+(COUNTIF(D$4:D779,D779)-1)*0.001)</f>
        <v/>
      </c>
      <c r="I779" s="81" t="str">
        <f t="shared" si="28"/>
        <v/>
      </c>
      <c r="J779" s="81" t="str">
        <f>IF(I779="","",I779+(COUNTIF(I$4:I779,I779)-1)*0.001)</f>
        <v/>
      </c>
      <c r="S779" s="202"/>
      <c r="U779" s="93"/>
    </row>
    <row r="780" spans="4:21">
      <c r="D780" s="81" t="str">
        <f t="shared" si="27"/>
        <v/>
      </c>
      <c r="E780" s="90" t="str">
        <f>IF(D780="","",D780+(COUNTIF(D$4:D780,D780)-1)*0.001)</f>
        <v/>
      </c>
      <c r="I780" s="81" t="str">
        <f t="shared" si="28"/>
        <v/>
      </c>
      <c r="J780" s="81" t="str">
        <f>IF(I780="","",I780+(COUNTIF(I$4:I780,I780)-1)*0.001)</f>
        <v/>
      </c>
      <c r="S780" s="202"/>
      <c r="U780" s="93"/>
    </row>
    <row r="781" spans="4:21">
      <c r="D781" s="81" t="str">
        <f t="shared" si="27"/>
        <v/>
      </c>
      <c r="E781" s="90" t="str">
        <f>IF(D781="","",D781+(COUNTIF(D$4:D781,D781)-1)*0.001)</f>
        <v/>
      </c>
      <c r="I781" s="81" t="str">
        <f t="shared" si="28"/>
        <v/>
      </c>
      <c r="J781" s="81" t="str">
        <f>IF(I781="","",I781+(COUNTIF(I$4:I781,I781)-1)*0.001)</f>
        <v/>
      </c>
      <c r="S781" s="202"/>
      <c r="U781" s="93"/>
    </row>
    <row r="782" spans="4:21">
      <c r="D782" s="81" t="str">
        <f t="shared" si="27"/>
        <v/>
      </c>
      <c r="E782" s="90" t="str">
        <f>IF(D782="","",D782+(COUNTIF(D$4:D782,D782)-1)*0.001)</f>
        <v/>
      </c>
      <c r="I782" s="81" t="str">
        <f t="shared" si="28"/>
        <v/>
      </c>
      <c r="J782" s="81" t="str">
        <f>IF(I782="","",I782+(COUNTIF(I$4:I782,I782)-1)*0.001)</f>
        <v/>
      </c>
      <c r="S782" s="202"/>
      <c r="U782" s="93"/>
    </row>
    <row r="783" spans="4:21">
      <c r="D783" s="81" t="str">
        <f t="shared" si="27"/>
        <v/>
      </c>
      <c r="E783" s="90" t="str">
        <f>IF(D783="","",D783+(COUNTIF(D$4:D783,D783)-1)*0.001)</f>
        <v/>
      </c>
      <c r="I783" s="81" t="str">
        <f t="shared" si="28"/>
        <v/>
      </c>
      <c r="J783" s="81" t="str">
        <f>IF(I783="","",I783+(COUNTIF(I$4:I783,I783)-1)*0.001)</f>
        <v/>
      </c>
      <c r="S783" s="202"/>
      <c r="U783" s="93"/>
    </row>
    <row r="784" spans="4:21">
      <c r="D784" s="81" t="str">
        <f t="shared" si="27"/>
        <v/>
      </c>
      <c r="E784" s="90" t="str">
        <f>IF(D784="","",D784+(COUNTIF(D$4:D784,D784)-1)*0.001)</f>
        <v/>
      </c>
      <c r="I784" s="81" t="str">
        <f t="shared" si="28"/>
        <v/>
      </c>
      <c r="J784" s="81" t="str">
        <f>IF(I784="","",I784+(COUNTIF(I$4:I784,I784)-1)*0.001)</f>
        <v/>
      </c>
      <c r="S784" s="202"/>
      <c r="U784" s="93"/>
    </row>
    <row r="785" spans="4:21">
      <c r="D785" s="81" t="str">
        <f t="shared" si="27"/>
        <v/>
      </c>
      <c r="E785" s="90" t="str">
        <f>IF(D785="","",D785+(COUNTIF(D$4:D785,D785)-1)*0.001)</f>
        <v/>
      </c>
      <c r="I785" s="81" t="str">
        <f t="shared" si="28"/>
        <v/>
      </c>
      <c r="J785" s="81" t="str">
        <f>IF(I785="","",I785+(COUNTIF(I$4:I785,I785)-1)*0.001)</f>
        <v/>
      </c>
      <c r="S785" s="202"/>
      <c r="U785" s="93"/>
    </row>
    <row r="786" spans="4:21">
      <c r="D786" s="81" t="str">
        <f t="shared" si="27"/>
        <v/>
      </c>
      <c r="E786" s="90" t="str">
        <f>IF(D786="","",D786+(COUNTIF(D$4:D786,D786)-1)*0.001)</f>
        <v/>
      </c>
      <c r="I786" s="81" t="str">
        <f t="shared" si="28"/>
        <v/>
      </c>
      <c r="J786" s="81" t="str">
        <f>IF(I786="","",I786+(COUNTIF(I$4:I786,I786)-1)*0.001)</f>
        <v/>
      </c>
      <c r="S786" s="202"/>
      <c r="U786" s="93"/>
    </row>
    <row r="787" spans="4:21">
      <c r="D787" s="81" t="str">
        <f t="shared" si="27"/>
        <v/>
      </c>
      <c r="E787" s="90" t="str">
        <f>IF(D787="","",D787+(COUNTIF(D$4:D787,D787)-1)*0.001)</f>
        <v/>
      </c>
      <c r="I787" s="81" t="str">
        <f t="shared" si="28"/>
        <v/>
      </c>
      <c r="J787" s="81" t="str">
        <f>IF(I787="","",I787+(COUNTIF(I$4:I787,I787)-1)*0.001)</f>
        <v/>
      </c>
      <c r="S787" s="202"/>
      <c r="U787" s="93"/>
    </row>
    <row r="788" spans="4:21">
      <c r="D788" s="81" t="str">
        <f t="shared" si="27"/>
        <v/>
      </c>
      <c r="E788" s="90" t="str">
        <f>IF(D788="","",D788+(COUNTIF(D$4:D788,D788)-1)*0.001)</f>
        <v/>
      </c>
      <c r="I788" s="81" t="str">
        <f t="shared" si="28"/>
        <v/>
      </c>
      <c r="J788" s="81" t="str">
        <f>IF(I788="","",I788+(COUNTIF(I$4:I788,I788)-1)*0.001)</f>
        <v/>
      </c>
      <c r="S788" s="202"/>
      <c r="U788" s="93"/>
    </row>
    <row r="789" spans="4:21">
      <c r="D789" s="81" t="str">
        <f t="shared" si="27"/>
        <v/>
      </c>
      <c r="E789" s="90" t="str">
        <f>IF(D789="","",D789+(COUNTIF(D$4:D789,D789)-1)*0.001)</f>
        <v/>
      </c>
      <c r="I789" s="81" t="str">
        <f t="shared" si="28"/>
        <v/>
      </c>
      <c r="J789" s="81" t="str">
        <f>IF(I789="","",I789+(COUNTIF(I$4:I789,I789)-1)*0.001)</f>
        <v/>
      </c>
      <c r="S789" s="202"/>
      <c r="U789" s="93"/>
    </row>
    <row r="790" spans="4:21">
      <c r="D790" s="81" t="str">
        <f t="shared" si="27"/>
        <v/>
      </c>
      <c r="E790" s="90" t="str">
        <f>IF(D790="","",D790+(COUNTIF(D$4:D790,D790)-1)*0.001)</f>
        <v/>
      </c>
      <c r="I790" s="81" t="str">
        <f t="shared" si="28"/>
        <v/>
      </c>
      <c r="J790" s="81" t="str">
        <f>IF(I790="","",I790+(COUNTIF(I$4:I790,I790)-1)*0.001)</f>
        <v/>
      </c>
      <c r="S790" s="202"/>
      <c r="U790" s="93"/>
    </row>
    <row r="791" spans="4:21">
      <c r="D791" s="81" t="str">
        <f t="shared" si="27"/>
        <v/>
      </c>
      <c r="E791" s="90" t="str">
        <f>IF(D791="","",D791+(COUNTIF(D$4:D791,D791)-1)*0.001)</f>
        <v/>
      </c>
      <c r="I791" s="81" t="str">
        <f t="shared" si="28"/>
        <v/>
      </c>
      <c r="J791" s="81" t="str">
        <f>IF(I791="","",I791+(COUNTIF(I$4:I791,I791)-1)*0.001)</f>
        <v/>
      </c>
      <c r="S791" s="202"/>
      <c r="U791" s="93"/>
    </row>
    <row r="792" spans="4:21">
      <c r="D792" s="81" t="str">
        <f t="shared" si="27"/>
        <v/>
      </c>
      <c r="E792" s="90" t="str">
        <f>IF(D792="","",D792+(COUNTIF(D$4:D792,D792)-1)*0.001)</f>
        <v/>
      </c>
      <c r="I792" s="81" t="str">
        <f t="shared" si="28"/>
        <v/>
      </c>
      <c r="J792" s="81" t="str">
        <f>IF(I792="","",I792+(COUNTIF(I$4:I792,I792)-1)*0.001)</f>
        <v/>
      </c>
      <c r="S792" s="202"/>
      <c r="U792" s="93"/>
    </row>
    <row r="793" spans="4:21">
      <c r="D793" s="81" t="str">
        <f t="shared" si="27"/>
        <v/>
      </c>
      <c r="E793" s="90" t="str">
        <f>IF(D793="","",D793+(COUNTIF(D$4:D793,D793)-1)*0.001)</f>
        <v/>
      </c>
      <c r="I793" s="81" t="str">
        <f t="shared" si="28"/>
        <v/>
      </c>
      <c r="J793" s="81" t="str">
        <f>IF(I793="","",I793+(COUNTIF(I$4:I793,I793)-1)*0.001)</f>
        <v/>
      </c>
      <c r="S793" s="202"/>
      <c r="U793" s="93"/>
    </row>
    <row r="794" spans="4:21">
      <c r="D794" s="81" t="str">
        <f t="shared" si="27"/>
        <v/>
      </c>
      <c r="E794" s="90" t="str">
        <f>IF(D794="","",D794+(COUNTIF(D$4:D794,D794)-1)*0.001)</f>
        <v/>
      </c>
      <c r="I794" s="81" t="str">
        <f t="shared" si="28"/>
        <v/>
      </c>
      <c r="J794" s="81" t="str">
        <f>IF(I794="","",I794+(COUNTIF(I$4:I794,I794)-1)*0.001)</f>
        <v/>
      </c>
      <c r="S794" s="202"/>
      <c r="U794" s="93"/>
    </row>
    <row r="795" spans="4:21">
      <c r="D795" s="81" t="str">
        <f t="shared" si="27"/>
        <v/>
      </c>
      <c r="E795" s="90" t="str">
        <f>IF(D795="","",D795+(COUNTIF(D$4:D795,D795)-1)*0.001)</f>
        <v/>
      </c>
      <c r="I795" s="81" t="str">
        <f t="shared" si="28"/>
        <v/>
      </c>
      <c r="J795" s="81" t="str">
        <f>IF(I795="","",I795+(COUNTIF(I$4:I795,I795)-1)*0.001)</f>
        <v/>
      </c>
      <c r="S795" s="202"/>
      <c r="U795" s="93"/>
    </row>
    <row r="796" spans="4:21">
      <c r="D796" s="81" t="str">
        <f t="shared" si="27"/>
        <v/>
      </c>
      <c r="E796" s="90" t="str">
        <f>IF(D796="","",D796+(COUNTIF(D$4:D796,D796)-1)*0.001)</f>
        <v/>
      </c>
      <c r="I796" s="81" t="str">
        <f t="shared" si="28"/>
        <v/>
      </c>
      <c r="J796" s="81" t="str">
        <f>IF(I796="","",I796+(COUNTIF(I$4:I796,I796)-1)*0.001)</f>
        <v/>
      </c>
      <c r="S796" s="202"/>
      <c r="U796" s="93"/>
    </row>
    <row r="797" spans="4:21">
      <c r="D797" s="81" t="str">
        <f t="shared" si="27"/>
        <v/>
      </c>
      <c r="E797" s="90" t="str">
        <f>IF(D797="","",D797+(COUNTIF(D$4:D797,D797)-1)*0.001)</f>
        <v/>
      </c>
      <c r="I797" s="81" t="str">
        <f t="shared" si="28"/>
        <v/>
      </c>
      <c r="J797" s="81" t="str">
        <f>IF(I797="","",I797+(COUNTIF(I$4:I797,I797)-1)*0.001)</f>
        <v/>
      </c>
      <c r="S797" s="202"/>
      <c r="U797" s="93"/>
    </row>
    <row r="798" spans="4:21">
      <c r="D798" s="81" t="str">
        <f t="shared" si="27"/>
        <v/>
      </c>
      <c r="E798" s="90" t="str">
        <f>IF(D798="","",D798+(COUNTIF(D$4:D798,D798)-1)*0.001)</f>
        <v/>
      </c>
      <c r="I798" s="81" t="str">
        <f t="shared" si="28"/>
        <v/>
      </c>
      <c r="J798" s="81" t="str">
        <f>IF(I798="","",I798+(COUNTIF(I$4:I798,I798)-1)*0.001)</f>
        <v/>
      </c>
      <c r="S798" s="202"/>
      <c r="U798" s="93"/>
    </row>
    <row r="799" spans="4:21">
      <c r="D799" s="81" t="str">
        <f t="shared" si="27"/>
        <v/>
      </c>
      <c r="E799" s="90" t="str">
        <f>IF(D799="","",D799+(COUNTIF(D$4:D799,D799)-1)*0.001)</f>
        <v/>
      </c>
      <c r="I799" s="81" t="str">
        <f t="shared" si="28"/>
        <v/>
      </c>
      <c r="J799" s="81" t="str">
        <f>IF(I799="","",I799+(COUNTIF(I$4:I799,I799)-1)*0.001)</f>
        <v/>
      </c>
      <c r="S799" s="202"/>
      <c r="U799" s="93"/>
    </row>
    <row r="800" spans="4:21">
      <c r="D800" s="81" t="str">
        <f t="shared" si="27"/>
        <v/>
      </c>
      <c r="E800" s="90" t="str">
        <f>IF(D800="","",D800+(COUNTIF(D$4:D800,D800)-1)*0.001)</f>
        <v/>
      </c>
      <c r="I800" s="81" t="str">
        <f t="shared" si="28"/>
        <v/>
      </c>
      <c r="J800" s="81" t="str">
        <f>IF(I800="","",I800+(COUNTIF(I$4:I800,I800)-1)*0.001)</f>
        <v/>
      </c>
      <c r="S800" s="202"/>
      <c r="U800" s="93"/>
    </row>
    <row r="801" spans="4:21">
      <c r="D801" s="81" t="str">
        <f t="shared" si="27"/>
        <v/>
      </c>
      <c r="E801" s="90" t="str">
        <f>IF(D801="","",D801+(COUNTIF(D$4:D801,D801)-1)*0.001)</f>
        <v/>
      </c>
      <c r="I801" s="81" t="str">
        <f t="shared" si="28"/>
        <v/>
      </c>
      <c r="J801" s="81" t="str">
        <f>IF(I801="","",I801+(COUNTIF(I$4:I801,I801)-1)*0.001)</f>
        <v/>
      </c>
      <c r="S801" s="202"/>
      <c r="U801" s="93"/>
    </row>
    <row r="802" spans="4:21">
      <c r="D802" s="81" t="str">
        <f t="shared" si="27"/>
        <v/>
      </c>
      <c r="E802" s="90" t="str">
        <f>IF(D802="","",D802+(COUNTIF(D$4:D802,D802)-1)*0.001)</f>
        <v/>
      </c>
      <c r="I802" s="81" t="str">
        <f t="shared" si="28"/>
        <v/>
      </c>
      <c r="J802" s="81" t="str">
        <f>IF(I802="","",I802+(COUNTIF(I$4:I802,I802)-1)*0.001)</f>
        <v/>
      </c>
      <c r="S802" s="202"/>
      <c r="U802" s="93"/>
    </row>
    <row r="803" spans="4:21">
      <c r="D803" s="81" t="str">
        <f t="shared" si="27"/>
        <v/>
      </c>
      <c r="E803" s="90" t="str">
        <f>IF(D803="","",D803+(COUNTIF(D$4:D803,D803)-1)*0.001)</f>
        <v/>
      </c>
      <c r="I803" s="81" t="str">
        <f t="shared" si="28"/>
        <v/>
      </c>
      <c r="J803" s="81" t="str">
        <f>IF(I803="","",I803+(COUNTIF(I$4:I803,I803)-1)*0.001)</f>
        <v/>
      </c>
      <c r="S803" s="202"/>
      <c r="U803" s="93"/>
    </row>
    <row r="804" spans="4:21">
      <c r="D804" s="81" t="str">
        <f t="shared" si="27"/>
        <v/>
      </c>
      <c r="E804" s="90" t="str">
        <f>IF(D804="","",D804+(COUNTIF(D$4:D804,D804)-1)*0.001)</f>
        <v/>
      </c>
      <c r="I804" s="81" t="str">
        <f t="shared" si="28"/>
        <v/>
      </c>
      <c r="J804" s="81" t="str">
        <f>IF(I804="","",I804+(COUNTIF(I$4:I804,I804)-1)*0.001)</f>
        <v/>
      </c>
      <c r="S804" s="202"/>
      <c r="U804" s="93"/>
    </row>
    <row r="805" spans="4:21">
      <c r="D805" s="81" t="str">
        <f t="shared" si="27"/>
        <v/>
      </c>
      <c r="E805" s="90" t="str">
        <f>IF(D805="","",D805+(COUNTIF(D$4:D805,D805)-1)*0.001)</f>
        <v/>
      </c>
      <c r="I805" s="81" t="str">
        <f t="shared" si="28"/>
        <v/>
      </c>
      <c r="J805" s="81" t="str">
        <f>IF(I805="","",I805+(COUNTIF(I$4:I805,I805)-1)*0.001)</f>
        <v/>
      </c>
      <c r="S805" s="202"/>
      <c r="U805" s="93"/>
    </row>
    <row r="806" spans="4:21">
      <c r="D806" s="81" t="str">
        <f t="shared" si="27"/>
        <v/>
      </c>
      <c r="E806" s="90" t="str">
        <f>IF(D806="","",D806+(COUNTIF(D$4:D806,D806)-1)*0.001)</f>
        <v/>
      </c>
      <c r="I806" s="81" t="str">
        <f t="shared" si="28"/>
        <v/>
      </c>
      <c r="J806" s="81" t="str">
        <f>IF(I806="","",I806+(COUNTIF(I$4:I806,I806)-1)*0.001)</f>
        <v/>
      </c>
      <c r="S806" s="202"/>
      <c r="U806" s="93"/>
    </row>
    <row r="807" spans="4:21">
      <c r="D807" s="81" t="str">
        <f t="shared" si="27"/>
        <v/>
      </c>
      <c r="E807" s="90" t="str">
        <f>IF(D807="","",D807+(COUNTIF(D$4:D807,D807)-1)*0.001)</f>
        <v/>
      </c>
      <c r="I807" s="81" t="str">
        <f t="shared" si="28"/>
        <v/>
      </c>
      <c r="J807" s="81" t="str">
        <f>IF(I807="","",I807+(COUNTIF(I$4:I807,I807)-1)*0.001)</f>
        <v/>
      </c>
      <c r="S807" s="202"/>
      <c r="U807" s="93"/>
    </row>
    <row r="808" spans="4:21">
      <c r="D808" s="81" t="str">
        <f t="shared" si="27"/>
        <v/>
      </c>
      <c r="E808" s="90" t="str">
        <f>IF(D808="","",D808+(COUNTIF(D$4:D808,D808)-1)*0.001)</f>
        <v/>
      </c>
      <c r="I808" s="81" t="str">
        <f t="shared" si="28"/>
        <v/>
      </c>
      <c r="J808" s="81" t="str">
        <f>IF(I808="","",I808+(COUNTIF(I$4:I808,I808)-1)*0.001)</f>
        <v/>
      </c>
      <c r="S808" s="202"/>
      <c r="U808" s="93"/>
    </row>
    <row r="809" spans="4:21">
      <c r="D809" s="81" t="str">
        <f t="shared" si="27"/>
        <v/>
      </c>
      <c r="E809" s="90" t="str">
        <f>IF(D809="","",D809+(COUNTIF(D$4:D809,D809)-1)*0.001)</f>
        <v/>
      </c>
      <c r="I809" s="81" t="str">
        <f t="shared" si="28"/>
        <v/>
      </c>
      <c r="J809" s="81" t="str">
        <f>IF(I809="","",I809+(COUNTIF(I$4:I809,I809)-1)*0.001)</f>
        <v/>
      </c>
      <c r="S809" s="202"/>
      <c r="U809" s="93"/>
    </row>
    <row r="810" spans="4:21">
      <c r="D810" s="81" t="str">
        <f t="shared" si="27"/>
        <v/>
      </c>
      <c r="E810" s="90" t="str">
        <f>IF(D810="","",D810+(COUNTIF(D$4:D810,D810)-1)*0.001)</f>
        <v/>
      </c>
      <c r="I810" s="81" t="str">
        <f t="shared" si="28"/>
        <v/>
      </c>
      <c r="J810" s="81" t="str">
        <f>IF(I810="","",I810+(COUNTIF(I$4:I810,I810)-1)*0.001)</f>
        <v/>
      </c>
      <c r="S810" s="202"/>
      <c r="U810" s="93"/>
    </row>
    <row r="811" spans="4:21">
      <c r="D811" s="81" t="str">
        <f t="shared" si="27"/>
        <v/>
      </c>
      <c r="E811" s="90" t="str">
        <f>IF(D811="","",D811+(COUNTIF(D$4:D811,D811)-1)*0.001)</f>
        <v/>
      </c>
      <c r="I811" s="81" t="str">
        <f t="shared" si="28"/>
        <v/>
      </c>
      <c r="J811" s="81" t="str">
        <f>IF(I811="","",I811+(COUNTIF(I$4:I811,I811)-1)*0.001)</f>
        <v/>
      </c>
      <c r="S811" s="202"/>
      <c r="U811" s="93"/>
    </row>
    <row r="812" spans="4:21">
      <c r="D812" s="81" t="str">
        <f t="shared" si="27"/>
        <v/>
      </c>
      <c r="E812" s="90" t="str">
        <f>IF(D812="","",D812+(COUNTIF(D$4:D812,D812)-1)*0.001)</f>
        <v/>
      </c>
      <c r="I812" s="81" t="str">
        <f t="shared" si="28"/>
        <v/>
      </c>
      <c r="J812" s="81" t="str">
        <f>IF(I812="","",I812+(COUNTIF(I$4:I812,I812)-1)*0.001)</f>
        <v/>
      </c>
      <c r="S812" s="202"/>
      <c r="U812" s="93"/>
    </row>
    <row r="813" spans="4:21">
      <c r="D813" s="81" t="str">
        <f t="shared" si="27"/>
        <v/>
      </c>
      <c r="E813" s="90" t="str">
        <f>IF(D813="","",D813+(COUNTIF(D$4:D813,D813)-1)*0.001)</f>
        <v/>
      </c>
      <c r="I813" s="81" t="str">
        <f t="shared" si="28"/>
        <v/>
      </c>
      <c r="J813" s="81" t="str">
        <f>IF(I813="","",I813+(COUNTIF(I$4:I813,I813)-1)*0.001)</f>
        <v/>
      </c>
      <c r="S813" s="202"/>
      <c r="U813" s="93"/>
    </row>
    <row r="814" spans="4:21">
      <c r="D814" s="81" t="str">
        <f t="shared" si="27"/>
        <v/>
      </c>
      <c r="E814" s="90" t="str">
        <f>IF(D814="","",D814+(COUNTIF(D$4:D814,D814)-1)*0.001)</f>
        <v/>
      </c>
      <c r="I814" s="81" t="str">
        <f t="shared" si="28"/>
        <v/>
      </c>
      <c r="J814" s="81" t="str">
        <f>IF(I814="","",I814+(COUNTIF(I$4:I814,I814)-1)*0.001)</f>
        <v/>
      </c>
      <c r="S814" s="202"/>
      <c r="U814" s="93"/>
    </row>
    <row r="815" spans="4:21">
      <c r="D815" s="81" t="str">
        <f t="shared" si="27"/>
        <v/>
      </c>
      <c r="E815" s="90" t="str">
        <f>IF(D815="","",D815+(COUNTIF(D$4:D815,D815)-1)*0.001)</f>
        <v/>
      </c>
      <c r="I815" s="81" t="str">
        <f t="shared" si="28"/>
        <v/>
      </c>
      <c r="J815" s="81" t="str">
        <f>IF(I815="","",I815+(COUNTIF(I$4:I815,I815)-1)*0.001)</f>
        <v/>
      </c>
      <c r="S815" s="202"/>
      <c r="U815" s="93"/>
    </row>
    <row r="816" spans="4:21">
      <c r="D816" s="81" t="str">
        <f t="shared" si="27"/>
        <v/>
      </c>
      <c r="E816" s="90" t="str">
        <f>IF(D816="","",D816+(COUNTIF(D$4:D816,D816)-1)*0.001)</f>
        <v/>
      </c>
      <c r="I816" s="81" t="str">
        <f t="shared" si="28"/>
        <v/>
      </c>
      <c r="J816" s="81" t="str">
        <f>IF(I816="","",I816+(COUNTIF(I$4:I816,I816)-1)*0.001)</f>
        <v/>
      </c>
      <c r="S816" s="202"/>
      <c r="U816" s="93"/>
    </row>
    <row r="817" spans="4:21">
      <c r="D817" s="81" t="str">
        <f t="shared" si="27"/>
        <v/>
      </c>
      <c r="E817" s="90" t="str">
        <f>IF(D817="","",D817+(COUNTIF(D$4:D817,D817)-1)*0.001)</f>
        <v/>
      </c>
      <c r="I817" s="81" t="str">
        <f t="shared" si="28"/>
        <v/>
      </c>
      <c r="J817" s="81" t="str">
        <f>IF(I817="","",I817+(COUNTIF(I$4:I817,I817)-1)*0.001)</f>
        <v/>
      </c>
      <c r="S817" s="202"/>
      <c r="U817" s="93"/>
    </row>
    <row r="818" spans="4:21">
      <c r="D818" s="81" t="str">
        <f t="shared" si="27"/>
        <v/>
      </c>
      <c r="E818" s="90" t="str">
        <f>IF(D818="","",D818+(COUNTIF(D$4:D818,D818)-1)*0.001)</f>
        <v/>
      </c>
      <c r="I818" s="81" t="str">
        <f t="shared" si="28"/>
        <v/>
      </c>
      <c r="J818" s="81" t="str">
        <f>IF(I818="","",I818+(COUNTIF(I$4:I818,I818)-1)*0.001)</f>
        <v/>
      </c>
      <c r="S818" s="202"/>
      <c r="U818" s="93"/>
    </row>
    <row r="819" spans="4:21">
      <c r="D819" s="81" t="str">
        <f t="shared" si="27"/>
        <v/>
      </c>
      <c r="E819" s="90" t="str">
        <f>IF(D819="","",D819+(COUNTIF(D$4:D819,D819)-1)*0.001)</f>
        <v/>
      </c>
      <c r="I819" s="81" t="str">
        <f t="shared" si="28"/>
        <v/>
      </c>
      <c r="J819" s="81" t="str">
        <f>IF(I819="","",I819+(COUNTIF(I$4:I819,I819)-1)*0.001)</f>
        <v/>
      </c>
      <c r="S819" s="202"/>
      <c r="U819" s="93"/>
    </row>
    <row r="820" spans="4:21">
      <c r="D820" s="81" t="str">
        <f t="shared" si="27"/>
        <v/>
      </c>
      <c r="E820" s="90" t="str">
        <f>IF(D820="","",D820+(COUNTIF(D$4:D820,D820)-1)*0.001)</f>
        <v/>
      </c>
      <c r="I820" s="81" t="str">
        <f t="shared" si="28"/>
        <v/>
      </c>
      <c r="J820" s="81" t="str">
        <f>IF(I820="","",I820+(COUNTIF(I$4:I820,I820)-1)*0.001)</f>
        <v/>
      </c>
      <c r="S820" s="202"/>
      <c r="U820" s="93"/>
    </row>
    <row r="821" spans="4:21">
      <c r="D821" s="81" t="str">
        <f t="shared" si="27"/>
        <v/>
      </c>
      <c r="E821" s="90" t="str">
        <f>IF(D821="","",D821+(COUNTIF(D$4:D821,D821)-1)*0.001)</f>
        <v/>
      </c>
      <c r="I821" s="81" t="str">
        <f t="shared" si="28"/>
        <v/>
      </c>
      <c r="J821" s="81" t="str">
        <f>IF(I821="","",I821+(COUNTIF(I$4:I821,I821)-1)*0.001)</f>
        <v/>
      </c>
      <c r="S821" s="202"/>
      <c r="U821" s="93"/>
    </row>
    <row r="822" spans="4:21">
      <c r="D822" s="81" t="str">
        <f t="shared" si="27"/>
        <v/>
      </c>
      <c r="E822" s="90" t="str">
        <f>IF(D822="","",D822+(COUNTIF(D$4:D822,D822)-1)*0.001)</f>
        <v/>
      </c>
      <c r="I822" s="81" t="str">
        <f t="shared" si="28"/>
        <v/>
      </c>
      <c r="J822" s="81" t="str">
        <f>IF(I822="","",I822+(COUNTIF(I$4:I822,I822)-1)*0.001)</f>
        <v/>
      </c>
      <c r="S822" s="202"/>
      <c r="U822" s="93"/>
    </row>
    <row r="823" spans="4:21">
      <c r="D823" s="81" t="str">
        <f t="shared" si="27"/>
        <v/>
      </c>
      <c r="E823" s="90" t="str">
        <f>IF(D823="","",D823+(COUNTIF(D$4:D823,D823)-1)*0.001)</f>
        <v/>
      </c>
      <c r="I823" s="81" t="str">
        <f t="shared" si="28"/>
        <v/>
      </c>
      <c r="J823" s="81" t="str">
        <f>IF(I823="","",I823+(COUNTIF(I$4:I823,I823)-1)*0.001)</f>
        <v/>
      </c>
      <c r="S823" s="202"/>
      <c r="U823" s="93"/>
    </row>
    <row r="824" spans="4:21">
      <c r="D824" s="81" t="str">
        <f t="shared" si="27"/>
        <v/>
      </c>
      <c r="E824" s="90" t="str">
        <f>IF(D824="","",D824+(COUNTIF(D$4:D824,D824)-1)*0.001)</f>
        <v/>
      </c>
      <c r="I824" s="81" t="str">
        <f t="shared" si="28"/>
        <v/>
      </c>
      <c r="J824" s="81" t="str">
        <f>IF(I824="","",I824+(COUNTIF(I$4:I824,I824)-1)*0.001)</f>
        <v/>
      </c>
      <c r="S824" s="202"/>
      <c r="U824" s="93"/>
    </row>
    <row r="825" spans="4:21">
      <c r="D825" s="81" t="str">
        <f t="shared" si="27"/>
        <v/>
      </c>
      <c r="E825" s="90" t="str">
        <f>IF(D825="","",D825+(COUNTIF(D$4:D825,D825)-1)*0.001)</f>
        <v/>
      </c>
      <c r="I825" s="81" t="str">
        <f t="shared" si="28"/>
        <v/>
      </c>
      <c r="J825" s="81" t="str">
        <f>IF(I825="","",I825+(COUNTIF(I$4:I825,I825)-1)*0.001)</f>
        <v/>
      </c>
      <c r="S825" s="202"/>
      <c r="U825" s="93"/>
    </row>
    <row r="826" spans="4:21">
      <c r="D826" s="81" t="str">
        <f t="shared" si="27"/>
        <v/>
      </c>
      <c r="E826" s="90" t="str">
        <f>IF(D826="","",D826+(COUNTIF(D$4:D826,D826)-1)*0.001)</f>
        <v/>
      </c>
      <c r="I826" s="81" t="str">
        <f t="shared" si="28"/>
        <v/>
      </c>
      <c r="J826" s="81" t="str">
        <f>IF(I826="","",I826+(COUNTIF(I$4:I826,I826)-1)*0.001)</f>
        <v/>
      </c>
      <c r="S826" s="202"/>
      <c r="U826" s="93"/>
    </row>
    <row r="827" spans="4:21">
      <c r="D827" s="81" t="str">
        <f t="shared" si="27"/>
        <v/>
      </c>
      <c r="E827" s="90" t="str">
        <f>IF(D827="","",D827+(COUNTIF(D$4:D827,D827)-1)*0.001)</f>
        <v/>
      </c>
      <c r="I827" s="81" t="str">
        <f t="shared" si="28"/>
        <v/>
      </c>
      <c r="J827" s="81" t="str">
        <f>IF(I827="","",I827+(COUNTIF(I$4:I827,I827)-1)*0.001)</f>
        <v/>
      </c>
      <c r="S827" s="202"/>
      <c r="U827" s="93"/>
    </row>
    <row r="828" spans="4:21">
      <c r="D828" s="81" t="str">
        <f t="shared" si="27"/>
        <v/>
      </c>
      <c r="E828" s="90" t="str">
        <f>IF(D828="","",D828+(COUNTIF(D$4:D828,D828)-1)*0.001)</f>
        <v/>
      </c>
      <c r="I828" s="81" t="str">
        <f t="shared" si="28"/>
        <v/>
      </c>
      <c r="J828" s="81" t="str">
        <f>IF(I828="","",I828+(COUNTIF(I$4:I828,I828)-1)*0.001)</f>
        <v/>
      </c>
      <c r="S828" s="202"/>
      <c r="U828" s="93"/>
    </row>
    <row r="829" spans="4:21">
      <c r="D829" s="81" t="str">
        <f t="shared" si="27"/>
        <v/>
      </c>
      <c r="E829" s="90" t="str">
        <f>IF(D829="","",D829+(COUNTIF(D$4:D829,D829)-1)*0.001)</f>
        <v/>
      </c>
      <c r="I829" s="81" t="str">
        <f t="shared" si="28"/>
        <v/>
      </c>
      <c r="J829" s="81" t="str">
        <f>IF(I829="","",I829+(COUNTIF(I$4:I829,I829)-1)*0.001)</f>
        <v/>
      </c>
      <c r="S829" s="202"/>
      <c r="U829" s="93"/>
    </row>
    <row r="830" spans="4:21">
      <c r="D830" s="81" t="str">
        <f t="shared" si="27"/>
        <v/>
      </c>
      <c r="E830" s="90" t="str">
        <f>IF(D830="","",D830+(COUNTIF(D$4:D830,D830)-1)*0.001)</f>
        <v/>
      </c>
      <c r="I830" s="81" t="str">
        <f t="shared" si="28"/>
        <v/>
      </c>
      <c r="J830" s="81" t="str">
        <f>IF(I830="","",I830+(COUNTIF(I$4:I830,I830)-1)*0.001)</f>
        <v/>
      </c>
      <c r="S830" s="202"/>
      <c r="U830" s="93"/>
    </row>
    <row r="831" spans="4:21">
      <c r="D831" s="81" t="str">
        <f t="shared" si="27"/>
        <v/>
      </c>
      <c r="E831" s="90" t="str">
        <f>IF(D831="","",D831+(COUNTIF(D$4:D831,D831)-1)*0.001)</f>
        <v/>
      </c>
      <c r="I831" s="81" t="str">
        <f t="shared" si="28"/>
        <v/>
      </c>
      <c r="J831" s="81" t="str">
        <f>IF(I831="","",I831+(COUNTIF(I$4:I831,I831)-1)*0.001)</f>
        <v/>
      </c>
      <c r="S831" s="202"/>
      <c r="U831" s="93"/>
    </row>
    <row r="832" spans="4:21">
      <c r="D832" s="81" t="str">
        <f t="shared" si="27"/>
        <v/>
      </c>
      <c r="E832" s="90" t="str">
        <f>IF(D832="","",D832+(COUNTIF(D$4:D832,D832)-1)*0.001)</f>
        <v/>
      </c>
      <c r="I832" s="81" t="str">
        <f t="shared" si="28"/>
        <v/>
      </c>
      <c r="J832" s="81" t="str">
        <f>IF(I832="","",I832+(COUNTIF(I$4:I832,I832)-1)*0.001)</f>
        <v/>
      </c>
      <c r="S832" s="202"/>
      <c r="U832" s="93"/>
    </row>
    <row r="833" spans="4:21">
      <c r="D833" s="81" t="str">
        <f t="shared" si="27"/>
        <v/>
      </c>
      <c r="E833" s="90" t="str">
        <f>IF(D833="","",D833+(COUNTIF(D$4:D833,D833)-1)*0.001)</f>
        <v/>
      </c>
      <c r="I833" s="81" t="str">
        <f t="shared" si="28"/>
        <v/>
      </c>
      <c r="J833" s="81" t="str">
        <f>IF(I833="","",I833+(COUNTIF(I$4:I833,I833)-1)*0.001)</f>
        <v/>
      </c>
      <c r="S833" s="202"/>
      <c r="U833" s="93"/>
    </row>
    <row r="834" spans="4:21">
      <c r="D834" s="81" t="str">
        <f t="shared" si="27"/>
        <v/>
      </c>
      <c r="E834" s="90" t="str">
        <f>IF(D834="","",D834+(COUNTIF(D$4:D834,D834)-1)*0.001)</f>
        <v/>
      </c>
      <c r="I834" s="81" t="str">
        <f t="shared" si="28"/>
        <v/>
      </c>
      <c r="J834" s="81" t="str">
        <f>IF(I834="","",I834+(COUNTIF(I$4:I834,I834)-1)*0.001)</f>
        <v/>
      </c>
      <c r="S834" s="202"/>
      <c r="U834" s="93"/>
    </row>
    <row r="835" spans="4:21">
      <c r="D835" s="81" t="str">
        <f t="shared" si="27"/>
        <v/>
      </c>
      <c r="E835" s="90" t="str">
        <f>IF(D835="","",D835+(COUNTIF(D$4:D835,D835)-1)*0.001)</f>
        <v/>
      </c>
      <c r="I835" s="81" t="str">
        <f t="shared" si="28"/>
        <v/>
      </c>
      <c r="J835" s="81" t="str">
        <f>IF(I835="","",I835+(COUNTIF(I$4:I835,I835)-1)*0.001)</f>
        <v/>
      </c>
      <c r="S835" s="202"/>
      <c r="U835" s="93"/>
    </row>
    <row r="836" spans="4:21">
      <c r="D836" s="81" t="str">
        <f t="shared" ref="D836:D899" si="29">IF(A836="","",IFERROR(INDEX(收盤1,MATCH(A836,代號1,0)),IFERROR(INDEX(收盤2,MATCH(A836,代號2,0)),IFERROR(INDEX(收盤3,MATCH(A836,代號3,0)),INDEX(收盤4,MATCH(A836,代號4,0)))))*C836)</f>
        <v/>
      </c>
      <c r="E836" s="90" t="str">
        <f>IF(D836="","",D836+(COUNTIF(D$4:D836,D836)-1)*0.001)</f>
        <v/>
      </c>
      <c r="I836" s="81" t="str">
        <f t="shared" ref="I836:I899" si="30">IF(F836="","",IFERROR(INDEX(收盤1,MATCH(F836,代號1,0)),IFERROR(INDEX(收盤2,MATCH(F836,代號2,0)),IFERROR(INDEX(收盤3,MATCH(F836,代號3,0)),INDEX(收盤4,MATCH(F836,代號4,0)))))*H836)</f>
        <v/>
      </c>
      <c r="J836" s="81" t="str">
        <f>IF(I836="","",I836+(COUNTIF(I$4:I836,I836)-1)*0.001)</f>
        <v/>
      </c>
      <c r="S836" s="202"/>
      <c r="U836" s="93"/>
    </row>
    <row r="837" spans="4:21">
      <c r="D837" s="81" t="str">
        <f t="shared" si="29"/>
        <v/>
      </c>
      <c r="E837" s="90" t="str">
        <f>IF(D837="","",D837+(COUNTIF(D$4:D837,D837)-1)*0.001)</f>
        <v/>
      </c>
      <c r="I837" s="81" t="str">
        <f t="shared" si="30"/>
        <v/>
      </c>
      <c r="J837" s="81" t="str">
        <f>IF(I837="","",I837+(COUNTIF(I$4:I837,I837)-1)*0.001)</f>
        <v/>
      </c>
      <c r="S837" s="202"/>
      <c r="U837" s="93"/>
    </row>
    <row r="838" spans="4:21">
      <c r="D838" s="81" t="str">
        <f t="shared" si="29"/>
        <v/>
      </c>
      <c r="E838" s="90" t="str">
        <f>IF(D838="","",D838+(COUNTIF(D$4:D838,D838)-1)*0.001)</f>
        <v/>
      </c>
      <c r="I838" s="81" t="str">
        <f t="shared" si="30"/>
        <v/>
      </c>
      <c r="J838" s="81" t="str">
        <f>IF(I838="","",I838+(COUNTIF(I$4:I838,I838)-1)*0.001)</f>
        <v/>
      </c>
      <c r="S838" s="202"/>
      <c r="U838" s="93"/>
    </row>
    <row r="839" spans="4:21">
      <c r="D839" s="81" t="str">
        <f t="shared" si="29"/>
        <v/>
      </c>
      <c r="E839" s="90" t="str">
        <f>IF(D839="","",D839+(COUNTIF(D$4:D839,D839)-1)*0.001)</f>
        <v/>
      </c>
      <c r="I839" s="81" t="str">
        <f t="shared" si="30"/>
        <v/>
      </c>
      <c r="J839" s="81" t="str">
        <f>IF(I839="","",I839+(COUNTIF(I$4:I839,I839)-1)*0.001)</f>
        <v/>
      </c>
      <c r="S839" s="202"/>
      <c r="U839" s="93"/>
    </row>
    <row r="840" spans="4:21">
      <c r="D840" s="81" t="str">
        <f t="shared" si="29"/>
        <v/>
      </c>
      <c r="E840" s="90" t="str">
        <f>IF(D840="","",D840+(COUNTIF(D$4:D840,D840)-1)*0.001)</f>
        <v/>
      </c>
      <c r="I840" s="81" t="str">
        <f t="shared" si="30"/>
        <v/>
      </c>
      <c r="J840" s="81" t="str">
        <f>IF(I840="","",I840+(COUNTIF(I$4:I840,I840)-1)*0.001)</f>
        <v/>
      </c>
      <c r="S840" s="202"/>
      <c r="U840" s="93"/>
    </row>
    <row r="841" spans="4:21">
      <c r="D841" s="81" t="str">
        <f t="shared" si="29"/>
        <v/>
      </c>
      <c r="E841" s="90" t="str">
        <f>IF(D841="","",D841+(COUNTIF(D$4:D841,D841)-1)*0.001)</f>
        <v/>
      </c>
      <c r="I841" s="81" t="str">
        <f t="shared" si="30"/>
        <v/>
      </c>
      <c r="J841" s="81" t="str">
        <f>IF(I841="","",I841+(COUNTIF(I$4:I841,I841)-1)*0.001)</f>
        <v/>
      </c>
      <c r="S841" s="202"/>
      <c r="U841" s="93"/>
    </row>
    <row r="842" spans="4:21">
      <c r="D842" s="81" t="str">
        <f t="shared" si="29"/>
        <v/>
      </c>
      <c r="E842" s="90" t="str">
        <f>IF(D842="","",D842+(COUNTIF(D$4:D842,D842)-1)*0.001)</f>
        <v/>
      </c>
      <c r="I842" s="81" t="str">
        <f t="shared" si="30"/>
        <v/>
      </c>
      <c r="J842" s="81" t="str">
        <f>IF(I842="","",I842+(COUNTIF(I$4:I842,I842)-1)*0.001)</f>
        <v/>
      </c>
      <c r="S842" s="202"/>
      <c r="U842" s="93"/>
    </row>
    <row r="843" spans="4:21">
      <c r="D843" s="81" t="str">
        <f t="shared" si="29"/>
        <v/>
      </c>
      <c r="E843" s="90" t="str">
        <f>IF(D843="","",D843+(COUNTIF(D$4:D843,D843)-1)*0.001)</f>
        <v/>
      </c>
      <c r="I843" s="81" t="str">
        <f t="shared" si="30"/>
        <v/>
      </c>
      <c r="J843" s="81" t="str">
        <f>IF(I843="","",I843+(COUNTIF(I$4:I843,I843)-1)*0.001)</f>
        <v/>
      </c>
      <c r="S843" s="202"/>
      <c r="U843" s="93"/>
    </row>
    <row r="844" spans="4:21">
      <c r="D844" s="81" t="str">
        <f t="shared" si="29"/>
        <v/>
      </c>
      <c r="E844" s="90" t="str">
        <f>IF(D844="","",D844+(COUNTIF(D$4:D844,D844)-1)*0.001)</f>
        <v/>
      </c>
      <c r="I844" s="81" t="str">
        <f t="shared" si="30"/>
        <v/>
      </c>
      <c r="J844" s="81" t="str">
        <f>IF(I844="","",I844+(COUNTIF(I$4:I844,I844)-1)*0.001)</f>
        <v/>
      </c>
      <c r="S844" s="202"/>
      <c r="U844" s="93"/>
    </row>
    <row r="845" spans="4:21">
      <c r="D845" s="81" t="str">
        <f t="shared" si="29"/>
        <v/>
      </c>
      <c r="E845" s="90" t="str">
        <f>IF(D845="","",D845+(COUNTIF(D$4:D845,D845)-1)*0.001)</f>
        <v/>
      </c>
      <c r="I845" s="81" t="str">
        <f t="shared" si="30"/>
        <v/>
      </c>
      <c r="J845" s="81" t="str">
        <f>IF(I845="","",I845+(COUNTIF(I$4:I845,I845)-1)*0.001)</f>
        <v/>
      </c>
      <c r="S845" s="202"/>
      <c r="U845" s="93"/>
    </row>
    <row r="846" spans="4:21">
      <c r="D846" s="81" t="str">
        <f t="shared" si="29"/>
        <v/>
      </c>
      <c r="E846" s="90" t="str">
        <f>IF(D846="","",D846+(COUNTIF(D$4:D846,D846)-1)*0.001)</f>
        <v/>
      </c>
      <c r="I846" s="81" t="str">
        <f t="shared" si="30"/>
        <v/>
      </c>
      <c r="J846" s="81" t="str">
        <f>IF(I846="","",I846+(COUNTIF(I$4:I846,I846)-1)*0.001)</f>
        <v/>
      </c>
      <c r="S846" s="202"/>
      <c r="U846" s="93"/>
    </row>
    <row r="847" spans="4:21">
      <c r="D847" s="81" t="str">
        <f t="shared" si="29"/>
        <v/>
      </c>
      <c r="E847" s="90" t="str">
        <f>IF(D847="","",D847+(COUNTIF(D$4:D847,D847)-1)*0.001)</f>
        <v/>
      </c>
      <c r="I847" s="81" t="str">
        <f t="shared" si="30"/>
        <v/>
      </c>
      <c r="J847" s="81" t="str">
        <f>IF(I847="","",I847+(COUNTIF(I$4:I847,I847)-1)*0.001)</f>
        <v/>
      </c>
      <c r="S847" s="202"/>
      <c r="U847" s="93"/>
    </row>
    <row r="848" spans="4:21">
      <c r="D848" s="81" t="str">
        <f t="shared" si="29"/>
        <v/>
      </c>
      <c r="E848" s="90" t="str">
        <f>IF(D848="","",D848+(COUNTIF(D$4:D848,D848)-1)*0.001)</f>
        <v/>
      </c>
      <c r="I848" s="81" t="str">
        <f t="shared" si="30"/>
        <v/>
      </c>
      <c r="J848" s="81" t="str">
        <f>IF(I848="","",I848+(COUNTIF(I$4:I848,I848)-1)*0.001)</f>
        <v/>
      </c>
      <c r="S848" s="202"/>
      <c r="U848" s="93"/>
    </row>
    <row r="849" spans="4:21">
      <c r="D849" s="81" t="str">
        <f t="shared" si="29"/>
        <v/>
      </c>
      <c r="E849" s="90" t="str">
        <f>IF(D849="","",D849+(COUNTIF(D$4:D849,D849)-1)*0.001)</f>
        <v/>
      </c>
      <c r="I849" s="81" t="str">
        <f t="shared" si="30"/>
        <v/>
      </c>
      <c r="J849" s="81" t="str">
        <f>IF(I849="","",I849+(COUNTIF(I$4:I849,I849)-1)*0.001)</f>
        <v/>
      </c>
      <c r="S849" s="202"/>
      <c r="U849" s="93"/>
    </row>
    <row r="850" spans="4:21">
      <c r="D850" s="81" t="str">
        <f t="shared" si="29"/>
        <v/>
      </c>
      <c r="E850" s="90" t="str">
        <f>IF(D850="","",D850+(COUNTIF(D$4:D850,D850)-1)*0.001)</f>
        <v/>
      </c>
      <c r="I850" s="81" t="str">
        <f t="shared" si="30"/>
        <v/>
      </c>
      <c r="J850" s="81" t="str">
        <f>IF(I850="","",I850+(COUNTIF(I$4:I850,I850)-1)*0.001)</f>
        <v/>
      </c>
      <c r="S850" s="202"/>
      <c r="U850" s="93"/>
    </row>
    <row r="851" spans="4:21">
      <c r="D851" s="81" t="str">
        <f t="shared" si="29"/>
        <v/>
      </c>
      <c r="E851" s="90" t="str">
        <f>IF(D851="","",D851+(COUNTIF(D$4:D851,D851)-1)*0.001)</f>
        <v/>
      </c>
      <c r="I851" s="81" t="str">
        <f t="shared" si="30"/>
        <v/>
      </c>
      <c r="J851" s="81" t="str">
        <f>IF(I851="","",I851+(COUNTIF(I$4:I851,I851)-1)*0.001)</f>
        <v/>
      </c>
      <c r="S851" s="202"/>
      <c r="U851" s="93"/>
    </row>
    <row r="852" spans="4:21">
      <c r="D852" s="81" t="str">
        <f t="shared" si="29"/>
        <v/>
      </c>
      <c r="E852" s="90" t="str">
        <f>IF(D852="","",D852+(COUNTIF(D$4:D852,D852)-1)*0.001)</f>
        <v/>
      </c>
      <c r="I852" s="81" t="str">
        <f t="shared" si="30"/>
        <v/>
      </c>
      <c r="J852" s="81" t="str">
        <f>IF(I852="","",I852+(COUNTIF(I$4:I852,I852)-1)*0.001)</f>
        <v/>
      </c>
      <c r="S852" s="202"/>
      <c r="U852" s="93"/>
    </row>
    <row r="853" spans="4:21">
      <c r="D853" s="81" t="str">
        <f t="shared" si="29"/>
        <v/>
      </c>
      <c r="E853" s="90" t="str">
        <f>IF(D853="","",D853+(COUNTIF(D$4:D853,D853)-1)*0.001)</f>
        <v/>
      </c>
      <c r="I853" s="81" t="str">
        <f t="shared" si="30"/>
        <v/>
      </c>
      <c r="J853" s="81" t="str">
        <f>IF(I853="","",I853+(COUNTIF(I$4:I853,I853)-1)*0.001)</f>
        <v/>
      </c>
      <c r="S853" s="202"/>
      <c r="U853" s="93"/>
    </row>
    <row r="854" spans="4:21">
      <c r="D854" s="81" t="str">
        <f t="shared" si="29"/>
        <v/>
      </c>
      <c r="E854" s="90" t="str">
        <f>IF(D854="","",D854+(COUNTIF(D$4:D854,D854)-1)*0.001)</f>
        <v/>
      </c>
      <c r="I854" s="81" t="str">
        <f t="shared" si="30"/>
        <v/>
      </c>
      <c r="J854" s="81" t="str">
        <f>IF(I854="","",I854+(COUNTIF(I$4:I854,I854)-1)*0.001)</f>
        <v/>
      </c>
      <c r="S854" s="202"/>
      <c r="U854" s="93"/>
    </row>
    <row r="855" spans="4:21">
      <c r="D855" s="81" t="str">
        <f t="shared" si="29"/>
        <v/>
      </c>
      <c r="E855" s="90" t="str">
        <f>IF(D855="","",D855+(COUNTIF(D$4:D855,D855)-1)*0.001)</f>
        <v/>
      </c>
      <c r="I855" s="81" t="str">
        <f t="shared" si="30"/>
        <v/>
      </c>
      <c r="J855" s="81" t="str">
        <f>IF(I855="","",I855+(COUNTIF(I$4:I855,I855)-1)*0.001)</f>
        <v/>
      </c>
      <c r="S855" s="202"/>
      <c r="U855" s="93"/>
    </row>
    <row r="856" spans="4:21">
      <c r="D856" s="81" t="str">
        <f t="shared" si="29"/>
        <v/>
      </c>
      <c r="E856" s="90" t="str">
        <f>IF(D856="","",D856+(COUNTIF(D$4:D856,D856)-1)*0.001)</f>
        <v/>
      </c>
      <c r="I856" s="81" t="str">
        <f t="shared" si="30"/>
        <v/>
      </c>
      <c r="J856" s="81" t="str">
        <f>IF(I856="","",I856+(COUNTIF(I$4:I856,I856)-1)*0.001)</f>
        <v/>
      </c>
      <c r="S856" s="202"/>
      <c r="U856" s="93"/>
    </row>
    <row r="857" spans="4:21">
      <c r="D857" s="81" t="str">
        <f t="shared" si="29"/>
        <v/>
      </c>
      <c r="E857" s="90" t="str">
        <f>IF(D857="","",D857+(COUNTIF(D$4:D857,D857)-1)*0.001)</f>
        <v/>
      </c>
      <c r="I857" s="81" t="str">
        <f t="shared" si="30"/>
        <v/>
      </c>
      <c r="J857" s="81" t="str">
        <f>IF(I857="","",I857+(COUNTIF(I$4:I857,I857)-1)*0.001)</f>
        <v/>
      </c>
      <c r="S857" s="202"/>
      <c r="U857" s="93"/>
    </row>
    <row r="858" spans="4:21">
      <c r="D858" s="81" t="str">
        <f t="shared" si="29"/>
        <v/>
      </c>
      <c r="E858" s="90" t="str">
        <f>IF(D858="","",D858+(COUNTIF(D$4:D858,D858)-1)*0.001)</f>
        <v/>
      </c>
      <c r="I858" s="81" t="str">
        <f t="shared" si="30"/>
        <v/>
      </c>
      <c r="J858" s="81" t="str">
        <f>IF(I858="","",I858+(COUNTIF(I$4:I858,I858)-1)*0.001)</f>
        <v/>
      </c>
      <c r="S858" s="202"/>
      <c r="U858" s="93"/>
    </row>
    <row r="859" spans="4:21">
      <c r="D859" s="81" t="str">
        <f t="shared" si="29"/>
        <v/>
      </c>
      <c r="E859" s="90" t="str">
        <f>IF(D859="","",D859+(COUNTIF(D$4:D859,D859)-1)*0.001)</f>
        <v/>
      </c>
      <c r="I859" s="81" t="str">
        <f t="shared" si="30"/>
        <v/>
      </c>
      <c r="J859" s="81" t="str">
        <f>IF(I859="","",I859+(COUNTIF(I$4:I859,I859)-1)*0.001)</f>
        <v/>
      </c>
      <c r="S859" s="202"/>
      <c r="U859" s="93"/>
    </row>
    <row r="860" spans="4:21">
      <c r="D860" s="81" t="str">
        <f t="shared" si="29"/>
        <v/>
      </c>
      <c r="E860" s="90" t="str">
        <f>IF(D860="","",D860+(COUNTIF(D$4:D860,D860)-1)*0.001)</f>
        <v/>
      </c>
      <c r="I860" s="81" t="str">
        <f t="shared" si="30"/>
        <v/>
      </c>
      <c r="J860" s="81" t="str">
        <f>IF(I860="","",I860+(COUNTIF(I$4:I860,I860)-1)*0.001)</f>
        <v/>
      </c>
      <c r="S860" s="202"/>
      <c r="U860" s="93"/>
    </row>
    <row r="861" spans="4:21">
      <c r="D861" s="81" t="str">
        <f t="shared" si="29"/>
        <v/>
      </c>
      <c r="E861" s="90" t="str">
        <f>IF(D861="","",D861+(COUNTIF(D$4:D861,D861)-1)*0.001)</f>
        <v/>
      </c>
      <c r="I861" s="81" t="str">
        <f t="shared" si="30"/>
        <v/>
      </c>
      <c r="J861" s="81" t="str">
        <f>IF(I861="","",I861+(COUNTIF(I$4:I861,I861)-1)*0.001)</f>
        <v/>
      </c>
      <c r="S861" s="202"/>
      <c r="U861" s="93"/>
    </row>
    <row r="862" spans="4:21">
      <c r="D862" s="81" t="str">
        <f t="shared" si="29"/>
        <v/>
      </c>
      <c r="E862" s="90" t="str">
        <f>IF(D862="","",D862+(COUNTIF(D$4:D862,D862)-1)*0.001)</f>
        <v/>
      </c>
      <c r="I862" s="81" t="str">
        <f t="shared" si="30"/>
        <v/>
      </c>
      <c r="J862" s="81" t="str">
        <f>IF(I862="","",I862+(COUNTIF(I$4:I862,I862)-1)*0.001)</f>
        <v/>
      </c>
      <c r="S862" s="202"/>
      <c r="U862" s="93"/>
    </row>
    <row r="863" spans="4:21">
      <c r="D863" s="81" t="str">
        <f t="shared" si="29"/>
        <v/>
      </c>
      <c r="E863" s="90" t="str">
        <f>IF(D863="","",D863+(COUNTIF(D$4:D863,D863)-1)*0.001)</f>
        <v/>
      </c>
      <c r="I863" s="81" t="str">
        <f t="shared" si="30"/>
        <v/>
      </c>
      <c r="J863" s="81" t="str">
        <f>IF(I863="","",I863+(COUNTIF(I$4:I863,I863)-1)*0.001)</f>
        <v/>
      </c>
      <c r="S863" s="202"/>
      <c r="U863" s="93"/>
    </row>
    <row r="864" spans="4:21">
      <c r="D864" s="81" t="str">
        <f t="shared" si="29"/>
        <v/>
      </c>
      <c r="E864" s="90" t="str">
        <f>IF(D864="","",D864+(COUNTIF(D$4:D864,D864)-1)*0.001)</f>
        <v/>
      </c>
      <c r="I864" s="81" t="str">
        <f t="shared" si="30"/>
        <v/>
      </c>
      <c r="J864" s="81" t="str">
        <f>IF(I864="","",I864+(COUNTIF(I$4:I864,I864)-1)*0.001)</f>
        <v/>
      </c>
      <c r="S864" s="202"/>
      <c r="U864" s="93"/>
    </row>
    <row r="865" spans="4:21">
      <c r="D865" s="81" t="str">
        <f t="shared" si="29"/>
        <v/>
      </c>
      <c r="E865" s="90" t="str">
        <f>IF(D865="","",D865+(COUNTIF(D$4:D865,D865)-1)*0.001)</f>
        <v/>
      </c>
      <c r="I865" s="81" t="str">
        <f t="shared" si="30"/>
        <v/>
      </c>
      <c r="J865" s="81" t="str">
        <f>IF(I865="","",I865+(COUNTIF(I$4:I865,I865)-1)*0.001)</f>
        <v/>
      </c>
      <c r="S865" s="202"/>
      <c r="U865" s="93"/>
    </row>
    <row r="866" spans="4:21">
      <c r="D866" s="81" t="str">
        <f t="shared" si="29"/>
        <v/>
      </c>
      <c r="E866" s="90" t="str">
        <f>IF(D866="","",D866+(COUNTIF(D$4:D866,D866)-1)*0.001)</f>
        <v/>
      </c>
      <c r="I866" s="81" t="str">
        <f t="shared" si="30"/>
        <v/>
      </c>
      <c r="J866" s="81" t="str">
        <f>IF(I866="","",I866+(COUNTIF(I$4:I866,I866)-1)*0.001)</f>
        <v/>
      </c>
      <c r="S866" s="202"/>
      <c r="U866" s="93"/>
    </row>
    <row r="867" spans="4:21">
      <c r="D867" s="81" t="str">
        <f t="shared" si="29"/>
        <v/>
      </c>
      <c r="E867" s="90" t="str">
        <f>IF(D867="","",D867+(COUNTIF(D$4:D867,D867)-1)*0.001)</f>
        <v/>
      </c>
      <c r="I867" s="81" t="str">
        <f t="shared" si="30"/>
        <v/>
      </c>
      <c r="J867" s="81" t="str">
        <f>IF(I867="","",I867+(COUNTIF(I$4:I867,I867)-1)*0.001)</f>
        <v/>
      </c>
      <c r="S867" s="202"/>
      <c r="U867" s="93"/>
    </row>
    <row r="868" spans="4:21">
      <c r="D868" s="81" t="str">
        <f t="shared" si="29"/>
        <v/>
      </c>
      <c r="E868" s="90" t="str">
        <f>IF(D868="","",D868+(COUNTIF(D$4:D868,D868)-1)*0.001)</f>
        <v/>
      </c>
      <c r="I868" s="81" t="str">
        <f t="shared" si="30"/>
        <v/>
      </c>
      <c r="J868" s="81" t="str">
        <f>IF(I868="","",I868+(COUNTIF(I$4:I868,I868)-1)*0.001)</f>
        <v/>
      </c>
      <c r="S868" s="202"/>
      <c r="U868" s="93"/>
    </row>
    <row r="869" spans="4:21">
      <c r="D869" s="81" t="str">
        <f t="shared" si="29"/>
        <v/>
      </c>
      <c r="E869" s="90" t="str">
        <f>IF(D869="","",D869+(COUNTIF(D$4:D869,D869)-1)*0.001)</f>
        <v/>
      </c>
      <c r="I869" s="81" t="str">
        <f t="shared" si="30"/>
        <v/>
      </c>
      <c r="J869" s="81" t="str">
        <f>IF(I869="","",I869+(COUNTIF(I$4:I869,I869)-1)*0.001)</f>
        <v/>
      </c>
      <c r="S869" s="202"/>
      <c r="U869" s="93"/>
    </row>
    <row r="870" spans="4:21">
      <c r="D870" s="81" t="str">
        <f t="shared" si="29"/>
        <v/>
      </c>
      <c r="E870" s="90" t="str">
        <f>IF(D870="","",D870+(COUNTIF(D$4:D870,D870)-1)*0.001)</f>
        <v/>
      </c>
      <c r="I870" s="81" t="str">
        <f t="shared" si="30"/>
        <v/>
      </c>
      <c r="J870" s="81" t="str">
        <f>IF(I870="","",I870+(COUNTIF(I$4:I870,I870)-1)*0.001)</f>
        <v/>
      </c>
      <c r="S870" s="202"/>
      <c r="U870" s="93"/>
    </row>
    <row r="871" spans="4:21">
      <c r="D871" s="81" t="str">
        <f t="shared" si="29"/>
        <v/>
      </c>
      <c r="E871" s="90" t="str">
        <f>IF(D871="","",D871+(COUNTIF(D$4:D871,D871)-1)*0.001)</f>
        <v/>
      </c>
      <c r="I871" s="81" t="str">
        <f t="shared" si="30"/>
        <v/>
      </c>
      <c r="J871" s="81" t="str">
        <f>IF(I871="","",I871+(COUNTIF(I$4:I871,I871)-1)*0.001)</f>
        <v/>
      </c>
      <c r="S871" s="202"/>
      <c r="U871" s="93"/>
    </row>
    <row r="872" spans="4:21">
      <c r="D872" s="81" t="str">
        <f t="shared" si="29"/>
        <v/>
      </c>
      <c r="E872" s="90" t="str">
        <f>IF(D872="","",D872+(COUNTIF(D$4:D872,D872)-1)*0.001)</f>
        <v/>
      </c>
      <c r="I872" s="81" t="str">
        <f t="shared" si="30"/>
        <v/>
      </c>
      <c r="J872" s="81" t="str">
        <f>IF(I872="","",I872+(COUNTIF(I$4:I872,I872)-1)*0.001)</f>
        <v/>
      </c>
      <c r="S872" s="202"/>
      <c r="U872" s="93"/>
    </row>
    <row r="873" spans="4:21">
      <c r="D873" s="81" t="str">
        <f t="shared" si="29"/>
        <v/>
      </c>
      <c r="E873" s="90" t="str">
        <f>IF(D873="","",D873+(COUNTIF(D$4:D873,D873)-1)*0.001)</f>
        <v/>
      </c>
      <c r="I873" s="81" t="str">
        <f t="shared" si="30"/>
        <v/>
      </c>
      <c r="J873" s="81" t="str">
        <f>IF(I873="","",I873+(COUNTIF(I$4:I873,I873)-1)*0.001)</f>
        <v/>
      </c>
      <c r="S873" s="202"/>
      <c r="U873" s="93"/>
    </row>
    <row r="874" spans="4:21">
      <c r="D874" s="81" t="str">
        <f t="shared" si="29"/>
        <v/>
      </c>
      <c r="E874" s="90" t="str">
        <f>IF(D874="","",D874+(COUNTIF(D$4:D874,D874)-1)*0.001)</f>
        <v/>
      </c>
      <c r="I874" s="81" t="str">
        <f t="shared" si="30"/>
        <v/>
      </c>
      <c r="J874" s="81" t="str">
        <f>IF(I874="","",I874+(COUNTIF(I$4:I874,I874)-1)*0.001)</f>
        <v/>
      </c>
      <c r="S874" s="202"/>
      <c r="U874" s="93"/>
    </row>
    <row r="875" spans="4:21">
      <c r="D875" s="81" t="str">
        <f t="shared" si="29"/>
        <v/>
      </c>
      <c r="E875" s="90" t="str">
        <f>IF(D875="","",D875+(COUNTIF(D$4:D875,D875)-1)*0.001)</f>
        <v/>
      </c>
      <c r="I875" s="81" t="str">
        <f t="shared" si="30"/>
        <v/>
      </c>
      <c r="J875" s="81" t="str">
        <f>IF(I875="","",I875+(COUNTIF(I$4:I875,I875)-1)*0.001)</f>
        <v/>
      </c>
      <c r="S875" s="202"/>
      <c r="U875" s="93"/>
    </row>
    <row r="876" spans="4:21">
      <c r="D876" s="81" t="str">
        <f t="shared" si="29"/>
        <v/>
      </c>
      <c r="E876" s="90" t="str">
        <f>IF(D876="","",D876+(COUNTIF(D$4:D876,D876)-1)*0.001)</f>
        <v/>
      </c>
      <c r="I876" s="81" t="str">
        <f t="shared" si="30"/>
        <v/>
      </c>
      <c r="J876" s="81" t="str">
        <f>IF(I876="","",I876+(COUNTIF(I$4:I876,I876)-1)*0.001)</f>
        <v/>
      </c>
      <c r="S876" s="202"/>
      <c r="U876" s="93"/>
    </row>
    <row r="877" spans="4:21">
      <c r="D877" s="81" t="str">
        <f t="shared" si="29"/>
        <v/>
      </c>
      <c r="E877" s="90" t="str">
        <f>IF(D877="","",D877+(COUNTIF(D$4:D877,D877)-1)*0.001)</f>
        <v/>
      </c>
      <c r="I877" s="81" t="str">
        <f t="shared" si="30"/>
        <v/>
      </c>
      <c r="J877" s="81" t="str">
        <f>IF(I877="","",I877+(COUNTIF(I$4:I877,I877)-1)*0.001)</f>
        <v/>
      </c>
      <c r="S877" s="202"/>
      <c r="U877" s="93"/>
    </row>
    <row r="878" spans="4:21">
      <c r="D878" s="81" t="str">
        <f t="shared" si="29"/>
        <v/>
      </c>
      <c r="E878" s="90" t="str">
        <f>IF(D878="","",D878+(COUNTIF(D$4:D878,D878)-1)*0.001)</f>
        <v/>
      </c>
      <c r="I878" s="81" t="str">
        <f t="shared" si="30"/>
        <v/>
      </c>
      <c r="J878" s="81" t="str">
        <f>IF(I878="","",I878+(COUNTIF(I$4:I878,I878)-1)*0.001)</f>
        <v/>
      </c>
      <c r="S878" s="202"/>
      <c r="U878" s="93"/>
    </row>
    <row r="879" spans="4:21">
      <c r="D879" s="81" t="str">
        <f t="shared" si="29"/>
        <v/>
      </c>
      <c r="E879" s="90" t="str">
        <f>IF(D879="","",D879+(COUNTIF(D$4:D879,D879)-1)*0.001)</f>
        <v/>
      </c>
      <c r="I879" s="81" t="str">
        <f t="shared" si="30"/>
        <v/>
      </c>
      <c r="J879" s="81" t="str">
        <f>IF(I879="","",I879+(COUNTIF(I$4:I879,I879)-1)*0.001)</f>
        <v/>
      </c>
      <c r="S879" s="202"/>
      <c r="U879" s="93"/>
    </row>
    <row r="880" spans="4:21">
      <c r="D880" s="81" t="str">
        <f t="shared" si="29"/>
        <v/>
      </c>
      <c r="E880" s="90" t="str">
        <f>IF(D880="","",D880+(COUNTIF(D$4:D880,D880)-1)*0.001)</f>
        <v/>
      </c>
      <c r="I880" s="81" t="str">
        <f t="shared" si="30"/>
        <v/>
      </c>
      <c r="J880" s="81" t="str">
        <f>IF(I880="","",I880+(COUNTIF(I$4:I880,I880)-1)*0.001)</f>
        <v/>
      </c>
      <c r="S880" s="202"/>
      <c r="U880" s="93"/>
    </row>
    <row r="881" spans="4:21">
      <c r="D881" s="81" t="str">
        <f t="shared" si="29"/>
        <v/>
      </c>
      <c r="E881" s="90" t="str">
        <f>IF(D881="","",D881+(COUNTIF(D$4:D881,D881)-1)*0.001)</f>
        <v/>
      </c>
      <c r="I881" s="81" t="str">
        <f t="shared" si="30"/>
        <v/>
      </c>
      <c r="J881" s="81" t="str">
        <f>IF(I881="","",I881+(COUNTIF(I$4:I881,I881)-1)*0.001)</f>
        <v/>
      </c>
      <c r="S881" s="202"/>
      <c r="U881" s="93"/>
    </row>
    <row r="882" spans="4:21">
      <c r="D882" s="81" t="str">
        <f t="shared" si="29"/>
        <v/>
      </c>
      <c r="E882" s="90" t="str">
        <f>IF(D882="","",D882+(COUNTIF(D$4:D882,D882)-1)*0.001)</f>
        <v/>
      </c>
      <c r="I882" s="81" t="str">
        <f t="shared" si="30"/>
        <v/>
      </c>
      <c r="J882" s="81" t="str">
        <f>IF(I882="","",I882+(COUNTIF(I$4:I882,I882)-1)*0.001)</f>
        <v/>
      </c>
      <c r="S882" s="202"/>
      <c r="U882" s="93"/>
    </row>
    <row r="883" spans="4:21">
      <c r="D883" s="81" t="str">
        <f t="shared" si="29"/>
        <v/>
      </c>
      <c r="E883" s="90" t="str">
        <f>IF(D883="","",D883+(COUNTIF(D$4:D883,D883)-1)*0.001)</f>
        <v/>
      </c>
      <c r="I883" s="81" t="str">
        <f t="shared" si="30"/>
        <v/>
      </c>
      <c r="J883" s="81" t="str">
        <f>IF(I883="","",I883+(COUNTIF(I$4:I883,I883)-1)*0.001)</f>
        <v/>
      </c>
      <c r="S883" s="202"/>
      <c r="U883" s="93"/>
    </row>
    <row r="884" spans="4:21">
      <c r="D884" s="81" t="str">
        <f t="shared" si="29"/>
        <v/>
      </c>
      <c r="E884" s="90" t="str">
        <f>IF(D884="","",D884+(COUNTIF(D$4:D884,D884)-1)*0.001)</f>
        <v/>
      </c>
      <c r="I884" s="81" t="str">
        <f t="shared" si="30"/>
        <v/>
      </c>
      <c r="J884" s="81" t="str">
        <f>IF(I884="","",I884+(COUNTIF(I$4:I884,I884)-1)*0.001)</f>
        <v/>
      </c>
      <c r="S884" s="202"/>
      <c r="U884" s="93"/>
    </row>
    <row r="885" spans="4:21">
      <c r="D885" s="81" t="str">
        <f t="shared" si="29"/>
        <v/>
      </c>
      <c r="E885" s="90" t="str">
        <f>IF(D885="","",D885+(COUNTIF(D$4:D885,D885)-1)*0.001)</f>
        <v/>
      </c>
      <c r="I885" s="81" t="str">
        <f t="shared" si="30"/>
        <v/>
      </c>
      <c r="J885" s="81" t="str">
        <f>IF(I885="","",I885+(COUNTIF(I$4:I885,I885)-1)*0.001)</f>
        <v/>
      </c>
      <c r="S885" s="202"/>
      <c r="U885" s="93"/>
    </row>
    <row r="886" spans="4:21">
      <c r="D886" s="81" t="str">
        <f t="shared" si="29"/>
        <v/>
      </c>
      <c r="E886" s="90" t="str">
        <f>IF(D886="","",D886+(COUNTIF(D$4:D886,D886)-1)*0.001)</f>
        <v/>
      </c>
      <c r="I886" s="81" t="str">
        <f t="shared" si="30"/>
        <v/>
      </c>
      <c r="J886" s="81" t="str">
        <f>IF(I886="","",I886+(COUNTIF(I$4:I886,I886)-1)*0.001)</f>
        <v/>
      </c>
      <c r="S886" s="202"/>
      <c r="U886" s="93"/>
    </row>
    <row r="887" spans="4:21">
      <c r="D887" s="81" t="str">
        <f t="shared" si="29"/>
        <v/>
      </c>
      <c r="E887" s="90" t="str">
        <f>IF(D887="","",D887+(COUNTIF(D$4:D887,D887)-1)*0.001)</f>
        <v/>
      </c>
      <c r="I887" s="81" t="str">
        <f t="shared" si="30"/>
        <v/>
      </c>
      <c r="J887" s="81" t="str">
        <f>IF(I887="","",I887+(COUNTIF(I$4:I887,I887)-1)*0.001)</f>
        <v/>
      </c>
      <c r="S887" s="202"/>
      <c r="U887" s="93"/>
    </row>
    <row r="888" spans="4:21">
      <c r="D888" s="81" t="str">
        <f t="shared" si="29"/>
        <v/>
      </c>
      <c r="E888" s="90" t="str">
        <f>IF(D888="","",D888+(COUNTIF(D$4:D888,D888)-1)*0.001)</f>
        <v/>
      </c>
      <c r="I888" s="81" t="str">
        <f t="shared" si="30"/>
        <v/>
      </c>
      <c r="J888" s="81" t="str">
        <f>IF(I888="","",I888+(COUNTIF(I$4:I888,I888)-1)*0.001)</f>
        <v/>
      </c>
      <c r="S888" s="202"/>
      <c r="U888" s="93"/>
    </row>
    <row r="889" spans="4:21">
      <c r="D889" s="81" t="str">
        <f t="shared" si="29"/>
        <v/>
      </c>
      <c r="E889" s="90" t="str">
        <f>IF(D889="","",D889+(COUNTIF(D$4:D889,D889)-1)*0.001)</f>
        <v/>
      </c>
      <c r="I889" s="81" t="str">
        <f t="shared" si="30"/>
        <v/>
      </c>
      <c r="J889" s="81" t="str">
        <f>IF(I889="","",I889+(COUNTIF(I$4:I889,I889)-1)*0.001)</f>
        <v/>
      </c>
      <c r="S889" s="202"/>
      <c r="U889" s="93"/>
    </row>
    <row r="890" spans="4:21">
      <c r="D890" s="81" t="str">
        <f t="shared" si="29"/>
        <v/>
      </c>
      <c r="E890" s="90" t="str">
        <f>IF(D890="","",D890+(COUNTIF(D$4:D890,D890)-1)*0.001)</f>
        <v/>
      </c>
      <c r="I890" s="81" t="str">
        <f t="shared" si="30"/>
        <v/>
      </c>
      <c r="J890" s="81" t="str">
        <f>IF(I890="","",I890+(COUNTIF(I$4:I890,I890)-1)*0.001)</f>
        <v/>
      </c>
      <c r="S890" s="202"/>
      <c r="U890" s="93"/>
    </row>
    <row r="891" spans="4:21">
      <c r="D891" s="81" t="str">
        <f t="shared" si="29"/>
        <v/>
      </c>
      <c r="E891" s="90" t="str">
        <f>IF(D891="","",D891+(COUNTIF(D$4:D891,D891)-1)*0.001)</f>
        <v/>
      </c>
      <c r="I891" s="81" t="str">
        <f t="shared" si="30"/>
        <v/>
      </c>
      <c r="J891" s="81" t="str">
        <f>IF(I891="","",I891+(COUNTIF(I$4:I891,I891)-1)*0.001)</f>
        <v/>
      </c>
      <c r="S891" s="202"/>
      <c r="U891" s="93"/>
    </row>
    <row r="892" spans="4:21">
      <c r="D892" s="81" t="str">
        <f t="shared" si="29"/>
        <v/>
      </c>
      <c r="E892" s="90" t="str">
        <f>IF(D892="","",D892+(COUNTIF(D$4:D892,D892)-1)*0.001)</f>
        <v/>
      </c>
      <c r="I892" s="81" t="str">
        <f t="shared" si="30"/>
        <v/>
      </c>
      <c r="J892" s="81" t="str">
        <f>IF(I892="","",I892+(COUNTIF(I$4:I892,I892)-1)*0.001)</f>
        <v/>
      </c>
      <c r="S892" s="202"/>
      <c r="U892" s="93"/>
    </row>
    <row r="893" spans="4:21">
      <c r="D893" s="81" t="str">
        <f t="shared" si="29"/>
        <v/>
      </c>
      <c r="E893" s="90" t="str">
        <f>IF(D893="","",D893+(COUNTIF(D$4:D893,D893)-1)*0.001)</f>
        <v/>
      </c>
      <c r="I893" s="81" t="str">
        <f t="shared" si="30"/>
        <v/>
      </c>
      <c r="J893" s="81" t="str">
        <f>IF(I893="","",I893+(COUNTIF(I$4:I893,I893)-1)*0.001)</f>
        <v/>
      </c>
      <c r="S893" s="202"/>
      <c r="U893" s="93"/>
    </row>
    <row r="894" spans="4:21">
      <c r="D894" s="81" t="str">
        <f t="shared" si="29"/>
        <v/>
      </c>
      <c r="E894" s="90" t="str">
        <f>IF(D894="","",D894+(COUNTIF(D$4:D894,D894)-1)*0.001)</f>
        <v/>
      </c>
      <c r="I894" s="81" t="str">
        <f t="shared" si="30"/>
        <v/>
      </c>
      <c r="J894" s="81" t="str">
        <f>IF(I894="","",I894+(COUNTIF(I$4:I894,I894)-1)*0.001)</f>
        <v/>
      </c>
      <c r="S894" s="202"/>
      <c r="U894" s="93"/>
    </row>
    <row r="895" spans="4:21">
      <c r="D895" s="81" t="str">
        <f t="shared" si="29"/>
        <v/>
      </c>
      <c r="E895" s="90" t="str">
        <f>IF(D895="","",D895+(COUNTIF(D$4:D895,D895)-1)*0.001)</f>
        <v/>
      </c>
      <c r="I895" s="81" t="str">
        <f t="shared" si="30"/>
        <v/>
      </c>
      <c r="J895" s="81" t="str">
        <f>IF(I895="","",I895+(COUNTIF(I$4:I895,I895)-1)*0.001)</f>
        <v/>
      </c>
      <c r="S895" s="202"/>
      <c r="U895" s="93"/>
    </row>
    <row r="896" spans="4:21">
      <c r="D896" s="81" t="str">
        <f t="shared" si="29"/>
        <v/>
      </c>
      <c r="E896" s="90" t="str">
        <f>IF(D896="","",D896+(COUNTIF(D$4:D896,D896)-1)*0.001)</f>
        <v/>
      </c>
      <c r="I896" s="81" t="str">
        <f t="shared" si="30"/>
        <v/>
      </c>
      <c r="J896" s="81" t="str">
        <f>IF(I896="","",I896+(COUNTIF(I$4:I896,I896)-1)*0.001)</f>
        <v/>
      </c>
      <c r="S896" s="202"/>
      <c r="U896" s="93"/>
    </row>
    <row r="897" spans="4:21">
      <c r="D897" s="81" t="str">
        <f t="shared" si="29"/>
        <v/>
      </c>
      <c r="E897" s="90" t="str">
        <f>IF(D897="","",D897+(COUNTIF(D$4:D897,D897)-1)*0.001)</f>
        <v/>
      </c>
      <c r="I897" s="81" t="str">
        <f t="shared" si="30"/>
        <v/>
      </c>
      <c r="J897" s="81" t="str">
        <f>IF(I897="","",I897+(COUNTIF(I$4:I897,I897)-1)*0.001)</f>
        <v/>
      </c>
      <c r="S897" s="202"/>
      <c r="U897" s="93"/>
    </row>
    <row r="898" spans="4:21">
      <c r="D898" s="81" t="str">
        <f t="shared" si="29"/>
        <v/>
      </c>
      <c r="E898" s="90" t="str">
        <f>IF(D898="","",D898+(COUNTIF(D$4:D898,D898)-1)*0.001)</f>
        <v/>
      </c>
      <c r="I898" s="81" t="str">
        <f t="shared" si="30"/>
        <v/>
      </c>
      <c r="J898" s="81" t="str">
        <f>IF(I898="","",I898+(COUNTIF(I$4:I898,I898)-1)*0.001)</f>
        <v/>
      </c>
      <c r="S898" s="202"/>
      <c r="U898" s="93"/>
    </row>
    <row r="899" spans="4:21">
      <c r="D899" s="81" t="str">
        <f t="shared" si="29"/>
        <v/>
      </c>
      <c r="E899" s="90" t="str">
        <f>IF(D899="","",D899+(COUNTIF(D$4:D899,D899)-1)*0.001)</f>
        <v/>
      </c>
      <c r="I899" s="81" t="str">
        <f t="shared" si="30"/>
        <v/>
      </c>
      <c r="J899" s="81" t="str">
        <f>IF(I899="","",I899+(COUNTIF(I$4:I899,I899)-1)*0.001)</f>
        <v/>
      </c>
      <c r="S899" s="202"/>
      <c r="U899" s="93"/>
    </row>
    <row r="900" spans="4:21">
      <c r="D900" s="81" t="str">
        <f t="shared" ref="D900:D963" si="31">IF(A900="","",IFERROR(INDEX(收盤1,MATCH(A900,代號1,0)),IFERROR(INDEX(收盤2,MATCH(A900,代號2,0)),IFERROR(INDEX(收盤3,MATCH(A900,代號3,0)),INDEX(收盤4,MATCH(A900,代號4,0)))))*C900)</f>
        <v/>
      </c>
      <c r="E900" s="90" t="str">
        <f>IF(D900="","",D900+(COUNTIF(D$4:D900,D900)-1)*0.001)</f>
        <v/>
      </c>
      <c r="I900" s="81" t="str">
        <f t="shared" ref="I900:I963" si="32">IF(F900="","",IFERROR(INDEX(收盤1,MATCH(F900,代號1,0)),IFERROR(INDEX(收盤2,MATCH(F900,代號2,0)),IFERROR(INDEX(收盤3,MATCH(F900,代號3,0)),INDEX(收盤4,MATCH(F900,代號4,0)))))*H900)</f>
        <v/>
      </c>
      <c r="J900" s="81" t="str">
        <f>IF(I900="","",I900+(COUNTIF(I$4:I900,I900)-1)*0.001)</f>
        <v/>
      </c>
      <c r="S900" s="202"/>
      <c r="U900" s="93"/>
    </row>
    <row r="901" spans="4:21">
      <c r="D901" s="81" t="str">
        <f t="shared" si="31"/>
        <v/>
      </c>
      <c r="E901" s="90" t="str">
        <f>IF(D901="","",D901+(COUNTIF(D$4:D901,D901)-1)*0.001)</f>
        <v/>
      </c>
      <c r="I901" s="81" t="str">
        <f t="shared" si="32"/>
        <v/>
      </c>
      <c r="J901" s="81" t="str">
        <f>IF(I901="","",I901+(COUNTIF(I$4:I901,I901)-1)*0.001)</f>
        <v/>
      </c>
      <c r="S901" s="202"/>
      <c r="U901" s="93"/>
    </row>
    <row r="902" spans="4:21">
      <c r="D902" s="81" t="str">
        <f t="shared" si="31"/>
        <v/>
      </c>
      <c r="E902" s="90" t="str">
        <f>IF(D902="","",D902+(COUNTIF(D$4:D902,D902)-1)*0.001)</f>
        <v/>
      </c>
      <c r="I902" s="81" t="str">
        <f t="shared" si="32"/>
        <v/>
      </c>
      <c r="J902" s="81" t="str">
        <f>IF(I902="","",I902+(COUNTIF(I$4:I902,I902)-1)*0.001)</f>
        <v/>
      </c>
      <c r="S902" s="202"/>
      <c r="U902" s="93"/>
    </row>
    <row r="903" spans="4:21">
      <c r="D903" s="81" t="str">
        <f t="shared" si="31"/>
        <v/>
      </c>
      <c r="E903" s="90" t="str">
        <f>IF(D903="","",D903+(COUNTIF(D$4:D903,D903)-1)*0.001)</f>
        <v/>
      </c>
      <c r="I903" s="81" t="str">
        <f t="shared" si="32"/>
        <v/>
      </c>
      <c r="J903" s="81" t="str">
        <f>IF(I903="","",I903+(COUNTIF(I$4:I903,I903)-1)*0.001)</f>
        <v/>
      </c>
      <c r="S903" s="202"/>
      <c r="U903" s="93"/>
    </row>
    <row r="904" spans="4:21">
      <c r="D904" s="81" t="str">
        <f t="shared" si="31"/>
        <v/>
      </c>
      <c r="E904" s="90" t="str">
        <f>IF(D904="","",D904+(COUNTIF(D$4:D904,D904)-1)*0.001)</f>
        <v/>
      </c>
      <c r="I904" s="81" t="str">
        <f t="shared" si="32"/>
        <v/>
      </c>
      <c r="J904" s="81" t="str">
        <f>IF(I904="","",I904+(COUNTIF(I$4:I904,I904)-1)*0.001)</f>
        <v/>
      </c>
      <c r="S904" s="202"/>
      <c r="U904" s="93"/>
    </row>
    <row r="905" spans="4:21">
      <c r="D905" s="81" t="str">
        <f t="shared" si="31"/>
        <v/>
      </c>
      <c r="E905" s="90" t="str">
        <f>IF(D905="","",D905+(COUNTIF(D$4:D905,D905)-1)*0.001)</f>
        <v/>
      </c>
      <c r="I905" s="81" t="str">
        <f t="shared" si="32"/>
        <v/>
      </c>
      <c r="J905" s="81" t="str">
        <f>IF(I905="","",I905+(COUNTIF(I$4:I905,I905)-1)*0.001)</f>
        <v/>
      </c>
      <c r="S905" s="202"/>
      <c r="U905" s="93"/>
    </row>
    <row r="906" spans="4:21">
      <c r="D906" s="81" t="str">
        <f t="shared" si="31"/>
        <v/>
      </c>
      <c r="E906" s="90" t="str">
        <f>IF(D906="","",D906+(COUNTIF(D$4:D906,D906)-1)*0.001)</f>
        <v/>
      </c>
      <c r="I906" s="81" t="str">
        <f t="shared" si="32"/>
        <v/>
      </c>
      <c r="J906" s="81" t="str">
        <f>IF(I906="","",I906+(COUNTIF(I$4:I906,I906)-1)*0.001)</f>
        <v/>
      </c>
      <c r="S906" s="202"/>
      <c r="U906" s="93"/>
    </row>
    <row r="907" spans="4:21">
      <c r="D907" s="81" t="str">
        <f t="shared" si="31"/>
        <v/>
      </c>
      <c r="E907" s="90" t="str">
        <f>IF(D907="","",D907+(COUNTIF(D$4:D907,D907)-1)*0.001)</f>
        <v/>
      </c>
      <c r="I907" s="81" t="str">
        <f t="shared" si="32"/>
        <v/>
      </c>
      <c r="J907" s="81" t="str">
        <f>IF(I907="","",I907+(COUNTIF(I$4:I907,I907)-1)*0.001)</f>
        <v/>
      </c>
      <c r="S907" s="202"/>
      <c r="U907" s="93"/>
    </row>
    <row r="908" spans="4:21">
      <c r="D908" s="81" t="str">
        <f t="shared" si="31"/>
        <v/>
      </c>
      <c r="E908" s="90" t="str">
        <f>IF(D908="","",D908+(COUNTIF(D$4:D908,D908)-1)*0.001)</f>
        <v/>
      </c>
      <c r="I908" s="81" t="str">
        <f t="shared" si="32"/>
        <v/>
      </c>
      <c r="J908" s="81" t="str">
        <f>IF(I908="","",I908+(COUNTIF(I$4:I908,I908)-1)*0.001)</f>
        <v/>
      </c>
      <c r="S908" s="202"/>
      <c r="U908" s="93"/>
    </row>
    <row r="909" spans="4:21">
      <c r="D909" s="81" t="str">
        <f t="shared" si="31"/>
        <v/>
      </c>
      <c r="E909" s="90" t="str">
        <f>IF(D909="","",D909+(COUNTIF(D$4:D909,D909)-1)*0.001)</f>
        <v/>
      </c>
      <c r="I909" s="81" t="str">
        <f t="shared" si="32"/>
        <v/>
      </c>
      <c r="J909" s="81" t="str">
        <f>IF(I909="","",I909+(COUNTIF(I$4:I909,I909)-1)*0.001)</f>
        <v/>
      </c>
      <c r="S909" s="202"/>
      <c r="U909" s="93"/>
    </row>
    <row r="910" spans="4:21">
      <c r="D910" s="81" t="str">
        <f t="shared" si="31"/>
        <v/>
      </c>
      <c r="E910" s="90" t="str">
        <f>IF(D910="","",D910+(COUNTIF(D$4:D910,D910)-1)*0.001)</f>
        <v/>
      </c>
      <c r="I910" s="81" t="str">
        <f t="shared" si="32"/>
        <v/>
      </c>
      <c r="J910" s="81" t="str">
        <f>IF(I910="","",I910+(COUNTIF(I$4:I910,I910)-1)*0.001)</f>
        <v/>
      </c>
      <c r="S910" s="202"/>
      <c r="U910" s="93"/>
    </row>
    <row r="911" spans="4:21">
      <c r="D911" s="81" t="str">
        <f t="shared" si="31"/>
        <v/>
      </c>
      <c r="E911" s="90" t="str">
        <f>IF(D911="","",D911+(COUNTIF(D$4:D911,D911)-1)*0.001)</f>
        <v/>
      </c>
      <c r="I911" s="81" t="str">
        <f t="shared" si="32"/>
        <v/>
      </c>
      <c r="J911" s="81" t="str">
        <f>IF(I911="","",I911+(COUNTIF(I$4:I911,I911)-1)*0.001)</f>
        <v/>
      </c>
      <c r="S911" s="202"/>
      <c r="U911" s="93"/>
    </row>
    <row r="912" spans="4:21">
      <c r="D912" s="81" t="str">
        <f t="shared" si="31"/>
        <v/>
      </c>
      <c r="E912" s="90" t="str">
        <f>IF(D912="","",D912+(COUNTIF(D$4:D912,D912)-1)*0.001)</f>
        <v/>
      </c>
      <c r="I912" s="81" t="str">
        <f t="shared" si="32"/>
        <v/>
      </c>
      <c r="J912" s="81" t="str">
        <f>IF(I912="","",I912+(COUNTIF(I$4:I912,I912)-1)*0.001)</f>
        <v/>
      </c>
      <c r="S912" s="202"/>
      <c r="U912" s="93"/>
    </row>
    <row r="913" spans="4:21">
      <c r="D913" s="81" t="str">
        <f t="shared" si="31"/>
        <v/>
      </c>
      <c r="E913" s="90" t="str">
        <f>IF(D913="","",D913+(COUNTIF(D$4:D913,D913)-1)*0.001)</f>
        <v/>
      </c>
      <c r="I913" s="81" t="str">
        <f t="shared" si="32"/>
        <v/>
      </c>
      <c r="J913" s="81" t="str">
        <f>IF(I913="","",I913+(COUNTIF(I$4:I913,I913)-1)*0.001)</f>
        <v/>
      </c>
      <c r="S913" s="202"/>
      <c r="U913" s="93"/>
    </row>
    <row r="914" spans="4:21">
      <c r="D914" s="81" t="str">
        <f t="shared" si="31"/>
        <v/>
      </c>
      <c r="E914" s="90" t="str">
        <f>IF(D914="","",D914+(COUNTIF(D$4:D914,D914)-1)*0.001)</f>
        <v/>
      </c>
      <c r="I914" s="81" t="str">
        <f t="shared" si="32"/>
        <v/>
      </c>
      <c r="J914" s="81" t="str">
        <f>IF(I914="","",I914+(COUNTIF(I$4:I914,I914)-1)*0.001)</f>
        <v/>
      </c>
      <c r="S914" s="202"/>
      <c r="U914" s="93"/>
    </row>
    <row r="915" spans="4:21">
      <c r="D915" s="81" t="str">
        <f t="shared" si="31"/>
        <v/>
      </c>
      <c r="E915" s="90" t="str">
        <f>IF(D915="","",D915+(COUNTIF(D$4:D915,D915)-1)*0.001)</f>
        <v/>
      </c>
      <c r="I915" s="81" t="str">
        <f t="shared" si="32"/>
        <v/>
      </c>
      <c r="J915" s="81" t="str">
        <f>IF(I915="","",I915+(COUNTIF(I$4:I915,I915)-1)*0.001)</f>
        <v/>
      </c>
      <c r="S915" s="202"/>
      <c r="U915" s="93"/>
    </row>
    <row r="916" spans="4:21">
      <c r="D916" s="81" t="str">
        <f t="shared" si="31"/>
        <v/>
      </c>
      <c r="E916" s="90" t="str">
        <f>IF(D916="","",D916+(COUNTIF(D$4:D916,D916)-1)*0.001)</f>
        <v/>
      </c>
      <c r="I916" s="81" t="str">
        <f t="shared" si="32"/>
        <v/>
      </c>
      <c r="J916" s="81" t="str">
        <f>IF(I916="","",I916+(COUNTIF(I$4:I916,I916)-1)*0.001)</f>
        <v/>
      </c>
      <c r="S916" s="202"/>
      <c r="U916" s="93"/>
    </row>
    <row r="917" spans="4:21">
      <c r="D917" s="81" t="str">
        <f t="shared" si="31"/>
        <v/>
      </c>
      <c r="E917" s="90" t="str">
        <f>IF(D917="","",D917+(COUNTIF(D$4:D917,D917)-1)*0.001)</f>
        <v/>
      </c>
      <c r="I917" s="81" t="str">
        <f t="shared" si="32"/>
        <v/>
      </c>
      <c r="J917" s="81" t="str">
        <f>IF(I917="","",I917+(COUNTIF(I$4:I917,I917)-1)*0.001)</f>
        <v/>
      </c>
      <c r="S917" s="202"/>
      <c r="U917" s="93"/>
    </row>
    <row r="918" spans="4:21">
      <c r="D918" s="81" t="str">
        <f t="shared" si="31"/>
        <v/>
      </c>
      <c r="E918" s="90" t="str">
        <f>IF(D918="","",D918+(COUNTIF(D$4:D918,D918)-1)*0.001)</f>
        <v/>
      </c>
      <c r="I918" s="81" t="str">
        <f t="shared" si="32"/>
        <v/>
      </c>
      <c r="J918" s="81" t="str">
        <f>IF(I918="","",I918+(COUNTIF(I$4:I918,I918)-1)*0.001)</f>
        <v/>
      </c>
      <c r="S918" s="202"/>
      <c r="U918" s="93"/>
    </row>
    <row r="919" spans="4:21">
      <c r="D919" s="81" t="str">
        <f t="shared" si="31"/>
        <v/>
      </c>
      <c r="E919" s="90" t="str">
        <f>IF(D919="","",D919+(COUNTIF(D$4:D919,D919)-1)*0.001)</f>
        <v/>
      </c>
      <c r="I919" s="81" t="str">
        <f t="shared" si="32"/>
        <v/>
      </c>
      <c r="J919" s="81" t="str">
        <f>IF(I919="","",I919+(COUNTIF(I$4:I919,I919)-1)*0.001)</f>
        <v/>
      </c>
      <c r="S919" s="202"/>
      <c r="U919" s="93"/>
    </row>
    <row r="920" spans="4:21">
      <c r="D920" s="81" t="str">
        <f t="shared" si="31"/>
        <v/>
      </c>
      <c r="E920" s="90" t="str">
        <f>IF(D920="","",D920+(COUNTIF(D$4:D920,D920)-1)*0.001)</f>
        <v/>
      </c>
      <c r="I920" s="81" t="str">
        <f t="shared" si="32"/>
        <v/>
      </c>
      <c r="J920" s="81" t="str">
        <f>IF(I920="","",I920+(COUNTIF(I$4:I920,I920)-1)*0.001)</f>
        <v/>
      </c>
      <c r="S920" s="202"/>
      <c r="U920" s="93"/>
    </row>
    <row r="921" spans="4:21">
      <c r="D921" s="81" t="str">
        <f t="shared" si="31"/>
        <v/>
      </c>
      <c r="E921" s="90" t="str">
        <f>IF(D921="","",D921+(COUNTIF(D$4:D921,D921)-1)*0.001)</f>
        <v/>
      </c>
      <c r="I921" s="81" t="str">
        <f t="shared" si="32"/>
        <v/>
      </c>
      <c r="J921" s="81" t="str">
        <f>IF(I921="","",I921+(COUNTIF(I$4:I921,I921)-1)*0.001)</f>
        <v/>
      </c>
      <c r="S921" s="202"/>
      <c r="U921" s="93"/>
    </row>
    <row r="922" spans="4:21">
      <c r="D922" s="81" t="str">
        <f t="shared" si="31"/>
        <v/>
      </c>
      <c r="E922" s="90" t="str">
        <f>IF(D922="","",D922+(COUNTIF(D$4:D922,D922)-1)*0.001)</f>
        <v/>
      </c>
      <c r="I922" s="81" t="str">
        <f t="shared" si="32"/>
        <v/>
      </c>
      <c r="J922" s="81" t="str">
        <f>IF(I922="","",I922+(COUNTIF(I$4:I922,I922)-1)*0.001)</f>
        <v/>
      </c>
      <c r="S922" s="202"/>
      <c r="U922" s="93"/>
    </row>
    <row r="923" spans="4:21">
      <c r="D923" s="81" t="str">
        <f t="shared" si="31"/>
        <v/>
      </c>
      <c r="E923" s="90" t="str">
        <f>IF(D923="","",D923+(COUNTIF(D$4:D923,D923)-1)*0.001)</f>
        <v/>
      </c>
      <c r="I923" s="81" t="str">
        <f t="shared" si="32"/>
        <v/>
      </c>
      <c r="J923" s="81" t="str">
        <f>IF(I923="","",I923+(COUNTIF(I$4:I923,I923)-1)*0.001)</f>
        <v/>
      </c>
      <c r="S923" s="202"/>
      <c r="U923" s="93"/>
    </row>
    <row r="924" spans="4:21">
      <c r="D924" s="81" t="str">
        <f t="shared" si="31"/>
        <v/>
      </c>
      <c r="E924" s="90" t="str">
        <f>IF(D924="","",D924+(COUNTIF(D$4:D924,D924)-1)*0.001)</f>
        <v/>
      </c>
      <c r="I924" s="81" t="str">
        <f t="shared" si="32"/>
        <v/>
      </c>
      <c r="J924" s="81" t="str">
        <f>IF(I924="","",I924+(COUNTIF(I$4:I924,I924)-1)*0.001)</f>
        <v/>
      </c>
      <c r="S924" s="202"/>
      <c r="U924" s="93"/>
    </row>
    <row r="925" spans="4:21">
      <c r="D925" s="81" t="str">
        <f t="shared" si="31"/>
        <v/>
      </c>
      <c r="E925" s="90" t="str">
        <f>IF(D925="","",D925+(COUNTIF(D$4:D925,D925)-1)*0.001)</f>
        <v/>
      </c>
      <c r="I925" s="81" t="str">
        <f t="shared" si="32"/>
        <v/>
      </c>
      <c r="J925" s="81" t="str">
        <f>IF(I925="","",I925+(COUNTIF(I$4:I925,I925)-1)*0.001)</f>
        <v/>
      </c>
      <c r="S925" s="202"/>
      <c r="U925" s="93"/>
    </row>
    <row r="926" spans="4:21">
      <c r="D926" s="81" t="str">
        <f t="shared" si="31"/>
        <v/>
      </c>
      <c r="E926" s="90" t="str">
        <f>IF(D926="","",D926+(COUNTIF(D$4:D926,D926)-1)*0.001)</f>
        <v/>
      </c>
      <c r="I926" s="81" t="str">
        <f t="shared" si="32"/>
        <v/>
      </c>
      <c r="J926" s="81" t="str">
        <f>IF(I926="","",I926+(COUNTIF(I$4:I926,I926)-1)*0.001)</f>
        <v/>
      </c>
      <c r="S926" s="202"/>
      <c r="U926" s="93"/>
    </row>
    <row r="927" spans="4:21">
      <c r="D927" s="81" t="str">
        <f t="shared" si="31"/>
        <v/>
      </c>
      <c r="E927" s="90" t="str">
        <f>IF(D927="","",D927+(COUNTIF(D$4:D927,D927)-1)*0.001)</f>
        <v/>
      </c>
      <c r="I927" s="81" t="str">
        <f t="shared" si="32"/>
        <v/>
      </c>
      <c r="J927" s="81" t="str">
        <f>IF(I927="","",I927+(COUNTIF(I$4:I927,I927)-1)*0.001)</f>
        <v/>
      </c>
      <c r="S927" s="202"/>
      <c r="U927" s="93"/>
    </row>
    <row r="928" spans="4:21">
      <c r="D928" s="81" t="str">
        <f t="shared" si="31"/>
        <v/>
      </c>
      <c r="E928" s="90" t="str">
        <f>IF(D928="","",D928+(COUNTIF(D$4:D928,D928)-1)*0.001)</f>
        <v/>
      </c>
      <c r="I928" s="81" t="str">
        <f t="shared" si="32"/>
        <v/>
      </c>
      <c r="J928" s="81" t="str">
        <f>IF(I928="","",I928+(COUNTIF(I$4:I928,I928)-1)*0.001)</f>
        <v/>
      </c>
      <c r="S928" s="202"/>
      <c r="U928" s="93"/>
    </row>
    <row r="929" spans="4:21">
      <c r="D929" s="81" t="str">
        <f t="shared" si="31"/>
        <v/>
      </c>
      <c r="E929" s="90" t="str">
        <f>IF(D929="","",D929+(COUNTIF(D$4:D929,D929)-1)*0.001)</f>
        <v/>
      </c>
      <c r="I929" s="81" t="str">
        <f t="shared" si="32"/>
        <v/>
      </c>
      <c r="J929" s="81" t="str">
        <f>IF(I929="","",I929+(COUNTIF(I$4:I929,I929)-1)*0.001)</f>
        <v/>
      </c>
      <c r="S929" s="202"/>
      <c r="U929" s="93"/>
    </row>
    <row r="930" spans="4:21">
      <c r="D930" s="81" t="str">
        <f t="shared" si="31"/>
        <v/>
      </c>
      <c r="E930" s="90" t="str">
        <f>IF(D930="","",D930+(COUNTIF(D$4:D930,D930)-1)*0.001)</f>
        <v/>
      </c>
      <c r="I930" s="81" t="str">
        <f t="shared" si="32"/>
        <v/>
      </c>
      <c r="J930" s="81" t="str">
        <f>IF(I930="","",I930+(COUNTIF(I$4:I930,I930)-1)*0.001)</f>
        <v/>
      </c>
      <c r="S930" s="202"/>
      <c r="U930" s="93"/>
    </row>
    <row r="931" spans="4:21">
      <c r="D931" s="81" t="str">
        <f t="shared" si="31"/>
        <v/>
      </c>
      <c r="E931" s="90" t="str">
        <f>IF(D931="","",D931+(COUNTIF(D$4:D931,D931)-1)*0.001)</f>
        <v/>
      </c>
      <c r="I931" s="81" t="str">
        <f t="shared" si="32"/>
        <v/>
      </c>
      <c r="J931" s="81" t="str">
        <f>IF(I931="","",I931+(COUNTIF(I$4:I931,I931)-1)*0.001)</f>
        <v/>
      </c>
      <c r="S931" s="202"/>
      <c r="U931" s="93"/>
    </row>
    <row r="932" spans="4:21">
      <c r="D932" s="81" t="str">
        <f t="shared" si="31"/>
        <v/>
      </c>
      <c r="E932" s="90" t="str">
        <f>IF(D932="","",D932+(COUNTIF(D$4:D932,D932)-1)*0.001)</f>
        <v/>
      </c>
      <c r="I932" s="81" t="str">
        <f t="shared" si="32"/>
        <v/>
      </c>
      <c r="J932" s="81" t="str">
        <f>IF(I932="","",I932+(COUNTIF(I$4:I932,I932)-1)*0.001)</f>
        <v/>
      </c>
      <c r="S932" s="202"/>
      <c r="U932" s="93"/>
    </row>
    <row r="933" spans="4:21">
      <c r="D933" s="81" t="str">
        <f t="shared" si="31"/>
        <v/>
      </c>
      <c r="E933" s="90" t="str">
        <f>IF(D933="","",D933+(COUNTIF(D$4:D933,D933)-1)*0.001)</f>
        <v/>
      </c>
      <c r="I933" s="81" t="str">
        <f t="shared" si="32"/>
        <v/>
      </c>
      <c r="J933" s="81" t="str">
        <f>IF(I933="","",I933+(COUNTIF(I$4:I933,I933)-1)*0.001)</f>
        <v/>
      </c>
      <c r="S933" s="202"/>
      <c r="U933" s="93"/>
    </row>
    <row r="934" spans="4:21">
      <c r="D934" s="81" t="str">
        <f t="shared" si="31"/>
        <v/>
      </c>
      <c r="E934" s="90" t="str">
        <f>IF(D934="","",D934+(COUNTIF(D$4:D934,D934)-1)*0.001)</f>
        <v/>
      </c>
      <c r="I934" s="81" t="str">
        <f t="shared" si="32"/>
        <v/>
      </c>
      <c r="J934" s="81" t="str">
        <f>IF(I934="","",I934+(COUNTIF(I$4:I934,I934)-1)*0.001)</f>
        <v/>
      </c>
      <c r="S934" s="202"/>
      <c r="U934" s="93"/>
    </row>
    <row r="935" spans="4:21">
      <c r="D935" s="81" t="str">
        <f t="shared" si="31"/>
        <v/>
      </c>
      <c r="E935" s="90" t="str">
        <f>IF(D935="","",D935+(COUNTIF(D$4:D935,D935)-1)*0.001)</f>
        <v/>
      </c>
      <c r="I935" s="81" t="str">
        <f t="shared" si="32"/>
        <v/>
      </c>
      <c r="J935" s="81" t="str">
        <f>IF(I935="","",I935+(COUNTIF(I$4:I935,I935)-1)*0.001)</f>
        <v/>
      </c>
      <c r="S935" s="202"/>
      <c r="U935" s="93"/>
    </row>
    <row r="936" spans="4:21">
      <c r="D936" s="81" t="str">
        <f t="shared" si="31"/>
        <v/>
      </c>
      <c r="E936" s="90" t="str">
        <f>IF(D936="","",D936+(COUNTIF(D$4:D936,D936)-1)*0.001)</f>
        <v/>
      </c>
      <c r="I936" s="81" t="str">
        <f t="shared" si="32"/>
        <v/>
      </c>
      <c r="J936" s="81" t="str">
        <f>IF(I936="","",I936+(COUNTIF(I$4:I936,I936)-1)*0.001)</f>
        <v/>
      </c>
      <c r="S936" s="202"/>
      <c r="U936" s="93"/>
    </row>
    <row r="937" spans="4:21">
      <c r="D937" s="81" t="str">
        <f t="shared" si="31"/>
        <v/>
      </c>
      <c r="E937" s="90" t="str">
        <f>IF(D937="","",D937+(COUNTIF(D$4:D937,D937)-1)*0.001)</f>
        <v/>
      </c>
      <c r="I937" s="81" t="str">
        <f t="shared" si="32"/>
        <v/>
      </c>
      <c r="J937" s="81" t="str">
        <f>IF(I937="","",I937+(COUNTIF(I$4:I937,I937)-1)*0.001)</f>
        <v/>
      </c>
      <c r="S937" s="202"/>
      <c r="U937" s="93"/>
    </row>
    <row r="938" spans="4:21">
      <c r="D938" s="81" t="str">
        <f t="shared" si="31"/>
        <v/>
      </c>
      <c r="E938" s="90" t="str">
        <f>IF(D938="","",D938+(COUNTIF(D$4:D938,D938)-1)*0.001)</f>
        <v/>
      </c>
      <c r="I938" s="81" t="str">
        <f t="shared" si="32"/>
        <v/>
      </c>
      <c r="J938" s="81" t="str">
        <f>IF(I938="","",I938+(COUNTIF(I$4:I938,I938)-1)*0.001)</f>
        <v/>
      </c>
      <c r="S938" s="202"/>
      <c r="U938" s="93"/>
    </row>
    <row r="939" spans="4:21">
      <c r="D939" s="81" t="str">
        <f t="shared" si="31"/>
        <v/>
      </c>
      <c r="E939" s="90" t="str">
        <f>IF(D939="","",D939+(COUNTIF(D$4:D939,D939)-1)*0.001)</f>
        <v/>
      </c>
      <c r="I939" s="81" t="str">
        <f t="shared" si="32"/>
        <v/>
      </c>
      <c r="J939" s="81" t="str">
        <f>IF(I939="","",I939+(COUNTIF(I$4:I939,I939)-1)*0.001)</f>
        <v/>
      </c>
      <c r="S939" s="202"/>
      <c r="U939" s="93"/>
    </row>
    <row r="940" spans="4:21">
      <c r="D940" s="81" t="str">
        <f t="shared" si="31"/>
        <v/>
      </c>
      <c r="E940" s="90" t="str">
        <f>IF(D940="","",D940+(COUNTIF(D$4:D940,D940)-1)*0.001)</f>
        <v/>
      </c>
      <c r="I940" s="81" t="str">
        <f t="shared" si="32"/>
        <v/>
      </c>
      <c r="J940" s="81" t="str">
        <f>IF(I940="","",I940+(COUNTIF(I$4:I940,I940)-1)*0.001)</f>
        <v/>
      </c>
      <c r="S940" s="202"/>
      <c r="U940" s="93"/>
    </row>
    <row r="941" spans="4:21">
      <c r="D941" s="81" t="str">
        <f t="shared" si="31"/>
        <v/>
      </c>
      <c r="E941" s="90" t="str">
        <f>IF(D941="","",D941+(COUNTIF(D$4:D941,D941)-1)*0.001)</f>
        <v/>
      </c>
      <c r="I941" s="81" t="str">
        <f t="shared" si="32"/>
        <v/>
      </c>
      <c r="J941" s="81" t="str">
        <f>IF(I941="","",I941+(COUNTIF(I$4:I941,I941)-1)*0.001)</f>
        <v/>
      </c>
      <c r="S941" s="202"/>
      <c r="U941" s="93"/>
    </row>
    <row r="942" spans="4:21">
      <c r="D942" s="81" t="str">
        <f t="shared" si="31"/>
        <v/>
      </c>
      <c r="E942" s="90" t="str">
        <f>IF(D942="","",D942+(COUNTIF(D$4:D942,D942)-1)*0.001)</f>
        <v/>
      </c>
      <c r="I942" s="81" t="str">
        <f t="shared" si="32"/>
        <v/>
      </c>
      <c r="J942" s="81" t="str">
        <f>IF(I942="","",I942+(COUNTIF(I$4:I942,I942)-1)*0.001)</f>
        <v/>
      </c>
      <c r="S942" s="202"/>
      <c r="U942" s="93"/>
    </row>
    <row r="943" spans="4:21">
      <c r="D943" s="81" t="str">
        <f t="shared" si="31"/>
        <v/>
      </c>
      <c r="E943" s="90" t="str">
        <f>IF(D943="","",D943+(COUNTIF(D$4:D943,D943)-1)*0.001)</f>
        <v/>
      </c>
      <c r="I943" s="81" t="str">
        <f t="shared" si="32"/>
        <v/>
      </c>
      <c r="J943" s="81" t="str">
        <f>IF(I943="","",I943+(COUNTIF(I$4:I943,I943)-1)*0.001)</f>
        <v/>
      </c>
      <c r="S943" s="202"/>
      <c r="U943" s="93"/>
    </row>
    <row r="944" spans="4:21">
      <c r="D944" s="81" t="str">
        <f t="shared" si="31"/>
        <v/>
      </c>
      <c r="E944" s="90" t="str">
        <f>IF(D944="","",D944+(COUNTIF(D$4:D944,D944)-1)*0.001)</f>
        <v/>
      </c>
      <c r="I944" s="81" t="str">
        <f t="shared" si="32"/>
        <v/>
      </c>
      <c r="J944" s="81" t="str">
        <f>IF(I944="","",I944+(COUNTIF(I$4:I944,I944)-1)*0.001)</f>
        <v/>
      </c>
      <c r="S944" s="202"/>
      <c r="U944" s="93"/>
    </row>
    <row r="945" spans="4:21">
      <c r="D945" s="81" t="str">
        <f t="shared" si="31"/>
        <v/>
      </c>
      <c r="E945" s="90" t="str">
        <f>IF(D945="","",D945+(COUNTIF(D$4:D945,D945)-1)*0.001)</f>
        <v/>
      </c>
      <c r="I945" s="81" t="str">
        <f t="shared" si="32"/>
        <v/>
      </c>
      <c r="J945" s="81" t="str">
        <f>IF(I945="","",I945+(COUNTIF(I$4:I945,I945)-1)*0.001)</f>
        <v/>
      </c>
      <c r="S945" s="202"/>
      <c r="U945" s="93"/>
    </row>
    <row r="946" spans="4:21">
      <c r="D946" s="81" t="str">
        <f t="shared" si="31"/>
        <v/>
      </c>
      <c r="E946" s="90" t="str">
        <f>IF(D946="","",D946+(COUNTIF(D$4:D946,D946)-1)*0.001)</f>
        <v/>
      </c>
      <c r="I946" s="81" t="str">
        <f t="shared" si="32"/>
        <v/>
      </c>
      <c r="J946" s="81" t="str">
        <f>IF(I946="","",I946+(COUNTIF(I$4:I946,I946)-1)*0.001)</f>
        <v/>
      </c>
      <c r="S946" s="202"/>
      <c r="U946" s="93"/>
    </row>
    <row r="947" spans="4:21">
      <c r="D947" s="81" t="str">
        <f t="shared" si="31"/>
        <v/>
      </c>
      <c r="E947" s="90" t="str">
        <f>IF(D947="","",D947+(COUNTIF(D$4:D947,D947)-1)*0.001)</f>
        <v/>
      </c>
      <c r="I947" s="81" t="str">
        <f t="shared" si="32"/>
        <v/>
      </c>
      <c r="J947" s="81" t="str">
        <f>IF(I947="","",I947+(COUNTIF(I$4:I947,I947)-1)*0.001)</f>
        <v/>
      </c>
      <c r="S947" s="202"/>
      <c r="U947" s="93"/>
    </row>
    <row r="948" spans="4:21">
      <c r="D948" s="81" t="str">
        <f t="shared" si="31"/>
        <v/>
      </c>
      <c r="E948" s="90" t="str">
        <f>IF(D948="","",D948+(COUNTIF(D$4:D948,D948)-1)*0.001)</f>
        <v/>
      </c>
      <c r="I948" s="81" t="str">
        <f t="shared" si="32"/>
        <v/>
      </c>
      <c r="J948" s="81" t="str">
        <f>IF(I948="","",I948+(COUNTIF(I$4:I948,I948)-1)*0.001)</f>
        <v/>
      </c>
      <c r="S948" s="202"/>
      <c r="U948" s="93"/>
    </row>
    <row r="949" spans="4:21">
      <c r="D949" s="81" t="str">
        <f t="shared" si="31"/>
        <v/>
      </c>
      <c r="E949" s="90" t="str">
        <f>IF(D949="","",D949+(COUNTIF(D$4:D949,D949)-1)*0.001)</f>
        <v/>
      </c>
      <c r="I949" s="81" t="str">
        <f t="shared" si="32"/>
        <v/>
      </c>
      <c r="J949" s="81" t="str">
        <f>IF(I949="","",I949+(COUNTIF(I$4:I949,I949)-1)*0.001)</f>
        <v/>
      </c>
      <c r="S949" s="202"/>
      <c r="U949" s="93"/>
    </row>
    <row r="950" spans="4:21">
      <c r="D950" s="81" t="str">
        <f t="shared" si="31"/>
        <v/>
      </c>
      <c r="E950" s="90" t="str">
        <f>IF(D950="","",D950+(COUNTIF(D$4:D950,D950)-1)*0.001)</f>
        <v/>
      </c>
      <c r="I950" s="81" t="str">
        <f t="shared" si="32"/>
        <v/>
      </c>
      <c r="J950" s="81" t="str">
        <f>IF(I950="","",I950+(COUNTIF(I$4:I950,I950)-1)*0.001)</f>
        <v/>
      </c>
      <c r="S950" s="202"/>
      <c r="U950" s="93"/>
    </row>
    <row r="951" spans="4:21">
      <c r="D951" s="81" t="str">
        <f t="shared" si="31"/>
        <v/>
      </c>
      <c r="E951" s="90" t="str">
        <f>IF(D951="","",D951+(COUNTIF(D$4:D951,D951)-1)*0.001)</f>
        <v/>
      </c>
      <c r="I951" s="81" t="str">
        <f t="shared" si="32"/>
        <v/>
      </c>
      <c r="J951" s="81" t="str">
        <f>IF(I951="","",I951+(COUNTIF(I$4:I951,I951)-1)*0.001)</f>
        <v/>
      </c>
      <c r="S951" s="202"/>
      <c r="U951" s="93"/>
    </row>
    <row r="952" spans="4:21">
      <c r="D952" s="81" t="str">
        <f t="shared" si="31"/>
        <v/>
      </c>
      <c r="E952" s="90" t="str">
        <f>IF(D952="","",D952+(COUNTIF(D$4:D952,D952)-1)*0.001)</f>
        <v/>
      </c>
      <c r="I952" s="81" t="str">
        <f t="shared" si="32"/>
        <v/>
      </c>
      <c r="J952" s="81" t="str">
        <f>IF(I952="","",I952+(COUNTIF(I$4:I952,I952)-1)*0.001)</f>
        <v/>
      </c>
      <c r="S952" s="202"/>
      <c r="U952" s="93"/>
    </row>
    <row r="953" spans="4:21">
      <c r="D953" s="81" t="str">
        <f t="shared" si="31"/>
        <v/>
      </c>
      <c r="E953" s="90" t="str">
        <f>IF(D953="","",D953+(COUNTIF(D$4:D953,D953)-1)*0.001)</f>
        <v/>
      </c>
      <c r="I953" s="81" t="str">
        <f t="shared" si="32"/>
        <v/>
      </c>
      <c r="J953" s="81" t="str">
        <f>IF(I953="","",I953+(COUNTIF(I$4:I953,I953)-1)*0.001)</f>
        <v/>
      </c>
      <c r="S953" s="202"/>
      <c r="U953" s="93"/>
    </row>
    <row r="954" spans="4:21">
      <c r="D954" s="81" t="str">
        <f t="shared" si="31"/>
        <v/>
      </c>
      <c r="E954" s="90" t="str">
        <f>IF(D954="","",D954+(COUNTIF(D$4:D954,D954)-1)*0.001)</f>
        <v/>
      </c>
      <c r="I954" s="81" t="str">
        <f t="shared" si="32"/>
        <v/>
      </c>
      <c r="J954" s="81" t="str">
        <f>IF(I954="","",I954+(COUNTIF(I$4:I954,I954)-1)*0.001)</f>
        <v/>
      </c>
      <c r="S954" s="202"/>
      <c r="U954" s="93"/>
    </row>
    <row r="955" spans="4:21">
      <c r="D955" s="81" t="str">
        <f t="shared" si="31"/>
        <v/>
      </c>
      <c r="E955" s="90" t="str">
        <f>IF(D955="","",D955+(COUNTIF(D$4:D955,D955)-1)*0.001)</f>
        <v/>
      </c>
      <c r="I955" s="81" t="str">
        <f t="shared" si="32"/>
        <v/>
      </c>
      <c r="J955" s="81" t="str">
        <f>IF(I955="","",I955+(COUNTIF(I$4:I955,I955)-1)*0.001)</f>
        <v/>
      </c>
      <c r="S955" s="202"/>
      <c r="U955" s="93"/>
    </row>
    <row r="956" spans="4:21">
      <c r="D956" s="81" t="str">
        <f t="shared" si="31"/>
        <v/>
      </c>
      <c r="E956" s="90" t="str">
        <f>IF(D956="","",D956+(COUNTIF(D$4:D956,D956)-1)*0.001)</f>
        <v/>
      </c>
      <c r="I956" s="81" t="str">
        <f t="shared" si="32"/>
        <v/>
      </c>
      <c r="J956" s="81" t="str">
        <f>IF(I956="","",I956+(COUNTIF(I$4:I956,I956)-1)*0.001)</f>
        <v/>
      </c>
      <c r="S956" s="202"/>
      <c r="U956" s="93"/>
    </row>
    <row r="957" spans="4:21">
      <c r="D957" s="81" t="str">
        <f t="shared" si="31"/>
        <v/>
      </c>
      <c r="E957" s="90" t="str">
        <f>IF(D957="","",D957+(COUNTIF(D$4:D957,D957)-1)*0.001)</f>
        <v/>
      </c>
      <c r="I957" s="81" t="str">
        <f t="shared" si="32"/>
        <v/>
      </c>
      <c r="J957" s="81" t="str">
        <f>IF(I957="","",I957+(COUNTIF(I$4:I957,I957)-1)*0.001)</f>
        <v/>
      </c>
      <c r="S957" s="202"/>
      <c r="U957" s="93"/>
    </row>
    <row r="958" spans="4:21">
      <c r="D958" s="81" t="str">
        <f t="shared" si="31"/>
        <v/>
      </c>
      <c r="E958" s="90" t="str">
        <f>IF(D958="","",D958+(COUNTIF(D$4:D958,D958)-1)*0.001)</f>
        <v/>
      </c>
      <c r="I958" s="81" t="str">
        <f t="shared" si="32"/>
        <v/>
      </c>
      <c r="J958" s="81" t="str">
        <f>IF(I958="","",I958+(COUNTIF(I$4:I958,I958)-1)*0.001)</f>
        <v/>
      </c>
      <c r="S958" s="202"/>
      <c r="U958" s="93"/>
    </row>
    <row r="959" spans="4:21">
      <c r="D959" s="81" t="str">
        <f t="shared" si="31"/>
        <v/>
      </c>
      <c r="E959" s="90" t="str">
        <f>IF(D959="","",D959+(COUNTIF(D$4:D959,D959)-1)*0.001)</f>
        <v/>
      </c>
      <c r="I959" s="81" t="str">
        <f t="shared" si="32"/>
        <v/>
      </c>
      <c r="J959" s="81" t="str">
        <f>IF(I959="","",I959+(COUNTIF(I$4:I959,I959)-1)*0.001)</f>
        <v/>
      </c>
      <c r="S959" s="202"/>
      <c r="U959" s="93"/>
    </row>
    <row r="960" spans="4:21">
      <c r="D960" s="81" t="str">
        <f t="shared" si="31"/>
        <v/>
      </c>
      <c r="E960" s="90" t="str">
        <f>IF(D960="","",D960+(COUNTIF(D$4:D960,D960)-1)*0.001)</f>
        <v/>
      </c>
      <c r="I960" s="81" t="str">
        <f t="shared" si="32"/>
        <v/>
      </c>
      <c r="J960" s="81" t="str">
        <f>IF(I960="","",I960+(COUNTIF(I$4:I960,I960)-1)*0.001)</f>
        <v/>
      </c>
      <c r="S960" s="202"/>
      <c r="U960" s="93"/>
    </row>
    <row r="961" spans="4:21">
      <c r="D961" s="81" t="str">
        <f t="shared" si="31"/>
        <v/>
      </c>
      <c r="E961" s="90" t="str">
        <f>IF(D961="","",D961+(COUNTIF(D$4:D961,D961)-1)*0.001)</f>
        <v/>
      </c>
      <c r="I961" s="81" t="str">
        <f t="shared" si="32"/>
        <v/>
      </c>
      <c r="J961" s="81" t="str">
        <f>IF(I961="","",I961+(COUNTIF(I$4:I961,I961)-1)*0.001)</f>
        <v/>
      </c>
      <c r="S961" s="202"/>
      <c r="U961" s="93"/>
    </row>
    <row r="962" spans="4:21">
      <c r="D962" s="81" t="str">
        <f t="shared" si="31"/>
        <v/>
      </c>
      <c r="E962" s="90" t="str">
        <f>IF(D962="","",D962+(COUNTIF(D$4:D962,D962)-1)*0.001)</f>
        <v/>
      </c>
      <c r="I962" s="81" t="str">
        <f t="shared" si="32"/>
        <v/>
      </c>
      <c r="J962" s="81" t="str">
        <f>IF(I962="","",I962+(COUNTIF(I$4:I962,I962)-1)*0.001)</f>
        <v/>
      </c>
      <c r="S962" s="202"/>
      <c r="U962" s="93"/>
    </row>
    <row r="963" spans="4:21">
      <c r="D963" s="81" t="str">
        <f t="shared" si="31"/>
        <v/>
      </c>
      <c r="E963" s="90" t="str">
        <f>IF(D963="","",D963+(COUNTIF(D$4:D963,D963)-1)*0.001)</f>
        <v/>
      </c>
      <c r="I963" s="81" t="str">
        <f t="shared" si="32"/>
        <v/>
      </c>
      <c r="J963" s="81" t="str">
        <f>IF(I963="","",I963+(COUNTIF(I$4:I963,I963)-1)*0.001)</f>
        <v/>
      </c>
      <c r="S963" s="202"/>
      <c r="U963" s="93"/>
    </row>
    <row r="964" spans="4:21">
      <c r="D964" s="81" t="str">
        <f t="shared" ref="D964:D1005" si="33">IF(A964="","",IFERROR(INDEX(收盤1,MATCH(A964,代號1,0)),IFERROR(INDEX(收盤2,MATCH(A964,代號2,0)),IFERROR(INDEX(收盤3,MATCH(A964,代號3,0)),INDEX(收盤4,MATCH(A964,代號4,0)))))*C964)</f>
        <v/>
      </c>
      <c r="E964" s="90" t="str">
        <f>IF(D964="","",D964+(COUNTIF(D$4:D964,D964)-1)*0.001)</f>
        <v/>
      </c>
      <c r="I964" s="81" t="str">
        <f t="shared" ref="I964:I1005" si="34">IF(F964="","",IFERROR(INDEX(收盤1,MATCH(F964,代號1,0)),IFERROR(INDEX(收盤2,MATCH(F964,代號2,0)),IFERROR(INDEX(收盤3,MATCH(F964,代號3,0)),INDEX(收盤4,MATCH(F964,代號4,0)))))*H964)</f>
        <v/>
      </c>
      <c r="J964" s="81" t="str">
        <f>IF(I964="","",I964+(COUNTIF(I$4:I964,I964)-1)*0.001)</f>
        <v/>
      </c>
      <c r="S964" s="202"/>
      <c r="U964" s="93"/>
    </row>
    <row r="965" spans="4:21">
      <c r="D965" s="81" t="str">
        <f t="shared" si="33"/>
        <v/>
      </c>
      <c r="E965" s="90" t="str">
        <f>IF(D965="","",D965+(COUNTIF(D$4:D965,D965)-1)*0.001)</f>
        <v/>
      </c>
      <c r="I965" s="81" t="str">
        <f t="shared" si="34"/>
        <v/>
      </c>
      <c r="J965" s="81" t="str">
        <f>IF(I965="","",I965+(COUNTIF(I$4:I965,I965)-1)*0.001)</f>
        <v/>
      </c>
      <c r="S965" s="202"/>
      <c r="U965" s="93"/>
    </row>
    <row r="966" spans="4:21">
      <c r="D966" s="81" t="str">
        <f t="shared" si="33"/>
        <v/>
      </c>
      <c r="E966" s="90" t="str">
        <f>IF(D966="","",D966+(COUNTIF(D$4:D966,D966)-1)*0.001)</f>
        <v/>
      </c>
      <c r="I966" s="81" t="str">
        <f t="shared" si="34"/>
        <v/>
      </c>
      <c r="J966" s="81" t="str">
        <f>IF(I966="","",I966+(COUNTIF(I$4:I966,I966)-1)*0.001)</f>
        <v/>
      </c>
      <c r="S966" s="202"/>
      <c r="U966" s="93"/>
    </row>
    <row r="967" spans="4:21">
      <c r="D967" s="81" t="str">
        <f t="shared" si="33"/>
        <v/>
      </c>
      <c r="E967" s="90" t="str">
        <f>IF(D967="","",D967+(COUNTIF(D$4:D967,D967)-1)*0.001)</f>
        <v/>
      </c>
      <c r="I967" s="81" t="str">
        <f t="shared" si="34"/>
        <v/>
      </c>
      <c r="J967" s="81" t="str">
        <f>IF(I967="","",I967+(COUNTIF(I$4:I967,I967)-1)*0.001)</f>
        <v/>
      </c>
      <c r="S967" s="202"/>
      <c r="U967" s="93"/>
    </row>
    <row r="968" spans="4:21">
      <c r="D968" s="81" t="str">
        <f t="shared" si="33"/>
        <v/>
      </c>
      <c r="E968" s="90" t="str">
        <f>IF(D968="","",D968+(COUNTIF(D$4:D968,D968)-1)*0.001)</f>
        <v/>
      </c>
      <c r="I968" s="81" t="str">
        <f t="shared" si="34"/>
        <v/>
      </c>
      <c r="J968" s="81" t="str">
        <f>IF(I968="","",I968+(COUNTIF(I$4:I968,I968)-1)*0.001)</f>
        <v/>
      </c>
      <c r="S968" s="202"/>
      <c r="U968" s="93"/>
    </row>
    <row r="969" spans="4:21">
      <c r="D969" s="81" t="str">
        <f t="shared" si="33"/>
        <v/>
      </c>
      <c r="E969" s="90" t="str">
        <f>IF(D969="","",D969+(COUNTIF(D$4:D969,D969)-1)*0.001)</f>
        <v/>
      </c>
      <c r="I969" s="81" t="str">
        <f t="shared" si="34"/>
        <v/>
      </c>
      <c r="J969" s="81" t="str">
        <f>IF(I969="","",I969+(COUNTIF(I$4:I969,I969)-1)*0.001)</f>
        <v/>
      </c>
      <c r="S969" s="202"/>
      <c r="U969" s="93"/>
    </row>
    <row r="970" spans="4:21">
      <c r="D970" s="81" t="str">
        <f t="shared" si="33"/>
        <v/>
      </c>
      <c r="E970" s="90" t="str">
        <f>IF(D970="","",D970+(COUNTIF(D$4:D970,D970)-1)*0.001)</f>
        <v/>
      </c>
      <c r="I970" s="81" t="str">
        <f t="shared" si="34"/>
        <v/>
      </c>
      <c r="J970" s="81" t="str">
        <f>IF(I970="","",I970+(COUNTIF(I$4:I970,I970)-1)*0.001)</f>
        <v/>
      </c>
      <c r="S970" s="202"/>
      <c r="U970" s="93"/>
    </row>
    <row r="971" spans="4:21">
      <c r="D971" s="81" t="str">
        <f t="shared" si="33"/>
        <v/>
      </c>
      <c r="E971" s="90" t="str">
        <f>IF(D971="","",D971+(COUNTIF(D$4:D971,D971)-1)*0.001)</f>
        <v/>
      </c>
      <c r="I971" s="81" t="str">
        <f t="shared" si="34"/>
        <v/>
      </c>
      <c r="J971" s="81" t="str">
        <f>IF(I971="","",I971+(COUNTIF(I$4:I971,I971)-1)*0.001)</f>
        <v/>
      </c>
      <c r="S971" s="202"/>
      <c r="U971" s="93"/>
    </row>
    <row r="972" spans="4:21">
      <c r="D972" s="81" t="str">
        <f t="shared" si="33"/>
        <v/>
      </c>
      <c r="E972" s="90" t="str">
        <f>IF(D972="","",D972+(COUNTIF(D$4:D972,D972)-1)*0.001)</f>
        <v/>
      </c>
      <c r="I972" s="81" t="str">
        <f t="shared" si="34"/>
        <v/>
      </c>
      <c r="J972" s="81" t="str">
        <f>IF(I972="","",I972+(COUNTIF(I$4:I972,I972)-1)*0.001)</f>
        <v/>
      </c>
      <c r="S972" s="202"/>
      <c r="U972" s="93"/>
    </row>
    <row r="973" spans="4:21">
      <c r="D973" s="81" t="str">
        <f t="shared" si="33"/>
        <v/>
      </c>
      <c r="E973" s="90" t="str">
        <f>IF(D973="","",D973+(COUNTIF(D$4:D973,D973)-1)*0.001)</f>
        <v/>
      </c>
      <c r="I973" s="81" t="str">
        <f t="shared" si="34"/>
        <v/>
      </c>
      <c r="J973" s="81" t="str">
        <f>IF(I973="","",I973+(COUNTIF(I$4:I973,I973)-1)*0.001)</f>
        <v/>
      </c>
      <c r="S973" s="202"/>
      <c r="U973" s="93"/>
    </row>
    <row r="974" spans="4:21">
      <c r="D974" s="81" t="str">
        <f t="shared" si="33"/>
        <v/>
      </c>
      <c r="E974" s="90" t="str">
        <f>IF(D974="","",D974+(COUNTIF(D$4:D974,D974)-1)*0.001)</f>
        <v/>
      </c>
      <c r="I974" s="81" t="str">
        <f t="shared" si="34"/>
        <v/>
      </c>
      <c r="J974" s="81" t="str">
        <f>IF(I974="","",I974+(COUNTIF(I$4:I974,I974)-1)*0.001)</f>
        <v/>
      </c>
      <c r="S974" s="202"/>
      <c r="U974" s="93"/>
    </row>
    <row r="975" spans="4:21">
      <c r="D975" s="81" t="str">
        <f t="shared" si="33"/>
        <v/>
      </c>
      <c r="E975" s="90" t="str">
        <f>IF(D975="","",D975+(COUNTIF(D$4:D975,D975)-1)*0.001)</f>
        <v/>
      </c>
      <c r="I975" s="81" t="str">
        <f t="shared" si="34"/>
        <v/>
      </c>
      <c r="J975" s="81" t="str">
        <f>IF(I975="","",I975+(COUNTIF(I$4:I975,I975)-1)*0.001)</f>
        <v/>
      </c>
      <c r="S975" s="202"/>
      <c r="U975" s="93"/>
    </row>
    <row r="976" spans="4:21">
      <c r="D976" s="81" t="str">
        <f t="shared" si="33"/>
        <v/>
      </c>
      <c r="E976" s="90" t="str">
        <f>IF(D976="","",D976+(COUNTIF(D$4:D976,D976)-1)*0.001)</f>
        <v/>
      </c>
      <c r="I976" s="81" t="str">
        <f t="shared" si="34"/>
        <v/>
      </c>
      <c r="J976" s="81" t="str">
        <f>IF(I976="","",I976+(COUNTIF(I$4:I976,I976)-1)*0.001)</f>
        <v/>
      </c>
      <c r="S976" s="202"/>
      <c r="U976" s="93"/>
    </row>
    <row r="977" spans="4:21">
      <c r="D977" s="81" t="str">
        <f t="shared" si="33"/>
        <v/>
      </c>
      <c r="E977" s="90" t="str">
        <f>IF(D977="","",D977+(COUNTIF(D$4:D977,D977)-1)*0.001)</f>
        <v/>
      </c>
      <c r="I977" s="81" t="str">
        <f t="shared" si="34"/>
        <v/>
      </c>
      <c r="J977" s="81" t="str">
        <f>IF(I977="","",I977+(COUNTIF(I$4:I977,I977)-1)*0.001)</f>
        <v/>
      </c>
      <c r="S977" s="202"/>
      <c r="U977" s="93"/>
    </row>
    <row r="978" spans="4:21">
      <c r="D978" s="81" t="str">
        <f t="shared" si="33"/>
        <v/>
      </c>
      <c r="E978" s="90" t="str">
        <f>IF(D978="","",D978+(COUNTIF(D$4:D978,D978)-1)*0.001)</f>
        <v/>
      </c>
      <c r="I978" s="81" t="str">
        <f t="shared" si="34"/>
        <v/>
      </c>
      <c r="J978" s="81" t="str">
        <f>IF(I978="","",I978+(COUNTIF(I$4:I978,I978)-1)*0.001)</f>
        <v/>
      </c>
      <c r="S978" s="202"/>
      <c r="U978" s="93"/>
    </row>
    <row r="979" spans="4:21">
      <c r="D979" s="81" t="str">
        <f t="shared" si="33"/>
        <v/>
      </c>
      <c r="E979" s="90" t="str">
        <f>IF(D979="","",D979+(COUNTIF(D$4:D979,D979)-1)*0.001)</f>
        <v/>
      </c>
      <c r="I979" s="81" t="str">
        <f t="shared" si="34"/>
        <v/>
      </c>
      <c r="J979" s="81" t="str">
        <f>IF(I979="","",I979+(COUNTIF(I$4:I979,I979)-1)*0.001)</f>
        <v/>
      </c>
      <c r="S979" s="202"/>
      <c r="U979" s="93"/>
    </row>
    <row r="980" spans="4:21">
      <c r="D980" s="81" t="str">
        <f t="shared" si="33"/>
        <v/>
      </c>
      <c r="E980" s="90" t="str">
        <f>IF(D980="","",D980+(COUNTIF(D$4:D980,D980)-1)*0.001)</f>
        <v/>
      </c>
      <c r="I980" s="81" t="str">
        <f t="shared" si="34"/>
        <v/>
      </c>
      <c r="J980" s="81" t="str">
        <f>IF(I980="","",I980+(COUNTIF(I$4:I980,I980)-1)*0.001)</f>
        <v/>
      </c>
      <c r="S980" s="202"/>
      <c r="U980" s="93"/>
    </row>
    <row r="981" spans="4:21">
      <c r="D981" s="81" t="str">
        <f t="shared" si="33"/>
        <v/>
      </c>
      <c r="E981" s="90" t="str">
        <f>IF(D981="","",D981+(COUNTIF(D$4:D981,D981)-1)*0.001)</f>
        <v/>
      </c>
      <c r="I981" s="81" t="str">
        <f t="shared" si="34"/>
        <v/>
      </c>
      <c r="J981" s="81" t="str">
        <f>IF(I981="","",I981+(COUNTIF(I$4:I981,I981)-1)*0.001)</f>
        <v/>
      </c>
      <c r="S981" s="202"/>
      <c r="U981" s="93"/>
    </row>
    <row r="982" spans="4:21">
      <c r="D982" s="81" t="str">
        <f t="shared" si="33"/>
        <v/>
      </c>
      <c r="E982" s="90" t="str">
        <f>IF(D982="","",D982+(COUNTIF(D$4:D982,D982)-1)*0.001)</f>
        <v/>
      </c>
      <c r="I982" s="81" t="str">
        <f t="shared" si="34"/>
        <v/>
      </c>
      <c r="J982" s="81" t="str">
        <f>IF(I982="","",I982+(COUNTIF(I$4:I982,I982)-1)*0.001)</f>
        <v/>
      </c>
      <c r="S982" s="202"/>
      <c r="U982" s="93"/>
    </row>
    <row r="983" spans="4:21">
      <c r="D983" s="81" t="str">
        <f t="shared" si="33"/>
        <v/>
      </c>
      <c r="E983" s="90" t="str">
        <f>IF(D983="","",D983+(COUNTIF(D$4:D983,D983)-1)*0.001)</f>
        <v/>
      </c>
      <c r="I983" s="81" t="str">
        <f t="shared" si="34"/>
        <v/>
      </c>
      <c r="J983" s="81" t="str">
        <f>IF(I983="","",I983+(COUNTIF(I$4:I983,I983)-1)*0.001)</f>
        <v/>
      </c>
      <c r="S983" s="202"/>
      <c r="U983" s="93"/>
    </row>
    <row r="984" spans="4:21">
      <c r="D984" s="81" t="str">
        <f t="shared" si="33"/>
        <v/>
      </c>
      <c r="E984" s="90" t="str">
        <f>IF(D984="","",D984+(COUNTIF(D$4:D984,D984)-1)*0.001)</f>
        <v/>
      </c>
      <c r="I984" s="81" t="str">
        <f t="shared" si="34"/>
        <v/>
      </c>
      <c r="J984" s="81" t="str">
        <f>IF(I984="","",I984+(COUNTIF(I$4:I984,I984)-1)*0.001)</f>
        <v/>
      </c>
      <c r="S984" s="202"/>
      <c r="U984" s="93"/>
    </row>
    <row r="985" spans="4:21">
      <c r="D985" s="81" t="str">
        <f t="shared" si="33"/>
        <v/>
      </c>
      <c r="E985" s="90" t="str">
        <f>IF(D985="","",D985+(COUNTIF(D$4:D985,D985)-1)*0.001)</f>
        <v/>
      </c>
      <c r="I985" s="81" t="str">
        <f t="shared" si="34"/>
        <v/>
      </c>
      <c r="J985" s="81" t="str">
        <f>IF(I985="","",I985+(COUNTIF(I$4:I985,I985)-1)*0.001)</f>
        <v/>
      </c>
      <c r="S985" s="202"/>
      <c r="U985" s="93"/>
    </row>
    <row r="986" spans="4:21">
      <c r="D986" s="81" t="str">
        <f t="shared" si="33"/>
        <v/>
      </c>
      <c r="E986" s="90" t="str">
        <f>IF(D986="","",D986+(COUNTIF(D$4:D986,D986)-1)*0.001)</f>
        <v/>
      </c>
      <c r="I986" s="81" t="str">
        <f t="shared" si="34"/>
        <v/>
      </c>
      <c r="J986" s="81" t="str">
        <f>IF(I986="","",I986+(COUNTIF(I$4:I986,I986)-1)*0.001)</f>
        <v/>
      </c>
      <c r="S986" s="202"/>
      <c r="U986" s="93"/>
    </row>
    <row r="987" spans="4:21">
      <c r="D987" s="81" t="str">
        <f t="shared" si="33"/>
        <v/>
      </c>
      <c r="E987" s="90" t="str">
        <f>IF(D987="","",D987+(COUNTIF(D$4:D987,D987)-1)*0.001)</f>
        <v/>
      </c>
      <c r="I987" s="81" t="str">
        <f t="shared" si="34"/>
        <v/>
      </c>
      <c r="J987" s="81" t="str">
        <f>IF(I987="","",I987+(COUNTIF(I$4:I987,I987)-1)*0.001)</f>
        <v/>
      </c>
      <c r="S987" s="202"/>
      <c r="U987" s="93"/>
    </row>
    <row r="988" spans="4:21">
      <c r="D988" s="81" t="str">
        <f t="shared" si="33"/>
        <v/>
      </c>
      <c r="E988" s="90" t="str">
        <f>IF(D988="","",D988+(COUNTIF(D$4:D988,D988)-1)*0.001)</f>
        <v/>
      </c>
      <c r="I988" s="81" t="str">
        <f t="shared" si="34"/>
        <v/>
      </c>
      <c r="J988" s="81" t="str">
        <f>IF(I988="","",I988+(COUNTIF(I$4:I988,I988)-1)*0.001)</f>
        <v/>
      </c>
      <c r="S988" s="202"/>
      <c r="U988" s="93"/>
    </row>
    <row r="989" spans="4:21">
      <c r="D989" s="81" t="str">
        <f t="shared" si="33"/>
        <v/>
      </c>
      <c r="E989" s="90" t="str">
        <f>IF(D989="","",D989+(COUNTIF(D$4:D989,D989)-1)*0.001)</f>
        <v/>
      </c>
      <c r="I989" s="81" t="str">
        <f t="shared" si="34"/>
        <v/>
      </c>
      <c r="J989" s="81" t="str">
        <f>IF(I989="","",I989+(COUNTIF(I$4:I989,I989)-1)*0.001)</f>
        <v/>
      </c>
      <c r="S989" s="202"/>
      <c r="U989" s="93"/>
    </row>
    <row r="990" spans="4:21">
      <c r="D990" s="81" t="str">
        <f t="shared" si="33"/>
        <v/>
      </c>
      <c r="E990" s="90" t="str">
        <f>IF(D990="","",D990+(COUNTIF(D$4:D990,D990)-1)*0.001)</f>
        <v/>
      </c>
      <c r="I990" s="81" t="str">
        <f t="shared" si="34"/>
        <v/>
      </c>
      <c r="J990" s="81" t="str">
        <f>IF(I990="","",I990+(COUNTIF(I$4:I990,I990)-1)*0.001)</f>
        <v/>
      </c>
      <c r="S990" s="202"/>
      <c r="U990" s="93"/>
    </row>
    <row r="991" spans="4:21">
      <c r="D991" s="81" t="str">
        <f t="shared" si="33"/>
        <v/>
      </c>
      <c r="E991" s="90" t="str">
        <f>IF(D991="","",D991+(COUNTIF(D$4:D991,D991)-1)*0.001)</f>
        <v/>
      </c>
      <c r="I991" s="81" t="str">
        <f t="shared" si="34"/>
        <v/>
      </c>
      <c r="J991" s="81" t="str">
        <f>IF(I991="","",I991+(COUNTIF(I$4:I991,I991)-1)*0.001)</f>
        <v/>
      </c>
      <c r="S991" s="202"/>
      <c r="U991" s="93"/>
    </row>
    <row r="992" spans="4:21">
      <c r="D992" s="81" t="str">
        <f t="shared" si="33"/>
        <v/>
      </c>
      <c r="E992" s="90" t="str">
        <f>IF(D992="","",D992+(COUNTIF(D$4:D992,D992)-1)*0.001)</f>
        <v/>
      </c>
      <c r="I992" s="81" t="str">
        <f t="shared" si="34"/>
        <v/>
      </c>
      <c r="J992" s="81" t="str">
        <f>IF(I992="","",I992+(COUNTIF(I$4:I992,I992)-1)*0.001)</f>
        <v/>
      </c>
      <c r="S992" s="202"/>
      <c r="U992" s="93"/>
    </row>
    <row r="993" spans="1:21">
      <c r="D993" s="81" t="str">
        <f t="shared" si="33"/>
        <v/>
      </c>
      <c r="E993" s="90" t="str">
        <f>IF(D993="","",D993+(COUNTIF(D$4:D993,D993)-1)*0.001)</f>
        <v/>
      </c>
      <c r="I993" s="81" t="str">
        <f t="shared" si="34"/>
        <v/>
      </c>
      <c r="J993" s="81" t="str">
        <f>IF(I993="","",I993+(COUNTIF(I$4:I993,I993)-1)*0.001)</f>
        <v/>
      </c>
      <c r="S993" s="202"/>
      <c r="U993" s="93"/>
    </row>
    <row r="994" spans="1:21">
      <c r="D994" s="81" t="str">
        <f t="shared" si="33"/>
        <v/>
      </c>
      <c r="E994" s="90" t="str">
        <f>IF(D994="","",D994+(COUNTIF(D$4:D994,D994)-1)*0.001)</f>
        <v/>
      </c>
      <c r="I994" s="81" t="str">
        <f t="shared" si="34"/>
        <v/>
      </c>
      <c r="J994" s="81" t="str">
        <f>IF(I994="","",I994+(COUNTIF(I$4:I994,I994)-1)*0.001)</f>
        <v/>
      </c>
      <c r="S994" s="202"/>
      <c r="U994" s="93"/>
    </row>
    <row r="995" spans="1:21">
      <c r="D995" s="81" t="str">
        <f t="shared" si="33"/>
        <v/>
      </c>
      <c r="E995" s="90" t="str">
        <f>IF(D995="","",D995+(COUNTIF(D$4:D995,D995)-1)*0.001)</f>
        <v/>
      </c>
      <c r="I995" s="81" t="str">
        <f t="shared" si="34"/>
        <v/>
      </c>
      <c r="J995" s="81" t="str">
        <f>IF(I995="","",I995+(COUNTIF(I$4:I995,I995)-1)*0.001)</f>
        <v/>
      </c>
      <c r="S995" s="202"/>
      <c r="U995" s="93"/>
    </row>
    <row r="996" spans="1:21">
      <c r="D996" s="81" t="str">
        <f t="shared" si="33"/>
        <v/>
      </c>
      <c r="E996" s="90" t="str">
        <f>IF(D996="","",D996+(COUNTIF(D$4:D996,D996)-1)*0.001)</f>
        <v/>
      </c>
      <c r="I996" s="81" t="str">
        <f t="shared" si="34"/>
        <v/>
      </c>
      <c r="J996" s="81" t="str">
        <f>IF(I996="","",I996+(COUNTIF(I$4:I996,I996)-1)*0.001)</f>
        <v/>
      </c>
      <c r="S996" s="202"/>
      <c r="U996" s="93"/>
    </row>
    <row r="997" spans="1:21">
      <c r="D997" s="81" t="str">
        <f t="shared" si="33"/>
        <v/>
      </c>
      <c r="E997" s="90" t="str">
        <f>IF(D997="","",D997+(COUNTIF(D$4:D997,D997)-1)*0.001)</f>
        <v/>
      </c>
      <c r="I997" s="81" t="str">
        <f t="shared" si="34"/>
        <v/>
      </c>
      <c r="J997" s="81" t="str">
        <f>IF(I997="","",I997+(COUNTIF(I$4:I997,I997)-1)*0.001)</f>
        <v/>
      </c>
      <c r="S997" s="202"/>
      <c r="U997" s="93"/>
    </row>
    <row r="998" spans="1:21">
      <c r="D998" s="81" t="str">
        <f t="shared" si="33"/>
        <v/>
      </c>
      <c r="E998" s="90" t="str">
        <f>IF(D998="","",D998+(COUNTIF(D$4:D998,D998)-1)*0.001)</f>
        <v/>
      </c>
      <c r="I998" s="81" t="str">
        <f t="shared" si="34"/>
        <v/>
      </c>
      <c r="J998" s="81" t="str">
        <f>IF(I998="","",I998+(COUNTIF(I$4:I998,I998)-1)*0.001)</f>
        <v/>
      </c>
      <c r="S998" s="202"/>
      <c r="U998" s="93"/>
    </row>
    <row r="999" spans="1:21">
      <c r="D999" s="81" t="str">
        <f t="shared" si="33"/>
        <v/>
      </c>
      <c r="E999" s="90" t="str">
        <f>IF(D999="","",D999+(COUNTIF(D$4:D999,D999)-1)*0.001)</f>
        <v/>
      </c>
      <c r="I999" s="81" t="str">
        <f t="shared" si="34"/>
        <v/>
      </c>
      <c r="J999" s="81" t="str">
        <f>IF(I999="","",I999+(COUNTIF(I$4:I999,I999)-1)*0.001)</f>
        <v/>
      </c>
      <c r="S999" s="202"/>
      <c r="U999" s="93"/>
    </row>
    <row r="1000" spans="1:21">
      <c r="D1000" s="81" t="str">
        <f t="shared" si="33"/>
        <v/>
      </c>
      <c r="E1000" s="90" t="str">
        <f>IF(D1000="","",D1000+(COUNTIF(D$4:D1000,D1000)-1)*0.001)</f>
        <v/>
      </c>
      <c r="I1000" s="81" t="str">
        <f t="shared" si="34"/>
        <v/>
      </c>
      <c r="J1000" s="81" t="str">
        <f>IF(I1000="","",I1000+(COUNTIF(I$4:I1000,I1000)-1)*0.001)</f>
        <v/>
      </c>
      <c r="S1000" s="202"/>
      <c r="U1000" s="93"/>
    </row>
    <row r="1001" spans="1:21">
      <c r="D1001" s="81" t="str">
        <f t="shared" si="33"/>
        <v/>
      </c>
      <c r="E1001" s="90" t="str">
        <f>IF(D1001="","",D1001+(COUNTIF(D$4:D1001,D1001)-1)*0.001)</f>
        <v/>
      </c>
      <c r="I1001" s="81" t="str">
        <f t="shared" si="34"/>
        <v/>
      </c>
      <c r="J1001" s="81" t="str">
        <f>IF(I1001="","",I1001+(COUNTIF(I$4:I1001,I1001)-1)*0.001)</f>
        <v/>
      </c>
      <c r="S1001" s="202"/>
      <c r="U1001" s="93"/>
    </row>
    <row r="1002" spans="1:21">
      <c r="A1002" s="82"/>
      <c r="B1002" s="82"/>
      <c r="C1002" s="82"/>
      <c r="D1002" s="81" t="str">
        <f t="shared" si="33"/>
        <v/>
      </c>
      <c r="E1002" s="90" t="str">
        <f>IF(D1002="","",D1002+(COUNTIF(D$4:D1002,D1002)-1)*0.001)</f>
        <v/>
      </c>
      <c r="F1002" s="191"/>
      <c r="G1002" s="82"/>
      <c r="H1002" s="82"/>
      <c r="I1002" s="81" t="str">
        <f t="shared" si="34"/>
        <v/>
      </c>
      <c r="J1002" s="81" t="str">
        <f>IF(I1002="","",I1002+(COUNTIF(I$4:I1002,I1002)-1)*0.001)</f>
        <v/>
      </c>
      <c r="S1002" s="202"/>
      <c r="U1002" s="93"/>
    </row>
    <row r="1003" spans="1:21">
      <c r="D1003" s="81" t="str">
        <f t="shared" si="33"/>
        <v/>
      </c>
      <c r="E1003" s="90" t="str">
        <f>IF(D1003="","",D1003+(COUNTIF(D$4:D1003,D1003)-1)*0.001)</f>
        <v/>
      </c>
      <c r="I1003" s="81" t="str">
        <f t="shared" si="34"/>
        <v/>
      </c>
      <c r="J1003" s="81" t="str">
        <f>IF(I1003="","",I1003+(COUNTIF(I$4:I1003,I1003)-1)*0.001)</f>
        <v/>
      </c>
      <c r="S1003" s="202"/>
      <c r="U1003" s="93"/>
    </row>
    <row r="1004" spans="1:21">
      <c r="D1004" s="81" t="str">
        <f t="shared" si="33"/>
        <v/>
      </c>
      <c r="E1004" s="90" t="str">
        <f>IF(D1004="","",D1004+(COUNTIF(D$4:D1004,D1004)-1)*0.001)</f>
        <v/>
      </c>
      <c r="I1004" s="81" t="str">
        <f t="shared" si="34"/>
        <v/>
      </c>
      <c r="J1004" s="81" t="str">
        <f>IF(I1004="","",I1004+(COUNTIF(I$4:I1004,I1004)-1)*0.001)</f>
        <v/>
      </c>
      <c r="S1004" s="202"/>
      <c r="U1004" s="93"/>
    </row>
    <row r="1005" spans="1:21">
      <c r="D1005" s="81" t="str">
        <f t="shared" si="33"/>
        <v/>
      </c>
      <c r="E1005" s="90" t="str">
        <f>IF(D1005="","",D1005+(COUNTIF(D$4:D1005,D1005)-1)*0.001)</f>
        <v/>
      </c>
      <c r="I1005" s="81" t="str">
        <f t="shared" si="34"/>
        <v/>
      </c>
      <c r="J1005" s="81" t="str">
        <f>IF(I1005="","",I1005+(COUNTIF(I$4:I1005,I1005)-1)*0.001)</f>
        <v/>
      </c>
      <c r="S1005" s="208" t="s">
        <v>2807</v>
      </c>
      <c r="T1005" s="91" t="s">
        <v>2807</v>
      </c>
      <c r="U1005" s="93"/>
    </row>
    <row r="1006" spans="1:21">
      <c r="A1006" s="82" t="s">
        <v>2807</v>
      </c>
      <c r="B1006" s="82" t="s">
        <v>2807</v>
      </c>
      <c r="C1006" s="82" t="s">
        <v>2807</v>
      </c>
      <c r="D1006" s="82" t="s">
        <v>2807</v>
      </c>
      <c r="E1006" s="82" t="s">
        <v>2807</v>
      </c>
      <c r="F1006" s="191" t="s">
        <v>2807</v>
      </c>
      <c r="G1006" s="82" t="s">
        <v>2807</v>
      </c>
      <c r="H1006" s="82" t="s">
        <v>2807</v>
      </c>
      <c r="I1006" s="82" t="s">
        <v>2807</v>
      </c>
      <c r="J1006" s="81" t="s">
        <v>2807</v>
      </c>
      <c r="U1006" s="94"/>
    </row>
  </sheetData>
  <sortState xmlns:xlrd2="http://schemas.microsoft.com/office/spreadsheetml/2017/richdata2" ref="P4:R12">
    <sortCondition ref="P4:P12"/>
  </sortState>
  <phoneticPr fontId="3" type="noConversion"/>
  <pageMargins left="0.7" right="0.7" top="0.75" bottom="0.75" header="0.3" footer="0.3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9" tint="0.79998168889431442"/>
  </sheetPr>
  <dimension ref="A1:K29"/>
  <sheetViews>
    <sheetView zoomScale="115" zoomScaleNormal="115" workbookViewId="0">
      <selection activeCell="H5" sqref="H5"/>
    </sheetView>
  </sheetViews>
  <sheetFormatPr defaultColWidth="8.75" defaultRowHeight="16.5"/>
  <cols>
    <col min="1" max="1" width="15.625" style="311" bestFit="1" customWidth="1"/>
    <col min="2" max="4" width="15.625" style="312" customWidth="1"/>
    <col min="5" max="5" width="15.625" style="313" customWidth="1"/>
    <col min="6" max="6" width="15.625" style="284" customWidth="1"/>
    <col min="7" max="8" width="15.625" style="312" customWidth="1"/>
    <col min="9" max="9" width="15.625" style="284" customWidth="1"/>
    <col min="10" max="10" width="80.625" style="313" customWidth="1"/>
    <col min="11" max="11" width="50.75" style="74" customWidth="1"/>
    <col min="12" max="12" width="8.75" style="2"/>
    <col min="13" max="13" width="9.5" style="2" bestFit="1" customWidth="1"/>
    <col min="14" max="16384" width="8.75" style="2"/>
  </cols>
  <sheetData>
    <row r="1" spans="1:11" s="75" customFormat="1" ht="30" customHeight="1">
      <c r="A1" s="302" t="s">
        <v>3053</v>
      </c>
      <c r="B1" s="303" t="s">
        <v>3054</v>
      </c>
      <c r="C1" s="303" t="s">
        <v>3055</v>
      </c>
      <c r="D1" s="303" t="s">
        <v>3056</v>
      </c>
      <c r="E1" s="303" t="s">
        <v>3057</v>
      </c>
      <c r="F1" s="343" t="s">
        <v>3097</v>
      </c>
      <c r="G1" s="343" t="s">
        <v>3098</v>
      </c>
      <c r="H1" s="343" t="s">
        <v>3099</v>
      </c>
      <c r="I1" s="304" t="s">
        <v>3058</v>
      </c>
      <c r="J1" s="305" t="s">
        <v>3059</v>
      </c>
    </row>
    <row r="2" spans="1:11">
      <c r="A2" s="306">
        <v>44476</v>
      </c>
      <c r="B2" s="307">
        <v>900000</v>
      </c>
      <c r="C2" s="307">
        <v>100000</v>
      </c>
      <c r="D2" s="308">
        <v>100000</v>
      </c>
      <c r="E2" s="308">
        <v>210000</v>
      </c>
      <c r="F2" s="308">
        <v>270000</v>
      </c>
      <c r="G2" s="308">
        <v>120000</v>
      </c>
      <c r="H2" s="308">
        <v>50000</v>
      </c>
      <c r="I2" s="309">
        <f>SUM(明細[[#This Row],[非長期部位-現股]:[現金-其他增減]])</f>
        <v>1750000</v>
      </c>
      <c r="J2" s="310"/>
      <c r="K2" s="2"/>
    </row>
    <row r="3" spans="1:11">
      <c r="A3" s="306">
        <v>44507</v>
      </c>
      <c r="B3" s="307">
        <v>1000000</v>
      </c>
      <c r="C3" s="307">
        <v>100000</v>
      </c>
      <c r="D3" s="308">
        <v>240000</v>
      </c>
      <c r="E3" s="308">
        <v>210000</v>
      </c>
      <c r="F3" s="308">
        <v>600000</v>
      </c>
      <c r="G3" s="308">
        <v>-150000</v>
      </c>
      <c r="H3" s="308">
        <v>100000</v>
      </c>
      <c r="I3" s="309">
        <f>SUM(明細[[#This Row],[非長期部位-現股]:[現金-其他增減]])</f>
        <v>2100000</v>
      </c>
      <c r="J3" s="310"/>
      <c r="K3" s="73"/>
    </row>
    <row r="4" spans="1:11">
      <c r="A4" s="306">
        <v>44535</v>
      </c>
      <c r="B4" s="307">
        <v>850000</v>
      </c>
      <c r="C4" s="307">
        <v>50000</v>
      </c>
      <c r="D4" s="308">
        <v>170000</v>
      </c>
      <c r="E4" s="308">
        <v>210000</v>
      </c>
      <c r="F4" s="308">
        <v>850000</v>
      </c>
      <c r="G4" s="308">
        <v>-410000</v>
      </c>
      <c r="H4" s="308">
        <v>150000</v>
      </c>
      <c r="I4" s="309">
        <f>SUM(明細[[#This Row],[非長期部位-現股]:[現金-其他增減]])</f>
        <v>1870000</v>
      </c>
      <c r="J4" s="323"/>
      <c r="K4" s="73"/>
    </row>
    <row r="5" spans="1:11">
      <c r="A5" s="306">
        <v>44558</v>
      </c>
      <c r="B5" s="307">
        <v>890200</v>
      </c>
      <c r="C5" s="307">
        <v>50000</v>
      </c>
      <c r="D5" s="308">
        <v>137500</v>
      </c>
      <c r="E5" s="308">
        <v>210000</v>
      </c>
      <c r="F5" s="308">
        <v>500000</v>
      </c>
      <c r="G5" s="308">
        <v>0</v>
      </c>
      <c r="H5" s="308">
        <v>200000</v>
      </c>
      <c r="I5" s="309">
        <f>SUM(明細[[#This Row],[非長期部位-現股]:[現金-其他增減]])</f>
        <v>1987700</v>
      </c>
      <c r="J5" s="310"/>
    </row>
    <row r="6" spans="1:11">
      <c r="A6" s="306"/>
      <c r="B6" s="307"/>
      <c r="C6" s="307"/>
      <c r="D6" s="308"/>
      <c r="E6" s="308"/>
      <c r="F6" s="308"/>
      <c r="G6" s="308"/>
      <c r="H6" s="308"/>
      <c r="I6" s="309"/>
      <c r="J6" s="310"/>
    </row>
    <row r="7" spans="1:11">
      <c r="A7" s="306"/>
      <c r="B7" s="307"/>
      <c r="C7" s="307"/>
      <c r="D7" s="308"/>
      <c r="E7" s="308"/>
      <c r="F7" s="308"/>
      <c r="G7" s="308"/>
      <c r="H7" s="308"/>
      <c r="I7" s="309"/>
      <c r="J7" s="310"/>
    </row>
    <row r="8" spans="1:11">
      <c r="A8" s="306"/>
      <c r="B8" s="307"/>
      <c r="C8" s="307"/>
      <c r="D8" s="308"/>
      <c r="E8" s="308"/>
      <c r="F8" s="308"/>
      <c r="G8" s="308"/>
      <c r="H8" s="308"/>
      <c r="I8" s="309"/>
      <c r="J8" s="310"/>
    </row>
    <row r="9" spans="1:11">
      <c r="A9" s="306"/>
      <c r="B9" s="307"/>
      <c r="C9" s="307"/>
      <c r="D9" s="308"/>
      <c r="E9" s="308"/>
      <c r="F9" s="308"/>
      <c r="G9" s="308"/>
      <c r="H9" s="308"/>
      <c r="I9" s="309"/>
      <c r="J9" s="310"/>
    </row>
    <row r="10" spans="1:11">
      <c r="A10" s="306"/>
      <c r="B10" s="307"/>
      <c r="C10" s="307"/>
      <c r="D10" s="308"/>
      <c r="E10" s="308"/>
      <c r="F10" s="308"/>
      <c r="G10" s="308"/>
      <c r="H10" s="308"/>
      <c r="I10" s="309"/>
      <c r="J10" s="310"/>
    </row>
    <row r="11" spans="1:11">
      <c r="A11" s="306"/>
      <c r="B11" s="307"/>
      <c r="C11" s="307"/>
      <c r="D11" s="308"/>
      <c r="E11" s="308"/>
      <c r="F11" s="308"/>
      <c r="G11" s="308"/>
      <c r="H11" s="308"/>
      <c r="I11" s="309"/>
      <c r="J11" s="310"/>
    </row>
    <row r="12" spans="1:11">
      <c r="A12" s="306"/>
      <c r="B12" s="307"/>
      <c r="C12" s="307"/>
      <c r="D12" s="308"/>
      <c r="E12" s="308"/>
      <c r="F12" s="308"/>
      <c r="G12" s="308"/>
      <c r="H12" s="308"/>
      <c r="I12" s="309"/>
      <c r="J12" s="323"/>
    </row>
    <row r="13" spans="1:11">
      <c r="A13" s="306"/>
      <c r="B13" s="307"/>
      <c r="C13" s="307"/>
      <c r="D13" s="308"/>
      <c r="E13" s="308"/>
      <c r="F13" s="308"/>
      <c r="G13" s="308"/>
      <c r="H13" s="308"/>
      <c r="I13" s="309"/>
      <c r="J13" s="323"/>
    </row>
    <row r="14" spans="1:11">
      <c r="A14" s="306"/>
      <c r="B14" s="307"/>
      <c r="C14" s="307"/>
      <c r="D14" s="308"/>
      <c r="E14" s="308"/>
      <c r="F14" s="308"/>
      <c r="G14" s="308"/>
      <c r="H14" s="308"/>
      <c r="I14" s="309"/>
      <c r="J14" s="323"/>
    </row>
    <row r="15" spans="1:11">
      <c r="A15" s="306"/>
      <c r="B15" s="307"/>
      <c r="C15" s="307"/>
      <c r="D15" s="308"/>
      <c r="E15" s="308"/>
      <c r="F15" s="308"/>
      <c r="G15" s="308"/>
      <c r="H15" s="308"/>
      <c r="I15" s="309"/>
      <c r="J15" s="310"/>
    </row>
    <row r="16" spans="1:11" s="341" customFormat="1">
      <c r="A16" s="338"/>
      <c r="B16" s="339"/>
      <c r="C16" s="339"/>
      <c r="D16" s="339"/>
      <c r="E16" s="339"/>
      <c r="F16" s="339"/>
      <c r="G16" s="339"/>
      <c r="H16" s="339"/>
      <c r="I16" s="339"/>
      <c r="J16" s="339"/>
      <c r="K16" s="340"/>
    </row>
    <row r="17" spans="1:11" s="341" customFormat="1">
      <c r="A17" s="338"/>
      <c r="B17" s="339"/>
      <c r="C17" s="339"/>
      <c r="D17" s="339"/>
      <c r="E17" s="339"/>
      <c r="F17" s="339"/>
      <c r="G17" s="339"/>
      <c r="H17" s="339"/>
      <c r="I17" s="339"/>
      <c r="J17" s="339"/>
      <c r="K17" s="340"/>
    </row>
    <row r="18" spans="1:11" s="341" customFormat="1">
      <c r="A18" s="345">
        <v>44551</v>
      </c>
      <c r="B18" s="339">
        <v>100</v>
      </c>
      <c r="C18" s="339" t="s">
        <v>3126</v>
      </c>
      <c r="D18" s="339"/>
      <c r="E18" s="339"/>
      <c r="F18" s="339"/>
      <c r="G18" s="339"/>
      <c r="H18" s="339"/>
      <c r="I18" s="339"/>
      <c r="J18" s="339"/>
      <c r="K18" s="340"/>
    </row>
    <row r="19" spans="1:11" s="341" customFormat="1" ht="19.5">
      <c r="A19" s="345"/>
      <c r="B19" s="339"/>
      <c r="C19" s="339"/>
      <c r="D19" s="342" t="s">
        <v>3112</v>
      </c>
      <c r="E19" s="344" t="s">
        <v>3104</v>
      </c>
      <c r="F19" s="351" t="s">
        <v>3090</v>
      </c>
      <c r="G19" s="351"/>
      <c r="H19" s="351"/>
      <c r="I19" s="351"/>
      <c r="J19" s="339"/>
      <c r="K19" s="340"/>
    </row>
    <row r="20" spans="1:11" s="341" customFormat="1" ht="47.25">
      <c r="A20" s="345" t="s">
        <v>3125</v>
      </c>
      <c r="B20" s="339">
        <v>2</v>
      </c>
      <c r="C20" s="346" t="s">
        <v>3128</v>
      </c>
      <c r="D20" s="335" t="s">
        <v>3111</v>
      </c>
      <c r="E20" s="335" t="s">
        <v>3108</v>
      </c>
      <c r="F20" s="335" t="s">
        <v>3091</v>
      </c>
      <c r="G20" s="335"/>
      <c r="H20" s="335" t="s">
        <v>3092</v>
      </c>
      <c r="I20" s="335"/>
      <c r="J20" s="339"/>
      <c r="K20" s="340"/>
    </row>
    <row r="21" spans="1:11" s="341" customFormat="1">
      <c r="A21" s="345">
        <v>44552</v>
      </c>
      <c r="B21" s="339">
        <v>98</v>
      </c>
      <c r="C21" s="339" t="s">
        <v>3127</v>
      </c>
      <c r="D21" s="335" t="s">
        <v>3113</v>
      </c>
      <c r="E21" s="335" t="s">
        <v>3109</v>
      </c>
      <c r="F21" s="335" t="s">
        <v>3100</v>
      </c>
      <c r="G21" s="335"/>
      <c r="H21" s="335" t="s">
        <v>3093</v>
      </c>
      <c r="I21" s="335"/>
      <c r="J21" s="335"/>
      <c r="K21" s="340"/>
    </row>
    <row r="22" spans="1:11" s="341" customFormat="1">
      <c r="A22" s="345"/>
      <c r="B22" s="339"/>
      <c r="C22" s="339"/>
      <c r="D22" s="335" t="s">
        <v>3114</v>
      </c>
      <c r="E22" s="335" t="s">
        <v>3106</v>
      </c>
      <c r="F22" s="335" t="s">
        <v>3095</v>
      </c>
      <c r="G22" s="335"/>
      <c r="H22" s="335" t="s">
        <v>3094</v>
      </c>
      <c r="I22" s="335"/>
      <c r="J22" s="335"/>
      <c r="K22" s="340"/>
    </row>
    <row r="23" spans="1:11" s="341" customFormat="1">
      <c r="A23" s="345"/>
      <c r="B23" s="339"/>
      <c r="C23" s="339"/>
      <c r="D23" s="335" t="s">
        <v>3115</v>
      </c>
      <c r="E23" s="335" t="s">
        <v>3105</v>
      </c>
      <c r="F23" s="335" t="s">
        <v>3096</v>
      </c>
      <c r="G23" s="335"/>
      <c r="H23" s="335"/>
      <c r="I23" s="335"/>
      <c r="J23" s="335"/>
      <c r="K23" s="340"/>
    </row>
    <row r="24" spans="1:11">
      <c r="A24" s="345"/>
      <c r="D24" s="335"/>
      <c r="E24" s="335" t="s">
        <v>3110</v>
      </c>
      <c r="F24" s="335" t="s">
        <v>3103</v>
      </c>
      <c r="G24" s="335"/>
      <c r="H24" s="335"/>
      <c r="I24" s="335"/>
      <c r="J24" s="335"/>
    </row>
    <row r="25" spans="1:11">
      <c r="A25" s="345" t="s">
        <v>3129</v>
      </c>
      <c r="D25" s="335"/>
      <c r="E25" s="335"/>
      <c r="F25" s="335" t="s">
        <v>3101</v>
      </c>
      <c r="G25" s="335"/>
      <c r="H25" s="335" t="s">
        <v>3107</v>
      </c>
      <c r="I25" s="335"/>
      <c r="J25" s="335" t="s">
        <v>3102</v>
      </c>
    </row>
    <row r="26" spans="1:11">
      <c r="A26" s="345">
        <v>44216</v>
      </c>
      <c r="D26" s="335"/>
      <c r="E26" s="335"/>
      <c r="F26" s="335"/>
      <c r="G26" s="335"/>
      <c r="H26" s="335"/>
      <c r="I26" s="335"/>
      <c r="J26" s="335"/>
    </row>
    <row r="27" spans="1:11">
      <c r="D27" s="335"/>
      <c r="E27" s="335"/>
      <c r="F27" s="335"/>
      <c r="G27" s="335"/>
      <c r="H27" s="337"/>
      <c r="I27" s="337"/>
      <c r="J27" s="336"/>
    </row>
    <row r="28" spans="1:11">
      <c r="E28" s="335"/>
      <c r="F28" s="335"/>
      <c r="G28" s="335"/>
      <c r="H28" s="337"/>
      <c r="I28" s="337"/>
      <c r="J28" s="336"/>
    </row>
    <row r="29" spans="1:11">
      <c r="E29" s="335"/>
      <c r="F29" s="335"/>
      <c r="G29" s="335"/>
      <c r="H29" s="337"/>
      <c r="I29" s="337"/>
      <c r="J29" s="336"/>
    </row>
  </sheetData>
  <dataConsolidate/>
  <mergeCells count="1">
    <mergeCell ref="F19:I19"/>
  </mergeCells>
  <phoneticPr fontId="3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DBDAB-5CCB-4E26-9D2F-26D62D7DBA42}">
  <sheetPr codeName="工作表8">
    <tabColor theme="9" tint="0.39997558519241921"/>
  </sheetPr>
  <dimension ref="A1"/>
  <sheetViews>
    <sheetView workbookViewId="0">
      <selection activeCell="F23" sqref="F23"/>
    </sheetView>
  </sheetViews>
  <sheetFormatPr defaultRowHeight="16.5"/>
  <sheetData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9" tint="0.39997558519241921"/>
  </sheetPr>
  <dimension ref="D1:M91"/>
  <sheetViews>
    <sheetView zoomScaleNormal="100" workbookViewId="0">
      <selection activeCell="H34" sqref="H34"/>
    </sheetView>
  </sheetViews>
  <sheetFormatPr defaultRowHeight="16.5"/>
  <cols>
    <col min="1" max="3" width="8.625" customWidth="1"/>
    <col min="4" max="4" width="9" style="14" bestFit="1" customWidth="1"/>
    <col min="5" max="6" width="7.5" style="15" bestFit="1" customWidth="1"/>
    <col min="7" max="7" width="9" style="17" bestFit="1" customWidth="1"/>
    <col min="8" max="11" width="10.625" style="16" customWidth="1"/>
    <col min="12" max="12" width="16.25" style="1" bestFit="1" customWidth="1"/>
    <col min="13" max="13" width="10.625" customWidth="1"/>
    <col min="14" max="14" width="8.625" customWidth="1"/>
    <col min="15" max="16" width="10.625" customWidth="1"/>
    <col min="17" max="17" width="7.75" bestFit="1" customWidth="1"/>
    <col min="18" max="18" width="11" bestFit="1" customWidth="1"/>
    <col min="19" max="19" width="7.75" bestFit="1" customWidth="1"/>
    <col min="20" max="20" width="11" bestFit="1" customWidth="1"/>
    <col min="21" max="21" width="7.75" bestFit="1" customWidth="1"/>
    <col min="22" max="22" width="11" bestFit="1" customWidth="1"/>
    <col min="23" max="23" width="7.75" bestFit="1" customWidth="1"/>
    <col min="24" max="24" width="11" bestFit="1" customWidth="1"/>
    <col min="25" max="25" width="7.75" bestFit="1" customWidth="1"/>
    <col min="26" max="26" width="11" bestFit="1" customWidth="1"/>
    <col min="27" max="27" width="7.75" bestFit="1" customWidth="1"/>
    <col min="28" max="28" width="11" bestFit="1" customWidth="1"/>
    <col min="29" max="29" width="7.75" bestFit="1" customWidth="1"/>
    <col min="30" max="30" width="11" bestFit="1" customWidth="1"/>
    <col min="31" max="31" width="7.75" bestFit="1" customWidth="1"/>
    <col min="32" max="32" width="11" bestFit="1" customWidth="1"/>
    <col min="33" max="33" width="7.75" bestFit="1" customWidth="1"/>
    <col min="34" max="34" width="11" bestFit="1" customWidth="1"/>
    <col min="35" max="35" width="7.75" bestFit="1" customWidth="1"/>
    <col min="36" max="36" width="11" bestFit="1" customWidth="1"/>
    <col min="37" max="37" width="7.75" bestFit="1" customWidth="1"/>
    <col min="38" max="38" width="11" bestFit="1" customWidth="1"/>
    <col min="39" max="39" width="7.75" bestFit="1" customWidth="1"/>
    <col min="40" max="40" width="11" bestFit="1" customWidth="1"/>
    <col min="41" max="41" width="7.75" bestFit="1" customWidth="1"/>
    <col min="42" max="42" width="11" bestFit="1" customWidth="1"/>
    <col min="43" max="43" width="7.75" bestFit="1" customWidth="1"/>
    <col min="44" max="44" width="11" bestFit="1" customWidth="1"/>
    <col min="45" max="45" width="7.75" bestFit="1" customWidth="1"/>
    <col min="46" max="46" width="11" bestFit="1" customWidth="1"/>
    <col min="47" max="47" width="7.75" bestFit="1" customWidth="1"/>
    <col min="48" max="48" width="11" bestFit="1" customWidth="1"/>
    <col min="49" max="49" width="7.75" bestFit="1" customWidth="1"/>
    <col min="50" max="50" width="11" bestFit="1" customWidth="1"/>
    <col min="51" max="51" width="7.75" bestFit="1" customWidth="1"/>
    <col min="52" max="52" width="11" bestFit="1" customWidth="1"/>
    <col min="53" max="53" width="7.75" bestFit="1" customWidth="1"/>
    <col min="54" max="54" width="11" bestFit="1" customWidth="1"/>
    <col min="55" max="55" width="7.75" bestFit="1" customWidth="1"/>
    <col min="56" max="56" width="11" bestFit="1" customWidth="1"/>
    <col min="57" max="57" width="7.75" bestFit="1" customWidth="1"/>
    <col min="58" max="58" width="11" bestFit="1" customWidth="1"/>
    <col min="59" max="59" width="7.75" bestFit="1" customWidth="1"/>
    <col min="60" max="60" width="11" bestFit="1" customWidth="1"/>
    <col min="61" max="61" width="7.75" bestFit="1" customWidth="1"/>
    <col min="62" max="62" width="11" bestFit="1" customWidth="1"/>
    <col min="63" max="63" width="7.75" bestFit="1" customWidth="1"/>
    <col min="64" max="64" width="11" bestFit="1" customWidth="1"/>
    <col min="65" max="65" width="7.75" bestFit="1" customWidth="1"/>
    <col min="66" max="66" width="11" bestFit="1" customWidth="1"/>
    <col min="67" max="67" width="7.75" bestFit="1" customWidth="1"/>
    <col min="68" max="68" width="11" bestFit="1" customWidth="1"/>
    <col min="69" max="69" width="7.75" bestFit="1" customWidth="1"/>
    <col min="70" max="70" width="11" bestFit="1" customWidth="1"/>
    <col min="71" max="71" width="7.75" bestFit="1" customWidth="1"/>
    <col min="72" max="72" width="11" bestFit="1" customWidth="1"/>
    <col min="73" max="73" width="7.75" bestFit="1" customWidth="1"/>
    <col min="74" max="74" width="11" bestFit="1" customWidth="1"/>
    <col min="75" max="75" width="7.75" bestFit="1" customWidth="1"/>
    <col min="76" max="76" width="11" bestFit="1" customWidth="1"/>
    <col min="77" max="77" width="7.75" bestFit="1" customWidth="1"/>
    <col min="78" max="78" width="11" bestFit="1" customWidth="1"/>
    <col min="79" max="79" width="7.75" bestFit="1" customWidth="1"/>
    <col min="80" max="80" width="11" bestFit="1" customWidth="1"/>
    <col min="81" max="81" width="7.75" bestFit="1" customWidth="1"/>
    <col min="82" max="82" width="11" bestFit="1" customWidth="1"/>
    <col min="83" max="83" width="7.75" bestFit="1" customWidth="1"/>
    <col min="84" max="84" width="11" bestFit="1" customWidth="1"/>
    <col min="85" max="85" width="7.75" bestFit="1" customWidth="1"/>
    <col min="86" max="86" width="11" bestFit="1" customWidth="1"/>
    <col min="87" max="87" width="7.75" bestFit="1" customWidth="1"/>
    <col min="88" max="88" width="11" bestFit="1" customWidth="1"/>
    <col min="89" max="89" width="7.75" bestFit="1" customWidth="1"/>
    <col min="90" max="90" width="11" bestFit="1" customWidth="1"/>
    <col min="91" max="91" width="7.75" bestFit="1" customWidth="1"/>
    <col min="92" max="92" width="11" bestFit="1" customWidth="1"/>
    <col min="93" max="93" width="7.75" bestFit="1" customWidth="1"/>
    <col min="94" max="94" width="11" bestFit="1" customWidth="1"/>
    <col min="95" max="95" width="7.75" bestFit="1" customWidth="1"/>
    <col min="96" max="96" width="11" bestFit="1" customWidth="1"/>
    <col min="97" max="97" width="7.75" bestFit="1" customWidth="1"/>
    <col min="98" max="98" width="11" bestFit="1" customWidth="1"/>
    <col min="99" max="99" width="7.75" bestFit="1" customWidth="1"/>
    <col min="100" max="100" width="11" bestFit="1" customWidth="1"/>
    <col min="101" max="101" width="7.75" bestFit="1" customWidth="1"/>
    <col min="102" max="102" width="11" bestFit="1" customWidth="1"/>
    <col min="103" max="103" width="7.75" bestFit="1" customWidth="1"/>
    <col min="104" max="104" width="11" bestFit="1" customWidth="1"/>
    <col min="105" max="105" width="7.75" bestFit="1" customWidth="1"/>
    <col min="106" max="106" width="11" bestFit="1" customWidth="1"/>
    <col min="107" max="107" width="7.75" bestFit="1" customWidth="1"/>
    <col min="108" max="108" width="11" bestFit="1" customWidth="1"/>
    <col min="109" max="109" width="7.75" bestFit="1" customWidth="1"/>
    <col min="110" max="110" width="11" bestFit="1" customWidth="1"/>
    <col min="111" max="111" width="7.75" bestFit="1" customWidth="1"/>
    <col min="112" max="112" width="11" bestFit="1" customWidth="1"/>
    <col min="113" max="113" width="7.75" bestFit="1" customWidth="1"/>
    <col min="114" max="114" width="11" bestFit="1" customWidth="1"/>
    <col min="115" max="115" width="7.75" bestFit="1" customWidth="1"/>
    <col min="116" max="116" width="11" bestFit="1" customWidth="1"/>
    <col min="117" max="117" width="7.75" bestFit="1" customWidth="1"/>
    <col min="118" max="118" width="11" bestFit="1" customWidth="1"/>
    <col min="119" max="119" width="7.75" bestFit="1" customWidth="1"/>
    <col min="120" max="120" width="11" bestFit="1" customWidth="1"/>
    <col min="121" max="121" width="7.75" bestFit="1" customWidth="1"/>
    <col min="122" max="122" width="11" bestFit="1" customWidth="1"/>
    <col min="123" max="123" width="7.75" bestFit="1" customWidth="1"/>
    <col min="124" max="124" width="11" bestFit="1" customWidth="1"/>
    <col min="125" max="125" width="7.75" bestFit="1" customWidth="1"/>
    <col min="126" max="126" width="11" bestFit="1" customWidth="1"/>
    <col min="127" max="127" width="7.75" bestFit="1" customWidth="1"/>
    <col min="128" max="128" width="11" bestFit="1" customWidth="1"/>
    <col min="129" max="129" width="7.75" bestFit="1" customWidth="1"/>
    <col min="130" max="130" width="11" bestFit="1" customWidth="1"/>
    <col min="131" max="131" width="8" bestFit="1" customWidth="1"/>
    <col min="132" max="132" width="7.75" bestFit="1" customWidth="1"/>
    <col min="133" max="133" width="9.75" bestFit="1" customWidth="1"/>
    <col min="134" max="134" width="16.875" bestFit="1" customWidth="1"/>
    <col min="135" max="136" width="23" bestFit="1" customWidth="1"/>
    <col min="137" max="138" width="16.875" bestFit="1" customWidth="1"/>
    <col min="139" max="140" width="23" bestFit="1" customWidth="1"/>
    <col min="141" max="142" width="16.875" bestFit="1" customWidth="1"/>
    <col min="143" max="144" width="23" bestFit="1" customWidth="1"/>
    <col min="145" max="146" width="16.875" bestFit="1" customWidth="1"/>
    <col min="147" max="148" width="23" bestFit="1" customWidth="1"/>
    <col min="149" max="150" width="16.875" bestFit="1" customWidth="1"/>
    <col min="151" max="152" width="23" bestFit="1" customWidth="1"/>
    <col min="153" max="154" width="16.875" bestFit="1" customWidth="1"/>
    <col min="155" max="156" width="23" bestFit="1" customWidth="1"/>
    <col min="157" max="158" width="16.875" bestFit="1" customWidth="1"/>
    <col min="159" max="160" width="23" bestFit="1" customWidth="1"/>
    <col min="161" max="162" width="16.875" bestFit="1" customWidth="1"/>
    <col min="163" max="164" width="23" bestFit="1" customWidth="1"/>
    <col min="165" max="166" width="16.875" bestFit="1" customWidth="1"/>
    <col min="167" max="168" width="23" bestFit="1" customWidth="1"/>
    <col min="169" max="170" width="16.875" bestFit="1" customWidth="1"/>
    <col min="171" max="172" width="23" bestFit="1" customWidth="1"/>
    <col min="173" max="174" width="16.875" bestFit="1" customWidth="1"/>
    <col min="175" max="176" width="23" bestFit="1" customWidth="1"/>
    <col min="177" max="178" width="16.875" bestFit="1" customWidth="1"/>
    <col min="179" max="180" width="23" bestFit="1" customWidth="1"/>
    <col min="181" max="182" width="16.875" bestFit="1" customWidth="1"/>
    <col min="183" max="184" width="23" bestFit="1" customWidth="1"/>
    <col min="185" max="186" width="16.875" bestFit="1" customWidth="1"/>
    <col min="187" max="188" width="23" bestFit="1" customWidth="1"/>
    <col min="189" max="190" width="16.875" bestFit="1" customWidth="1"/>
    <col min="191" max="192" width="23" bestFit="1" customWidth="1"/>
    <col min="193" max="194" width="16.875" bestFit="1" customWidth="1"/>
    <col min="195" max="196" width="23" bestFit="1" customWidth="1"/>
    <col min="197" max="198" width="16.875" bestFit="1" customWidth="1"/>
    <col min="199" max="200" width="23" bestFit="1" customWidth="1"/>
    <col min="201" max="202" width="16.875" bestFit="1" customWidth="1"/>
    <col min="203" max="204" width="23" bestFit="1" customWidth="1"/>
    <col min="205" max="206" width="16.875" bestFit="1" customWidth="1"/>
    <col min="207" max="208" width="23" bestFit="1" customWidth="1"/>
    <col min="209" max="210" width="16.875" bestFit="1" customWidth="1"/>
    <col min="211" max="212" width="23" bestFit="1" customWidth="1"/>
    <col min="213" max="214" width="16.875" bestFit="1" customWidth="1"/>
    <col min="215" max="216" width="23" bestFit="1" customWidth="1"/>
    <col min="217" max="218" width="16.875" bestFit="1" customWidth="1"/>
    <col min="219" max="220" width="23" bestFit="1" customWidth="1"/>
    <col min="221" max="222" width="16.875" bestFit="1" customWidth="1"/>
    <col min="223" max="224" width="23" bestFit="1" customWidth="1"/>
    <col min="225" max="226" width="16.875" bestFit="1" customWidth="1"/>
    <col min="227" max="228" width="23" bestFit="1" customWidth="1"/>
    <col min="229" max="230" width="16.875" bestFit="1" customWidth="1"/>
    <col min="231" max="232" width="23" bestFit="1" customWidth="1"/>
    <col min="233" max="234" width="16.875" bestFit="1" customWidth="1"/>
    <col min="235" max="236" width="23" bestFit="1" customWidth="1"/>
    <col min="237" max="238" width="16.875" bestFit="1" customWidth="1"/>
    <col min="239" max="240" width="23" bestFit="1" customWidth="1"/>
    <col min="241" max="242" width="16.875" bestFit="1" customWidth="1"/>
    <col min="243" max="244" width="23" bestFit="1" customWidth="1"/>
    <col min="245" max="246" width="16.875" bestFit="1" customWidth="1"/>
    <col min="247" max="248" width="23" bestFit="1" customWidth="1"/>
    <col min="249" max="250" width="16.875" bestFit="1" customWidth="1"/>
    <col min="251" max="252" width="23" bestFit="1" customWidth="1"/>
    <col min="253" max="254" width="16.875" bestFit="1" customWidth="1"/>
    <col min="255" max="256" width="23" bestFit="1" customWidth="1"/>
    <col min="257" max="258" width="16.875" bestFit="1" customWidth="1"/>
    <col min="259" max="260" width="23" bestFit="1" customWidth="1"/>
    <col min="261" max="264" width="16.875" bestFit="1" customWidth="1"/>
    <col min="265" max="266" width="21.75" bestFit="1" customWidth="1"/>
    <col min="267" max="267" width="16.875" bestFit="1" customWidth="1"/>
    <col min="268" max="268" width="14.25" bestFit="1" customWidth="1"/>
    <col min="269" max="270" width="23" bestFit="1" customWidth="1"/>
    <col min="271" max="271" width="9.25" bestFit="1" customWidth="1"/>
    <col min="272" max="273" width="16.875" bestFit="1" customWidth="1"/>
    <col min="274" max="274" width="14.25" bestFit="1" customWidth="1"/>
    <col min="275" max="276" width="23" bestFit="1" customWidth="1"/>
    <col min="277" max="277" width="9.25" bestFit="1" customWidth="1"/>
    <col min="278" max="279" width="16.875" bestFit="1" customWidth="1"/>
    <col min="280" max="280" width="14.25" bestFit="1" customWidth="1"/>
    <col min="281" max="282" width="23" bestFit="1" customWidth="1"/>
    <col min="283" max="283" width="8.375" bestFit="1" customWidth="1"/>
    <col min="284" max="285" width="16.875" bestFit="1" customWidth="1"/>
    <col min="286" max="286" width="14.25" bestFit="1" customWidth="1"/>
    <col min="287" max="288" width="23" bestFit="1" customWidth="1"/>
    <col min="289" max="289" width="8.375" bestFit="1" customWidth="1"/>
    <col min="290" max="291" width="16.875" bestFit="1" customWidth="1"/>
    <col min="292" max="292" width="14.25" bestFit="1" customWidth="1"/>
    <col min="293" max="294" width="23" bestFit="1" customWidth="1"/>
    <col min="295" max="295" width="8.375" bestFit="1" customWidth="1"/>
    <col min="296" max="297" width="16.875" bestFit="1" customWidth="1"/>
    <col min="298" max="298" width="14.25" bestFit="1" customWidth="1"/>
    <col min="299" max="300" width="23" bestFit="1" customWidth="1"/>
    <col min="301" max="301" width="9.25" bestFit="1" customWidth="1"/>
    <col min="302" max="303" width="16.875" bestFit="1" customWidth="1"/>
    <col min="304" max="304" width="14.25" bestFit="1" customWidth="1"/>
    <col min="305" max="306" width="23" bestFit="1" customWidth="1"/>
    <col min="307" max="307" width="8.375" bestFit="1" customWidth="1"/>
    <col min="308" max="309" width="16.875" bestFit="1" customWidth="1"/>
    <col min="310" max="310" width="14.25" bestFit="1" customWidth="1"/>
    <col min="311" max="312" width="23" bestFit="1" customWidth="1"/>
    <col min="313" max="313" width="9.25" bestFit="1" customWidth="1"/>
    <col min="314" max="315" width="16.875" bestFit="1" customWidth="1"/>
    <col min="316" max="316" width="14.25" bestFit="1" customWidth="1"/>
    <col min="317" max="318" width="23" bestFit="1" customWidth="1"/>
    <col min="319" max="319" width="9.25" bestFit="1" customWidth="1"/>
    <col min="320" max="321" width="16.875" bestFit="1" customWidth="1"/>
    <col min="322" max="322" width="14.25" bestFit="1" customWidth="1"/>
    <col min="323" max="324" width="23" bestFit="1" customWidth="1"/>
    <col min="325" max="325" width="9.25" bestFit="1" customWidth="1"/>
    <col min="326" max="327" width="16.875" bestFit="1" customWidth="1"/>
    <col min="328" max="328" width="14.25" bestFit="1" customWidth="1"/>
    <col min="329" max="330" width="23" bestFit="1" customWidth="1"/>
    <col min="331" max="331" width="9.25" bestFit="1" customWidth="1"/>
    <col min="332" max="333" width="16.875" bestFit="1" customWidth="1"/>
    <col min="334" max="334" width="14.25" bestFit="1" customWidth="1"/>
    <col min="335" max="336" width="23" bestFit="1" customWidth="1"/>
    <col min="337" max="337" width="8.375" bestFit="1" customWidth="1"/>
    <col min="338" max="339" width="16.875" bestFit="1" customWidth="1"/>
    <col min="340" max="340" width="14.25" bestFit="1" customWidth="1"/>
    <col min="341" max="342" width="23" bestFit="1" customWidth="1"/>
    <col min="343" max="343" width="9.25" bestFit="1" customWidth="1"/>
    <col min="344" max="345" width="16.875" bestFit="1" customWidth="1"/>
    <col min="346" max="346" width="14.25" bestFit="1" customWidth="1"/>
    <col min="347" max="348" width="23" bestFit="1" customWidth="1"/>
    <col min="349" max="349" width="9.25" bestFit="1" customWidth="1"/>
    <col min="350" max="351" width="16.875" bestFit="1" customWidth="1"/>
    <col min="352" max="352" width="14.25" bestFit="1" customWidth="1"/>
    <col min="353" max="354" width="23" bestFit="1" customWidth="1"/>
    <col min="355" max="355" width="9.25" bestFit="1" customWidth="1"/>
    <col min="356" max="357" width="16.875" bestFit="1" customWidth="1"/>
    <col min="358" max="358" width="14.25" bestFit="1" customWidth="1"/>
    <col min="359" max="360" width="23" bestFit="1" customWidth="1"/>
    <col min="361" max="361" width="9.25" bestFit="1" customWidth="1"/>
    <col min="362" max="363" width="16.875" bestFit="1" customWidth="1"/>
    <col min="364" max="364" width="14.25" bestFit="1" customWidth="1"/>
    <col min="365" max="366" width="23" bestFit="1" customWidth="1"/>
    <col min="367" max="367" width="9.25" bestFit="1" customWidth="1"/>
    <col min="368" max="369" width="16.875" bestFit="1" customWidth="1"/>
    <col min="370" max="370" width="14.25" bestFit="1" customWidth="1"/>
    <col min="371" max="372" width="23" bestFit="1" customWidth="1"/>
    <col min="373" max="373" width="8.375" bestFit="1" customWidth="1"/>
    <col min="374" max="375" width="16.875" bestFit="1" customWidth="1"/>
    <col min="376" max="376" width="14.25" bestFit="1" customWidth="1"/>
    <col min="377" max="378" width="23" bestFit="1" customWidth="1"/>
    <col min="379" max="379" width="9.25" bestFit="1" customWidth="1"/>
    <col min="380" max="381" width="16.875" bestFit="1" customWidth="1"/>
    <col min="382" max="382" width="14.25" bestFit="1" customWidth="1"/>
    <col min="383" max="384" width="23" bestFit="1" customWidth="1"/>
    <col min="385" max="385" width="9.25" bestFit="1" customWidth="1"/>
    <col min="386" max="387" width="16.875" bestFit="1" customWidth="1"/>
    <col min="388" max="388" width="14.25" bestFit="1" customWidth="1"/>
    <col min="389" max="390" width="23" bestFit="1" customWidth="1"/>
    <col min="391" max="391" width="9.25" bestFit="1" customWidth="1"/>
    <col min="392" max="393" width="16.875" bestFit="1" customWidth="1"/>
    <col min="394" max="394" width="8.375" bestFit="1" customWidth="1"/>
    <col min="395" max="396" width="16.875" bestFit="1" customWidth="1"/>
    <col min="397" max="397" width="13.25" bestFit="1" customWidth="1"/>
    <col min="398" max="399" width="21.75" bestFit="1" customWidth="1"/>
  </cols>
  <sheetData>
    <row r="1" spans="4:13">
      <c r="D1" s="267" t="s">
        <v>0</v>
      </c>
      <c r="E1" s="268" t="s">
        <v>2815</v>
      </c>
      <c r="F1" s="268" t="s">
        <v>2814</v>
      </c>
      <c r="G1" s="268" t="s">
        <v>2813</v>
      </c>
      <c r="H1"/>
      <c r="I1"/>
      <c r="J1"/>
      <c r="K1"/>
    </row>
    <row r="2" spans="4:13">
      <c r="D2" s="266">
        <v>44476</v>
      </c>
      <c r="E2" s="269">
        <v>440000</v>
      </c>
      <c r="F2" s="269">
        <v>310000</v>
      </c>
      <c r="G2" s="269">
        <v>1000000</v>
      </c>
      <c r="H2"/>
      <c r="I2"/>
      <c r="J2"/>
      <c r="K2"/>
    </row>
    <row r="3" spans="4:13">
      <c r="D3" s="266">
        <v>44507</v>
      </c>
      <c r="E3" s="269">
        <v>550000</v>
      </c>
      <c r="F3" s="269">
        <v>450000</v>
      </c>
      <c r="G3" s="269">
        <v>1100000</v>
      </c>
      <c r="H3"/>
      <c r="I3"/>
      <c r="J3"/>
      <c r="K3"/>
    </row>
    <row r="4" spans="4:13">
      <c r="D4" s="266">
        <v>44535</v>
      </c>
      <c r="E4" s="269">
        <v>590000</v>
      </c>
      <c r="F4" s="269">
        <v>380000</v>
      </c>
      <c r="G4" s="269">
        <v>900000</v>
      </c>
      <c r="H4"/>
      <c r="I4"/>
      <c r="J4"/>
      <c r="K4"/>
    </row>
    <row r="5" spans="4:13">
      <c r="D5" s="266">
        <v>44558</v>
      </c>
      <c r="E5" s="269">
        <v>700000</v>
      </c>
      <c r="F5" s="269">
        <v>347500</v>
      </c>
      <c r="G5" s="269">
        <v>940200</v>
      </c>
      <c r="H5"/>
      <c r="I5"/>
      <c r="J5"/>
      <c r="K5"/>
    </row>
    <row r="6" spans="4:13">
      <c r="D6"/>
      <c r="E6"/>
      <c r="F6"/>
      <c r="G6"/>
      <c r="H6"/>
      <c r="I6"/>
      <c r="J6"/>
      <c r="K6"/>
    </row>
    <row r="7" spans="4:13">
      <c r="D7"/>
      <c r="E7"/>
      <c r="F7"/>
      <c r="G7"/>
      <c r="H7"/>
      <c r="I7"/>
      <c r="J7"/>
      <c r="K7"/>
    </row>
    <row r="8" spans="4:13">
      <c r="D8"/>
      <c r="E8"/>
      <c r="F8"/>
      <c r="G8"/>
      <c r="H8"/>
      <c r="I8"/>
      <c r="J8"/>
      <c r="K8"/>
    </row>
    <row r="9" spans="4:13">
      <c r="D9"/>
      <c r="E9"/>
      <c r="F9"/>
      <c r="G9"/>
      <c r="H9"/>
      <c r="I9"/>
      <c r="J9"/>
      <c r="K9"/>
    </row>
    <row r="10" spans="4:13">
      <c r="D10"/>
      <c r="E10"/>
      <c r="F10"/>
      <c r="G10"/>
      <c r="H10"/>
      <c r="I10"/>
      <c r="J10"/>
      <c r="K10"/>
      <c r="L10" s="12" t="s">
        <v>41</v>
      </c>
      <c r="M10" s="12" t="s">
        <v>42</v>
      </c>
    </row>
    <row r="11" spans="4:13">
      <c r="D11"/>
      <c r="E11"/>
      <c r="F11"/>
      <c r="G11"/>
      <c r="H11"/>
      <c r="I11"/>
      <c r="J11"/>
      <c r="K11"/>
      <c r="L11" s="13">
        <f>MIN($D:$D)</f>
        <v>44476</v>
      </c>
      <c r="M11" s="108">
        <f>INDEX(明細資產總值,MATCH(L11,明細日期,0),)</f>
        <v>1750000</v>
      </c>
    </row>
    <row r="12" spans="4:13">
      <c r="D12"/>
      <c r="E12"/>
      <c r="F12"/>
      <c r="G12"/>
      <c r="H12"/>
      <c r="I12"/>
      <c r="J12"/>
      <c r="K12"/>
      <c r="L12" s="12" t="s">
        <v>43</v>
      </c>
      <c r="M12" s="12" t="s">
        <v>44</v>
      </c>
    </row>
    <row r="13" spans="4:13">
      <c r="D13"/>
      <c r="E13"/>
      <c r="F13"/>
      <c r="G13"/>
      <c r="H13"/>
      <c r="I13"/>
      <c r="J13"/>
      <c r="K13"/>
      <c r="L13" s="13">
        <f>MAX($D:$D)</f>
        <v>44558</v>
      </c>
      <c r="M13" s="108">
        <f>INDEX(明細資產總值,MATCH(L13,明細日期,0),)</f>
        <v>1987700</v>
      </c>
    </row>
    <row r="14" spans="4:13">
      <c r="D14"/>
      <c r="E14"/>
      <c r="F14"/>
      <c r="G14"/>
      <c r="H14"/>
      <c r="I14"/>
      <c r="J14"/>
      <c r="K14"/>
      <c r="L14" s="4"/>
      <c r="M14" s="1"/>
    </row>
    <row r="15" spans="4:13">
      <c r="D15"/>
      <c r="E15"/>
      <c r="F15"/>
      <c r="G15"/>
      <c r="H15"/>
      <c r="I15"/>
      <c r="J15"/>
      <c r="K15"/>
      <c r="L15" s="12" t="s">
        <v>2816</v>
      </c>
      <c r="M15" s="108">
        <f>M13-M11</f>
        <v>237700</v>
      </c>
    </row>
    <row r="16" spans="4:13">
      <c r="D16"/>
      <c r="E16"/>
      <c r="F16"/>
      <c r="G16"/>
      <c r="H16"/>
      <c r="I16"/>
      <c r="J16"/>
      <c r="K16"/>
      <c r="L16" s="12" t="s">
        <v>2817</v>
      </c>
      <c r="M16" s="71">
        <f>M13/M11-1</f>
        <v>0.13582857142857141</v>
      </c>
    </row>
    <row r="17" spans="4:13">
      <c r="D17"/>
      <c r="E17"/>
      <c r="F17"/>
      <c r="G17"/>
      <c r="H17"/>
      <c r="I17"/>
      <c r="J17"/>
      <c r="K17"/>
      <c r="L17" s="12" t="s">
        <v>2818</v>
      </c>
      <c r="M17" s="71">
        <f>M16*360/(L13-L11)</f>
        <v>0.59632055749128909</v>
      </c>
    </row>
    <row r="18" spans="4:13">
      <c r="D18"/>
      <c r="E18"/>
      <c r="F18"/>
      <c r="G18"/>
      <c r="H18"/>
      <c r="I18"/>
      <c r="J18"/>
      <c r="K18"/>
      <c r="L18" s="109" t="s">
        <v>2836</v>
      </c>
    </row>
    <row r="19" spans="4:13">
      <c r="D19"/>
      <c r="E19"/>
      <c r="F19"/>
      <c r="G19"/>
      <c r="H19"/>
      <c r="I19"/>
      <c r="J19"/>
      <c r="K19"/>
      <c r="L19"/>
    </row>
    <row r="20" spans="4:13">
      <c r="D20"/>
      <c r="E20"/>
      <c r="F20"/>
      <c r="G20"/>
      <c r="H20"/>
      <c r="I20"/>
      <c r="J20"/>
      <c r="K20"/>
      <c r="L20"/>
    </row>
    <row r="21" spans="4:13">
      <c r="D21"/>
      <c r="E21"/>
      <c r="F21"/>
      <c r="G21"/>
      <c r="H21"/>
      <c r="I21"/>
      <c r="J21"/>
      <c r="K21"/>
      <c r="L21"/>
    </row>
    <row r="22" spans="4:13">
      <c r="D22"/>
      <c r="E22"/>
      <c r="F22"/>
      <c r="G22"/>
      <c r="H22"/>
      <c r="I22"/>
      <c r="J22"/>
      <c r="K22"/>
      <c r="L22"/>
    </row>
    <row r="23" spans="4:13">
      <c r="D23"/>
      <c r="E23"/>
      <c r="F23"/>
      <c r="G23"/>
      <c r="H23"/>
      <c r="I23"/>
      <c r="J23"/>
      <c r="K23"/>
      <c r="L23"/>
    </row>
    <row r="24" spans="4:13">
      <c r="D24"/>
      <c r="E24"/>
      <c r="F24"/>
      <c r="G24"/>
      <c r="H24"/>
      <c r="I24"/>
      <c r="J24"/>
      <c r="K24"/>
      <c r="L24"/>
    </row>
    <row r="25" spans="4:13">
      <c r="D25"/>
      <c r="E25"/>
      <c r="F25"/>
      <c r="G25"/>
      <c r="H25"/>
      <c r="I25"/>
      <c r="J25"/>
      <c r="K25"/>
      <c r="L25"/>
    </row>
    <row r="26" spans="4:13">
      <c r="D26"/>
      <c r="E26"/>
      <c r="F26"/>
      <c r="G26"/>
      <c r="H26"/>
      <c r="I26"/>
      <c r="J26"/>
      <c r="K26"/>
      <c r="L26"/>
    </row>
    <row r="27" spans="4:13">
      <c r="D27"/>
      <c r="E27"/>
      <c r="F27"/>
      <c r="G27"/>
      <c r="H27"/>
      <c r="I27"/>
      <c r="J27"/>
      <c r="K27"/>
      <c r="L27"/>
    </row>
    <row r="28" spans="4:13">
      <c r="D28"/>
      <c r="E28"/>
      <c r="F28"/>
      <c r="G28"/>
      <c r="H28"/>
      <c r="I28"/>
      <c r="J28"/>
      <c r="K28"/>
      <c r="L28"/>
    </row>
    <row r="29" spans="4:13">
      <c r="D29"/>
      <c r="E29"/>
      <c r="F29"/>
      <c r="G29"/>
      <c r="H29"/>
      <c r="I29"/>
      <c r="J29"/>
      <c r="K29"/>
      <c r="L29"/>
    </row>
    <row r="30" spans="4:13">
      <c r="D30"/>
      <c r="E30"/>
      <c r="F30"/>
      <c r="G30"/>
      <c r="H30"/>
      <c r="I30"/>
      <c r="J30"/>
      <c r="K30"/>
      <c r="L30"/>
    </row>
    <row r="31" spans="4:13">
      <c r="D31"/>
      <c r="E31"/>
      <c r="F31"/>
      <c r="G31"/>
      <c r="H31"/>
      <c r="I31"/>
      <c r="J31"/>
      <c r="K31"/>
      <c r="L31"/>
    </row>
    <row r="32" spans="4:13">
      <c r="D32"/>
      <c r="E32"/>
      <c r="F32"/>
      <c r="G32"/>
      <c r="H32"/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spans="4:12">
      <c r="D81"/>
      <c r="E81"/>
      <c r="F81"/>
      <c r="G81"/>
      <c r="H81"/>
      <c r="I81"/>
      <c r="J81"/>
      <c r="K81"/>
      <c r="L81"/>
    </row>
    <row r="82" spans="4:12">
      <c r="D82"/>
      <c r="E82"/>
      <c r="F82"/>
      <c r="G82"/>
      <c r="H82"/>
      <c r="I82"/>
      <c r="J82"/>
      <c r="K82"/>
      <c r="L82"/>
    </row>
    <row r="83" spans="4:12">
      <c r="D83"/>
      <c r="E83"/>
      <c r="F83"/>
      <c r="G83"/>
      <c r="H83"/>
      <c r="I83"/>
      <c r="J83"/>
      <c r="K83"/>
      <c r="L83"/>
    </row>
    <row r="84" spans="4:12">
      <c r="D84"/>
      <c r="E84"/>
      <c r="F84"/>
      <c r="G84"/>
      <c r="H84"/>
      <c r="I84"/>
      <c r="J84"/>
      <c r="K84"/>
      <c r="L84"/>
    </row>
    <row r="85" spans="4:12">
      <c r="D85"/>
      <c r="E85"/>
      <c r="F85"/>
      <c r="G85"/>
      <c r="H85"/>
      <c r="I85"/>
      <c r="J85"/>
      <c r="K85"/>
      <c r="L85"/>
    </row>
    <row r="86" spans="4:12">
      <c r="D86"/>
      <c r="E86"/>
      <c r="F86"/>
      <c r="G86"/>
      <c r="H86"/>
      <c r="I86"/>
      <c r="J86"/>
      <c r="K86"/>
      <c r="L86"/>
    </row>
    <row r="87" spans="4:12">
      <c r="D87"/>
      <c r="E87"/>
      <c r="F87"/>
      <c r="G87"/>
      <c r="H87"/>
      <c r="I87"/>
      <c r="J87"/>
      <c r="K87"/>
      <c r="L87"/>
    </row>
    <row r="88" spans="4:12">
      <c r="D88"/>
      <c r="E88"/>
      <c r="F88"/>
      <c r="G88"/>
      <c r="H88"/>
      <c r="I88"/>
      <c r="J88"/>
      <c r="K88"/>
      <c r="L88"/>
    </row>
    <row r="89" spans="4:12">
      <c r="D89"/>
      <c r="E89"/>
      <c r="F89"/>
      <c r="G89"/>
      <c r="H89"/>
      <c r="I89"/>
      <c r="J89"/>
      <c r="K89"/>
      <c r="L89"/>
    </row>
    <row r="90" spans="4:12">
      <c r="D90"/>
      <c r="E90"/>
      <c r="F90"/>
      <c r="G90"/>
      <c r="H90"/>
      <c r="I90"/>
      <c r="J90"/>
      <c r="K90"/>
      <c r="L90"/>
    </row>
    <row r="91" spans="4:12">
      <c r="D91"/>
      <c r="E91"/>
      <c r="F91"/>
      <c r="G91"/>
      <c r="H91"/>
      <c r="I91"/>
      <c r="J91"/>
      <c r="K91"/>
    </row>
  </sheetData>
  <phoneticPr fontId="3" type="noConversion"/>
  <pageMargins left="0.7" right="0.7" top="0.75" bottom="0.75" header="0.3" footer="0.3"/>
  <pageSetup paperSize="9"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1"/>
  <dimension ref="A1:Z296"/>
  <sheetViews>
    <sheetView workbookViewId="0">
      <selection activeCell="A9" sqref="A9:A12"/>
    </sheetView>
  </sheetViews>
  <sheetFormatPr defaultColWidth="9" defaultRowHeight="16.5"/>
  <cols>
    <col min="1" max="1" width="9.5" style="6" bestFit="1" customWidth="1"/>
    <col min="2" max="2" width="81" bestFit="1" customWidth="1"/>
    <col min="14" max="14" width="28.375" customWidth="1"/>
    <col min="15" max="26" width="8.75" customWidth="1"/>
    <col min="27" max="16384" width="9" style="6"/>
  </cols>
  <sheetData>
    <row r="1" spans="1:17">
      <c r="B1" t="s">
        <v>350</v>
      </c>
    </row>
    <row r="2" spans="1:17">
      <c r="B2" t="s">
        <v>3135</v>
      </c>
    </row>
    <row r="3" spans="1:17">
      <c r="B3" t="s">
        <v>16</v>
      </c>
      <c r="C3" t="s">
        <v>17</v>
      </c>
      <c r="D3" t="s">
        <v>125</v>
      </c>
      <c r="E3" t="s">
        <v>126</v>
      </c>
      <c r="F3" t="s">
        <v>127</v>
      </c>
      <c r="G3" t="s">
        <v>128</v>
      </c>
      <c r="H3" t="s">
        <v>129</v>
      </c>
      <c r="I3" t="s">
        <v>130</v>
      </c>
      <c r="J3" t="s">
        <v>131</v>
      </c>
      <c r="K3" t="s">
        <v>132</v>
      </c>
      <c r="L3" t="s">
        <v>133</v>
      </c>
      <c r="M3" t="s">
        <v>134</v>
      </c>
      <c r="N3" t="s">
        <v>135</v>
      </c>
      <c r="O3" t="s">
        <v>136</v>
      </c>
      <c r="P3" t="s">
        <v>137</v>
      </c>
      <c r="Q3" t="s">
        <v>138</v>
      </c>
    </row>
    <row r="4" spans="1:17">
      <c r="A4" s="7">
        <f ca="1">TODAY()</f>
        <v>44559</v>
      </c>
      <c r="B4">
        <v>1260</v>
      </c>
      <c r="C4" t="s">
        <v>139</v>
      </c>
      <c r="D4">
        <v>23.1</v>
      </c>
      <c r="E4">
        <v>22.8</v>
      </c>
      <c r="F4" s="3">
        <v>3000</v>
      </c>
      <c r="G4">
        <v>23.15</v>
      </c>
      <c r="H4" s="3">
        <v>3000</v>
      </c>
      <c r="I4">
        <v>23.4</v>
      </c>
      <c r="J4">
        <v>22.9</v>
      </c>
      <c r="K4">
        <v>23.05</v>
      </c>
      <c r="L4">
        <v>23</v>
      </c>
      <c r="M4" t="s">
        <v>143</v>
      </c>
      <c r="N4" t="s">
        <v>1</v>
      </c>
      <c r="O4" s="3">
        <v>25042</v>
      </c>
      <c r="P4" t="s">
        <v>1</v>
      </c>
      <c r="Q4" t="s">
        <v>1</v>
      </c>
    </row>
    <row r="5" spans="1:17">
      <c r="A5" s="6">
        <f>MID(B2,7,3)+1911</f>
        <v>2021</v>
      </c>
      <c r="B5">
        <v>1269</v>
      </c>
      <c r="C5" t="s">
        <v>141</v>
      </c>
      <c r="D5">
        <v>152</v>
      </c>
      <c r="E5">
        <v>147</v>
      </c>
      <c r="F5" s="3">
        <v>3490</v>
      </c>
      <c r="G5">
        <v>152</v>
      </c>
      <c r="H5" s="3">
        <v>3999</v>
      </c>
      <c r="I5">
        <v>152</v>
      </c>
      <c r="J5">
        <v>147</v>
      </c>
      <c r="K5">
        <v>147.02000000000001</v>
      </c>
      <c r="L5">
        <v>152</v>
      </c>
      <c r="M5" t="s">
        <v>140</v>
      </c>
      <c r="N5" t="s">
        <v>1</v>
      </c>
      <c r="O5">
        <v>512</v>
      </c>
      <c r="P5" t="s">
        <v>1</v>
      </c>
      <c r="Q5" t="s">
        <v>1</v>
      </c>
    </row>
    <row r="6" spans="1:17">
      <c r="A6" s="6" t="str">
        <f>MID(B2,11,2)</f>
        <v>12</v>
      </c>
      <c r="B6">
        <v>1271</v>
      </c>
      <c r="C6" t="s">
        <v>142</v>
      </c>
      <c r="D6">
        <v>61.44</v>
      </c>
      <c r="E6">
        <v>61.1</v>
      </c>
      <c r="F6" s="3">
        <v>5000</v>
      </c>
      <c r="G6">
        <v>61.6</v>
      </c>
      <c r="H6" s="3">
        <v>5998</v>
      </c>
      <c r="I6">
        <v>61.6</v>
      </c>
      <c r="J6">
        <v>61</v>
      </c>
      <c r="K6">
        <v>61.34</v>
      </c>
      <c r="L6">
        <v>61.6</v>
      </c>
      <c r="M6" t="s">
        <v>140</v>
      </c>
      <c r="N6" t="s">
        <v>1</v>
      </c>
      <c r="O6" s="3">
        <v>18154</v>
      </c>
      <c r="P6" t="s">
        <v>1</v>
      </c>
      <c r="Q6" t="s">
        <v>1</v>
      </c>
    </row>
    <row r="7" spans="1:17">
      <c r="A7" s="6" t="str">
        <f>MID(B2,14,2)</f>
        <v>28</v>
      </c>
      <c r="B7">
        <v>1293</v>
      </c>
      <c r="C7" t="s">
        <v>2893</v>
      </c>
      <c r="D7">
        <v>41.77</v>
      </c>
      <c r="E7">
        <v>40.85</v>
      </c>
      <c r="F7" s="3">
        <v>3000</v>
      </c>
      <c r="G7">
        <v>42</v>
      </c>
      <c r="H7" s="3">
        <v>2990</v>
      </c>
      <c r="I7">
        <v>42</v>
      </c>
      <c r="J7">
        <v>39.65</v>
      </c>
      <c r="K7">
        <v>40.97</v>
      </c>
      <c r="L7">
        <v>42</v>
      </c>
      <c r="M7" t="s">
        <v>140</v>
      </c>
      <c r="N7" t="s">
        <v>1</v>
      </c>
      <c r="O7" s="3">
        <v>52125</v>
      </c>
      <c r="P7" t="s">
        <v>1</v>
      </c>
      <c r="Q7" t="s">
        <v>1</v>
      </c>
    </row>
    <row r="8" spans="1:17">
      <c r="A8" s="6">
        <v>16</v>
      </c>
      <c r="B8">
        <v>1343</v>
      </c>
      <c r="C8" t="s">
        <v>144</v>
      </c>
      <c r="D8">
        <v>26</v>
      </c>
      <c r="E8">
        <v>25.95</v>
      </c>
      <c r="F8" s="3">
        <v>3000</v>
      </c>
      <c r="G8">
        <v>26.15</v>
      </c>
      <c r="H8" s="3">
        <v>3000</v>
      </c>
      <c r="I8">
        <v>26.1</v>
      </c>
      <c r="J8">
        <v>25.9</v>
      </c>
      <c r="K8">
        <v>26.02</v>
      </c>
      <c r="L8">
        <v>26</v>
      </c>
      <c r="M8" t="s">
        <v>143</v>
      </c>
      <c r="N8" t="s">
        <v>1</v>
      </c>
      <c r="O8" s="3">
        <v>15000</v>
      </c>
      <c r="P8" t="s">
        <v>1</v>
      </c>
      <c r="Q8" t="s">
        <v>1</v>
      </c>
    </row>
    <row r="9" spans="1:17">
      <c r="A9" s="7">
        <v>44559</v>
      </c>
      <c r="B9">
        <v>1563</v>
      </c>
      <c r="C9" t="s">
        <v>145</v>
      </c>
      <c r="D9">
        <v>66.58</v>
      </c>
      <c r="E9">
        <v>69.099999999999994</v>
      </c>
      <c r="F9" s="3">
        <v>4985</v>
      </c>
      <c r="G9">
        <v>69.5</v>
      </c>
      <c r="H9" s="3">
        <v>9000</v>
      </c>
      <c r="I9">
        <v>69.5</v>
      </c>
      <c r="J9">
        <v>68.2</v>
      </c>
      <c r="K9">
        <v>68.930000000000007</v>
      </c>
      <c r="L9">
        <v>69.2</v>
      </c>
      <c r="M9" t="s">
        <v>143</v>
      </c>
      <c r="N9" t="s">
        <v>1</v>
      </c>
      <c r="O9" s="3">
        <v>1122190</v>
      </c>
      <c r="P9" t="s">
        <v>1</v>
      </c>
      <c r="Q9" t="s">
        <v>1</v>
      </c>
    </row>
    <row r="10" spans="1:17">
      <c r="A10" s="6">
        <v>2021</v>
      </c>
      <c r="B10">
        <v>1585</v>
      </c>
      <c r="C10" t="s">
        <v>146</v>
      </c>
      <c r="D10">
        <v>16.260000000000002</v>
      </c>
      <c r="E10">
        <v>16</v>
      </c>
      <c r="F10" s="3">
        <v>8000</v>
      </c>
      <c r="G10">
        <v>16.5</v>
      </c>
      <c r="H10" s="3">
        <v>9000</v>
      </c>
      <c r="I10">
        <v>16.8</v>
      </c>
      <c r="J10">
        <v>16</v>
      </c>
      <c r="K10">
        <v>16.11</v>
      </c>
      <c r="L10">
        <v>16.5</v>
      </c>
      <c r="M10" t="s">
        <v>140</v>
      </c>
      <c r="N10" t="s">
        <v>1</v>
      </c>
      <c r="O10" s="3">
        <v>128001</v>
      </c>
      <c r="P10" t="s">
        <v>1</v>
      </c>
      <c r="Q10" t="s">
        <v>1</v>
      </c>
    </row>
    <row r="11" spans="1:17">
      <c r="A11" s="6" t="s">
        <v>3077</v>
      </c>
      <c r="B11">
        <v>1594</v>
      </c>
      <c r="C11" t="s">
        <v>147</v>
      </c>
      <c r="D11">
        <v>13.5</v>
      </c>
      <c r="E11">
        <v>14.05</v>
      </c>
      <c r="F11" s="3">
        <v>8479</v>
      </c>
      <c r="G11">
        <v>14.75</v>
      </c>
      <c r="H11" s="3">
        <v>10000</v>
      </c>
      <c r="I11">
        <v>14.8</v>
      </c>
      <c r="J11">
        <v>13.5</v>
      </c>
      <c r="K11">
        <v>14.21</v>
      </c>
      <c r="L11">
        <v>14.05</v>
      </c>
      <c r="M11" t="s">
        <v>143</v>
      </c>
      <c r="N11" t="s">
        <v>1</v>
      </c>
      <c r="O11" s="3">
        <v>62470</v>
      </c>
      <c r="P11" t="s">
        <v>1</v>
      </c>
      <c r="Q11" t="s">
        <v>1</v>
      </c>
    </row>
    <row r="12" spans="1:17">
      <c r="A12" s="51" t="s">
        <v>3148</v>
      </c>
      <c r="B12">
        <v>1780</v>
      </c>
      <c r="C12" t="s">
        <v>148</v>
      </c>
      <c r="D12">
        <v>15.15</v>
      </c>
      <c r="E12">
        <v>15.2</v>
      </c>
      <c r="F12" s="3">
        <v>8000</v>
      </c>
      <c r="G12">
        <v>15.35</v>
      </c>
      <c r="H12" s="3">
        <v>5000</v>
      </c>
      <c r="I12">
        <v>15.45</v>
      </c>
      <c r="J12">
        <v>15.2</v>
      </c>
      <c r="K12">
        <v>15.28</v>
      </c>
      <c r="L12">
        <v>15.2</v>
      </c>
      <c r="M12" t="s">
        <v>143</v>
      </c>
      <c r="N12" t="s">
        <v>1</v>
      </c>
      <c r="O12" s="3">
        <v>36000</v>
      </c>
      <c r="P12" t="s">
        <v>1</v>
      </c>
      <c r="Q12" t="s">
        <v>1</v>
      </c>
    </row>
    <row r="13" spans="1:17">
      <c r="A13" s="352" t="s">
        <v>34</v>
      </c>
      <c r="B13">
        <v>2071</v>
      </c>
      <c r="C13" t="s">
        <v>149</v>
      </c>
      <c r="D13">
        <v>21.95</v>
      </c>
      <c r="E13">
        <v>20.9</v>
      </c>
      <c r="F13" s="3">
        <v>12000</v>
      </c>
      <c r="G13">
        <v>21.95</v>
      </c>
      <c r="H13" s="3">
        <v>5998</v>
      </c>
      <c r="I13">
        <v>21.95</v>
      </c>
      <c r="J13">
        <v>21.95</v>
      </c>
      <c r="K13">
        <v>21.95</v>
      </c>
      <c r="L13">
        <v>21.95</v>
      </c>
      <c r="M13" t="s">
        <v>140</v>
      </c>
      <c r="N13" t="s">
        <v>1</v>
      </c>
      <c r="O13">
        <v>2</v>
      </c>
      <c r="P13" t="s">
        <v>1</v>
      </c>
      <c r="Q13" t="s">
        <v>1</v>
      </c>
    </row>
    <row r="14" spans="1:17">
      <c r="A14" s="352"/>
      <c r="B14">
        <v>2072</v>
      </c>
      <c r="C14" t="s">
        <v>150</v>
      </c>
      <c r="D14">
        <v>176.67</v>
      </c>
      <c r="E14">
        <v>176</v>
      </c>
      <c r="F14" s="3">
        <v>4000</v>
      </c>
      <c r="G14">
        <v>179.5</v>
      </c>
      <c r="H14" s="3">
        <v>1999</v>
      </c>
      <c r="I14">
        <v>181</v>
      </c>
      <c r="J14">
        <v>172.5</v>
      </c>
      <c r="K14">
        <v>178.05</v>
      </c>
      <c r="L14">
        <v>179.5</v>
      </c>
      <c r="M14" t="s">
        <v>140</v>
      </c>
      <c r="N14" t="s">
        <v>1</v>
      </c>
      <c r="O14" s="3">
        <v>196593</v>
      </c>
      <c r="P14" t="s">
        <v>1</v>
      </c>
      <c r="Q14" t="s">
        <v>1</v>
      </c>
    </row>
    <row r="15" spans="1:17">
      <c r="A15" s="352"/>
      <c r="B15">
        <v>2073</v>
      </c>
      <c r="C15" t="s">
        <v>2708</v>
      </c>
      <c r="D15">
        <v>33.26</v>
      </c>
      <c r="E15">
        <v>32.799999999999997</v>
      </c>
      <c r="F15" s="3">
        <v>3000</v>
      </c>
      <c r="G15">
        <v>33.4</v>
      </c>
      <c r="H15" s="3">
        <v>3000</v>
      </c>
      <c r="I15">
        <v>33.5</v>
      </c>
      <c r="J15">
        <v>32.799999999999997</v>
      </c>
      <c r="K15">
        <v>32.950000000000003</v>
      </c>
      <c r="L15">
        <v>33</v>
      </c>
      <c r="M15" t="s">
        <v>140</v>
      </c>
      <c r="N15" t="s">
        <v>1</v>
      </c>
      <c r="O15" s="3">
        <v>17000</v>
      </c>
      <c r="P15" t="s">
        <v>1</v>
      </c>
      <c r="Q15" t="s">
        <v>1</v>
      </c>
    </row>
    <row r="16" spans="1:17">
      <c r="A16" s="352"/>
      <c r="B16">
        <v>2237</v>
      </c>
      <c r="C16" t="s">
        <v>151</v>
      </c>
      <c r="D16">
        <v>35.22</v>
      </c>
      <c r="E16">
        <v>34.9</v>
      </c>
      <c r="F16" s="3">
        <v>5000</v>
      </c>
      <c r="G16">
        <v>35.5</v>
      </c>
      <c r="H16" s="3">
        <v>3000</v>
      </c>
      <c r="I16">
        <v>35.950000000000003</v>
      </c>
      <c r="J16">
        <v>34.85</v>
      </c>
      <c r="K16">
        <v>35.21</v>
      </c>
      <c r="L16">
        <v>35.200000000000003</v>
      </c>
      <c r="M16" t="s">
        <v>143</v>
      </c>
      <c r="N16" t="s">
        <v>1</v>
      </c>
      <c r="O16" s="3">
        <v>44311</v>
      </c>
      <c r="P16" t="s">
        <v>1</v>
      </c>
      <c r="Q16" t="s">
        <v>1</v>
      </c>
    </row>
    <row r="17" spans="1:17">
      <c r="A17" s="352"/>
      <c r="B17">
        <v>2245</v>
      </c>
      <c r="C17" t="s">
        <v>152</v>
      </c>
      <c r="D17">
        <v>30.25</v>
      </c>
      <c r="E17">
        <v>30.4</v>
      </c>
      <c r="F17" s="3">
        <v>8000</v>
      </c>
      <c r="G17">
        <v>31</v>
      </c>
      <c r="H17" s="3">
        <v>3000</v>
      </c>
      <c r="I17">
        <v>30.5</v>
      </c>
      <c r="J17">
        <v>30.25</v>
      </c>
      <c r="K17">
        <v>30.38</v>
      </c>
      <c r="L17">
        <v>30.5</v>
      </c>
      <c r="M17" t="s">
        <v>143</v>
      </c>
      <c r="N17" t="s">
        <v>1</v>
      </c>
      <c r="O17" s="3">
        <v>17000</v>
      </c>
      <c r="P17" t="s">
        <v>1</v>
      </c>
      <c r="Q17" t="s">
        <v>1</v>
      </c>
    </row>
    <row r="18" spans="1:17">
      <c r="B18">
        <v>2246</v>
      </c>
      <c r="C18" t="s">
        <v>153</v>
      </c>
      <c r="D18">
        <v>17.899999999999999</v>
      </c>
      <c r="E18">
        <v>17.899999999999999</v>
      </c>
      <c r="F18" s="3">
        <v>10000</v>
      </c>
      <c r="G18">
        <v>18.25</v>
      </c>
      <c r="H18" s="3">
        <v>4999</v>
      </c>
      <c r="I18">
        <v>18.25</v>
      </c>
      <c r="J18">
        <v>17.600000000000001</v>
      </c>
      <c r="K18">
        <v>17.87</v>
      </c>
      <c r="L18">
        <v>18.25</v>
      </c>
      <c r="M18" t="s">
        <v>140</v>
      </c>
      <c r="N18" t="s">
        <v>1</v>
      </c>
      <c r="O18" s="3">
        <v>314200</v>
      </c>
      <c r="P18" t="s">
        <v>1</v>
      </c>
      <c r="Q18" t="s">
        <v>1</v>
      </c>
    </row>
    <row r="19" spans="1:17">
      <c r="B19">
        <v>2248</v>
      </c>
      <c r="C19" t="s">
        <v>154</v>
      </c>
      <c r="D19">
        <v>22.35</v>
      </c>
      <c r="E19">
        <v>22</v>
      </c>
      <c r="F19" s="3">
        <v>3000</v>
      </c>
      <c r="G19">
        <v>22.5</v>
      </c>
      <c r="H19" s="3">
        <v>3000</v>
      </c>
      <c r="I19" t="s">
        <v>1</v>
      </c>
      <c r="J19" t="s">
        <v>1</v>
      </c>
      <c r="K19" t="s">
        <v>1</v>
      </c>
      <c r="L19" t="s">
        <v>1</v>
      </c>
      <c r="M19" t="s">
        <v>1</v>
      </c>
      <c r="N19" t="s">
        <v>1</v>
      </c>
      <c r="O19" t="s">
        <v>1</v>
      </c>
      <c r="P19" t="s">
        <v>1</v>
      </c>
      <c r="Q19" t="s">
        <v>1</v>
      </c>
    </row>
    <row r="20" spans="1:17">
      <c r="B20">
        <v>2249</v>
      </c>
      <c r="C20" t="s">
        <v>155</v>
      </c>
      <c r="D20">
        <v>60</v>
      </c>
      <c r="E20">
        <v>59</v>
      </c>
      <c r="F20" s="3">
        <v>5000</v>
      </c>
      <c r="G20">
        <v>60.5</v>
      </c>
      <c r="H20" s="3">
        <v>5000</v>
      </c>
      <c r="I20">
        <v>60.5</v>
      </c>
      <c r="J20">
        <v>59.5</v>
      </c>
      <c r="K20">
        <v>59.96</v>
      </c>
      <c r="L20">
        <v>60.5</v>
      </c>
      <c r="M20" t="s">
        <v>140</v>
      </c>
      <c r="N20" t="s">
        <v>1</v>
      </c>
      <c r="O20" s="3">
        <v>17005</v>
      </c>
      <c r="P20" t="s">
        <v>1</v>
      </c>
      <c r="Q20" t="s">
        <v>1</v>
      </c>
    </row>
    <row r="21" spans="1:17">
      <c r="B21">
        <v>2252</v>
      </c>
      <c r="C21" t="s">
        <v>2702</v>
      </c>
      <c r="D21">
        <v>90.97</v>
      </c>
      <c r="E21">
        <v>90.1</v>
      </c>
      <c r="F21" s="3">
        <v>8600</v>
      </c>
      <c r="G21">
        <v>90.7</v>
      </c>
      <c r="H21" s="3">
        <v>8000</v>
      </c>
      <c r="I21">
        <v>91</v>
      </c>
      <c r="J21">
        <v>89.8</v>
      </c>
      <c r="K21">
        <v>90.24</v>
      </c>
      <c r="L21">
        <v>90.7</v>
      </c>
      <c r="M21" t="s">
        <v>140</v>
      </c>
      <c r="N21" t="s">
        <v>1</v>
      </c>
      <c r="O21" s="3">
        <v>116246</v>
      </c>
      <c r="P21" t="s">
        <v>1</v>
      </c>
      <c r="Q21" t="s">
        <v>1</v>
      </c>
    </row>
    <row r="22" spans="1:17">
      <c r="B22">
        <v>2254</v>
      </c>
      <c r="C22" t="s">
        <v>3066</v>
      </c>
      <c r="D22">
        <v>180</v>
      </c>
      <c r="E22">
        <v>170.5</v>
      </c>
      <c r="F22" s="3">
        <v>3998</v>
      </c>
      <c r="G22">
        <v>179</v>
      </c>
      <c r="H22" s="3">
        <v>3999</v>
      </c>
      <c r="I22">
        <v>179</v>
      </c>
      <c r="J22">
        <v>170.5</v>
      </c>
      <c r="K22">
        <v>173.33</v>
      </c>
      <c r="L22">
        <v>179</v>
      </c>
      <c r="M22" t="s">
        <v>140</v>
      </c>
      <c r="N22" t="s">
        <v>1</v>
      </c>
      <c r="O22">
        <v>3</v>
      </c>
      <c r="P22" t="s">
        <v>1</v>
      </c>
      <c r="Q22" t="s">
        <v>1</v>
      </c>
    </row>
    <row r="23" spans="1:17">
      <c r="B23">
        <v>2255</v>
      </c>
      <c r="C23" t="s">
        <v>3075</v>
      </c>
      <c r="D23">
        <v>47.6</v>
      </c>
      <c r="E23">
        <v>46.05</v>
      </c>
      <c r="F23" s="3">
        <v>2640</v>
      </c>
      <c r="G23">
        <v>47.15</v>
      </c>
      <c r="H23" s="3">
        <v>3000</v>
      </c>
      <c r="I23">
        <v>47.95</v>
      </c>
      <c r="J23">
        <v>46.05</v>
      </c>
      <c r="K23">
        <v>47.21</v>
      </c>
      <c r="L23">
        <v>46.05</v>
      </c>
      <c r="M23" t="s">
        <v>143</v>
      </c>
      <c r="N23" t="s">
        <v>1</v>
      </c>
      <c r="O23" s="3">
        <v>30082</v>
      </c>
      <c r="P23" t="s">
        <v>1</v>
      </c>
      <c r="Q23" t="s">
        <v>1</v>
      </c>
    </row>
    <row r="24" spans="1:17">
      <c r="B24">
        <v>2256</v>
      </c>
      <c r="C24" t="s">
        <v>3083</v>
      </c>
      <c r="D24">
        <v>89.34</v>
      </c>
      <c r="E24">
        <v>89.7</v>
      </c>
      <c r="F24" s="3">
        <v>6000</v>
      </c>
      <c r="G24">
        <v>90.8</v>
      </c>
      <c r="H24" s="3">
        <v>6899</v>
      </c>
      <c r="I24">
        <v>91.4</v>
      </c>
      <c r="J24">
        <v>87.7</v>
      </c>
      <c r="K24">
        <v>90.33</v>
      </c>
      <c r="L24">
        <v>90.8</v>
      </c>
      <c r="M24" t="s">
        <v>140</v>
      </c>
      <c r="N24" t="s">
        <v>1</v>
      </c>
      <c r="O24" s="3">
        <v>116107</v>
      </c>
      <c r="P24" t="s">
        <v>1</v>
      </c>
      <c r="Q24" t="s">
        <v>1</v>
      </c>
    </row>
    <row r="25" spans="1:17">
      <c r="B25">
        <v>2599</v>
      </c>
      <c r="C25" t="s">
        <v>156</v>
      </c>
      <c r="D25">
        <v>14.27</v>
      </c>
      <c r="E25">
        <v>14.15</v>
      </c>
      <c r="F25" s="3">
        <v>4900</v>
      </c>
      <c r="G25">
        <v>14.3</v>
      </c>
      <c r="H25" s="3">
        <v>7000</v>
      </c>
      <c r="I25">
        <v>14.3</v>
      </c>
      <c r="J25">
        <v>14.15</v>
      </c>
      <c r="K25">
        <v>14.25</v>
      </c>
      <c r="L25">
        <v>14.25</v>
      </c>
      <c r="M25" t="s">
        <v>140</v>
      </c>
      <c r="N25" t="s">
        <v>1</v>
      </c>
      <c r="O25" s="3">
        <v>38485</v>
      </c>
      <c r="P25" t="s">
        <v>1</v>
      </c>
      <c r="Q25" t="s">
        <v>1</v>
      </c>
    </row>
    <row r="26" spans="1:17">
      <c r="B26">
        <v>2730</v>
      </c>
      <c r="C26" t="s">
        <v>157</v>
      </c>
      <c r="D26">
        <v>9.24</v>
      </c>
      <c r="E26">
        <v>9.1</v>
      </c>
      <c r="F26" s="3">
        <v>5000</v>
      </c>
      <c r="G26">
        <v>9.4499999999999993</v>
      </c>
      <c r="H26" s="3">
        <v>3000</v>
      </c>
      <c r="I26">
        <v>10.55</v>
      </c>
      <c r="J26">
        <v>9.18</v>
      </c>
      <c r="K26">
        <v>9.8800000000000008</v>
      </c>
      <c r="L26">
        <v>9.4499999999999993</v>
      </c>
      <c r="M26" t="s">
        <v>140</v>
      </c>
      <c r="N26" t="s">
        <v>1</v>
      </c>
      <c r="O26" s="3">
        <v>327167</v>
      </c>
      <c r="P26" t="s">
        <v>1</v>
      </c>
      <c r="Q26" t="s">
        <v>1</v>
      </c>
    </row>
    <row r="27" spans="1:17">
      <c r="B27">
        <v>2733</v>
      </c>
      <c r="C27" t="s">
        <v>158</v>
      </c>
      <c r="D27">
        <v>15.2</v>
      </c>
      <c r="E27">
        <v>14.75</v>
      </c>
      <c r="F27" s="3">
        <v>5000</v>
      </c>
      <c r="G27">
        <v>15.2</v>
      </c>
      <c r="H27" s="3">
        <v>3999</v>
      </c>
      <c r="I27">
        <v>15.2</v>
      </c>
      <c r="J27">
        <v>15.2</v>
      </c>
      <c r="K27">
        <v>15.2</v>
      </c>
      <c r="L27">
        <v>15.2</v>
      </c>
      <c r="M27" t="s">
        <v>140</v>
      </c>
      <c r="N27" t="s">
        <v>1</v>
      </c>
      <c r="O27" s="3">
        <v>1001</v>
      </c>
      <c r="P27" t="s">
        <v>1</v>
      </c>
      <c r="Q27" t="s">
        <v>1</v>
      </c>
    </row>
    <row r="28" spans="1:17">
      <c r="B28">
        <v>2741</v>
      </c>
      <c r="C28" t="s">
        <v>159</v>
      </c>
      <c r="D28">
        <v>44</v>
      </c>
      <c r="E28">
        <v>42.1</v>
      </c>
      <c r="F28" s="3">
        <v>3000</v>
      </c>
      <c r="G28">
        <v>44.15</v>
      </c>
      <c r="H28" s="3">
        <v>3000</v>
      </c>
      <c r="I28">
        <v>44.15</v>
      </c>
      <c r="J28">
        <v>42.1</v>
      </c>
      <c r="K28">
        <v>43.55</v>
      </c>
      <c r="L28">
        <v>44.15</v>
      </c>
      <c r="M28" t="s">
        <v>140</v>
      </c>
      <c r="N28" t="s">
        <v>1</v>
      </c>
      <c r="O28" s="3">
        <v>27180</v>
      </c>
      <c r="P28" t="s">
        <v>1</v>
      </c>
      <c r="Q28" t="s">
        <v>1</v>
      </c>
    </row>
    <row r="29" spans="1:17">
      <c r="B29">
        <v>2750</v>
      </c>
      <c r="C29" t="s">
        <v>160</v>
      </c>
      <c r="D29">
        <v>27.67</v>
      </c>
      <c r="E29">
        <v>29.95</v>
      </c>
      <c r="F29" s="3">
        <v>2696</v>
      </c>
      <c r="G29">
        <v>30.55</v>
      </c>
      <c r="H29" s="3">
        <v>2000</v>
      </c>
      <c r="I29">
        <v>30.55</v>
      </c>
      <c r="J29">
        <v>27.85</v>
      </c>
      <c r="K29">
        <v>29.82</v>
      </c>
      <c r="L29">
        <v>30.55</v>
      </c>
      <c r="M29" t="s">
        <v>140</v>
      </c>
      <c r="N29" t="s">
        <v>1</v>
      </c>
      <c r="O29" s="3">
        <v>36604</v>
      </c>
      <c r="P29" t="s">
        <v>1</v>
      </c>
      <c r="Q29" t="s">
        <v>1</v>
      </c>
    </row>
    <row r="30" spans="1:17">
      <c r="B30">
        <v>2756</v>
      </c>
      <c r="C30" t="s">
        <v>162</v>
      </c>
      <c r="D30">
        <v>132.66999999999999</v>
      </c>
      <c r="E30">
        <v>131.5</v>
      </c>
      <c r="F30" s="3">
        <v>2000</v>
      </c>
      <c r="G30">
        <v>133</v>
      </c>
      <c r="H30" s="3">
        <v>1699</v>
      </c>
      <c r="I30">
        <v>133</v>
      </c>
      <c r="J30">
        <v>132</v>
      </c>
      <c r="K30">
        <v>132.38</v>
      </c>
      <c r="L30">
        <v>133</v>
      </c>
      <c r="M30" t="s">
        <v>140</v>
      </c>
      <c r="N30" t="s">
        <v>1</v>
      </c>
      <c r="O30" s="3">
        <v>7301</v>
      </c>
      <c r="P30" t="s">
        <v>2709</v>
      </c>
      <c r="Q30" t="s">
        <v>227</v>
      </c>
    </row>
    <row r="31" spans="1:17">
      <c r="B31">
        <v>2758</v>
      </c>
      <c r="C31" t="s">
        <v>2710</v>
      </c>
      <c r="D31">
        <v>127.79</v>
      </c>
      <c r="E31">
        <v>129.5</v>
      </c>
      <c r="F31" s="3">
        <v>2000</v>
      </c>
      <c r="G31">
        <v>131</v>
      </c>
      <c r="H31" s="3">
        <v>1816</v>
      </c>
      <c r="I31">
        <v>131</v>
      </c>
      <c r="J31">
        <v>128</v>
      </c>
      <c r="K31">
        <v>129.88999999999999</v>
      </c>
      <c r="L31">
        <v>131</v>
      </c>
      <c r="M31" t="s">
        <v>140</v>
      </c>
      <c r="N31" t="s">
        <v>1</v>
      </c>
      <c r="O31" s="3">
        <v>20727</v>
      </c>
      <c r="P31" t="s">
        <v>1</v>
      </c>
      <c r="Q31" t="s">
        <v>1</v>
      </c>
    </row>
    <row r="32" spans="1:17">
      <c r="B32">
        <v>2938</v>
      </c>
      <c r="C32" t="s">
        <v>163</v>
      </c>
      <c r="D32">
        <v>36.9</v>
      </c>
      <c r="E32">
        <v>36.85</v>
      </c>
      <c r="F32" s="3">
        <v>3000</v>
      </c>
      <c r="G32">
        <v>38</v>
      </c>
      <c r="H32" s="3">
        <v>3000</v>
      </c>
      <c r="I32">
        <v>37</v>
      </c>
      <c r="J32">
        <v>37</v>
      </c>
      <c r="K32">
        <v>37</v>
      </c>
      <c r="L32">
        <v>37</v>
      </c>
      <c r="M32" t="s">
        <v>140</v>
      </c>
      <c r="N32" t="s">
        <v>1</v>
      </c>
      <c r="O32" s="3">
        <v>3000</v>
      </c>
      <c r="P32" t="s">
        <v>1</v>
      </c>
      <c r="Q32" t="s">
        <v>1</v>
      </c>
    </row>
    <row r="33" spans="2:17">
      <c r="B33">
        <v>2941</v>
      </c>
      <c r="C33" t="s">
        <v>2888</v>
      </c>
      <c r="D33">
        <v>44.87</v>
      </c>
      <c r="E33">
        <v>45</v>
      </c>
      <c r="F33" s="3">
        <v>3000</v>
      </c>
      <c r="G33">
        <v>46.2</v>
      </c>
      <c r="H33" s="3">
        <v>3000</v>
      </c>
      <c r="I33">
        <v>45.05</v>
      </c>
      <c r="J33">
        <v>45</v>
      </c>
      <c r="K33">
        <v>45.02</v>
      </c>
      <c r="L33">
        <v>45.05</v>
      </c>
      <c r="M33" t="s">
        <v>140</v>
      </c>
      <c r="N33" t="s">
        <v>1</v>
      </c>
      <c r="O33" s="3">
        <v>9000</v>
      </c>
      <c r="P33" t="s">
        <v>1</v>
      </c>
      <c r="Q33" t="s">
        <v>1</v>
      </c>
    </row>
    <row r="34" spans="2:17">
      <c r="B34">
        <v>2942</v>
      </c>
      <c r="C34" t="s">
        <v>164</v>
      </c>
      <c r="D34">
        <v>41.85</v>
      </c>
      <c r="E34">
        <v>41.85</v>
      </c>
      <c r="F34" s="3">
        <v>1000</v>
      </c>
      <c r="G34">
        <v>43.15</v>
      </c>
      <c r="H34" s="3">
        <v>1999</v>
      </c>
      <c r="I34">
        <v>43.15</v>
      </c>
      <c r="J34">
        <v>41.85</v>
      </c>
      <c r="K34">
        <v>42.28</v>
      </c>
      <c r="L34">
        <v>43.15</v>
      </c>
      <c r="M34" t="s">
        <v>140</v>
      </c>
      <c r="N34" t="s">
        <v>1</v>
      </c>
      <c r="O34" s="3">
        <v>3201</v>
      </c>
      <c r="P34" t="s">
        <v>1</v>
      </c>
      <c r="Q34" t="s">
        <v>1</v>
      </c>
    </row>
    <row r="35" spans="2:17">
      <c r="B35">
        <v>2948</v>
      </c>
      <c r="C35" t="s">
        <v>167</v>
      </c>
      <c r="D35">
        <v>72.25</v>
      </c>
      <c r="E35">
        <v>71.7</v>
      </c>
      <c r="F35" s="3">
        <v>3000</v>
      </c>
      <c r="G35">
        <v>74.900000000000006</v>
      </c>
      <c r="H35" s="3">
        <v>3000</v>
      </c>
      <c r="I35">
        <v>75</v>
      </c>
      <c r="J35">
        <v>72.8</v>
      </c>
      <c r="K35">
        <v>73.59</v>
      </c>
      <c r="L35">
        <v>72.8</v>
      </c>
      <c r="M35" t="s">
        <v>143</v>
      </c>
      <c r="N35" t="s">
        <v>1</v>
      </c>
      <c r="O35" s="3">
        <v>7671</v>
      </c>
      <c r="P35" t="s">
        <v>1</v>
      </c>
      <c r="Q35" t="s">
        <v>1</v>
      </c>
    </row>
    <row r="36" spans="2:17">
      <c r="B36">
        <v>3097</v>
      </c>
      <c r="C36" t="s">
        <v>168</v>
      </c>
      <c r="D36">
        <v>24.9</v>
      </c>
      <c r="E36">
        <v>24.85</v>
      </c>
      <c r="F36" s="3">
        <v>3000</v>
      </c>
      <c r="G36">
        <v>25.7</v>
      </c>
      <c r="H36" s="3">
        <v>2999</v>
      </c>
      <c r="I36">
        <v>26.2</v>
      </c>
      <c r="J36">
        <v>24.9</v>
      </c>
      <c r="K36">
        <v>25.25</v>
      </c>
      <c r="L36">
        <v>25.7</v>
      </c>
      <c r="M36" t="s">
        <v>140</v>
      </c>
      <c r="N36" t="s">
        <v>1</v>
      </c>
      <c r="O36" s="3">
        <v>29006</v>
      </c>
      <c r="P36" t="s">
        <v>1</v>
      </c>
      <c r="Q36" t="s">
        <v>1</v>
      </c>
    </row>
    <row r="37" spans="2:17">
      <c r="B37">
        <v>3117</v>
      </c>
      <c r="C37" t="s">
        <v>169</v>
      </c>
      <c r="D37">
        <v>8.5</v>
      </c>
      <c r="E37">
        <v>8.17</v>
      </c>
      <c r="F37" s="3">
        <v>5000</v>
      </c>
      <c r="G37">
        <v>8.52</v>
      </c>
      <c r="H37" s="3">
        <v>5000</v>
      </c>
      <c r="I37">
        <v>8.77</v>
      </c>
      <c r="J37">
        <v>8.4</v>
      </c>
      <c r="K37">
        <v>8.5399999999999991</v>
      </c>
      <c r="L37">
        <v>8.4</v>
      </c>
      <c r="M37" t="s">
        <v>140</v>
      </c>
      <c r="N37" t="s">
        <v>1</v>
      </c>
      <c r="O37" s="3">
        <v>12489</v>
      </c>
      <c r="P37" t="s">
        <v>1</v>
      </c>
      <c r="Q37" t="s">
        <v>1</v>
      </c>
    </row>
    <row r="38" spans="2:17">
      <c r="B38">
        <v>3135</v>
      </c>
      <c r="C38" t="s">
        <v>3067</v>
      </c>
      <c r="D38">
        <v>46.93</v>
      </c>
      <c r="E38">
        <v>46.35</v>
      </c>
      <c r="F38" s="3">
        <v>4000</v>
      </c>
      <c r="G38">
        <v>47.1</v>
      </c>
      <c r="H38" s="3">
        <v>3000</v>
      </c>
      <c r="I38">
        <v>47.5</v>
      </c>
      <c r="J38">
        <v>45.5</v>
      </c>
      <c r="K38">
        <v>46.91</v>
      </c>
      <c r="L38">
        <v>47.05</v>
      </c>
      <c r="M38" t="s">
        <v>143</v>
      </c>
      <c r="N38" t="s">
        <v>1</v>
      </c>
      <c r="O38" s="3">
        <v>70779</v>
      </c>
      <c r="P38" t="s">
        <v>1</v>
      </c>
      <c r="Q38" t="s">
        <v>1</v>
      </c>
    </row>
    <row r="39" spans="2:17">
      <c r="B39">
        <v>3150</v>
      </c>
      <c r="C39" t="s">
        <v>170</v>
      </c>
      <c r="D39">
        <v>34.31</v>
      </c>
      <c r="E39">
        <v>33.799999999999997</v>
      </c>
      <c r="F39" s="3">
        <v>3000</v>
      </c>
      <c r="G39">
        <v>34.4</v>
      </c>
      <c r="H39" s="3">
        <v>3000</v>
      </c>
      <c r="I39">
        <v>35.200000000000003</v>
      </c>
      <c r="J39">
        <v>33.799999999999997</v>
      </c>
      <c r="K39">
        <v>34.07</v>
      </c>
      <c r="L39">
        <v>34</v>
      </c>
      <c r="M39" t="s">
        <v>143</v>
      </c>
      <c r="N39" t="s">
        <v>1</v>
      </c>
      <c r="O39" s="3">
        <v>314315</v>
      </c>
      <c r="P39" t="s">
        <v>1</v>
      </c>
      <c r="Q39" t="s">
        <v>1</v>
      </c>
    </row>
    <row r="40" spans="2:17">
      <c r="B40">
        <v>3158</v>
      </c>
      <c r="C40" t="s">
        <v>171</v>
      </c>
      <c r="D40">
        <v>74.12</v>
      </c>
      <c r="E40">
        <v>73</v>
      </c>
      <c r="F40" s="3">
        <v>3000</v>
      </c>
      <c r="G40">
        <v>76</v>
      </c>
      <c r="H40" s="3">
        <v>3000</v>
      </c>
      <c r="I40">
        <v>75.5</v>
      </c>
      <c r="J40">
        <v>74</v>
      </c>
      <c r="K40">
        <v>74.900000000000006</v>
      </c>
      <c r="L40">
        <v>74</v>
      </c>
      <c r="M40" t="s">
        <v>143</v>
      </c>
      <c r="N40" t="s">
        <v>1</v>
      </c>
      <c r="O40" s="3">
        <v>5000</v>
      </c>
      <c r="P40" t="s">
        <v>1</v>
      </c>
      <c r="Q40" t="s">
        <v>1</v>
      </c>
    </row>
    <row r="41" spans="2:17">
      <c r="B41">
        <v>3168</v>
      </c>
      <c r="C41" t="s">
        <v>172</v>
      </c>
      <c r="D41">
        <v>39.32</v>
      </c>
      <c r="E41">
        <v>38.85</v>
      </c>
      <c r="F41" s="3">
        <v>3000</v>
      </c>
      <c r="G41">
        <v>40.1</v>
      </c>
      <c r="H41" s="3">
        <v>5000</v>
      </c>
      <c r="I41">
        <v>40.15</v>
      </c>
      <c r="J41">
        <v>39.049999999999997</v>
      </c>
      <c r="K41">
        <v>39.25</v>
      </c>
      <c r="L41">
        <v>40.15</v>
      </c>
      <c r="M41" t="s">
        <v>140</v>
      </c>
      <c r="N41" t="s">
        <v>1</v>
      </c>
      <c r="O41" s="3">
        <v>45199</v>
      </c>
      <c r="P41" t="s">
        <v>1</v>
      </c>
      <c r="Q41" t="s">
        <v>1</v>
      </c>
    </row>
    <row r="42" spans="2:17">
      <c r="B42">
        <v>3184</v>
      </c>
      <c r="C42" t="s">
        <v>173</v>
      </c>
      <c r="D42">
        <v>14.6</v>
      </c>
      <c r="E42">
        <v>14.6</v>
      </c>
      <c r="F42" s="3">
        <v>5000</v>
      </c>
      <c r="G42">
        <v>15.25</v>
      </c>
      <c r="H42" s="3">
        <v>3900</v>
      </c>
      <c r="I42">
        <v>15.25</v>
      </c>
      <c r="J42">
        <v>14.55</v>
      </c>
      <c r="K42">
        <v>14.96</v>
      </c>
      <c r="L42">
        <v>15</v>
      </c>
      <c r="M42" t="s">
        <v>140</v>
      </c>
      <c r="N42" t="s">
        <v>1</v>
      </c>
      <c r="O42" s="3">
        <v>4100</v>
      </c>
      <c r="P42" t="s">
        <v>1</v>
      </c>
      <c r="Q42" t="s">
        <v>1</v>
      </c>
    </row>
    <row r="43" spans="2:17">
      <c r="B43">
        <v>3349</v>
      </c>
      <c r="C43" t="s">
        <v>174</v>
      </c>
      <c r="D43">
        <v>30.26</v>
      </c>
      <c r="E43">
        <v>28.55</v>
      </c>
      <c r="F43" s="3">
        <v>3000</v>
      </c>
      <c r="G43">
        <v>29.4</v>
      </c>
      <c r="H43" s="3">
        <v>3000</v>
      </c>
      <c r="I43">
        <v>30.5</v>
      </c>
      <c r="J43">
        <v>28.35</v>
      </c>
      <c r="K43">
        <v>28.99</v>
      </c>
      <c r="L43">
        <v>29.05</v>
      </c>
      <c r="M43" t="s">
        <v>140</v>
      </c>
      <c r="N43" t="s">
        <v>1</v>
      </c>
      <c r="O43" s="3">
        <v>108554</v>
      </c>
      <c r="P43" t="s">
        <v>3136</v>
      </c>
      <c r="Q43" t="s">
        <v>3137</v>
      </c>
    </row>
    <row r="44" spans="2:17">
      <c r="B44">
        <v>3430</v>
      </c>
      <c r="C44" t="s">
        <v>175</v>
      </c>
      <c r="D44">
        <v>57.19</v>
      </c>
      <c r="E44">
        <v>55.4</v>
      </c>
      <c r="F44" s="3">
        <v>5000</v>
      </c>
      <c r="G44">
        <v>55.9</v>
      </c>
      <c r="H44" s="3">
        <v>6000</v>
      </c>
      <c r="I44">
        <v>57</v>
      </c>
      <c r="J44">
        <v>55.2</v>
      </c>
      <c r="K44">
        <v>55.96</v>
      </c>
      <c r="L44">
        <v>55.9</v>
      </c>
      <c r="M44" t="s">
        <v>140</v>
      </c>
      <c r="N44" t="s">
        <v>1</v>
      </c>
      <c r="O44" s="3">
        <v>83852</v>
      </c>
      <c r="P44" t="s">
        <v>1</v>
      </c>
      <c r="Q44" t="s">
        <v>1</v>
      </c>
    </row>
    <row r="45" spans="2:17">
      <c r="B45">
        <v>3447</v>
      </c>
      <c r="C45" t="s">
        <v>2711</v>
      </c>
      <c r="D45">
        <v>41.84</v>
      </c>
      <c r="E45">
        <v>41.25</v>
      </c>
      <c r="F45" s="3">
        <v>3000</v>
      </c>
      <c r="G45">
        <v>42.95</v>
      </c>
      <c r="H45" s="3">
        <v>3000</v>
      </c>
      <c r="I45">
        <v>42</v>
      </c>
      <c r="J45">
        <v>40.549999999999997</v>
      </c>
      <c r="K45">
        <v>41.22</v>
      </c>
      <c r="L45">
        <v>42</v>
      </c>
      <c r="M45" t="s">
        <v>140</v>
      </c>
      <c r="N45" t="s">
        <v>1</v>
      </c>
      <c r="O45" s="3">
        <v>97830</v>
      </c>
      <c r="P45" t="s">
        <v>1</v>
      </c>
      <c r="Q45" t="s">
        <v>1</v>
      </c>
    </row>
    <row r="46" spans="2:17">
      <c r="B46">
        <v>3485</v>
      </c>
      <c r="C46" t="s">
        <v>176</v>
      </c>
      <c r="D46">
        <v>36.43</v>
      </c>
      <c r="E46">
        <v>35.799999999999997</v>
      </c>
      <c r="F46" s="3">
        <v>3000</v>
      </c>
      <c r="G46">
        <v>36.5</v>
      </c>
      <c r="H46" s="3">
        <v>3000</v>
      </c>
      <c r="I46" t="s">
        <v>1</v>
      </c>
      <c r="J46" t="s">
        <v>1</v>
      </c>
      <c r="K46" t="s">
        <v>1</v>
      </c>
      <c r="L46" t="s">
        <v>1</v>
      </c>
      <c r="M46" t="s">
        <v>1</v>
      </c>
      <c r="N46" t="s">
        <v>1</v>
      </c>
      <c r="O46" t="s">
        <v>1</v>
      </c>
      <c r="P46" t="s">
        <v>1</v>
      </c>
      <c r="Q46" t="s">
        <v>1</v>
      </c>
    </row>
    <row r="47" spans="2:17">
      <c r="B47">
        <v>3585</v>
      </c>
      <c r="C47" t="s">
        <v>177</v>
      </c>
      <c r="D47">
        <v>12.47</v>
      </c>
      <c r="E47">
        <v>13.1</v>
      </c>
      <c r="F47" s="3">
        <v>1000</v>
      </c>
      <c r="G47">
        <v>13.4</v>
      </c>
      <c r="H47" s="3">
        <v>3500</v>
      </c>
      <c r="I47">
        <v>14.25</v>
      </c>
      <c r="J47">
        <v>12.55</v>
      </c>
      <c r="K47">
        <v>13.42</v>
      </c>
      <c r="L47">
        <v>13.4</v>
      </c>
      <c r="M47" t="s">
        <v>140</v>
      </c>
      <c r="N47" t="s">
        <v>1</v>
      </c>
      <c r="O47" s="3">
        <v>4244662</v>
      </c>
      <c r="P47" t="s">
        <v>1</v>
      </c>
      <c r="Q47" t="s">
        <v>1</v>
      </c>
    </row>
    <row r="48" spans="2:17">
      <c r="B48">
        <v>3592</v>
      </c>
      <c r="C48" t="s">
        <v>178</v>
      </c>
      <c r="D48">
        <v>574.45000000000005</v>
      </c>
      <c r="E48">
        <v>572</v>
      </c>
      <c r="F48" s="3">
        <v>7000</v>
      </c>
      <c r="G48">
        <v>576</v>
      </c>
      <c r="H48" s="3">
        <v>2000</v>
      </c>
      <c r="I48">
        <v>579</v>
      </c>
      <c r="J48">
        <v>569</v>
      </c>
      <c r="K48">
        <v>573.94000000000005</v>
      </c>
      <c r="L48">
        <v>575</v>
      </c>
      <c r="M48" t="s">
        <v>140</v>
      </c>
      <c r="N48" t="s">
        <v>1</v>
      </c>
      <c r="O48" s="3">
        <v>666336</v>
      </c>
      <c r="P48" t="s">
        <v>2894</v>
      </c>
      <c r="Q48" t="s">
        <v>348</v>
      </c>
    </row>
    <row r="49" spans="2:17">
      <c r="B49">
        <v>3595</v>
      </c>
      <c r="C49" t="s">
        <v>179</v>
      </c>
      <c r="D49">
        <v>40.020000000000003</v>
      </c>
      <c r="E49">
        <v>39.15</v>
      </c>
      <c r="F49" s="3">
        <v>3000</v>
      </c>
      <c r="G49">
        <v>40.15</v>
      </c>
      <c r="H49" s="3">
        <v>3000</v>
      </c>
      <c r="I49">
        <v>40.200000000000003</v>
      </c>
      <c r="J49">
        <v>39.1</v>
      </c>
      <c r="K49">
        <v>39.729999999999997</v>
      </c>
      <c r="L49">
        <v>39.5</v>
      </c>
      <c r="M49" t="s">
        <v>140</v>
      </c>
      <c r="N49" t="s">
        <v>1</v>
      </c>
      <c r="O49" s="3">
        <v>39200</v>
      </c>
      <c r="P49" t="s">
        <v>1</v>
      </c>
      <c r="Q49" t="s">
        <v>1</v>
      </c>
    </row>
    <row r="50" spans="2:17">
      <c r="B50">
        <v>3603</v>
      </c>
      <c r="C50" t="s">
        <v>180</v>
      </c>
      <c r="D50">
        <v>6.48</v>
      </c>
      <c r="E50">
        <v>6.78</v>
      </c>
      <c r="F50" s="3">
        <v>5000</v>
      </c>
      <c r="G50">
        <v>7.05</v>
      </c>
      <c r="H50" s="3">
        <v>5000</v>
      </c>
      <c r="I50">
        <v>7.09</v>
      </c>
      <c r="J50">
        <v>6.76</v>
      </c>
      <c r="K50">
        <v>6.93</v>
      </c>
      <c r="L50">
        <v>7</v>
      </c>
      <c r="M50" t="s">
        <v>143</v>
      </c>
      <c r="N50" t="s">
        <v>1</v>
      </c>
      <c r="O50" s="3">
        <v>40090</v>
      </c>
      <c r="P50" t="s">
        <v>1</v>
      </c>
      <c r="Q50" t="s">
        <v>1</v>
      </c>
    </row>
    <row r="51" spans="2:17">
      <c r="B51">
        <v>3627</v>
      </c>
      <c r="C51" t="s">
        <v>181</v>
      </c>
      <c r="D51">
        <v>37.26</v>
      </c>
      <c r="E51">
        <v>36.9</v>
      </c>
      <c r="F51" s="3">
        <v>10000</v>
      </c>
      <c r="G51">
        <v>38</v>
      </c>
      <c r="H51" s="3">
        <v>9999</v>
      </c>
      <c r="I51">
        <v>38.15</v>
      </c>
      <c r="J51">
        <v>36.85</v>
      </c>
      <c r="K51">
        <v>37.090000000000003</v>
      </c>
      <c r="L51">
        <v>38</v>
      </c>
      <c r="M51" t="s">
        <v>140</v>
      </c>
      <c r="N51" t="s">
        <v>1</v>
      </c>
      <c r="O51" s="3">
        <v>110915</v>
      </c>
      <c r="P51" t="s">
        <v>1</v>
      </c>
      <c r="Q51" t="s">
        <v>1</v>
      </c>
    </row>
    <row r="52" spans="2:17">
      <c r="B52">
        <v>3633</v>
      </c>
      <c r="C52" t="s">
        <v>182</v>
      </c>
      <c r="D52">
        <v>44.94</v>
      </c>
      <c r="E52">
        <v>44.45</v>
      </c>
      <c r="F52" s="3">
        <v>3000</v>
      </c>
      <c r="G52">
        <v>45.95</v>
      </c>
      <c r="H52" s="3">
        <v>3000</v>
      </c>
      <c r="I52">
        <v>46.25</v>
      </c>
      <c r="J52">
        <v>44.45</v>
      </c>
      <c r="K52">
        <v>45.08</v>
      </c>
      <c r="L52">
        <v>44.8</v>
      </c>
      <c r="M52" t="s">
        <v>140</v>
      </c>
      <c r="N52" t="s">
        <v>1</v>
      </c>
      <c r="O52" s="3">
        <v>11301</v>
      </c>
      <c r="P52" t="s">
        <v>1</v>
      </c>
      <c r="Q52" t="s">
        <v>1</v>
      </c>
    </row>
    <row r="53" spans="2:17">
      <c r="B53">
        <v>3659</v>
      </c>
      <c r="C53" t="s">
        <v>183</v>
      </c>
      <c r="D53">
        <v>20.350000000000001</v>
      </c>
      <c r="E53">
        <v>20.3</v>
      </c>
      <c r="F53" s="3">
        <v>3000</v>
      </c>
      <c r="G53">
        <v>21</v>
      </c>
      <c r="H53" s="3">
        <v>2995</v>
      </c>
      <c r="I53">
        <v>21</v>
      </c>
      <c r="J53">
        <v>21</v>
      </c>
      <c r="K53">
        <v>21</v>
      </c>
      <c r="L53">
        <v>21</v>
      </c>
      <c r="M53" t="s">
        <v>140</v>
      </c>
      <c r="N53" t="s">
        <v>1</v>
      </c>
      <c r="O53">
        <v>5</v>
      </c>
      <c r="P53" t="s">
        <v>1</v>
      </c>
      <c r="Q53" t="s">
        <v>1</v>
      </c>
    </row>
    <row r="54" spans="2:17">
      <c r="B54">
        <v>3678</v>
      </c>
      <c r="C54" t="s">
        <v>184</v>
      </c>
      <c r="D54">
        <v>20.82</v>
      </c>
      <c r="E54">
        <v>21.05</v>
      </c>
      <c r="F54" s="3">
        <v>2000</v>
      </c>
      <c r="G54">
        <v>21.5</v>
      </c>
      <c r="H54" s="3">
        <v>3000</v>
      </c>
      <c r="I54">
        <v>21.9</v>
      </c>
      <c r="J54">
        <v>21</v>
      </c>
      <c r="K54">
        <v>21.4</v>
      </c>
      <c r="L54">
        <v>21.4</v>
      </c>
      <c r="M54" t="s">
        <v>143</v>
      </c>
      <c r="N54" t="s">
        <v>1</v>
      </c>
      <c r="O54" s="3">
        <v>22002</v>
      </c>
      <c r="P54" t="s">
        <v>1</v>
      </c>
      <c r="Q54" t="s">
        <v>1</v>
      </c>
    </row>
    <row r="55" spans="2:17">
      <c r="B55">
        <v>3688</v>
      </c>
      <c r="C55" t="s">
        <v>185</v>
      </c>
      <c r="D55">
        <v>14.35</v>
      </c>
      <c r="E55">
        <v>14.7</v>
      </c>
      <c r="F55" s="3">
        <v>15000</v>
      </c>
      <c r="G55">
        <v>15</v>
      </c>
      <c r="H55" s="3">
        <v>8000</v>
      </c>
      <c r="I55">
        <v>15</v>
      </c>
      <c r="J55">
        <v>14.4</v>
      </c>
      <c r="K55">
        <v>14.76</v>
      </c>
      <c r="L55">
        <v>15</v>
      </c>
      <c r="M55" t="s">
        <v>140</v>
      </c>
      <c r="N55" t="s">
        <v>1</v>
      </c>
      <c r="O55" s="3">
        <v>1151743</v>
      </c>
      <c r="P55" t="s">
        <v>1</v>
      </c>
      <c r="Q55" t="s">
        <v>1</v>
      </c>
    </row>
    <row r="56" spans="2:17">
      <c r="B56">
        <v>4117</v>
      </c>
      <c r="C56" t="s">
        <v>186</v>
      </c>
      <c r="D56">
        <v>35.47</v>
      </c>
      <c r="E56">
        <v>34.85</v>
      </c>
      <c r="F56" s="3">
        <v>4000</v>
      </c>
      <c r="G56">
        <v>35.25</v>
      </c>
      <c r="H56" s="3">
        <v>4000</v>
      </c>
      <c r="I56">
        <v>36.6</v>
      </c>
      <c r="J56">
        <v>34.549999999999997</v>
      </c>
      <c r="K56">
        <v>34.979999999999997</v>
      </c>
      <c r="L56">
        <v>35.25</v>
      </c>
      <c r="M56" t="s">
        <v>140</v>
      </c>
      <c r="N56" t="s">
        <v>1</v>
      </c>
      <c r="O56" s="3">
        <v>150510</v>
      </c>
      <c r="P56" t="s">
        <v>1</v>
      </c>
      <c r="Q56" t="s">
        <v>1</v>
      </c>
    </row>
    <row r="57" spans="2:17">
      <c r="B57">
        <v>4132</v>
      </c>
      <c r="C57" t="s">
        <v>187</v>
      </c>
      <c r="D57">
        <v>118.84</v>
      </c>
      <c r="E57">
        <v>114.5</v>
      </c>
      <c r="F57" s="3">
        <v>84000</v>
      </c>
      <c r="G57">
        <v>115.5</v>
      </c>
      <c r="H57" s="3">
        <v>11900</v>
      </c>
      <c r="I57">
        <v>121.5</v>
      </c>
      <c r="J57">
        <v>113.5</v>
      </c>
      <c r="K57">
        <v>116.51</v>
      </c>
      <c r="L57">
        <v>115</v>
      </c>
      <c r="M57" t="s">
        <v>140</v>
      </c>
      <c r="N57" t="s">
        <v>1</v>
      </c>
      <c r="O57" s="3">
        <v>1599841</v>
      </c>
      <c r="P57" t="s">
        <v>1</v>
      </c>
      <c r="Q57" t="s">
        <v>1</v>
      </c>
    </row>
    <row r="58" spans="2:17">
      <c r="B58">
        <v>4136</v>
      </c>
      <c r="C58" t="s">
        <v>188</v>
      </c>
      <c r="D58">
        <v>14.3</v>
      </c>
      <c r="E58">
        <v>14</v>
      </c>
      <c r="F58" s="3">
        <v>5000</v>
      </c>
      <c r="G58">
        <v>14.6</v>
      </c>
      <c r="H58" s="3">
        <v>5000</v>
      </c>
      <c r="I58" t="s">
        <v>1</v>
      </c>
      <c r="J58" t="s">
        <v>1</v>
      </c>
      <c r="K58" t="s">
        <v>1</v>
      </c>
      <c r="L58" t="s">
        <v>1</v>
      </c>
      <c r="M58" t="s">
        <v>1</v>
      </c>
      <c r="N58" t="s">
        <v>1</v>
      </c>
      <c r="O58" t="s">
        <v>1</v>
      </c>
      <c r="P58" t="s">
        <v>1</v>
      </c>
      <c r="Q58" t="s">
        <v>1</v>
      </c>
    </row>
    <row r="59" spans="2:17">
      <c r="B59">
        <v>4150</v>
      </c>
      <c r="C59" t="s">
        <v>189</v>
      </c>
      <c r="D59">
        <v>12.75</v>
      </c>
      <c r="E59">
        <v>11.2</v>
      </c>
      <c r="F59" s="3">
        <v>10000</v>
      </c>
      <c r="G59">
        <v>11.3</v>
      </c>
      <c r="H59" s="3">
        <v>15000</v>
      </c>
      <c r="I59">
        <v>12.85</v>
      </c>
      <c r="J59">
        <v>10.55</v>
      </c>
      <c r="K59">
        <v>11.25</v>
      </c>
      <c r="L59">
        <v>11.3</v>
      </c>
      <c r="M59" t="s">
        <v>140</v>
      </c>
      <c r="N59" t="s">
        <v>1</v>
      </c>
      <c r="O59" s="3">
        <v>6235864</v>
      </c>
      <c r="P59" t="s">
        <v>1</v>
      </c>
      <c r="Q59" t="s">
        <v>1</v>
      </c>
    </row>
    <row r="60" spans="2:17">
      <c r="B60">
        <v>4151</v>
      </c>
      <c r="C60" t="s">
        <v>190</v>
      </c>
      <c r="D60">
        <v>14.23</v>
      </c>
      <c r="E60">
        <v>13.95</v>
      </c>
      <c r="F60" s="3">
        <v>5000</v>
      </c>
      <c r="G60">
        <v>14.1</v>
      </c>
      <c r="H60" s="3">
        <v>4000</v>
      </c>
      <c r="I60">
        <v>14.1</v>
      </c>
      <c r="J60">
        <v>13.55</v>
      </c>
      <c r="K60">
        <v>13.67</v>
      </c>
      <c r="L60">
        <v>14</v>
      </c>
      <c r="M60" t="s">
        <v>143</v>
      </c>
      <c r="N60" t="s">
        <v>1</v>
      </c>
      <c r="O60" s="3">
        <v>392100</v>
      </c>
      <c r="P60" t="s">
        <v>1</v>
      </c>
      <c r="Q60" t="s">
        <v>1</v>
      </c>
    </row>
    <row r="61" spans="2:17">
      <c r="B61">
        <v>4166</v>
      </c>
      <c r="C61" t="s">
        <v>191</v>
      </c>
      <c r="D61">
        <v>18.27</v>
      </c>
      <c r="E61">
        <v>18.25</v>
      </c>
      <c r="F61" s="3">
        <v>5000</v>
      </c>
      <c r="G61">
        <v>18.600000000000001</v>
      </c>
      <c r="H61" s="3">
        <v>9998</v>
      </c>
      <c r="I61">
        <v>18.600000000000001</v>
      </c>
      <c r="J61">
        <v>18.149999999999999</v>
      </c>
      <c r="K61">
        <v>18.36</v>
      </c>
      <c r="L61">
        <v>18.600000000000001</v>
      </c>
      <c r="M61" t="s">
        <v>140</v>
      </c>
      <c r="N61" t="s">
        <v>1</v>
      </c>
      <c r="O61" s="3">
        <v>22752</v>
      </c>
      <c r="P61" t="s">
        <v>1</v>
      </c>
      <c r="Q61" t="s">
        <v>1</v>
      </c>
    </row>
    <row r="62" spans="2:17">
      <c r="B62">
        <v>4169</v>
      </c>
      <c r="C62" t="s">
        <v>192</v>
      </c>
      <c r="D62">
        <v>39.4</v>
      </c>
      <c r="E62">
        <v>37.9</v>
      </c>
      <c r="F62" s="3">
        <v>6000</v>
      </c>
      <c r="G62">
        <v>38.5</v>
      </c>
      <c r="H62" s="3">
        <v>3900</v>
      </c>
      <c r="I62">
        <v>39.65</v>
      </c>
      <c r="J62">
        <v>38</v>
      </c>
      <c r="K62">
        <v>38.17</v>
      </c>
      <c r="L62">
        <v>38.5</v>
      </c>
      <c r="M62" t="s">
        <v>140</v>
      </c>
      <c r="N62" t="s">
        <v>1</v>
      </c>
      <c r="O62" s="3">
        <v>21103</v>
      </c>
      <c r="P62" t="s">
        <v>1</v>
      </c>
      <c r="Q62" t="s">
        <v>1</v>
      </c>
    </row>
    <row r="63" spans="2:17">
      <c r="B63">
        <v>4172</v>
      </c>
      <c r="C63" t="s">
        <v>193</v>
      </c>
      <c r="D63">
        <v>17.73</v>
      </c>
      <c r="E63">
        <v>17.100000000000001</v>
      </c>
      <c r="F63" s="3">
        <v>10000</v>
      </c>
      <c r="G63">
        <v>17.3</v>
      </c>
      <c r="H63" s="3">
        <v>5000</v>
      </c>
      <c r="I63">
        <v>17.899999999999999</v>
      </c>
      <c r="J63">
        <v>17</v>
      </c>
      <c r="K63">
        <v>17.34</v>
      </c>
      <c r="L63">
        <v>17.25</v>
      </c>
      <c r="M63" t="s">
        <v>140</v>
      </c>
      <c r="N63" t="s">
        <v>1</v>
      </c>
      <c r="O63" s="3">
        <v>475576</v>
      </c>
      <c r="P63" t="s">
        <v>1</v>
      </c>
      <c r="Q63" t="s">
        <v>1</v>
      </c>
    </row>
    <row r="64" spans="2:17">
      <c r="B64">
        <v>4186</v>
      </c>
      <c r="C64" t="s">
        <v>194</v>
      </c>
      <c r="D64">
        <v>18.440000000000001</v>
      </c>
      <c r="E64">
        <v>18.350000000000001</v>
      </c>
      <c r="F64" s="3">
        <v>10000</v>
      </c>
      <c r="G64">
        <v>18.649999999999999</v>
      </c>
      <c r="H64" s="3">
        <v>2000</v>
      </c>
      <c r="I64">
        <v>18.850000000000001</v>
      </c>
      <c r="J64">
        <v>18.399999999999999</v>
      </c>
      <c r="K64">
        <v>18.47</v>
      </c>
      <c r="L64">
        <v>18.649999999999999</v>
      </c>
      <c r="M64" t="s">
        <v>140</v>
      </c>
      <c r="N64" t="s">
        <v>1</v>
      </c>
      <c r="O64" s="3">
        <v>52241</v>
      </c>
      <c r="P64" t="s">
        <v>1</v>
      </c>
      <c r="Q64" t="s">
        <v>1</v>
      </c>
    </row>
    <row r="65" spans="2:17">
      <c r="B65">
        <v>4191</v>
      </c>
      <c r="C65" t="s">
        <v>195</v>
      </c>
      <c r="D65">
        <v>27</v>
      </c>
      <c r="E65">
        <v>25.95</v>
      </c>
      <c r="F65" s="3">
        <v>2000</v>
      </c>
      <c r="G65">
        <v>26.4</v>
      </c>
      <c r="H65" s="3">
        <v>2975</v>
      </c>
      <c r="I65">
        <v>27.3</v>
      </c>
      <c r="J65">
        <v>25.3</v>
      </c>
      <c r="K65">
        <v>26.01</v>
      </c>
      <c r="L65">
        <v>25.95</v>
      </c>
      <c r="M65" t="s">
        <v>143</v>
      </c>
      <c r="N65" t="s">
        <v>1</v>
      </c>
      <c r="O65" s="3">
        <v>406909</v>
      </c>
      <c r="P65" t="s">
        <v>1</v>
      </c>
      <c r="Q65" t="s">
        <v>1</v>
      </c>
    </row>
    <row r="66" spans="2:17">
      <c r="B66">
        <v>4194</v>
      </c>
      <c r="C66" t="s">
        <v>196</v>
      </c>
      <c r="D66">
        <v>26.01</v>
      </c>
      <c r="E66">
        <v>25.45</v>
      </c>
      <c r="F66" s="3">
        <v>2000</v>
      </c>
      <c r="G66">
        <v>25.7</v>
      </c>
      <c r="H66" s="3">
        <v>5000</v>
      </c>
      <c r="I66">
        <v>25.9</v>
      </c>
      <c r="J66">
        <v>25.4</v>
      </c>
      <c r="K66">
        <v>25.55</v>
      </c>
      <c r="L66">
        <v>25.7</v>
      </c>
      <c r="M66" t="s">
        <v>140</v>
      </c>
      <c r="N66" t="s">
        <v>1</v>
      </c>
      <c r="O66" s="3">
        <v>549236</v>
      </c>
      <c r="P66" t="s">
        <v>1</v>
      </c>
      <c r="Q66" t="s">
        <v>1</v>
      </c>
    </row>
    <row r="67" spans="2:17">
      <c r="B67">
        <v>4195</v>
      </c>
      <c r="C67" t="s">
        <v>197</v>
      </c>
      <c r="D67">
        <v>19.47</v>
      </c>
      <c r="E67">
        <v>18.899999999999999</v>
      </c>
      <c r="F67" s="3">
        <v>15000</v>
      </c>
      <c r="G67">
        <v>19.100000000000001</v>
      </c>
      <c r="H67" s="3">
        <v>9999</v>
      </c>
      <c r="I67">
        <v>19.600000000000001</v>
      </c>
      <c r="J67">
        <v>18.8</v>
      </c>
      <c r="K67">
        <v>19.02</v>
      </c>
      <c r="L67">
        <v>19.100000000000001</v>
      </c>
      <c r="M67" t="s">
        <v>140</v>
      </c>
      <c r="N67" t="s">
        <v>1</v>
      </c>
      <c r="O67" s="3">
        <v>365200</v>
      </c>
      <c r="P67" t="s">
        <v>1</v>
      </c>
      <c r="Q67" t="s">
        <v>1</v>
      </c>
    </row>
    <row r="68" spans="2:17">
      <c r="B68">
        <v>4197</v>
      </c>
      <c r="C68" t="s">
        <v>198</v>
      </c>
      <c r="D68">
        <v>12.7</v>
      </c>
      <c r="E68">
        <v>12.6</v>
      </c>
      <c r="F68" s="3">
        <v>5000</v>
      </c>
      <c r="G68">
        <v>12.75</v>
      </c>
      <c r="H68" s="3">
        <v>5000</v>
      </c>
      <c r="I68" t="s">
        <v>1</v>
      </c>
      <c r="J68" t="s">
        <v>1</v>
      </c>
      <c r="K68" t="s">
        <v>1</v>
      </c>
      <c r="L68" t="s">
        <v>1</v>
      </c>
      <c r="M68" t="s">
        <v>1</v>
      </c>
      <c r="N68" t="s">
        <v>1</v>
      </c>
      <c r="O68" t="s">
        <v>1</v>
      </c>
      <c r="P68" t="s">
        <v>1</v>
      </c>
      <c r="Q68" t="s">
        <v>1</v>
      </c>
    </row>
    <row r="69" spans="2:17">
      <c r="B69">
        <v>4431</v>
      </c>
      <c r="C69" t="s">
        <v>2889</v>
      </c>
      <c r="D69">
        <v>27.07</v>
      </c>
      <c r="E69">
        <v>26.75</v>
      </c>
      <c r="F69" s="3">
        <v>3000</v>
      </c>
      <c r="G69">
        <v>27.45</v>
      </c>
      <c r="H69" s="3">
        <v>2998</v>
      </c>
      <c r="I69">
        <v>27.55</v>
      </c>
      <c r="J69">
        <v>26.55</v>
      </c>
      <c r="K69">
        <v>26.9</v>
      </c>
      <c r="L69">
        <v>27.45</v>
      </c>
      <c r="M69" t="s">
        <v>140</v>
      </c>
      <c r="N69" t="s">
        <v>1</v>
      </c>
      <c r="O69" s="3">
        <v>39368</v>
      </c>
      <c r="P69" t="s">
        <v>1</v>
      </c>
      <c r="Q69" t="s">
        <v>1</v>
      </c>
    </row>
    <row r="70" spans="2:17">
      <c r="B70">
        <v>4537</v>
      </c>
      <c r="C70" t="s">
        <v>200</v>
      </c>
      <c r="D70">
        <v>26.41</v>
      </c>
      <c r="E70">
        <v>26.3</v>
      </c>
      <c r="F70" s="3">
        <v>3000</v>
      </c>
      <c r="G70">
        <v>26.85</v>
      </c>
      <c r="H70" s="3">
        <v>3000</v>
      </c>
      <c r="I70">
        <v>27.35</v>
      </c>
      <c r="J70">
        <v>26.3</v>
      </c>
      <c r="K70">
        <v>26.59</v>
      </c>
      <c r="L70">
        <v>26.85</v>
      </c>
      <c r="M70" t="s">
        <v>140</v>
      </c>
      <c r="N70" t="s">
        <v>1</v>
      </c>
      <c r="O70" s="3">
        <v>57118</v>
      </c>
      <c r="P70" t="s">
        <v>1</v>
      </c>
      <c r="Q70" t="s">
        <v>1</v>
      </c>
    </row>
    <row r="71" spans="2:17">
      <c r="B71">
        <v>4544</v>
      </c>
      <c r="C71" t="s">
        <v>201</v>
      </c>
      <c r="D71">
        <v>23</v>
      </c>
      <c r="E71">
        <v>21.85</v>
      </c>
      <c r="F71" s="3">
        <v>6000</v>
      </c>
      <c r="G71">
        <v>23</v>
      </c>
      <c r="H71" s="3">
        <v>6000</v>
      </c>
      <c r="I71" t="s">
        <v>1</v>
      </c>
      <c r="J71" t="s">
        <v>1</v>
      </c>
      <c r="K71" t="s">
        <v>1</v>
      </c>
      <c r="L71" t="s">
        <v>1</v>
      </c>
      <c r="M71" t="s">
        <v>1</v>
      </c>
      <c r="N71" t="s">
        <v>1</v>
      </c>
      <c r="O71" t="s">
        <v>1</v>
      </c>
      <c r="P71" t="s">
        <v>1</v>
      </c>
      <c r="Q71" t="s">
        <v>1</v>
      </c>
    </row>
    <row r="72" spans="2:17">
      <c r="B72">
        <v>4546</v>
      </c>
      <c r="C72" t="s">
        <v>202</v>
      </c>
      <c r="D72">
        <v>62.04</v>
      </c>
      <c r="E72">
        <v>62.6</v>
      </c>
      <c r="F72" s="3">
        <v>1000</v>
      </c>
      <c r="G72">
        <v>63.9</v>
      </c>
      <c r="H72" s="3">
        <v>3000</v>
      </c>
      <c r="I72">
        <v>63.8</v>
      </c>
      <c r="J72">
        <v>62.2</v>
      </c>
      <c r="K72">
        <v>62.79</v>
      </c>
      <c r="L72">
        <v>62.6</v>
      </c>
      <c r="M72" t="s">
        <v>143</v>
      </c>
      <c r="N72" t="s">
        <v>1</v>
      </c>
      <c r="O72" s="3">
        <v>40151</v>
      </c>
      <c r="P72" t="s">
        <v>1</v>
      </c>
      <c r="Q72" t="s">
        <v>1</v>
      </c>
    </row>
    <row r="73" spans="2:17">
      <c r="B73">
        <v>4553</v>
      </c>
      <c r="C73" t="s">
        <v>203</v>
      </c>
      <c r="D73">
        <v>25.1</v>
      </c>
      <c r="E73">
        <v>25.2</v>
      </c>
      <c r="F73" s="3">
        <v>3000</v>
      </c>
      <c r="G73">
        <v>25.8</v>
      </c>
      <c r="H73" s="3">
        <v>3000</v>
      </c>
      <c r="I73">
        <v>25.5</v>
      </c>
      <c r="J73">
        <v>25.2</v>
      </c>
      <c r="K73">
        <v>25.36</v>
      </c>
      <c r="L73">
        <v>25.3</v>
      </c>
      <c r="M73" t="s">
        <v>143</v>
      </c>
      <c r="N73" t="s">
        <v>1</v>
      </c>
      <c r="O73" s="3">
        <v>15100</v>
      </c>
      <c r="P73" t="s">
        <v>1</v>
      </c>
      <c r="Q73" t="s">
        <v>1</v>
      </c>
    </row>
    <row r="74" spans="2:17">
      <c r="B74">
        <v>4558</v>
      </c>
      <c r="C74" t="s">
        <v>204</v>
      </c>
      <c r="D74">
        <v>53.17</v>
      </c>
      <c r="E74">
        <v>52.6</v>
      </c>
      <c r="F74" s="3">
        <v>3000</v>
      </c>
      <c r="G74">
        <v>53.3</v>
      </c>
      <c r="H74" s="3">
        <v>3000</v>
      </c>
      <c r="I74">
        <v>53.5</v>
      </c>
      <c r="J74">
        <v>52.5</v>
      </c>
      <c r="K74">
        <v>53</v>
      </c>
      <c r="L74">
        <v>53</v>
      </c>
      <c r="M74" t="s">
        <v>140</v>
      </c>
      <c r="N74" t="s">
        <v>1</v>
      </c>
      <c r="O74" s="3">
        <v>20000</v>
      </c>
      <c r="P74" t="s">
        <v>3136</v>
      </c>
      <c r="Q74" t="s">
        <v>3137</v>
      </c>
    </row>
    <row r="75" spans="2:17">
      <c r="B75">
        <v>4559</v>
      </c>
      <c r="C75" t="s">
        <v>205</v>
      </c>
      <c r="D75">
        <v>17.760000000000002</v>
      </c>
      <c r="E75">
        <v>17.55</v>
      </c>
      <c r="F75" s="3">
        <v>5000</v>
      </c>
      <c r="G75">
        <v>18.100000000000001</v>
      </c>
      <c r="H75" s="3">
        <v>5000</v>
      </c>
      <c r="I75">
        <v>18.100000000000001</v>
      </c>
      <c r="J75">
        <v>17.55</v>
      </c>
      <c r="K75">
        <v>17.690000000000001</v>
      </c>
      <c r="L75">
        <v>18.100000000000001</v>
      </c>
      <c r="M75" t="s">
        <v>140</v>
      </c>
      <c r="N75" t="s">
        <v>1</v>
      </c>
      <c r="O75" s="3">
        <v>21004</v>
      </c>
      <c r="P75" t="s">
        <v>1</v>
      </c>
      <c r="Q75" t="s">
        <v>1</v>
      </c>
    </row>
    <row r="76" spans="2:17">
      <c r="B76">
        <v>4565</v>
      </c>
      <c r="C76" t="s">
        <v>206</v>
      </c>
      <c r="D76">
        <v>58.74</v>
      </c>
      <c r="E76">
        <v>58.7</v>
      </c>
      <c r="F76" s="3">
        <v>3000</v>
      </c>
      <c r="G76">
        <v>59.4</v>
      </c>
      <c r="H76" s="3">
        <v>3000</v>
      </c>
      <c r="I76">
        <v>59.9</v>
      </c>
      <c r="J76">
        <v>58.9</v>
      </c>
      <c r="K76">
        <v>59.32</v>
      </c>
      <c r="L76">
        <v>58.9</v>
      </c>
      <c r="M76" t="s">
        <v>143</v>
      </c>
      <c r="N76" t="s">
        <v>1</v>
      </c>
      <c r="O76" s="3">
        <v>13000</v>
      </c>
      <c r="P76" t="s">
        <v>1</v>
      </c>
      <c r="Q76" t="s">
        <v>1</v>
      </c>
    </row>
    <row r="77" spans="2:17">
      <c r="B77">
        <v>4573</v>
      </c>
      <c r="C77" t="s">
        <v>207</v>
      </c>
      <c r="D77">
        <v>28.94</v>
      </c>
      <c r="E77">
        <v>28.6</v>
      </c>
      <c r="F77" s="3">
        <v>3000</v>
      </c>
      <c r="G77">
        <v>29.4</v>
      </c>
      <c r="H77" s="3">
        <v>3000</v>
      </c>
      <c r="I77">
        <v>29.3</v>
      </c>
      <c r="J77">
        <v>29.2</v>
      </c>
      <c r="K77">
        <v>29.25</v>
      </c>
      <c r="L77">
        <v>29.3</v>
      </c>
      <c r="M77" t="s">
        <v>140</v>
      </c>
      <c r="N77" t="s">
        <v>1</v>
      </c>
      <c r="O77" s="3">
        <v>13000</v>
      </c>
      <c r="P77" t="s">
        <v>1</v>
      </c>
      <c r="Q77" t="s">
        <v>1</v>
      </c>
    </row>
    <row r="78" spans="2:17">
      <c r="B78">
        <v>4575</v>
      </c>
      <c r="C78" t="s">
        <v>208</v>
      </c>
      <c r="D78">
        <v>21.96</v>
      </c>
      <c r="E78">
        <v>21.7</v>
      </c>
      <c r="F78" s="3">
        <v>9000</v>
      </c>
      <c r="G78">
        <v>22.7</v>
      </c>
      <c r="H78" s="3">
        <v>3000</v>
      </c>
      <c r="I78">
        <v>22</v>
      </c>
      <c r="J78">
        <v>21.85</v>
      </c>
      <c r="K78">
        <v>21.92</v>
      </c>
      <c r="L78">
        <v>22</v>
      </c>
      <c r="M78" t="s">
        <v>140</v>
      </c>
      <c r="N78" t="s">
        <v>1</v>
      </c>
      <c r="O78" s="3">
        <v>12000</v>
      </c>
      <c r="P78" t="s">
        <v>1</v>
      </c>
      <c r="Q78" t="s">
        <v>1</v>
      </c>
    </row>
    <row r="79" spans="2:17">
      <c r="B79">
        <v>4577</v>
      </c>
      <c r="C79" t="s">
        <v>209</v>
      </c>
      <c r="D79">
        <v>41.04</v>
      </c>
      <c r="E79">
        <v>39.9</v>
      </c>
      <c r="F79" s="3">
        <v>2954</v>
      </c>
      <c r="G79">
        <v>41</v>
      </c>
      <c r="H79" s="3">
        <v>1000</v>
      </c>
      <c r="I79">
        <v>41</v>
      </c>
      <c r="J79">
        <v>39.9</v>
      </c>
      <c r="K79">
        <v>40.340000000000003</v>
      </c>
      <c r="L79">
        <v>41</v>
      </c>
      <c r="M79" t="s">
        <v>140</v>
      </c>
      <c r="N79" t="s">
        <v>1</v>
      </c>
      <c r="O79" s="3">
        <v>11046</v>
      </c>
      <c r="P79" t="s">
        <v>3084</v>
      </c>
      <c r="Q79" t="s">
        <v>166</v>
      </c>
    </row>
    <row r="80" spans="2:17">
      <c r="B80">
        <v>4578</v>
      </c>
      <c r="C80" t="s">
        <v>210</v>
      </c>
      <c r="D80">
        <v>36</v>
      </c>
      <c r="E80">
        <v>35.15</v>
      </c>
      <c r="F80" s="3">
        <v>6000</v>
      </c>
      <c r="G80">
        <v>37</v>
      </c>
      <c r="H80" s="3">
        <v>6000</v>
      </c>
      <c r="I80" t="s">
        <v>1</v>
      </c>
      <c r="J80" t="s">
        <v>1</v>
      </c>
      <c r="K80" t="s">
        <v>1</v>
      </c>
      <c r="L80" t="s">
        <v>1</v>
      </c>
      <c r="M80" t="s">
        <v>1</v>
      </c>
      <c r="N80" t="s">
        <v>1</v>
      </c>
      <c r="O80" t="s">
        <v>1</v>
      </c>
      <c r="P80" t="s">
        <v>1</v>
      </c>
      <c r="Q80" t="s">
        <v>1</v>
      </c>
    </row>
    <row r="81" spans="2:17">
      <c r="B81">
        <v>4582</v>
      </c>
      <c r="C81" t="s">
        <v>211</v>
      </c>
      <c r="D81">
        <v>46.87</v>
      </c>
      <c r="E81">
        <v>46.35</v>
      </c>
      <c r="F81" s="3">
        <v>3000</v>
      </c>
      <c r="G81">
        <v>47.2</v>
      </c>
      <c r="H81" s="3">
        <v>2000</v>
      </c>
      <c r="I81">
        <v>47.4</v>
      </c>
      <c r="J81">
        <v>46.4</v>
      </c>
      <c r="K81">
        <v>46.77</v>
      </c>
      <c r="L81">
        <v>47.2</v>
      </c>
      <c r="M81" t="s">
        <v>140</v>
      </c>
      <c r="N81" t="s">
        <v>1</v>
      </c>
      <c r="O81" s="3">
        <v>41400</v>
      </c>
      <c r="P81" t="s">
        <v>1</v>
      </c>
      <c r="Q81" t="s">
        <v>1</v>
      </c>
    </row>
    <row r="82" spans="2:17">
      <c r="B82">
        <v>4583</v>
      </c>
      <c r="C82" t="s">
        <v>212</v>
      </c>
      <c r="D82">
        <v>277.66000000000003</v>
      </c>
      <c r="E82">
        <v>276.5</v>
      </c>
      <c r="F82" s="3">
        <v>2000</v>
      </c>
      <c r="G82">
        <v>279.5</v>
      </c>
      <c r="H82" s="3">
        <v>1999</v>
      </c>
      <c r="I82">
        <v>279.5</v>
      </c>
      <c r="J82">
        <v>276.5</v>
      </c>
      <c r="K82">
        <v>277.97000000000003</v>
      </c>
      <c r="L82">
        <v>279.5</v>
      </c>
      <c r="M82" t="s">
        <v>140</v>
      </c>
      <c r="N82" t="s">
        <v>1</v>
      </c>
      <c r="O82" s="3">
        <v>9760</v>
      </c>
      <c r="P82" t="s">
        <v>3060</v>
      </c>
      <c r="Q82" t="s">
        <v>348</v>
      </c>
    </row>
    <row r="83" spans="2:17">
      <c r="B83">
        <v>4584</v>
      </c>
      <c r="C83" t="s">
        <v>2823</v>
      </c>
      <c r="D83">
        <v>72.150000000000006</v>
      </c>
      <c r="E83">
        <v>71</v>
      </c>
      <c r="F83" s="3">
        <v>2969</v>
      </c>
      <c r="G83">
        <v>73</v>
      </c>
      <c r="H83" s="3">
        <v>3000</v>
      </c>
      <c r="I83">
        <v>71</v>
      </c>
      <c r="J83">
        <v>71</v>
      </c>
      <c r="K83">
        <v>71</v>
      </c>
      <c r="L83">
        <v>71</v>
      </c>
      <c r="M83" t="s">
        <v>143</v>
      </c>
      <c r="N83" t="s">
        <v>1</v>
      </c>
      <c r="O83">
        <v>31</v>
      </c>
      <c r="P83" t="s">
        <v>1</v>
      </c>
      <c r="Q83" t="s">
        <v>1</v>
      </c>
    </row>
    <row r="84" spans="2:17">
      <c r="B84">
        <v>4732</v>
      </c>
      <c r="C84" t="s">
        <v>213</v>
      </c>
      <c r="D84">
        <v>44.18</v>
      </c>
      <c r="E84">
        <v>46.9</v>
      </c>
      <c r="F84" s="3">
        <v>3000</v>
      </c>
      <c r="G84">
        <v>48</v>
      </c>
      <c r="H84" s="3">
        <v>5800</v>
      </c>
      <c r="I84">
        <v>48.75</v>
      </c>
      <c r="J84">
        <v>44</v>
      </c>
      <c r="K84">
        <v>45.75</v>
      </c>
      <c r="L84">
        <v>48</v>
      </c>
      <c r="M84" t="s">
        <v>140</v>
      </c>
      <c r="N84" t="s">
        <v>1</v>
      </c>
      <c r="O84" s="3">
        <v>1083309</v>
      </c>
      <c r="P84" t="s">
        <v>1</v>
      </c>
      <c r="Q84" t="s">
        <v>1</v>
      </c>
    </row>
    <row r="85" spans="2:17">
      <c r="B85">
        <v>4738</v>
      </c>
      <c r="C85" t="s">
        <v>214</v>
      </c>
      <c r="D85">
        <v>8.48</v>
      </c>
      <c r="E85">
        <v>8.41</v>
      </c>
      <c r="F85" s="3">
        <v>5000</v>
      </c>
      <c r="G85">
        <v>8.84</v>
      </c>
      <c r="H85" s="3">
        <v>5000</v>
      </c>
      <c r="I85">
        <v>8.86</v>
      </c>
      <c r="J85">
        <v>8.44</v>
      </c>
      <c r="K85">
        <v>8.6</v>
      </c>
      <c r="L85">
        <v>8.6</v>
      </c>
      <c r="M85" t="s">
        <v>140</v>
      </c>
      <c r="N85" t="s">
        <v>1</v>
      </c>
      <c r="O85" s="3">
        <v>359405</v>
      </c>
      <c r="P85" t="s">
        <v>1</v>
      </c>
      <c r="Q85" t="s">
        <v>1</v>
      </c>
    </row>
    <row r="86" spans="2:17">
      <c r="B86">
        <v>4765</v>
      </c>
      <c r="C86" t="s">
        <v>215</v>
      </c>
      <c r="D86">
        <v>22.35</v>
      </c>
      <c r="E86">
        <v>22.2</v>
      </c>
      <c r="F86" s="3">
        <v>3000</v>
      </c>
      <c r="G86">
        <v>22.55</v>
      </c>
      <c r="H86" s="3">
        <v>3000</v>
      </c>
      <c r="I86">
        <v>22.55</v>
      </c>
      <c r="J86">
        <v>22.45</v>
      </c>
      <c r="K86">
        <v>22.5</v>
      </c>
      <c r="L86">
        <v>22.45</v>
      </c>
      <c r="M86" t="s">
        <v>143</v>
      </c>
      <c r="N86" t="s">
        <v>1</v>
      </c>
      <c r="O86" s="3">
        <v>6000</v>
      </c>
      <c r="P86" t="s">
        <v>1</v>
      </c>
      <c r="Q86" t="s">
        <v>1</v>
      </c>
    </row>
    <row r="87" spans="2:17">
      <c r="B87">
        <v>4768</v>
      </c>
      <c r="C87" t="s">
        <v>216</v>
      </c>
      <c r="D87">
        <v>148.09</v>
      </c>
      <c r="E87">
        <v>148</v>
      </c>
      <c r="F87" s="3">
        <v>4000</v>
      </c>
      <c r="G87">
        <v>151</v>
      </c>
      <c r="H87" s="3">
        <v>1990</v>
      </c>
      <c r="I87">
        <v>152</v>
      </c>
      <c r="J87">
        <v>147.5</v>
      </c>
      <c r="K87">
        <v>149.22</v>
      </c>
      <c r="L87">
        <v>151</v>
      </c>
      <c r="M87" t="s">
        <v>140</v>
      </c>
      <c r="N87" t="s">
        <v>1</v>
      </c>
      <c r="O87" s="3">
        <v>41290</v>
      </c>
      <c r="P87" t="s">
        <v>3068</v>
      </c>
      <c r="Q87" t="s">
        <v>227</v>
      </c>
    </row>
    <row r="88" spans="2:17">
      <c r="B88">
        <v>4771</v>
      </c>
      <c r="C88" t="s">
        <v>2895</v>
      </c>
      <c r="D88">
        <v>144.36000000000001</v>
      </c>
      <c r="E88">
        <v>142</v>
      </c>
      <c r="F88" s="3">
        <v>6000</v>
      </c>
      <c r="G88">
        <v>143.5</v>
      </c>
      <c r="H88" s="3">
        <v>2000</v>
      </c>
      <c r="I88">
        <v>144.5</v>
      </c>
      <c r="J88">
        <v>141.5</v>
      </c>
      <c r="K88">
        <v>142.41</v>
      </c>
      <c r="L88">
        <v>143</v>
      </c>
      <c r="M88" t="s">
        <v>140</v>
      </c>
      <c r="N88" t="s">
        <v>1</v>
      </c>
      <c r="O88" s="3">
        <v>167308</v>
      </c>
      <c r="P88" t="s">
        <v>1</v>
      </c>
      <c r="Q88" t="s">
        <v>1</v>
      </c>
    </row>
    <row r="89" spans="2:17">
      <c r="B89">
        <v>4923</v>
      </c>
      <c r="C89" t="s">
        <v>218</v>
      </c>
      <c r="D89">
        <v>86.59</v>
      </c>
      <c r="E89">
        <v>85.9</v>
      </c>
      <c r="F89" s="3">
        <v>3000</v>
      </c>
      <c r="G89">
        <v>87.1</v>
      </c>
      <c r="H89" s="3">
        <v>3000</v>
      </c>
      <c r="I89">
        <v>87.5</v>
      </c>
      <c r="J89">
        <v>85.9</v>
      </c>
      <c r="K89">
        <v>86.73</v>
      </c>
      <c r="L89">
        <v>86.1</v>
      </c>
      <c r="M89" t="s">
        <v>143</v>
      </c>
      <c r="N89" t="s">
        <v>1</v>
      </c>
      <c r="O89" s="3">
        <v>52860</v>
      </c>
      <c r="P89" t="s">
        <v>3117</v>
      </c>
      <c r="Q89" t="s">
        <v>227</v>
      </c>
    </row>
    <row r="90" spans="2:17">
      <c r="B90">
        <v>4925</v>
      </c>
      <c r="C90" t="s">
        <v>219</v>
      </c>
      <c r="D90">
        <v>212.86</v>
      </c>
      <c r="E90">
        <v>211</v>
      </c>
      <c r="F90" s="3">
        <v>14850</v>
      </c>
      <c r="G90">
        <v>213</v>
      </c>
      <c r="H90" s="3">
        <v>5000</v>
      </c>
      <c r="I90">
        <v>216</v>
      </c>
      <c r="J90">
        <v>210</v>
      </c>
      <c r="K90">
        <v>212.47</v>
      </c>
      <c r="L90">
        <v>213</v>
      </c>
      <c r="M90" t="s">
        <v>140</v>
      </c>
      <c r="N90" t="s">
        <v>1</v>
      </c>
      <c r="O90" s="3">
        <v>392690</v>
      </c>
      <c r="P90" t="s">
        <v>1</v>
      </c>
      <c r="Q90" t="s">
        <v>1</v>
      </c>
    </row>
    <row r="91" spans="2:17">
      <c r="B91">
        <v>4951</v>
      </c>
      <c r="C91" t="s">
        <v>220</v>
      </c>
      <c r="D91">
        <v>71.069999999999993</v>
      </c>
      <c r="E91">
        <v>71.900000000000006</v>
      </c>
      <c r="F91" s="3">
        <v>6000</v>
      </c>
      <c r="G91">
        <v>72.599999999999994</v>
      </c>
      <c r="H91" s="3">
        <v>6000</v>
      </c>
      <c r="I91">
        <v>73.099999999999994</v>
      </c>
      <c r="J91">
        <v>70.599999999999994</v>
      </c>
      <c r="K91">
        <v>72.010000000000005</v>
      </c>
      <c r="L91">
        <v>72.2</v>
      </c>
      <c r="M91" t="s">
        <v>143</v>
      </c>
      <c r="N91" t="s">
        <v>1</v>
      </c>
      <c r="O91" s="3">
        <v>255483</v>
      </c>
      <c r="P91" t="s">
        <v>1</v>
      </c>
      <c r="Q91" t="s">
        <v>1</v>
      </c>
    </row>
    <row r="92" spans="2:17">
      <c r="B92">
        <v>4980</v>
      </c>
      <c r="C92" t="s">
        <v>221</v>
      </c>
      <c r="D92">
        <v>55.81</v>
      </c>
      <c r="E92">
        <v>57.8</v>
      </c>
      <c r="F92" s="3">
        <v>3000</v>
      </c>
      <c r="G92">
        <v>58.2</v>
      </c>
      <c r="H92" s="3">
        <v>3000</v>
      </c>
      <c r="I92">
        <v>60</v>
      </c>
      <c r="J92">
        <v>56.1</v>
      </c>
      <c r="K92">
        <v>58.57</v>
      </c>
      <c r="L92">
        <v>58</v>
      </c>
      <c r="M92" t="s">
        <v>140</v>
      </c>
      <c r="N92" t="s">
        <v>1</v>
      </c>
      <c r="O92" s="3">
        <v>307325</v>
      </c>
      <c r="P92" t="s">
        <v>1</v>
      </c>
      <c r="Q92" t="s">
        <v>1</v>
      </c>
    </row>
    <row r="93" spans="2:17">
      <c r="B93">
        <v>5228</v>
      </c>
      <c r="C93" t="s">
        <v>224</v>
      </c>
      <c r="D93">
        <v>30.15</v>
      </c>
      <c r="E93">
        <v>29.9</v>
      </c>
      <c r="F93" s="3">
        <v>2000</v>
      </c>
      <c r="G93">
        <v>31.3</v>
      </c>
      <c r="H93" s="3">
        <v>3000</v>
      </c>
      <c r="I93">
        <v>30.55</v>
      </c>
      <c r="J93">
        <v>29.85</v>
      </c>
      <c r="K93">
        <v>30.06</v>
      </c>
      <c r="L93">
        <v>29.9</v>
      </c>
      <c r="M93" t="s">
        <v>143</v>
      </c>
      <c r="N93" t="s">
        <v>1</v>
      </c>
      <c r="O93" s="3">
        <v>9200</v>
      </c>
      <c r="P93" t="s">
        <v>3118</v>
      </c>
      <c r="Q93" t="s">
        <v>166</v>
      </c>
    </row>
    <row r="94" spans="2:17">
      <c r="B94">
        <v>5233</v>
      </c>
      <c r="C94" t="s">
        <v>225</v>
      </c>
      <c r="D94">
        <v>30.63</v>
      </c>
      <c r="E94">
        <v>30.05</v>
      </c>
      <c r="F94" s="3">
        <v>3000</v>
      </c>
      <c r="G94">
        <v>30.85</v>
      </c>
      <c r="H94" s="3">
        <v>3000</v>
      </c>
      <c r="I94">
        <v>32.1</v>
      </c>
      <c r="J94">
        <v>30.3</v>
      </c>
      <c r="K94">
        <v>30.87</v>
      </c>
      <c r="L94">
        <v>30.7</v>
      </c>
      <c r="M94" t="s">
        <v>143</v>
      </c>
      <c r="N94" t="s">
        <v>1</v>
      </c>
      <c r="O94" s="3">
        <v>436413</v>
      </c>
      <c r="P94" t="s">
        <v>1</v>
      </c>
      <c r="Q94" t="s">
        <v>1</v>
      </c>
    </row>
    <row r="95" spans="2:17">
      <c r="B95">
        <v>5240</v>
      </c>
      <c r="C95" t="s">
        <v>228</v>
      </c>
      <c r="D95">
        <v>4.5199999999999996</v>
      </c>
      <c r="E95">
        <v>4.75</v>
      </c>
      <c r="F95" s="3">
        <v>4000</v>
      </c>
      <c r="G95">
        <v>4.92</v>
      </c>
      <c r="H95" s="3">
        <v>4999</v>
      </c>
      <c r="I95">
        <v>4.95</v>
      </c>
      <c r="J95">
        <v>4.58</v>
      </c>
      <c r="K95">
        <v>4.78</v>
      </c>
      <c r="L95">
        <v>4.92</v>
      </c>
      <c r="M95" t="s">
        <v>140</v>
      </c>
      <c r="N95" t="s">
        <v>1</v>
      </c>
      <c r="O95" s="3">
        <v>910204</v>
      </c>
      <c r="P95" t="s">
        <v>1</v>
      </c>
      <c r="Q95" t="s">
        <v>1</v>
      </c>
    </row>
    <row r="96" spans="2:17">
      <c r="B96">
        <v>5244</v>
      </c>
      <c r="C96" t="s">
        <v>229</v>
      </c>
      <c r="D96">
        <v>59.55</v>
      </c>
      <c r="E96">
        <v>57.2</v>
      </c>
      <c r="F96" s="3">
        <v>2000</v>
      </c>
      <c r="G96">
        <v>58</v>
      </c>
      <c r="H96" s="3">
        <v>5000</v>
      </c>
      <c r="I96">
        <v>60.2</v>
      </c>
      <c r="J96">
        <v>57</v>
      </c>
      <c r="K96">
        <v>58.33</v>
      </c>
      <c r="L96">
        <v>57.2</v>
      </c>
      <c r="M96" t="s">
        <v>143</v>
      </c>
      <c r="N96" t="s">
        <v>1</v>
      </c>
      <c r="O96" s="3">
        <v>891174</v>
      </c>
      <c r="P96" t="s">
        <v>3069</v>
      </c>
      <c r="Q96" t="s">
        <v>348</v>
      </c>
    </row>
    <row r="97" spans="2:17">
      <c r="B97">
        <v>5248</v>
      </c>
      <c r="C97" t="s">
        <v>230</v>
      </c>
      <c r="D97">
        <v>24.75</v>
      </c>
      <c r="E97">
        <v>24.55</v>
      </c>
      <c r="F97" s="3">
        <v>3000</v>
      </c>
      <c r="G97">
        <v>25.25</v>
      </c>
      <c r="H97" s="3">
        <v>3000</v>
      </c>
      <c r="I97">
        <v>24.55</v>
      </c>
      <c r="J97">
        <v>24.55</v>
      </c>
      <c r="K97">
        <v>24.55</v>
      </c>
      <c r="L97">
        <v>24.55</v>
      </c>
      <c r="M97" t="s">
        <v>143</v>
      </c>
      <c r="N97" t="s">
        <v>1</v>
      </c>
      <c r="O97" s="3">
        <v>1000</v>
      </c>
      <c r="P97" t="s">
        <v>1</v>
      </c>
      <c r="Q97" t="s">
        <v>1</v>
      </c>
    </row>
    <row r="98" spans="2:17">
      <c r="B98">
        <v>5254</v>
      </c>
      <c r="C98" t="s">
        <v>231</v>
      </c>
      <c r="D98">
        <v>24.1</v>
      </c>
      <c r="E98">
        <v>22.9</v>
      </c>
      <c r="F98" s="3">
        <v>6000</v>
      </c>
      <c r="G98">
        <v>24.1</v>
      </c>
      <c r="H98" s="3">
        <v>6000</v>
      </c>
      <c r="I98">
        <v>24.1</v>
      </c>
      <c r="J98">
        <v>23</v>
      </c>
      <c r="K98">
        <v>23.67</v>
      </c>
      <c r="L98">
        <v>24.1</v>
      </c>
      <c r="M98" t="s">
        <v>140</v>
      </c>
      <c r="N98" t="s">
        <v>1</v>
      </c>
      <c r="O98" s="3">
        <v>3002</v>
      </c>
      <c r="P98" t="s">
        <v>1</v>
      </c>
      <c r="Q98" t="s">
        <v>1</v>
      </c>
    </row>
    <row r="99" spans="2:17">
      <c r="B99">
        <v>5262</v>
      </c>
      <c r="C99" t="s">
        <v>232</v>
      </c>
      <c r="D99">
        <v>11.64</v>
      </c>
      <c r="E99">
        <v>12.15</v>
      </c>
      <c r="F99" s="3">
        <v>5000</v>
      </c>
      <c r="G99">
        <v>12.5</v>
      </c>
      <c r="H99" s="3">
        <v>4821</v>
      </c>
      <c r="I99">
        <v>13.05</v>
      </c>
      <c r="J99">
        <v>11.85</v>
      </c>
      <c r="K99">
        <v>12.56</v>
      </c>
      <c r="L99">
        <v>12.5</v>
      </c>
      <c r="M99" t="s">
        <v>140</v>
      </c>
      <c r="N99" t="s">
        <v>1</v>
      </c>
      <c r="O99" s="3">
        <v>755319</v>
      </c>
      <c r="P99" t="s">
        <v>1</v>
      </c>
      <c r="Q99" t="s">
        <v>1</v>
      </c>
    </row>
    <row r="100" spans="2:17">
      <c r="B100">
        <v>5267</v>
      </c>
      <c r="C100" t="s">
        <v>233</v>
      </c>
      <c r="D100">
        <v>32.049999999999997</v>
      </c>
      <c r="E100">
        <v>31.75</v>
      </c>
      <c r="F100" s="3">
        <v>3000</v>
      </c>
      <c r="G100">
        <v>33.35</v>
      </c>
      <c r="H100" s="3">
        <v>6000</v>
      </c>
      <c r="I100">
        <v>32.049999999999997</v>
      </c>
      <c r="J100">
        <v>32.049999999999997</v>
      </c>
      <c r="K100">
        <v>32.049999999999997</v>
      </c>
      <c r="L100">
        <v>32.049999999999997</v>
      </c>
      <c r="M100" t="s">
        <v>140</v>
      </c>
      <c r="N100" t="s">
        <v>1</v>
      </c>
      <c r="O100" s="3">
        <v>3000</v>
      </c>
      <c r="P100" t="s">
        <v>1</v>
      </c>
      <c r="Q100" t="s">
        <v>1</v>
      </c>
    </row>
    <row r="101" spans="2:17">
      <c r="B101">
        <v>5271</v>
      </c>
      <c r="C101" t="s">
        <v>234</v>
      </c>
      <c r="D101">
        <v>8.19</v>
      </c>
      <c r="E101">
        <v>10</v>
      </c>
      <c r="F101" s="3">
        <v>2900</v>
      </c>
      <c r="G101">
        <v>10.199999999999999</v>
      </c>
      <c r="H101" s="3">
        <v>10000</v>
      </c>
      <c r="I101">
        <v>11.6</v>
      </c>
      <c r="J101">
        <v>9.3000000000000007</v>
      </c>
      <c r="K101">
        <v>10.44</v>
      </c>
      <c r="L101">
        <v>10</v>
      </c>
      <c r="M101" t="s">
        <v>143</v>
      </c>
      <c r="N101" t="s">
        <v>1</v>
      </c>
      <c r="O101" s="3">
        <v>1333479</v>
      </c>
      <c r="P101" t="s">
        <v>1</v>
      </c>
      <c r="Q101" t="s">
        <v>1</v>
      </c>
    </row>
    <row r="102" spans="2:17">
      <c r="B102">
        <v>5277</v>
      </c>
      <c r="C102" t="s">
        <v>235</v>
      </c>
      <c r="D102">
        <v>18.23</v>
      </c>
      <c r="E102">
        <v>17.899999999999999</v>
      </c>
      <c r="F102" s="3">
        <v>5000</v>
      </c>
      <c r="G102">
        <v>18.399999999999999</v>
      </c>
      <c r="H102" s="3">
        <v>5000</v>
      </c>
      <c r="I102">
        <v>18.399999999999999</v>
      </c>
      <c r="J102">
        <v>17.899999999999999</v>
      </c>
      <c r="K102">
        <v>18.03</v>
      </c>
      <c r="L102">
        <v>18.399999999999999</v>
      </c>
      <c r="M102" t="s">
        <v>140</v>
      </c>
      <c r="N102" t="s">
        <v>1</v>
      </c>
      <c r="O102" s="3">
        <v>56705</v>
      </c>
      <c r="P102" t="s">
        <v>1</v>
      </c>
      <c r="Q102" t="s">
        <v>1</v>
      </c>
    </row>
    <row r="103" spans="2:17">
      <c r="B103">
        <v>5292</v>
      </c>
      <c r="C103" t="s">
        <v>236</v>
      </c>
      <c r="D103">
        <v>65.319999999999993</v>
      </c>
      <c r="E103">
        <v>64.099999999999994</v>
      </c>
      <c r="F103" s="3">
        <v>3000</v>
      </c>
      <c r="G103">
        <v>65.900000000000006</v>
      </c>
      <c r="H103" s="3">
        <v>3000</v>
      </c>
      <c r="I103">
        <v>65.3</v>
      </c>
      <c r="J103">
        <v>65</v>
      </c>
      <c r="K103">
        <v>65.12</v>
      </c>
      <c r="L103">
        <v>65</v>
      </c>
      <c r="M103" t="s">
        <v>143</v>
      </c>
      <c r="N103" t="s">
        <v>1</v>
      </c>
      <c r="O103" s="3">
        <v>5055</v>
      </c>
      <c r="P103" t="s">
        <v>1</v>
      </c>
      <c r="Q103" t="s">
        <v>1</v>
      </c>
    </row>
    <row r="104" spans="2:17">
      <c r="B104">
        <v>5297</v>
      </c>
      <c r="C104" t="s">
        <v>237</v>
      </c>
      <c r="D104">
        <v>14.65</v>
      </c>
      <c r="E104">
        <v>13.95</v>
      </c>
      <c r="F104" s="3">
        <v>5000</v>
      </c>
      <c r="G104">
        <v>14.25</v>
      </c>
      <c r="H104" s="3">
        <v>5000</v>
      </c>
      <c r="I104">
        <v>14.65</v>
      </c>
      <c r="J104">
        <v>13.95</v>
      </c>
      <c r="K104">
        <v>14.09</v>
      </c>
      <c r="L104">
        <v>14.1</v>
      </c>
      <c r="M104" t="s">
        <v>140</v>
      </c>
      <c r="N104" t="s">
        <v>1</v>
      </c>
      <c r="O104" s="3">
        <v>27500</v>
      </c>
      <c r="P104" t="s">
        <v>1</v>
      </c>
      <c r="Q104" t="s">
        <v>1</v>
      </c>
    </row>
    <row r="105" spans="2:17">
      <c r="B105">
        <v>5547</v>
      </c>
      <c r="C105" t="s">
        <v>238</v>
      </c>
      <c r="D105">
        <v>24.95</v>
      </c>
      <c r="E105">
        <v>24.05</v>
      </c>
      <c r="F105" s="3">
        <v>2500</v>
      </c>
      <c r="G105">
        <v>25.2</v>
      </c>
      <c r="H105" s="3">
        <v>3000</v>
      </c>
      <c r="I105">
        <v>24.05</v>
      </c>
      <c r="J105">
        <v>24.05</v>
      </c>
      <c r="K105">
        <v>24.05</v>
      </c>
      <c r="L105">
        <v>24.05</v>
      </c>
      <c r="M105" t="s">
        <v>143</v>
      </c>
      <c r="N105" t="s">
        <v>1</v>
      </c>
      <c r="O105">
        <v>500</v>
      </c>
      <c r="P105" t="s">
        <v>1</v>
      </c>
      <c r="Q105" t="s">
        <v>1</v>
      </c>
    </row>
    <row r="106" spans="2:17">
      <c r="B106">
        <v>5859</v>
      </c>
      <c r="C106" t="s">
        <v>239</v>
      </c>
      <c r="D106">
        <v>13.23</v>
      </c>
      <c r="E106">
        <v>13.2</v>
      </c>
      <c r="F106" s="3">
        <v>9800</v>
      </c>
      <c r="G106">
        <v>13.3</v>
      </c>
      <c r="H106" s="3">
        <v>5000</v>
      </c>
      <c r="I106">
        <v>13.4</v>
      </c>
      <c r="J106">
        <v>13.2</v>
      </c>
      <c r="K106">
        <v>13.35</v>
      </c>
      <c r="L106">
        <v>13.25</v>
      </c>
      <c r="M106" t="s">
        <v>140</v>
      </c>
      <c r="N106" t="s">
        <v>1</v>
      </c>
      <c r="O106" s="3">
        <v>77316</v>
      </c>
      <c r="P106" t="s">
        <v>1</v>
      </c>
      <c r="Q106" t="s">
        <v>1</v>
      </c>
    </row>
    <row r="107" spans="2:17">
      <c r="B107">
        <v>5863</v>
      </c>
      <c r="C107" t="s">
        <v>240</v>
      </c>
      <c r="D107">
        <v>10.37</v>
      </c>
      <c r="E107">
        <v>10.199999999999999</v>
      </c>
      <c r="F107" s="3">
        <v>5000</v>
      </c>
      <c r="G107">
        <v>10.5</v>
      </c>
      <c r="H107" s="3">
        <v>9985</v>
      </c>
      <c r="I107">
        <v>10.5</v>
      </c>
      <c r="J107">
        <v>10.15</v>
      </c>
      <c r="K107">
        <v>10.37</v>
      </c>
      <c r="L107">
        <v>10.5</v>
      </c>
      <c r="M107" t="s">
        <v>140</v>
      </c>
      <c r="N107" t="s">
        <v>1</v>
      </c>
      <c r="O107" s="3">
        <v>19275</v>
      </c>
      <c r="P107" t="s">
        <v>1</v>
      </c>
      <c r="Q107" t="s">
        <v>1</v>
      </c>
    </row>
    <row r="108" spans="2:17">
      <c r="B108">
        <v>6027</v>
      </c>
      <c r="C108" t="s">
        <v>241</v>
      </c>
      <c r="D108">
        <v>9.02</v>
      </c>
      <c r="E108">
        <v>8.8699999999999992</v>
      </c>
      <c r="F108" s="3">
        <v>5000</v>
      </c>
      <c r="G108">
        <v>9.25</v>
      </c>
      <c r="H108" s="3">
        <v>2000</v>
      </c>
      <c r="I108">
        <v>9.26</v>
      </c>
      <c r="J108">
        <v>8.65</v>
      </c>
      <c r="K108">
        <v>9.08</v>
      </c>
      <c r="L108">
        <v>9.25</v>
      </c>
      <c r="M108" t="s">
        <v>140</v>
      </c>
      <c r="N108" t="s">
        <v>1</v>
      </c>
      <c r="O108" s="3">
        <v>60734</v>
      </c>
      <c r="P108" t="s">
        <v>1</v>
      </c>
      <c r="Q108" t="s">
        <v>1</v>
      </c>
    </row>
    <row r="109" spans="2:17">
      <c r="B109">
        <v>6028</v>
      </c>
      <c r="C109" t="s">
        <v>242</v>
      </c>
      <c r="D109">
        <v>47.41</v>
      </c>
      <c r="E109">
        <v>46</v>
      </c>
      <c r="F109" s="3">
        <v>5000</v>
      </c>
      <c r="G109">
        <v>48</v>
      </c>
      <c r="H109" s="3">
        <v>3000</v>
      </c>
      <c r="I109">
        <v>48</v>
      </c>
      <c r="J109">
        <v>46.5</v>
      </c>
      <c r="K109">
        <v>46.63</v>
      </c>
      <c r="L109">
        <v>47.05</v>
      </c>
      <c r="M109" t="s">
        <v>140</v>
      </c>
      <c r="N109" t="s">
        <v>1</v>
      </c>
      <c r="O109" s="3">
        <v>8070</v>
      </c>
      <c r="P109" t="s">
        <v>1</v>
      </c>
      <c r="Q109" t="s">
        <v>1</v>
      </c>
    </row>
    <row r="110" spans="2:17">
      <c r="B110">
        <v>6272</v>
      </c>
      <c r="C110" t="s">
        <v>243</v>
      </c>
      <c r="D110">
        <v>16.48</v>
      </c>
      <c r="E110">
        <v>16.55</v>
      </c>
      <c r="F110" s="3">
        <v>5000</v>
      </c>
      <c r="G110">
        <v>16.8</v>
      </c>
      <c r="H110" s="3">
        <v>14997</v>
      </c>
      <c r="I110">
        <v>17.600000000000001</v>
      </c>
      <c r="J110">
        <v>16.25</v>
      </c>
      <c r="K110">
        <v>16.75</v>
      </c>
      <c r="L110">
        <v>16.8</v>
      </c>
      <c r="M110" t="s">
        <v>140</v>
      </c>
      <c r="N110" t="s">
        <v>1</v>
      </c>
      <c r="O110" s="3">
        <v>567933</v>
      </c>
      <c r="P110" t="s">
        <v>1</v>
      </c>
      <c r="Q110" t="s">
        <v>1</v>
      </c>
    </row>
    <row r="111" spans="2:17">
      <c r="B111">
        <v>6403</v>
      </c>
      <c r="C111" t="s">
        <v>244</v>
      </c>
      <c r="D111">
        <v>15.94</v>
      </c>
      <c r="E111">
        <v>15.3</v>
      </c>
      <c r="F111" s="3">
        <v>5000</v>
      </c>
      <c r="G111">
        <v>16</v>
      </c>
      <c r="H111" s="3">
        <v>9850</v>
      </c>
      <c r="I111">
        <v>16.25</v>
      </c>
      <c r="J111">
        <v>15.35</v>
      </c>
      <c r="K111">
        <v>15.55</v>
      </c>
      <c r="L111">
        <v>16</v>
      </c>
      <c r="M111" t="s">
        <v>140</v>
      </c>
      <c r="N111" t="s">
        <v>1</v>
      </c>
      <c r="O111" s="3">
        <v>78222</v>
      </c>
      <c r="P111" t="s">
        <v>1</v>
      </c>
      <c r="Q111" t="s">
        <v>1</v>
      </c>
    </row>
    <row r="112" spans="2:17">
      <c r="B112">
        <v>6407</v>
      </c>
      <c r="C112" t="s">
        <v>245</v>
      </c>
      <c r="D112">
        <v>11.67</v>
      </c>
      <c r="E112">
        <v>12.1</v>
      </c>
      <c r="F112" s="3">
        <v>10000</v>
      </c>
      <c r="G112">
        <v>12.3</v>
      </c>
      <c r="H112" s="3">
        <v>10000</v>
      </c>
      <c r="I112">
        <v>13</v>
      </c>
      <c r="J112">
        <v>11.95</v>
      </c>
      <c r="K112">
        <v>12.34</v>
      </c>
      <c r="L112">
        <v>12.25</v>
      </c>
      <c r="M112" t="s">
        <v>140</v>
      </c>
      <c r="N112" t="s">
        <v>1</v>
      </c>
      <c r="O112" s="3">
        <v>1041316</v>
      </c>
      <c r="P112" t="s">
        <v>1</v>
      </c>
      <c r="Q112" t="s">
        <v>1</v>
      </c>
    </row>
    <row r="113" spans="2:17">
      <c r="B113">
        <v>6423</v>
      </c>
      <c r="C113" t="s">
        <v>246</v>
      </c>
      <c r="D113">
        <v>127.75</v>
      </c>
      <c r="E113">
        <v>133.5</v>
      </c>
      <c r="F113" s="3">
        <v>9000</v>
      </c>
      <c r="G113">
        <v>135</v>
      </c>
      <c r="H113" s="3">
        <v>6890</v>
      </c>
      <c r="I113">
        <v>138.5</v>
      </c>
      <c r="J113">
        <v>129</v>
      </c>
      <c r="K113">
        <v>135.1</v>
      </c>
      <c r="L113">
        <v>135</v>
      </c>
      <c r="M113" t="s">
        <v>140</v>
      </c>
      <c r="N113" t="s">
        <v>1</v>
      </c>
      <c r="O113" s="3">
        <v>873560</v>
      </c>
      <c r="P113" t="s">
        <v>1</v>
      </c>
      <c r="Q113" t="s">
        <v>1</v>
      </c>
    </row>
    <row r="114" spans="2:17">
      <c r="B114">
        <v>6428</v>
      </c>
      <c r="C114" t="s">
        <v>247</v>
      </c>
      <c r="D114">
        <v>11.06</v>
      </c>
      <c r="E114">
        <v>10.5</v>
      </c>
      <c r="F114" s="3">
        <v>5000</v>
      </c>
      <c r="G114">
        <v>10.7</v>
      </c>
      <c r="H114" s="3">
        <v>2000</v>
      </c>
      <c r="I114">
        <v>10.95</v>
      </c>
      <c r="J114">
        <v>10.4</v>
      </c>
      <c r="K114">
        <v>10.63</v>
      </c>
      <c r="L114">
        <v>10.7</v>
      </c>
      <c r="M114" t="s">
        <v>140</v>
      </c>
      <c r="N114" t="s">
        <v>1</v>
      </c>
      <c r="O114" s="3">
        <v>20003</v>
      </c>
      <c r="P114" t="s">
        <v>1</v>
      </c>
      <c r="Q114" t="s">
        <v>1</v>
      </c>
    </row>
    <row r="115" spans="2:17">
      <c r="B115">
        <v>6434</v>
      </c>
      <c r="C115" t="s">
        <v>248</v>
      </c>
      <c r="D115">
        <v>7.95</v>
      </c>
      <c r="E115">
        <v>8.39</v>
      </c>
      <c r="F115" s="3">
        <v>5000</v>
      </c>
      <c r="G115">
        <v>8.57</v>
      </c>
      <c r="H115" s="3">
        <v>1900</v>
      </c>
      <c r="I115">
        <v>8.6300000000000008</v>
      </c>
      <c r="J115">
        <v>7.67</v>
      </c>
      <c r="K115">
        <v>8.36</v>
      </c>
      <c r="L115">
        <v>8.57</v>
      </c>
      <c r="M115" t="s">
        <v>140</v>
      </c>
      <c r="N115" t="s">
        <v>1</v>
      </c>
      <c r="O115" s="3">
        <v>672770</v>
      </c>
      <c r="P115" t="s">
        <v>1</v>
      </c>
      <c r="Q115" t="s">
        <v>1</v>
      </c>
    </row>
    <row r="116" spans="2:17">
      <c r="B116">
        <v>6468</v>
      </c>
      <c r="C116" t="s">
        <v>357</v>
      </c>
      <c r="D116">
        <v>72.78</v>
      </c>
      <c r="E116">
        <v>71.3</v>
      </c>
      <c r="F116" s="3">
        <v>3000</v>
      </c>
      <c r="G116">
        <v>72.2</v>
      </c>
      <c r="H116" s="3">
        <v>3000</v>
      </c>
      <c r="I116">
        <v>73.2</v>
      </c>
      <c r="J116">
        <v>71.5</v>
      </c>
      <c r="K116">
        <v>72.290000000000006</v>
      </c>
      <c r="L116">
        <v>71.7</v>
      </c>
      <c r="M116" t="s">
        <v>143</v>
      </c>
      <c r="N116" t="s">
        <v>1</v>
      </c>
      <c r="O116" s="3">
        <v>42852</v>
      </c>
      <c r="P116" t="s">
        <v>1</v>
      </c>
      <c r="Q116" t="s">
        <v>1</v>
      </c>
    </row>
    <row r="117" spans="2:17">
      <c r="B117">
        <v>6473</v>
      </c>
      <c r="C117" t="s">
        <v>249</v>
      </c>
      <c r="D117">
        <v>14.94</v>
      </c>
      <c r="E117">
        <v>14.95</v>
      </c>
      <c r="F117" s="3">
        <v>4690</v>
      </c>
      <c r="G117">
        <v>15.65</v>
      </c>
      <c r="H117" s="3">
        <v>9900</v>
      </c>
      <c r="I117">
        <v>15.65</v>
      </c>
      <c r="J117">
        <v>14.95</v>
      </c>
      <c r="K117">
        <v>15.12</v>
      </c>
      <c r="L117">
        <v>14.95</v>
      </c>
      <c r="M117" t="s">
        <v>143</v>
      </c>
      <c r="N117" t="s">
        <v>1</v>
      </c>
      <c r="O117">
        <v>410</v>
      </c>
      <c r="P117" t="s">
        <v>1</v>
      </c>
      <c r="Q117" t="s">
        <v>1</v>
      </c>
    </row>
    <row r="118" spans="2:17">
      <c r="B118">
        <v>6474</v>
      </c>
      <c r="C118" t="s">
        <v>250</v>
      </c>
      <c r="D118">
        <v>42.36</v>
      </c>
      <c r="E118">
        <v>41.5</v>
      </c>
      <c r="F118" s="3">
        <v>3000</v>
      </c>
      <c r="G118">
        <v>42.95</v>
      </c>
      <c r="H118" s="3">
        <v>2999</v>
      </c>
      <c r="I118">
        <v>44.2</v>
      </c>
      <c r="J118">
        <v>42.3</v>
      </c>
      <c r="K118">
        <v>42.87</v>
      </c>
      <c r="L118">
        <v>42.95</v>
      </c>
      <c r="M118" t="s">
        <v>140</v>
      </c>
      <c r="N118" t="s">
        <v>1</v>
      </c>
      <c r="O118" s="3">
        <v>16002</v>
      </c>
      <c r="P118" t="s">
        <v>1</v>
      </c>
      <c r="Q118" t="s">
        <v>1</v>
      </c>
    </row>
    <row r="119" spans="2:17">
      <c r="B119">
        <v>6493</v>
      </c>
      <c r="C119" t="s">
        <v>251</v>
      </c>
      <c r="D119">
        <v>21.9</v>
      </c>
      <c r="E119">
        <v>21.8</v>
      </c>
      <c r="F119" s="3">
        <v>3000</v>
      </c>
      <c r="G119">
        <v>22.2</v>
      </c>
      <c r="H119" s="3">
        <v>3000</v>
      </c>
      <c r="I119">
        <v>21.85</v>
      </c>
      <c r="J119">
        <v>21.85</v>
      </c>
      <c r="K119">
        <v>21.85</v>
      </c>
      <c r="L119">
        <v>21.85</v>
      </c>
      <c r="M119" t="s">
        <v>143</v>
      </c>
      <c r="N119" t="s">
        <v>1</v>
      </c>
      <c r="O119" s="3">
        <v>3000</v>
      </c>
      <c r="P119" t="s">
        <v>1</v>
      </c>
      <c r="Q119" t="s">
        <v>1</v>
      </c>
    </row>
    <row r="120" spans="2:17">
      <c r="B120">
        <v>6495</v>
      </c>
      <c r="C120" t="s">
        <v>252</v>
      </c>
      <c r="D120">
        <v>58.83</v>
      </c>
      <c r="E120">
        <v>56.9</v>
      </c>
      <c r="F120" s="3">
        <v>3000</v>
      </c>
      <c r="G120">
        <v>57.7</v>
      </c>
      <c r="H120" s="3">
        <v>4996</v>
      </c>
      <c r="I120">
        <v>59.4</v>
      </c>
      <c r="J120">
        <v>55.9</v>
      </c>
      <c r="K120">
        <v>57.3</v>
      </c>
      <c r="L120">
        <v>57.7</v>
      </c>
      <c r="M120" t="s">
        <v>140</v>
      </c>
      <c r="N120" t="s">
        <v>1</v>
      </c>
      <c r="O120" s="3">
        <v>1400652</v>
      </c>
      <c r="P120" t="s">
        <v>1</v>
      </c>
      <c r="Q120" t="s">
        <v>1</v>
      </c>
    </row>
    <row r="121" spans="2:17">
      <c r="B121">
        <v>6498</v>
      </c>
      <c r="C121" t="s">
        <v>253</v>
      </c>
      <c r="D121">
        <v>37.049999999999997</v>
      </c>
      <c r="E121">
        <v>36.75</v>
      </c>
      <c r="F121" s="3">
        <v>3000</v>
      </c>
      <c r="G121">
        <v>37.049999999999997</v>
      </c>
      <c r="H121" s="3">
        <v>3000</v>
      </c>
      <c r="I121">
        <v>37.85</v>
      </c>
      <c r="J121">
        <v>36.700000000000003</v>
      </c>
      <c r="K121">
        <v>36.96</v>
      </c>
      <c r="L121">
        <v>37.049999999999997</v>
      </c>
      <c r="M121" t="s">
        <v>140</v>
      </c>
      <c r="N121" t="s">
        <v>1</v>
      </c>
      <c r="O121" s="3">
        <v>34953</v>
      </c>
      <c r="P121" t="s">
        <v>1</v>
      </c>
      <c r="Q121" t="s">
        <v>1</v>
      </c>
    </row>
    <row r="122" spans="2:17">
      <c r="B122">
        <v>6517</v>
      </c>
      <c r="C122" t="s">
        <v>2903</v>
      </c>
      <c r="D122">
        <v>24.73</v>
      </c>
      <c r="E122">
        <v>35.35</v>
      </c>
      <c r="F122" s="3">
        <v>9000</v>
      </c>
      <c r="G122">
        <v>35.950000000000003</v>
      </c>
      <c r="H122" s="3">
        <v>5958</v>
      </c>
      <c r="I122">
        <v>36.75</v>
      </c>
      <c r="J122">
        <v>25.3</v>
      </c>
      <c r="K122">
        <v>31.1</v>
      </c>
      <c r="L122">
        <v>35.950000000000003</v>
      </c>
      <c r="M122" t="s">
        <v>140</v>
      </c>
      <c r="N122" t="s">
        <v>1</v>
      </c>
      <c r="O122" s="3">
        <v>1635494</v>
      </c>
      <c r="P122" t="s">
        <v>1</v>
      </c>
      <c r="Q122" t="s">
        <v>1</v>
      </c>
    </row>
    <row r="123" spans="2:17">
      <c r="B123">
        <v>6518</v>
      </c>
      <c r="C123" t="s">
        <v>254</v>
      </c>
      <c r="D123">
        <v>17.329999999999998</v>
      </c>
      <c r="E123">
        <v>17.7</v>
      </c>
      <c r="F123" s="3">
        <v>5000</v>
      </c>
      <c r="G123">
        <v>18.100000000000001</v>
      </c>
      <c r="H123" s="3">
        <v>7100</v>
      </c>
      <c r="I123">
        <v>18.100000000000001</v>
      </c>
      <c r="J123">
        <v>17.5</v>
      </c>
      <c r="K123">
        <v>17.95</v>
      </c>
      <c r="L123">
        <v>18.100000000000001</v>
      </c>
      <c r="M123" t="s">
        <v>140</v>
      </c>
      <c r="N123" t="s">
        <v>1</v>
      </c>
      <c r="O123" s="3">
        <v>243470</v>
      </c>
      <c r="P123" t="s">
        <v>1</v>
      </c>
      <c r="Q123" t="s">
        <v>1</v>
      </c>
    </row>
    <row r="124" spans="2:17">
      <c r="B124">
        <v>6534</v>
      </c>
      <c r="C124" t="s">
        <v>255</v>
      </c>
      <c r="D124">
        <v>59.02</v>
      </c>
      <c r="E124">
        <v>57.5</v>
      </c>
      <c r="F124" s="3">
        <v>5000</v>
      </c>
      <c r="G124">
        <v>60.3</v>
      </c>
      <c r="H124" s="3">
        <v>5000</v>
      </c>
      <c r="I124">
        <v>61.6</v>
      </c>
      <c r="J124">
        <v>58.8</v>
      </c>
      <c r="K124">
        <v>59.84</v>
      </c>
      <c r="L124">
        <v>60.3</v>
      </c>
      <c r="M124" t="s">
        <v>140</v>
      </c>
      <c r="N124" t="s">
        <v>1</v>
      </c>
      <c r="O124" s="3">
        <v>37991</v>
      </c>
      <c r="P124" t="s">
        <v>1</v>
      </c>
      <c r="Q124" t="s">
        <v>1</v>
      </c>
    </row>
    <row r="125" spans="2:17">
      <c r="B125">
        <v>6536</v>
      </c>
      <c r="C125" t="s">
        <v>256</v>
      </c>
      <c r="D125">
        <v>15.13</v>
      </c>
      <c r="E125">
        <v>14.9</v>
      </c>
      <c r="F125" s="3">
        <v>3999</v>
      </c>
      <c r="G125">
        <v>15.55</v>
      </c>
      <c r="H125" s="3">
        <v>5000</v>
      </c>
      <c r="I125">
        <v>14.9</v>
      </c>
      <c r="J125">
        <v>14.9</v>
      </c>
      <c r="K125">
        <v>14.9</v>
      </c>
      <c r="L125">
        <v>14.9</v>
      </c>
      <c r="M125" t="s">
        <v>143</v>
      </c>
      <c r="N125" t="s">
        <v>1</v>
      </c>
      <c r="O125" s="3">
        <v>1001</v>
      </c>
      <c r="P125" t="s">
        <v>1</v>
      </c>
      <c r="Q125" t="s">
        <v>1</v>
      </c>
    </row>
    <row r="126" spans="2:17">
      <c r="B126">
        <v>6539</v>
      </c>
      <c r="C126" t="s">
        <v>257</v>
      </c>
      <c r="D126">
        <v>58.41</v>
      </c>
      <c r="E126">
        <v>57.4</v>
      </c>
      <c r="F126" s="3">
        <v>2970</v>
      </c>
      <c r="G126">
        <v>58.4</v>
      </c>
      <c r="H126" s="3">
        <v>2999</v>
      </c>
      <c r="I126">
        <v>58.4</v>
      </c>
      <c r="J126">
        <v>57.4</v>
      </c>
      <c r="K126">
        <v>57.6</v>
      </c>
      <c r="L126">
        <v>58.4</v>
      </c>
      <c r="M126" t="s">
        <v>140</v>
      </c>
      <c r="N126" t="s">
        <v>1</v>
      </c>
      <c r="O126" s="3">
        <v>2032</v>
      </c>
      <c r="P126" t="s">
        <v>1</v>
      </c>
      <c r="Q126" t="s">
        <v>1</v>
      </c>
    </row>
    <row r="127" spans="2:17">
      <c r="B127">
        <v>6543</v>
      </c>
      <c r="C127" t="s">
        <v>258</v>
      </c>
      <c r="D127">
        <v>20.3</v>
      </c>
      <c r="E127">
        <v>19.899999999999999</v>
      </c>
      <c r="F127" s="3">
        <v>5000</v>
      </c>
      <c r="G127">
        <v>20.25</v>
      </c>
      <c r="H127" s="3">
        <v>2999</v>
      </c>
      <c r="I127">
        <v>20.75</v>
      </c>
      <c r="J127">
        <v>19.899999999999999</v>
      </c>
      <c r="K127">
        <v>20.21</v>
      </c>
      <c r="L127">
        <v>20.25</v>
      </c>
      <c r="M127" t="s">
        <v>140</v>
      </c>
      <c r="N127" t="s">
        <v>1</v>
      </c>
      <c r="O127" s="3">
        <v>45241</v>
      </c>
      <c r="P127" t="s">
        <v>1</v>
      </c>
      <c r="Q127" t="s">
        <v>1</v>
      </c>
    </row>
    <row r="128" spans="2:17">
      <c r="B128">
        <v>6545</v>
      </c>
      <c r="C128" t="s">
        <v>259</v>
      </c>
      <c r="D128">
        <v>16.059999999999999</v>
      </c>
      <c r="E128">
        <v>16.05</v>
      </c>
      <c r="F128" s="3">
        <v>1000</v>
      </c>
      <c r="G128">
        <v>16.600000000000001</v>
      </c>
      <c r="H128" s="3">
        <v>2888</v>
      </c>
      <c r="I128">
        <v>17.2</v>
      </c>
      <c r="J128">
        <v>16.05</v>
      </c>
      <c r="K128">
        <v>16.38</v>
      </c>
      <c r="L128">
        <v>16.600000000000001</v>
      </c>
      <c r="M128" t="s">
        <v>140</v>
      </c>
      <c r="N128" t="s">
        <v>1</v>
      </c>
      <c r="O128" s="3">
        <v>79834</v>
      </c>
      <c r="P128" t="s">
        <v>1</v>
      </c>
      <c r="Q128" t="s">
        <v>1</v>
      </c>
    </row>
    <row r="129" spans="2:17">
      <c r="B129">
        <v>6546</v>
      </c>
      <c r="C129" t="s">
        <v>260</v>
      </c>
      <c r="D129">
        <v>116.79</v>
      </c>
      <c r="E129">
        <v>114.5</v>
      </c>
      <c r="F129" s="3">
        <v>2000</v>
      </c>
      <c r="G129">
        <v>115.5</v>
      </c>
      <c r="H129" s="3">
        <v>5000</v>
      </c>
      <c r="I129">
        <v>117</v>
      </c>
      <c r="J129">
        <v>114.5</v>
      </c>
      <c r="K129">
        <v>115.3</v>
      </c>
      <c r="L129">
        <v>115</v>
      </c>
      <c r="M129" t="s">
        <v>140</v>
      </c>
      <c r="N129" t="s">
        <v>1</v>
      </c>
      <c r="O129" s="3">
        <v>140100</v>
      </c>
      <c r="P129" t="s">
        <v>1</v>
      </c>
      <c r="Q129" t="s">
        <v>1</v>
      </c>
    </row>
    <row r="130" spans="2:17">
      <c r="B130">
        <v>6549</v>
      </c>
      <c r="C130" t="s">
        <v>261</v>
      </c>
      <c r="D130">
        <v>10.029999999999999</v>
      </c>
      <c r="E130">
        <v>9.9600000000000009</v>
      </c>
      <c r="F130" s="3">
        <v>3000</v>
      </c>
      <c r="G130">
        <v>10.1</v>
      </c>
      <c r="H130" s="3">
        <v>4989</v>
      </c>
      <c r="I130">
        <v>10.25</v>
      </c>
      <c r="J130">
        <v>9.9600000000000009</v>
      </c>
      <c r="K130">
        <v>10.08</v>
      </c>
      <c r="L130">
        <v>10.1</v>
      </c>
      <c r="M130" t="s">
        <v>140</v>
      </c>
      <c r="N130" t="s">
        <v>1</v>
      </c>
      <c r="O130" s="3">
        <v>107999</v>
      </c>
      <c r="P130" t="s">
        <v>1</v>
      </c>
      <c r="Q130" t="s">
        <v>1</v>
      </c>
    </row>
    <row r="131" spans="2:17">
      <c r="B131">
        <v>6550</v>
      </c>
      <c r="C131" t="s">
        <v>262</v>
      </c>
      <c r="D131">
        <v>71.69</v>
      </c>
      <c r="E131">
        <v>73.3</v>
      </c>
      <c r="F131" s="3">
        <v>23000</v>
      </c>
      <c r="G131">
        <v>74</v>
      </c>
      <c r="H131" s="3">
        <v>19870</v>
      </c>
      <c r="I131">
        <v>76.2</v>
      </c>
      <c r="J131">
        <v>72</v>
      </c>
      <c r="K131">
        <v>73.819999999999993</v>
      </c>
      <c r="L131">
        <v>73.5</v>
      </c>
      <c r="M131" t="s">
        <v>143</v>
      </c>
      <c r="N131" t="s">
        <v>1</v>
      </c>
      <c r="O131" s="3">
        <v>2077982</v>
      </c>
      <c r="P131" t="s">
        <v>3138</v>
      </c>
      <c r="Q131" t="s">
        <v>223</v>
      </c>
    </row>
    <row r="132" spans="2:17">
      <c r="B132">
        <v>6555</v>
      </c>
      <c r="C132" t="s">
        <v>263</v>
      </c>
      <c r="D132">
        <v>60.98</v>
      </c>
      <c r="E132">
        <v>59.8</v>
      </c>
      <c r="F132" s="3">
        <v>5000</v>
      </c>
      <c r="G132">
        <v>60.2</v>
      </c>
      <c r="H132" s="3">
        <v>5000</v>
      </c>
      <c r="I132">
        <v>61.2</v>
      </c>
      <c r="J132">
        <v>59.8</v>
      </c>
      <c r="K132">
        <v>60.26</v>
      </c>
      <c r="L132">
        <v>60.2</v>
      </c>
      <c r="M132" t="s">
        <v>140</v>
      </c>
      <c r="N132" t="s">
        <v>1</v>
      </c>
      <c r="O132" s="3">
        <v>184355</v>
      </c>
      <c r="P132" t="s">
        <v>1</v>
      </c>
      <c r="Q132" t="s">
        <v>1</v>
      </c>
    </row>
    <row r="133" spans="2:17">
      <c r="B133">
        <v>6559</v>
      </c>
      <c r="C133" t="s">
        <v>264</v>
      </c>
      <c r="D133">
        <v>12.22</v>
      </c>
      <c r="E133">
        <v>11.5</v>
      </c>
      <c r="F133" s="3">
        <v>5000</v>
      </c>
      <c r="G133">
        <v>11.8</v>
      </c>
      <c r="H133" s="3">
        <v>5000</v>
      </c>
      <c r="I133">
        <v>12.2</v>
      </c>
      <c r="J133">
        <v>11.45</v>
      </c>
      <c r="K133">
        <v>11.7</v>
      </c>
      <c r="L133">
        <v>11.6</v>
      </c>
      <c r="M133" t="s">
        <v>140</v>
      </c>
      <c r="N133" t="s">
        <v>1</v>
      </c>
      <c r="O133" s="3">
        <v>39698</v>
      </c>
      <c r="P133" t="s">
        <v>1</v>
      </c>
      <c r="Q133" t="s">
        <v>1</v>
      </c>
    </row>
    <row r="134" spans="2:17">
      <c r="B134">
        <v>6562</v>
      </c>
      <c r="C134" t="s">
        <v>349</v>
      </c>
      <c r="D134">
        <v>74.58</v>
      </c>
      <c r="E134">
        <v>72.7</v>
      </c>
      <c r="F134" s="3">
        <v>22600</v>
      </c>
      <c r="G134">
        <v>73.2</v>
      </c>
      <c r="H134" s="3">
        <v>1695</v>
      </c>
      <c r="I134">
        <v>74.3</v>
      </c>
      <c r="J134">
        <v>71.099999999999994</v>
      </c>
      <c r="K134">
        <v>73.33</v>
      </c>
      <c r="L134">
        <v>73.2</v>
      </c>
      <c r="M134" t="s">
        <v>140</v>
      </c>
      <c r="N134" t="s">
        <v>1</v>
      </c>
      <c r="O134" s="3">
        <v>619163</v>
      </c>
      <c r="P134" t="s">
        <v>1</v>
      </c>
      <c r="Q134" t="s">
        <v>1</v>
      </c>
    </row>
    <row r="135" spans="2:17">
      <c r="B135">
        <v>6564</v>
      </c>
      <c r="C135" t="s">
        <v>265</v>
      </c>
      <c r="D135">
        <v>38.89</v>
      </c>
      <c r="E135">
        <v>38.700000000000003</v>
      </c>
      <c r="F135" s="3">
        <v>10000</v>
      </c>
      <c r="G135">
        <v>39.299999999999997</v>
      </c>
      <c r="H135" s="3">
        <v>2950</v>
      </c>
      <c r="I135">
        <v>39.299999999999997</v>
      </c>
      <c r="J135">
        <v>38.65</v>
      </c>
      <c r="K135">
        <v>38.85</v>
      </c>
      <c r="L135">
        <v>38.85</v>
      </c>
      <c r="M135" t="s">
        <v>140</v>
      </c>
      <c r="N135" t="s">
        <v>1</v>
      </c>
      <c r="O135" s="3">
        <v>60538</v>
      </c>
      <c r="P135" t="s">
        <v>1</v>
      </c>
      <c r="Q135" t="s">
        <v>1</v>
      </c>
    </row>
    <row r="136" spans="2:17">
      <c r="B136">
        <v>6565</v>
      </c>
      <c r="C136" t="s">
        <v>266</v>
      </c>
      <c r="D136">
        <v>18.920000000000002</v>
      </c>
      <c r="E136">
        <v>18.850000000000001</v>
      </c>
      <c r="F136" s="3">
        <v>5000</v>
      </c>
      <c r="G136">
        <v>19.45</v>
      </c>
      <c r="H136" s="3">
        <v>4998</v>
      </c>
      <c r="I136">
        <v>19.45</v>
      </c>
      <c r="J136">
        <v>18.8</v>
      </c>
      <c r="K136">
        <v>19.32</v>
      </c>
      <c r="L136">
        <v>19.45</v>
      </c>
      <c r="M136" t="s">
        <v>140</v>
      </c>
      <c r="N136" t="s">
        <v>1</v>
      </c>
      <c r="O136" s="3">
        <v>5303</v>
      </c>
      <c r="P136" t="s">
        <v>1</v>
      </c>
      <c r="Q136" t="s">
        <v>1</v>
      </c>
    </row>
    <row r="137" spans="2:17">
      <c r="B137">
        <v>6566</v>
      </c>
      <c r="C137" t="s">
        <v>267</v>
      </c>
      <c r="D137">
        <v>11.55</v>
      </c>
      <c r="E137">
        <v>11.55</v>
      </c>
      <c r="F137" s="3">
        <v>5000</v>
      </c>
      <c r="G137">
        <v>12.05</v>
      </c>
      <c r="H137" s="3">
        <v>10000</v>
      </c>
      <c r="I137">
        <v>12.3</v>
      </c>
      <c r="J137">
        <v>11.7</v>
      </c>
      <c r="K137">
        <v>11.78</v>
      </c>
      <c r="L137">
        <v>11.7</v>
      </c>
      <c r="M137" t="s">
        <v>140</v>
      </c>
      <c r="N137" t="s">
        <v>1</v>
      </c>
      <c r="O137" s="3">
        <v>12600</v>
      </c>
      <c r="P137" t="s">
        <v>1</v>
      </c>
      <c r="Q137" t="s">
        <v>1</v>
      </c>
    </row>
    <row r="138" spans="2:17">
      <c r="B138">
        <v>6572</v>
      </c>
      <c r="C138" t="s">
        <v>268</v>
      </c>
      <c r="D138">
        <v>17.899999999999999</v>
      </c>
      <c r="E138">
        <v>17.649999999999999</v>
      </c>
      <c r="F138" s="3">
        <v>5000</v>
      </c>
      <c r="G138">
        <v>18</v>
      </c>
      <c r="H138" s="3">
        <v>4994</v>
      </c>
      <c r="I138">
        <v>18.45</v>
      </c>
      <c r="J138">
        <v>17.25</v>
      </c>
      <c r="K138">
        <v>17.8</v>
      </c>
      <c r="L138">
        <v>18</v>
      </c>
      <c r="M138" t="s">
        <v>140</v>
      </c>
      <c r="N138" t="s">
        <v>1</v>
      </c>
      <c r="O138" s="3">
        <v>83929</v>
      </c>
      <c r="P138" t="s">
        <v>1</v>
      </c>
      <c r="Q138" t="s">
        <v>1</v>
      </c>
    </row>
    <row r="139" spans="2:17">
      <c r="B139">
        <v>6575</v>
      </c>
      <c r="C139" t="s">
        <v>269</v>
      </c>
      <c r="D139">
        <v>49.11</v>
      </c>
      <c r="E139">
        <v>48.55</v>
      </c>
      <c r="F139" s="3">
        <v>3000</v>
      </c>
      <c r="G139">
        <v>49.15</v>
      </c>
      <c r="H139" s="3">
        <v>2900</v>
      </c>
      <c r="I139">
        <v>49.5</v>
      </c>
      <c r="J139">
        <v>48.45</v>
      </c>
      <c r="K139">
        <v>48.77</v>
      </c>
      <c r="L139">
        <v>49.15</v>
      </c>
      <c r="M139" t="s">
        <v>140</v>
      </c>
      <c r="N139" t="s">
        <v>1</v>
      </c>
      <c r="O139" s="3">
        <v>82196</v>
      </c>
      <c r="P139" t="s">
        <v>1</v>
      </c>
      <c r="Q139" t="s">
        <v>1</v>
      </c>
    </row>
    <row r="140" spans="2:17">
      <c r="B140">
        <v>6580</v>
      </c>
      <c r="C140" t="s">
        <v>270</v>
      </c>
      <c r="D140">
        <v>50.31</v>
      </c>
      <c r="E140">
        <v>46.55</v>
      </c>
      <c r="F140" s="3">
        <v>3000</v>
      </c>
      <c r="G140">
        <v>47.95</v>
      </c>
      <c r="H140" s="3">
        <v>3000</v>
      </c>
      <c r="I140">
        <v>50</v>
      </c>
      <c r="J140">
        <v>46.55</v>
      </c>
      <c r="K140">
        <v>48.11</v>
      </c>
      <c r="L140">
        <v>47.95</v>
      </c>
      <c r="M140" t="s">
        <v>140</v>
      </c>
      <c r="N140" t="s">
        <v>1</v>
      </c>
      <c r="O140" s="3">
        <v>1193543</v>
      </c>
      <c r="P140" t="s">
        <v>1</v>
      </c>
      <c r="Q140" t="s">
        <v>1</v>
      </c>
    </row>
    <row r="141" spans="2:17">
      <c r="B141">
        <v>6583</v>
      </c>
      <c r="C141" t="s">
        <v>271</v>
      </c>
      <c r="D141">
        <v>45.54</v>
      </c>
      <c r="E141">
        <v>45.6</v>
      </c>
      <c r="F141" s="3">
        <v>3000</v>
      </c>
      <c r="G141">
        <v>47.3</v>
      </c>
      <c r="H141" s="3">
        <v>2990</v>
      </c>
      <c r="I141">
        <v>47.5</v>
      </c>
      <c r="J141">
        <v>46.5</v>
      </c>
      <c r="K141">
        <v>47.06</v>
      </c>
      <c r="L141">
        <v>47.3</v>
      </c>
      <c r="M141" t="s">
        <v>140</v>
      </c>
      <c r="N141" t="s">
        <v>1</v>
      </c>
      <c r="O141" s="3">
        <v>15127</v>
      </c>
      <c r="P141" t="s">
        <v>1</v>
      </c>
      <c r="Q141" t="s">
        <v>1</v>
      </c>
    </row>
    <row r="142" spans="2:17">
      <c r="B142">
        <v>6584</v>
      </c>
      <c r="C142" t="s">
        <v>272</v>
      </c>
      <c r="D142">
        <v>46.99</v>
      </c>
      <c r="E142">
        <v>46</v>
      </c>
      <c r="F142" s="3">
        <v>3000</v>
      </c>
      <c r="G142">
        <v>47</v>
      </c>
      <c r="H142" s="3">
        <v>5990</v>
      </c>
      <c r="I142">
        <v>47</v>
      </c>
      <c r="J142">
        <v>46.05</v>
      </c>
      <c r="K142">
        <v>46.4</v>
      </c>
      <c r="L142">
        <v>47</v>
      </c>
      <c r="M142" t="s">
        <v>140</v>
      </c>
      <c r="N142" t="s">
        <v>1</v>
      </c>
      <c r="O142" s="3">
        <v>8110</v>
      </c>
      <c r="P142" t="s">
        <v>1</v>
      </c>
      <c r="Q142" t="s">
        <v>1</v>
      </c>
    </row>
    <row r="143" spans="2:17">
      <c r="B143">
        <v>6585</v>
      </c>
      <c r="C143" t="s">
        <v>273</v>
      </c>
      <c r="D143">
        <v>84.28</v>
      </c>
      <c r="E143">
        <v>91.3</v>
      </c>
      <c r="F143" s="3">
        <v>3000</v>
      </c>
      <c r="G143">
        <v>94.9</v>
      </c>
      <c r="H143" s="3">
        <v>3000</v>
      </c>
      <c r="I143">
        <v>94.9</v>
      </c>
      <c r="J143">
        <v>84.6</v>
      </c>
      <c r="K143">
        <v>87.33</v>
      </c>
      <c r="L143">
        <v>94.9</v>
      </c>
      <c r="M143" t="s">
        <v>140</v>
      </c>
      <c r="N143" t="s">
        <v>1</v>
      </c>
      <c r="O143" s="3">
        <v>130751</v>
      </c>
      <c r="P143" t="s">
        <v>3068</v>
      </c>
      <c r="Q143" t="s">
        <v>223</v>
      </c>
    </row>
    <row r="144" spans="2:17">
      <c r="B144">
        <v>6586</v>
      </c>
      <c r="C144" t="s">
        <v>274</v>
      </c>
      <c r="D144">
        <v>83.49</v>
      </c>
      <c r="E144">
        <v>80.7</v>
      </c>
      <c r="F144" s="3">
        <v>8000</v>
      </c>
      <c r="G144">
        <v>81.5</v>
      </c>
      <c r="H144" s="3">
        <v>8885</v>
      </c>
      <c r="I144">
        <v>83.9</v>
      </c>
      <c r="J144">
        <v>80.7</v>
      </c>
      <c r="K144">
        <v>82.16</v>
      </c>
      <c r="L144">
        <v>81.5</v>
      </c>
      <c r="M144" t="s">
        <v>140</v>
      </c>
      <c r="N144" t="s">
        <v>1</v>
      </c>
      <c r="O144" s="3">
        <v>1687305</v>
      </c>
      <c r="P144" t="s">
        <v>1</v>
      </c>
      <c r="Q144" t="s">
        <v>1</v>
      </c>
    </row>
    <row r="145" spans="2:17">
      <c r="B145">
        <v>6595</v>
      </c>
      <c r="C145" t="s">
        <v>275</v>
      </c>
      <c r="D145">
        <v>19.420000000000002</v>
      </c>
      <c r="E145">
        <v>19.100000000000001</v>
      </c>
      <c r="F145" s="3">
        <v>4000</v>
      </c>
      <c r="G145">
        <v>20</v>
      </c>
      <c r="H145" s="3">
        <v>5000</v>
      </c>
      <c r="I145">
        <v>20.100000000000001</v>
      </c>
      <c r="J145">
        <v>19.100000000000001</v>
      </c>
      <c r="K145">
        <v>19.7</v>
      </c>
      <c r="L145">
        <v>20</v>
      </c>
      <c r="M145" t="s">
        <v>140</v>
      </c>
      <c r="N145" t="s">
        <v>1</v>
      </c>
      <c r="O145" s="3">
        <v>47360</v>
      </c>
      <c r="P145" t="s">
        <v>1</v>
      </c>
      <c r="Q145" t="s">
        <v>1</v>
      </c>
    </row>
    <row r="146" spans="2:17">
      <c r="B146">
        <v>6597</v>
      </c>
      <c r="C146" t="s">
        <v>276</v>
      </c>
      <c r="D146">
        <v>40.9</v>
      </c>
      <c r="E146">
        <v>40.85</v>
      </c>
      <c r="F146" s="3">
        <v>3000</v>
      </c>
      <c r="G146">
        <v>41.1</v>
      </c>
      <c r="H146" s="3">
        <v>3000</v>
      </c>
      <c r="I146">
        <v>40.9</v>
      </c>
      <c r="J146">
        <v>40.9</v>
      </c>
      <c r="K146">
        <v>40.9</v>
      </c>
      <c r="L146">
        <v>40.9</v>
      </c>
      <c r="M146" t="s">
        <v>143</v>
      </c>
      <c r="N146" t="s">
        <v>1</v>
      </c>
      <c r="O146" s="3">
        <v>3000</v>
      </c>
      <c r="P146" t="s">
        <v>1</v>
      </c>
      <c r="Q146" t="s">
        <v>1</v>
      </c>
    </row>
    <row r="147" spans="2:17">
      <c r="B147">
        <v>6599</v>
      </c>
      <c r="C147" t="s">
        <v>277</v>
      </c>
      <c r="D147">
        <v>24.4</v>
      </c>
      <c r="E147">
        <v>24.4</v>
      </c>
      <c r="F147" s="3">
        <v>3000</v>
      </c>
      <c r="G147">
        <v>24.85</v>
      </c>
      <c r="H147" s="3">
        <v>6000</v>
      </c>
      <c r="I147">
        <v>24.55</v>
      </c>
      <c r="J147">
        <v>24.15</v>
      </c>
      <c r="K147">
        <v>24.43</v>
      </c>
      <c r="L147">
        <v>24.55</v>
      </c>
      <c r="M147" t="s">
        <v>140</v>
      </c>
      <c r="N147" t="s">
        <v>1</v>
      </c>
      <c r="O147" s="3">
        <v>3300</v>
      </c>
      <c r="P147" t="s">
        <v>1</v>
      </c>
      <c r="Q147" t="s">
        <v>1</v>
      </c>
    </row>
    <row r="148" spans="2:17">
      <c r="B148">
        <v>6606</v>
      </c>
      <c r="C148" t="s">
        <v>278</v>
      </c>
      <c r="D148">
        <v>27.03</v>
      </c>
      <c r="E148">
        <v>26.9</v>
      </c>
      <c r="F148" s="3">
        <v>11000</v>
      </c>
      <c r="G148">
        <v>27.1</v>
      </c>
      <c r="H148" s="3">
        <v>6000</v>
      </c>
      <c r="I148">
        <v>27.15</v>
      </c>
      <c r="J148">
        <v>26.95</v>
      </c>
      <c r="K148">
        <v>27.03</v>
      </c>
      <c r="L148">
        <v>27.05</v>
      </c>
      <c r="M148" t="s">
        <v>140</v>
      </c>
      <c r="N148" t="s">
        <v>1</v>
      </c>
      <c r="O148" s="3">
        <v>34000</v>
      </c>
      <c r="P148" t="s">
        <v>1</v>
      </c>
      <c r="Q148" t="s">
        <v>1</v>
      </c>
    </row>
    <row r="149" spans="2:17">
      <c r="B149">
        <v>6610</v>
      </c>
      <c r="C149" t="s">
        <v>279</v>
      </c>
      <c r="D149">
        <v>15.04</v>
      </c>
      <c r="E149">
        <v>16</v>
      </c>
      <c r="F149" s="3">
        <v>10000</v>
      </c>
      <c r="G149">
        <v>16.600000000000001</v>
      </c>
      <c r="H149" s="3">
        <v>9900</v>
      </c>
      <c r="I149">
        <v>16.600000000000001</v>
      </c>
      <c r="J149">
        <v>15.2</v>
      </c>
      <c r="K149">
        <v>15.44</v>
      </c>
      <c r="L149">
        <v>16.600000000000001</v>
      </c>
      <c r="M149" t="s">
        <v>140</v>
      </c>
      <c r="N149" t="s">
        <v>1</v>
      </c>
      <c r="O149" s="3">
        <v>945059</v>
      </c>
      <c r="P149" t="s">
        <v>1</v>
      </c>
      <c r="Q149" t="s">
        <v>1</v>
      </c>
    </row>
    <row r="150" spans="2:17">
      <c r="B150">
        <v>6611</v>
      </c>
      <c r="C150" t="s">
        <v>280</v>
      </c>
      <c r="D150">
        <v>8.18</v>
      </c>
      <c r="E150">
        <v>8.15</v>
      </c>
      <c r="F150" s="3">
        <v>5000</v>
      </c>
      <c r="G150">
        <v>8.5299999999999994</v>
      </c>
      <c r="H150" s="3">
        <v>4999</v>
      </c>
      <c r="I150">
        <v>8.5299999999999994</v>
      </c>
      <c r="J150">
        <v>8.5299999999999994</v>
      </c>
      <c r="K150">
        <v>8.5299999999999994</v>
      </c>
      <c r="L150">
        <v>8.5299999999999994</v>
      </c>
      <c r="M150" t="s">
        <v>140</v>
      </c>
      <c r="N150" t="s">
        <v>1</v>
      </c>
      <c r="O150">
        <v>1</v>
      </c>
      <c r="P150" t="s">
        <v>1</v>
      </c>
      <c r="Q150" t="s">
        <v>1</v>
      </c>
    </row>
    <row r="151" spans="2:17">
      <c r="B151">
        <v>6617</v>
      </c>
      <c r="C151" t="s">
        <v>281</v>
      </c>
      <c r="D151">
        <v>283.58</v>
      </c>
      <c r="E151">
        <v>279.5</v>
      </c>
      <c r="F151" s="3">
        <v>20000</v>
      </c>
      <c r="G151">
        <v>289.5</v>
      </c>
      <c r="H151" s="3">
        <v>9975</v>
      </c>
      <c r="I151">
        <v>290.5</v>
      </c>
      <c r="J151">
        <v>280</v>
      </c>
      <c r="K151">
        <v>282.77999999999997</v>
      </c>
      <c r="L151">
        <v>289.5</v>
      </c>
      <c r="M151" t="s">
        <v>140</v>
      </c>
      <c r="N151" t="s">
        <v>1</v>
      </c>
      <c r="O151" s="3">
        <v>104300</v>
      </c>
      <c r="P151" t="s">
        <v>1</v>
      </c>
      <c r="Q151" t="s">
        <v>1</v>
      </c>
    </row>
    <row r="152" spans="2:17">
      <c r="B152">
        <v>6618</v>
      </c>
      <c r="C152" t="s">
        <v>282</v>
      </c>
      <c r="D152">
        <v>11.87</v>
      </c>
      <c r="E152">
        <v>11.55</v>
      </c>
      <c r="F152" s="3">
        <v>5000</v>
      </c>
      <c r="G152">
        <v>12.05</v>
      </c>
      <c r="H152" s="3">
        <v>9980</v>
      </c>
      <c r="I152">
        <v>12.05</v>
      </c>
      <c r="J152">
        <v>11.55</v>
      </c>
      <c r="K152">
        <v>11.63</v>
      </c>
      <c r="L152">
        <v>12.05</v>
      </c>
      <c r="M152" t="s">
        <v>140</v>
      </c>
      <c r="N152" t="s">
        <v>1</v>
      </c>
      <c r="O152" s="3">
        <v>120202</v>
      </c>
      <c r="P152" t="s">
        <v>1</v>
      </c>
      <c r="Q152" t="s">
        <v>1</v>
      </c>
    </row>
    <row r="153" spans="2:17">
      <c r="B153">
        <v>6620</v>
      </c>
      <c r="C153" t="s">
        <v>283</v>
      </c>
      <c r="D153">
        <v>62.99</v>
      </c>
      <c r="E153">
        <v>70.099999999999994</v>
      </c>
      <c r="F153" s="3">
        <v>3000</v>
      </c>
      <c r="G153">
        <v>71.3</v>
      </c>
      <c r="H153" s="3">
        <v>3000</v>
      </c>
      <c r="I153">
        <v>71.5</v>
      </c>
      <c r="J153">
        <v>62</v>
      </c>
      <c r="K153">
        <v>68.14</v>
      </c>
      <c r="L153">
        <v>70.5</v>
      </c>
      <c r="M153" t="s">
        <v>143</v>
      </c>
      <c r="N153" t="s">
        <v>1</v>
      </c>
      <c r="O153" s="3">
        <v>2921156</v>
      </c>
      <c r="P153" t="s">
        <v>1</v>
      </c>
      <c r="Q153" t="s">
        <v>1</v>
      </c>
    </row>
    <row r="154" spans="2:17">
      <c r="B154">
        <v>6621</v>
      </c>
      <c r="C154" t="s">
        <v>284</v>
      </c>
      <c r="D154">
        <v>11.64</v>
      </c>
      <c r="E154">
        <v>11.55</v>
      </c>
      <c r="F154" s="3">
        <v>10000</v>
      </c>
      <c r="G154">
        <v>11.8</v>
      </c>
      <c r="H154" s="3">
        <v>9989</v>
      </c>
      <c r="I154">
        <v>11.9</v>
      </c>
      <c r="J154">
        <v>11.5</v>
      </c>
      <c r="K154">
        <v>11.65</v>
      </c>
      <c r="L154">
        <v>11.8</v>
      </c>
      <c r="M154" t="s">
        <v>140</v>
      </c>
      <c r="N154" t="s">
        <v>1</v>
      </c>
      <c r="O154" s="3">
        <v>218483</v>
      </c>
      <c r="P154" t="s">
        <v>1</v>
      </c>
      <c r="Q154" t="s">
        <v>1</v>
      </c>
    </row>
    <row r="155" spans="2:17">
      <c r="B155">
        <v>6622</v>
      </c>
      <c r="C155" t="s">
        <v>285</v>
      </c>
      <c r="D155">
        <v>45.33</v>
      </c>
      <c r="E155">
        <v>45.7</v>
      </c>
      <c r="F155" s="3">
        <v>4000</v>
      </c>
      <c r="G155">
        <v>46.1</v>
      </c>
      <c r="H155" s="3">
        <v>5800</v>
      </c>
      <c r="I155">
        <v>46.2</v>
      </c>
      <c r="J155">
        <v>45.25</v>
      </c>
      <c r="K155">
        <v>45.79</v>
      </c>
      <c r="L155">
        <v>46.1</v>
      </c>
      <c r="M155" t="s">
        <v>140</v>
      </c>
      <c r="N155" t="s">
        <v>1</v>
      </c>
      <c r="O155" s="3">
        <v>256730</v>
      </c>
      <c r="P155" t="s">
        <v>1</v>
      </c>
      <c r="Q155" t="s">
        <v>1</v>
      </c>
    </row>
    <row r="156" spans="2:17">
      <c r="B156">
        <v>6626</v>
      </c>
      <c r="C156" t="s">
        <v>286</v>
      </c>
      <c r="D156">
        <v>14.18</v>
      </c>
      <c r="E156">
        <v>13.6</v>
      </c>
      <c r="F156" s="3">
        <v>5000</v>
      </c>
      <c r="G156">
        <v>14.25</v>
      </c>
      <c r="H156" s="3">
        <v>3920</v>
      </c>
      <c r="I156">
        <v>14.25</v>
      </c>
      <c r="J156">
        <v>13.6</v>
      </c>
      <c r="K156">
        <v>14.09</v>
      </c>
      <c r="L156">
        <v>14.25</v>
      </c>
      <c r="M156" t="s">
        <v>140</v>
      </c>
      <c r="N156" t="s">
        <v>1</v>
      </c>
      <c r="O156" s="3">
        <v>4080</v>
      </c>
      <c r="P156" t="s">
        <v>1</v>
      </c>
      <c r="Q156" t="s">
        <v>1</v>
      </c>
    </row>
    <row r="157" spans="2:17">
      <c r="B157">
        <v>6633</v>
      </c>
      <c r="C157" t="s">
        <v>287</v>
      </c>
      <c r="D157">
        <v>11.2</v>
      </c>
      <c r="E157">
        <v>10.85</v>
      </c>
      <c r="F157" s="3">
        <v>5000</v>
      </c>
      <c r="G157">
        <v>11</v>
      </c>
      <c r="H157" s="3">
        <v>4000</v>
      </c>
      <c r="I157">
        <v>11.1</v>
      </c>
      <c r="J157">
        <v>10.8</v>
      </c>
      <c r="K157">
        <v>10.96</v>
      </c>
      <c r="L157">
        <v>11</v>
      </c>
      <c r="M157" t="s">
        <v>140</v>
      </c>
      <c r="N157" t="s">
        <v>1</v>
      </c>
      <c r="O157" s="3">
        <v>197980</v>
      </c>
      <c r="P157" t="s">
        <v>1</v>
      </c>
      <c r="Q157" t="s">
        <v>1</v>
      </c>
    </row>
    <row r="158" spans="2:17">
      <c r="B158">
        <v>6634</v>
      </c>
      <c r="C158" t="s">
        <v>288</v>
      </c>
      <c r="D158">
        <v>84.24</v>
      </c>
      <c r="E158">
        <v>82.7</v>
      </c>
      <c r="F158" s="3">
        <v>3000</v>
      </c>
      <c r="G158">
        <v>83.4</v>
      </c>
      <c r="H158" s="3">
        <v>2950</v>
      </c>
      <c r="I158">
        <v>84.5</v>
      </c>
      <c r="J158">
        <v>82.7</v>
      </c>
      <c r="K158">
        <v>83.22</v>
      </c>
      <c r="L158">
        <v>83.4</v>
      </c>
      <c r="M158" t="s">
        <v>140</v>
      </c>
      <c r="N158" t="s">
        <v>1</v>
      </c>
      <c r="O158" s="3">
        <v>248164</v>
      </c>
      <c r="P158" t="s">
        <v>1</v>
      </c>
      <c r="Q158" t="s">
        <v>1</v>
      </c>
    </row>
    <row r="159" spans="2:17">
      <c r="B159">
        <v>6637</v>
      </c>
      <c r="C159" t="s">
        <v>289</v>
      </c>
      <c r="D159">
        <v>41.89</v>
      </c>
      <c r="E159">
        <v>41.8</v>
      </c>
      <c r="F159" s="3">
        <v>3000</v>
      </c>
      <c r="G159">
        <v>43</v>
      </c>
      <c r="H159" s="3">
        <v>3000</v>
      </c>
      <c r="I159" t="s">
        <v>1</v>
      </c>
      <c r="J159" t="s">
        <v>1</v>
      </c>
      <c r="K159" t="s">
        <v>1</v>
      </c>
      <c r="L159" t="s">
        <v>1</v>
      </c>
      <c r="M159" t="s">
        <v>1</v>
      </c>
      <c r="N159" t="s">
        <v>1</v>
      </c>
      <c r="O159" t="s">
        <v>1</v>
      </c>
      <c r="P159" t="s">
        <v>1</v>
      </c>
      <c r="Q159" t="s">
        <v>1</v>
      </c>
    </row>
    <row r="160" spans="2:17">
      <c r="B160">
        <v>6638</v>
      </c>
      <c r="C160" t="s">
        <v>290</v>
      </c>
      <c r="D160">
        <v>84.5</v>
      </c>
      <c r="E160">
        <v>84.3</v>
      </c>
      <c r="F160" s="3">
        <v>1000</v>
      </c>
      <c r="G160">
        <v>85.3</v>
      </c>
      <c r="H160" s="3">
        <v>3000</v>
      </c>
      <c r="I160">
        <v>84.8</v>
      </c>
      <c r="J160">
        <v>84.3</v>
      </c>
      <c r="K160">
        <v>84.54</v>
      </c>
      <c r="L160">
        <v>84.3</v>
      </c>
      <c r="M160" t="s">
        <v>143</v>
      </c>
      <c r="N160" t="s">
        <v>1</v>
      </c>
      <c r="O160" s="3">
        <v>14000</v>
      </c>
      <c r="P160" t="s">
        <v>1</v>
      </c>
      <c r="Q160" t="s">
        <v>1</v>
      </c>
    </row>
    <row r="161" spans="2:17">
      <c r="B161">
        <v>6639</v>
      </c>
      <c r="C161" t="s">
        <v>291</v>
      </c>
      <c r="D161">
        <v>14.52</v>
      </c>
      <c r="E161">
        <v>14.25</v>
      </c>
      <c r="F161" s="3">
        <v>10000</v>
      </c>
      <c r="G161">
        <v>15</v>
      </c>
      <c r="H161" s="3">
        <v>9800</v>
      </c>
      <c r="I161">
        <v>15</v>
      </c>
      <c r="J161">
        <v>14.25</v>
      </c>
      <c r="K161">
        <v>14.51</v>
      </c>
      <c r="L161">
        <v>15</v>
      </c>
      <c r="M161" t="s">
        <v>140</v>
      </c>
      <c r="N161" t="s">
        <v>1</v>
      </c>
      <c r="O161" s="3">
        <v>24200</v>
      </c>
      <c r="P161" t="s">
        <v>1</v>
      </c>
      <c r="Q161" t="s">
        <v>1</v>
      </c>
    </row>
    <row r="162" spans="2:17">
      <c r="B162">
        <v>6645</v>
      </c>
      <c r="C162" t="s">
        <v>292</v>
      </c>
      <c r="D162">
        <v>33.700000000000003</v>
      </c>
      <c r="E162">
        <v>32.85</v>
      </c>
      <c r="F162" s="3">
        <v>5000</v>
      </c>
      <c r="G162">
        <v>33.950000000000003</v>
      </c>
      <c r="H162" s="3">
        <v>2999</v>
      </c>
      <c r="I162">
        <v>33.950000000000003</v>
      </c>
      <c r="J162">
        <v>32.85</v>
      </c>
      <c r="K162">
        <v>33.159999999999997</v>
      </c>
      <c r="L162">
        <v>33.950000000000003</v>
      </c>
      <c r="M162" t="s">
        <v>140</v>
      </c>
      <c r="N162" t="s">
        <v>1</v>
      </c>
      <c r="O162" s="3">
        <v>58642</v>
      </c>
      <c r="P162" t="s">
        <v>1</v>
      </c>
      <c r="Q162" t="s">
        <v>1</v>
      </c>
    </row>
    <row r="163" spans="2:17">
      <c r="B163">
        <v>6648</v>
      </c>
      <c r="C163" t="s">
        <v>293</v>
      </c>
      <c r="D163">
        <v>58.19</v>
      </c>
      <c r="E163">
        <v>56.8</v>
      </c>
      <c r="F163" s="3">
        <v>6000</v>
      </c>
      <c r="G163">
        <v>57.2</v>
      </c>
      <c r="H163" s="3">
        <v>4799</v>
      </c>
      <c r="I163">
        <v>58.1</v>
      </c>
      <c r="J163">
        <v>56.8</v>
      </c>
      <c r="K163">
        <v>57.33</v>
      </c>
      <c r="L163">
        <v>57.2</v>
      </c>
      <c r="M163" t="s">
        <v>140</v>
      </c>
      <c r="N163" t="s">
        <v>1</v>
      </c>
      <c r="O163" s="3">
        <v>77591</v>
      </c>
      <c r="P163" t="s">
        <v>1</v>
      </c>
      <c r="Q163" t="s">
        <v>1</v>
      </c>
    </row>
    <row r="164" spans="2:17">
      <c r="B164">
        <v>6650</v>
      </c>
      <c r="C164" t="s">
        <v>294</v>
      </c>
      <c r="D164">
        <v>67.099999999999994</v>
      </c>
      <c r="E164">
        <v>65</v>
      </c>
      <c r="F164" s="3">
        <v>6000</v>
      </c>
      <c r="G164">
        <v>67.099999999999994</v>
      </c>
      <c r="H164" s="3">
        <v>3000</v>
      </c>
      <c r="I164" t="s">
        <v>1</v>
      </c>
      <c r="J164" t="s">
        <v>1</v>
      </c>
      <c r="K164" t="s">
        <v>1</v>
      </c>
      <c r="L164" t="s">
        <v>1</v>
      </c>
      <c r="M164" t="s">
        <v>1</v>
      </c>
      <c r="N164" t="s">
        <v>1</v>
      </c>
      <c r="O164" t="s">
        <v>1</v>
      </c>
      <c r="P164" t="s">
        <v>1</v>
      </c>
      <c r="Q164" t="s">
        <v>1</v>
      </c>
    </row>
    <row r="165" spans="2:17">
      <c r="B165">
        <v>6652</v>
      </c>
      <c r="C165" t="s">
        <v>295</v>
      </c>
      <c r="D165">
        <v>15.3</v>
      </c>
      <c r="E165">
        <v>14.8</v>
      </c>
      <c r="F165" s="3">
        <v>5000</v>
      </c>
      <c r="G165">
        <v>15.45</v>
      </c>
      <c r="H165" s="3">
        <v>5000</v>
      </c>
      <c r="I165">
        <v>15.3</v>
      </c>
      <c r="J165">
        <v>14.8</v>
      </c>
      <c r="K165">
        <v>15.09</v>
      </c>
      <c r="L165">
        <v>15.2</v>
      </c>
      <c r="M165" t="s">
        <v>143</v>
      </c>
      <c r="N165" t="s">
        <v>1</v>
      </c>
      <c r="O165" s="3">
        <v>126450</v>
      </c>
      <c r="P165" t="s">
        <v>1</v>
      </c>
      <c r="Q165" t="s">
        <v>1</v>
      </c>
    </row>
    <row r="166" spans="2:17">
      <c r="B166">
        <v>6657</v>
      </c>
      <c r="C166" t="s">
        <v>296</v>
      </c>
      <c r="D166">
        <v>45.2</v>
      </c>
      <c r="E166">
        <v>44.75</v>
      </c>
      <c r="F166" s="3">
        <v>6000</v>
      </c>
      <c r="G166">
        <v>46</v>
      </c>
      <c r="H166" s="3">
        <v>3000</v>
      </c>
      <c r="I166">
        <v>46.1</v>
      </c>
      <c r="J166">
        <v>44.75</v>
      </c>
      <c r="K166">
        <v>44.86</v>
      </c>
      <c r="L166">
        <v>46.1</v>
      </c>
      <c r="M166" t="s">
        <v>140</v>
      </c>
      <c r="N166" t="s">
        <v>1</v>
      </c>
      <c r="O166" s="3">
        <v>18010</v>
      </c>
      <c r="P166" t="s">
        <v>1</v>
      </c>
      <c r="Q166" t="s">
        <v>1</v>
      </c>
    </row>
    <row r="167" spans="2:17">
      <c r="B167">
        <v>6658</v>
      </c>
      <c r="C167" t="s">
        <v>2896</v>
      </c>
      <c r="D167">
        <v>48.65</v>
      </c>
      <c r="E167">
        <v>48.35</v>
      </c>
      <c r="F167" s="3">
        <v>4600</v>
      </c>
      <c r="G167">
        <v>48.65</v>
      </c>
      <c r="H167" s="3">
        <v>3000</v>
      </c>
      <c r="I167">
        <v>49.65</v>
      </c>
      <c r="J167">
        <v>48.35</v>
      </c>
      <c r="K167">
        <v>48.66</v>
      </c>
      <c r="L167">
        <v>48.35</v>
      </c>
      <c r="M167" t="s">
        <v>143</v>
      </c>
      <c r="N167" t="s">
        <v>1</v>
      </c>
      <c r="O167" s="3">
        <v>37821</v>
      </c>
      <c r="P167" t="s">
        <v>1</v>
      </c>
      <c r="Q167" t="s">
        <v>1</v>
      </c>
    </row>
    <row r="168" spans="2:17">
      <c r="B168">
        <v>6665</v>
      </c>
      <c r="C168" t="s">
        <v>297</v>
      </c>
      <c r="D168">
        <v>47.72</v>
      </c>
      <c r="E168">
        <v>47.15</v>
      </c>
      <c r="F168" s="3">
        <v>6000</v>
      </c>
      <c r="G168">
        <v>48.1</v>
      </c>
      <c r="H168" s="3">
        <v>5990</v>
      </c>
      <c r="I168">
        <v>48.1</v>
      </c>
      <c r="J168">
        <v>48.05</v>
      </c>
      <c r="K168">
        <v>48.09</v>
      </c>
      <c r="L168">
        <v>48.1</v>
      </c>
      <c r="M168" t="s">
        <v>140</v>
      </c>
      <c r="N168" t="s">
        <v>1</v>
      </c>
      <c r="O168" s="3">
        <v>1350</v>
      </c>
      <c r="P168" t="s">
        <v>1</v>
      </c>
      <c r="Q168" t="s">
        <v>1</v>
      </c>
    </row>
    <row r="169" spans="2:17">
      <c r="B169">
        <v>6673</v>
      </c>
      <c r="C169" t="s">
        <v>298</v>
      </c>
      <c r="D169">
        <v>20.399999999999999</v>
      </c>
      <c r="E169">
        <v>19.149999999999999</v>
      </c>
      <c r="F169" s="3">
        <v>5000</v>
      </c>
      <c r="G169">
        <v>20.100000000000001</v>
      </c>
      <c r="H169" s="3">
        <v>1000</v>
      </c>
      <c r="I169">
        <v>20.8</v>
      </c>
      <c r="J169">
        <v>18.55</v>
      </c>
      <c r="K169">
        <v>19.53</v>
      </c>
      <c r="L169">
        <v>20.100000000000001</v>
      </c>
      <c r="M169" t="s">
        <v>140</v>
      </c>
      <c r="N169" t="s">
        <v>1</v>
      </c>
      <c r="O169" s="3">
        <v>138004</v>
      </c>
      <c r="P169" t="s">
        <v>1</v>
      </c>
      <c r="Q169" t="s">
        <v>1</v>
      </c>
    </row>
    <row r="170" spans="2:17">
      <c r="B170">
        <v>6677</v>
      </c>
      <c r="C170" t="s">
        <v>299</v>
      </c>
      <c r="D170">
        <v>25</v>
      </c>
      <c r="E170">
        <v>24.05</v>
      </c>
      <c r="F170" s="3">
        <v>3000</v>
      </c>
      <c r="G170">
        <v>25.05</v>
      </c>
      <c r="H170" s="3">
        <v>3000</v>
      </c>
      <c r="I170">
        <v>25.05</v>
      </c>
      <c r="J170">
        <v>25.05</v>
      </c>
      <c r="K170">
        <v>25.05</v>
      </c>
      <c r="L170">
        <v>25.05</v>
      </c>
      <c r="M170" t="s">
        <v>140</v>
      </c>
      <c r="N170" t="s">
        <v>1</v>
      </c>
      <c r="O170" s="3">
        <v>1493</v>
      </c>
      <c r="P170" t="s">
        <v>1</v>
      </c>
      <c r="Q170" t="s">
        <v>1</v>
      </c>
    </row>
    <row r="171" spans="2:17">
      <c r="B171">
        <v>6682</v>
      </c>
      <c r="C171" t="s">
        <v>300</v>
      </c>
      <c r="D171">
        <v>18.5</v>
      </c>
      <c r="E171">
        <v>17.7</v>
      </c>
      <c r="F171" s="3">
        <v>10000</v>
      </c>
      <c r="G171">
        <v>18</v>
      </c>
      <c r="H171" s="3">
        <v>13999</v>
      </c>
      <c r="I171">
        <v>18.850000000000001</v>
      </c>
      <c r="J171">
        <v>17.55</v>
      </c>
      <c r="K171">
        <v>17.91</v>
      </c>
      <c r="L171">
        <v>18</v>
      </c>
      <c r="M171" t="s">
        <v>140</v>
      </c>
      <c r="N171" t="s">
        <v>1</v>
      </c>
      <c r="O171" s="3">
        <v>2005637</v>
      </c>
      <c r="P171" t="s">
        <v>1</v>
      </c>
      <c r="Q171" t="s">
        <v>1</v>
      </c>
    </row>
    <row r="172" spans="2:17">
      <c r="B172">
        <v>6689</v>
      </c>
      <c r="C172" t="s">
        <v>302</v>
      </c>
      <c r="D172">
        <v>261.10000000000002</v>
      </c>
      <c r="E172">
        <v>260.5</v>
      </c>
      <c r="F172" s="3">
        <v>1750</v>
      </c>
      <c r="G172">
        <v>262.5</v>
      </c>
      <c r="H172" s="3">
        <v>1985</v>
      </c>
      <c r="I172">
        <v>265.5</v>
      </c>
      <c r="J172">
        <v>260.5</v>
      </c>
      <c r="K172">
        <v>262.64999999999998</v>
      </c>
      <c r="L172">
        <v>260.5</v>
      </c>
      <c r="M172" t="s">
        <v>143</v>
      </c>
      <c r="N172" t="s">
        <v>1</v>
      </c>
      <c r="O172" s="3">
        <v>19359</v>
      </c>
      <c r="P172" t="s">
        <v>1</v>
      </c>
      <c r="Q172" t="s">
        <v>1</v>
      </c>
    </row>
    <row r="173" spans="2:17">
      <c r="B173">
        <v>6691</v>
      </c>
      <c r="C173" t="s">
        <v>303</v>
      </c>
      <c r="D173">
        <v>251.38</v>
      </c>
      <c r="E173">
        <v>249</v>
      </c>
      <c r="F173" s="3">
        <v>8000</v>
      </c>
      <c r="G173">
        <v>251</v>
      </c>
      <c r="H173" s="3">
        <v>7983</v>
      </c>
      <c r="I173">
        <v>254.5</v>
      </c>
      <c r="J173">
        <v>245.5</v>
      </c>
      <c r="K173">
        <v>250.52</v>
      </c>
      <c r="L173">
        <v>251</v>
      </c>
      <c r="M173" t="s">
        <v>140</v>
      </c>
      <c r="N173" t="s">
        <v>1</v>
      </c>
      <c r="O173" s="3">
        <v>120946</v>
      </c>
      <c r="P173" t="s">
        <v>3078</v>
      </c>
      <c r="Q173" t="s">
        <v>348</v>
      </c>
    </row>
    <row r="174" spans="2:17">
      <c r="B174">
        <v>6692</v>
      </c>
      <c r="C174" t="s">
        <v>304</v>
      </c>
      <c r="D174">
        <v>40.79</v>
      </c>
      <c r="E174">
        <v>40.1</v>
      </c>
      <c r="F174" s="3">
        <v>3000</v>
      </c>
      <c r="G174">
        <v>41.4</v>
      </c>
      <c r="H174" s="3">
        <v>3000</v>
      </c>
      <c r="I174">
        <v>41.2</v>
      </c>
      <c r="J174">
        <v>40.049999999999997</v>
      </c>
      <c r="K174">
        <v>40.590000000000003</v>
      </c>
      <c r="L174">
        <v>40.5</v>
      </c>
      <c r="M174" t="s">
        <v>140</v>
      </c>
      <c r="N174" t="s">
        <v>1</v>
      </c>
      <c r="O174" s="3">
        <v>10101</v>
      </c>
      <c r="P174" t="s">
        <v>1</v>
      </c>
      <c r="Q174" t="s">
        <v>1</v>
      </c>
    </row>
    <row r="175" spans="2:17">
      <c r="B175">
        <v>6693</v>
      </c>
      <c r="C175" t="s">
        <v>305</v>
      </c>
      <c r="D175">
        <v>156.87</v>
      </c>
      <c r="E175">
        <v>156</v>
      </c>
      <c r="F175" s="3">
        <v>3000</v>
      </c>
      <c r="G175">
        <v>158.5</v>
      </c>
      <c r="H175" s="3">
        <v>2998</v>
      </c>
      <c r="I175">
        <v>158.5</v>
      </c>
      <c r="J175">
        <v>155.5</v>
      </c>
      <c r="K175">
        <v>156.87</v>
      </c>
      <c r="L175">
        <v>158.5</v>
      </c>
      <c r="M175" t="s">
        <v>140</v>
      </c>
      <c r="N175" t="s">
        <v>1</v>
      </c>
      <c r="O175" s="3">
        <v>71737</v>
      </c>
      <c r="P175" t="s">
        <v>3068</v>
      </c>
      <c r="Q175" t="s">
        <v>227</v>
      </c>
    </row>
    <row r="176" spans="2:17">
      <c r="B176">
        <v>6695</v>
      </c>
      <c r="C176" t="s">
        <v>306</v>
      </c>
      <c r="D176">
        <v>86</v>
      </c>
      <c r="E176">
        <v>87.2</v>
      </c>
      <c r="F176" s="3">
        <v>3000</v>
      </c>
      <c r="G176">
        <v>87.7</v>
      </c>
      <c r="H176" s="3">
        <v>2980</v>
      </c>
      <c r="I176">
        <v>88.6</v>
      </c>
      <c r="J176">
        <v>85.3</v>
      </c>
      <c r="K176">
        <v>87.52</v>
      </c>
      <c r="L176">
        <v>87.7</v>
      </c>
      <c r="M176" t="s">
        <v>140</v>
      </c>
      <c r="N176" t="s">
        <v>1</v>
      </c>
      <c r="O176" s="3">
        <v>299052</v>
      </c>
      <c r="P176" t="s">
        <v>1</v>
      </c>
      <c r="Q176" t="s">
        <v>1</v>
      </c>
    </row>
    <row r="177" spans="2:17">
      <c r="B177">
        <v>6696</v>
      </c>
      <c r="C177" t="s">
        <v>307</v>
      </c>
      <c r="D177">
        <v>200.64</v>
      </c>
      <c r="E177">
        <v>199</v>
      </c>
      <c r="F177" s="3">
        <v>5000</v>
      </c>
      <c r="G177">
        <v>201</v>
      </c>
      <c r="H177" s="3">
        <v>5000</v>
      </c>
      <c r="I177">
        <v>202</v>
      </c>
      <c r="J177">
        <v>199.5</v>
      </c>
      <c r="K177">
        <v>200.36</v>
      </c>
      <c r="L177">
        <v>199.5</v>
      </c>
      <c r="M177" t="s">
        <v>143</v>
      </c>
      <c r="N177" t="s">
        <v>1</v>
      </c>
      <c r="O177" s="3">
        <v>74829</v>
      </c>
      <c r="P177" t="s">
        <v>1</v>
      </c>
      <c r="Q177" t="s">
        <v>1</v>
      </c>
    </row>
    <row r="178" spans="2:17">
      <c r="B178">
        <v>6699</v>
      </c>
      <c r="C178" t="s">
        <v>308</v>
      </c>
      <c r="D178">
        <v>34.020000000000003</v>
      </c>
      <c r="E178">
        <v>33.700000000000003</v>
      </c>
      <c r="F178" s="3">
        <v>4900</v>
      </c>
      <c r="G178">
        <v>35.35</v>
      </c>
      <c r="H178" s="3">
        <v>4990</v>
      </c>
      <c r="I178">
        <v>35.35</v>
      </c>
      <c r="J178">
        <v>33.700000000000003</v>
      </c>
      <c r="K178">
        <v>33.85</v>
      </c>
      <c r="L178">
        <v>35.35</v>
      </c>
      <c r="M178" t="s">
        <v>140</v>
      </c>
      <c r="N178" t="s">
        <v>1</v>
      </c>
      <c r="O178">
        <v>110</v>
      </c>
      <c r="P178" t="s">
        <v>1</v>
      </c>
      <c r="Q178" t="s">
        <v>1</v>
      </c>
    </row>
    <row r="179" spans="2:17">
      <c r="B179">
        <v>6705</v>
      </c>
      <c r="C179" t="s">
        <v>309</v>
      </c>
      <c r="D179">
        <v>29.4</v>
      </c>
      <c r="E179">
        <v>29.1</v>
      </c>
      <c r="F179" s="3">
        <v>3000</v>
      </c>
      <c r="G179">
        <v>30</v>
      </c>
      <c r="H179" s="3">
        <v>6000</v>
      </c>
      <c r="I179">
        <v>29.5</v>
      </c>
      <c r="J179">
        <v>29.5</v>
      </c>
      <c r="K179">
        <v>29.5</v>
      </c>
      <c r="L179">
        <v>29.5</v>
      </c>
      <c r="M179" t="s">
        <v>143</v>
      </c>
      <c r="N179" t="s">
        <v>1</v>
      </c>
      <c r="O179" s="3">
        <v>3000</v>
      </c>
      <c r="P179" t="s">
        <v>1</v>
      </c>
      <c r="Q179" t="s">
        <v>1</v>
      </c>
    </row>
    <row r="180" spans="2:17">
      <c r="B180">
        <v>6708</v>
      </c>
      <c r="C180" t="s">
        <v>310</v>
      </c>
      <c r="D180">
        <v>87.24</v>
      </c>
      <c r="E180">
        <v>86.7</v>
      </c>
      <c r="F180" s="3">
        <v>5760</v>
      </c>
      <c r="G180">
        <v>87.9</v>
      </c>
      <c r="H180" s="3">
        <v>3000</v>
      </c>
      <c r="I180">
        <v>88.2</v>
      </c>
      <c r="J180">
        <v>86.6</v>
      </c>
      <c r="K180">
        <v>87.44</v>
      </c>
      <c r="L180">
        <v>87.2</v>
      </c>
      <c r="M180" t="s">
        <v>140</v>
      </c>
      <c r="N180" t="s">
        <v>1</v>
      </c>
      <c r="O180" s="3">
        <v>47048</v>
      </c>
      <c r="P180" t="s">
        <v>1</v>
      </c>
      <c r="Q180" t="s">
        <v>1</v>
      </c>
    </row>
    <row r="181" spans="2:17">
      <c r="B181">
        <v>6709</v>
      </c>
      <c r="C181" t="s">
        <v>311</v>
      </c>
      <c r="D181">
        <v>47.94</v>
      </c>
      <c r="E181">
        <v>47.1</v>
      </c>
      <c r="F181" s="3">
        <v>3000</v>
      </c>
      <c r="G181">
        <v>48</v>
      </c>
      <c r="H181" s="3">
        <v>2000</v>
      </c>
      <c r="I181">
        <v>48.9</v>
      </c>
      <c r="J181">
        <v>47</v>
      </c>
      <c r="K181">
        <v>47.85</v>
      </c>
      <c r="L181">
        <v>48</v>
      </c>
      <c r="M181" t="s">
        <v>140</v>
      </c>
      <c r="N181" t="s">
        <v>1</v>
      </c>
      <c r="O181" s="3">
        <v>56454</v>
      </c>
      <c r="P181" t="s">
        <v>1</v>
      </c>
      <c r="Q181" t="s">
        <v>1</v>
      </c>
    </row>
    <row r="182" spans="2:17">
      <c r="B182">
        <v>6717</v>
      </c>
      <c r="C182" t="s">
        <v>312</v>
      </c>
      <c r="D182">
        <v>17.03</v>
      </c>
      <c r="E182">
        <v>15</v>
      </c>
      <c r="F182" s="3">
        <v>5000</v>
      </c>
      <c r="G182">
        <v>15.6</v>
      </c>
      <c r="H182" s="3">
        <v>4899</v>
      </c>
      <c r="I182">
        <v>16.899999999999999</v>
      </c>
      <c r="J182">
        <v>14.9</v>
      </c>
      <c r="K182">
        <v>15.71</v>
      </c>
      <c r="L182">
        <v>15.6</v>
      </c>
      <c r="M182" t="s">
        <v>140</v>
      </c>
      <c r="N182" t="s">
        <v>1</v>
      </c>
      <c r="O182" s="3">
        <v>167706</v>
      </c>
      <c r="P182" t="s">
        <v>1</v>
      </c>
      <c r="Q182" t="s">
        <v>1</v>
      </c>
    </row>
    <row r="183" spans="2:17">
      <c r="B183">
        <v>6719</v>
      </c>
      <c r="C183" t="s">
        <v>313</v>
      </c>
      <c r="D183">
        <v>871.65</v>
      </c>
      <c r="E183">
        <v>868</v>
      </c>
      <c r="F183" s="3">
        <v>2000</v>
      </c>
      <c r="G183">
        <v>873</v>
      </c>
      <c r="H183" s="3">
        <v>3200</v>
      </c>
      <c r="I183">
        <v>885</v>
      </c>
      <c r="J183">
        <v>867</v>
      </c>
      <c r="K183">
        <v>875.01</v>
      </c>
      <c r="L183">
        <v>868</v>
      </c>
      <c r="M183" t="s">
        <v>143</v>
      </c>
      <c r="N183" t="s">
        <v>1</v>
      </c>
      <c r="O183" s="3">
        <v>328119</v>
      </c>
      <c r="P183" t="s">
        <v>3069</v>
      </c>
      <c r="Q183" t="s">
        <v>348</v>
      </c>
    </row>
    <row r="184" spans="2:17">
      <c r="B184">
        <v>6720</v>
      </c>
      <c r="C184" t="s">
        <v>314</v>
      </c>
      <c r="D184">
        <v>46.28</v>
      </c>
      <c r="E184">
        <v>46.35</v>
      </c>
      <c r="F184" s="3">
        <v>3000</v>
      </c>
      <c r="G184">
        <v>47.1</v>
      </c>
      <c r="H184" s="3">
        <v>3000</v>
      </c>
      <c r="I184">
        <v>47.15</v>
      </c>
      <c r="J184">
        <v>46</v>
      </c>
      <c r="K184">
        <v>46.48</v>
      </c>
      <c r="L184">
        <v>46.95</v>
      </c>
      <c r="M184" t="s">
        <v>140</v>
      </c>
      <c r="N184" t="s">
        <v>1</v>
      </c>
      <c r="O184" s="3">
        <v>41337</v>
      </c>
      <c r="P184" t="s">
        <v>1</v>
      </c>
      <c r="Q184" t="s">
        <v>1</v>
      </c>
    </row>
    <row r="185" spans="2:17">
      <c r="B185">
        <v>6721</v>
      </c>
      <c r="C185" t="s">
        <v>2703</v>
      </c>
      <c r="D185">
        <v>69.53</v>
      </c>
      <c r="E185">
        <v>70.8</v>
      </c>
      <c r="F185" s="3">
        <v>3000</v>
      </c>
      <c r="G185">
        <v>71.5</v>
      </c>
      <c r="H185" s="3">
        <v>3000</v>
      </c>
      <c r="I185">
        <v>71.2</v>
      </c>
      <c r="J185">
        <v>69</v>
      </c>
      <c r="K185">
        <v>70.44</v>
      </c>
      <c r="L185">
        <v>71.099999999999994</v>
      </c>
      <c r="M185" t="s">
        <v>140</v>
      </c>
      <c r="N185" t="s">
        <v>1</v>
      </c>
      <c r="O185" s="3">
        <v>15703</v>
      </c>
      <c r="P185" t="s">
        <v>3117</v>
      </c>
      <c r="Q185" t="s">
        <v>227</v>
      </c>
    </row>
    <row r="186" spans="2:17">
      <c r="B186">
        <v>6723</v>
      </c>
      <c r="C186" t="s">
        <v>315</v>
      </c>
      <c r="D186">
        <v>21.5</v>
      </c>
      <c r="E186">
        <v>21.5</v>
      </c>
      <c r="F186" s="3">
        <v>6000</v>
      </c>
      <c r="G186">
        <v>22.35</v>
      </c>
      <c r="H186" s="3">
        <v>2000</v>
      </c>
      <c r="I186">
        <v>22.35</v>
      </c>
      <c r="J186">
        <v>22.2</v>
      </c>
      <c r="K186">
        <v>22.29</v>
      </c>
      <c r="L186">
        <v>22.35</v>
      </c>
      <c r="M186" t="s">
        <v>140</v>
      </c>
      <c r="N186" t="s">
        <v>1</v>
      </c>
      <c r="O186" s="3">
        <v>20000</v>
      </c>
      <c r="P186" t="s">
        <v>1</v>
      </c>
      <c r="Q186" t="s">
        <v>1</v>
      </c>
    </row>
    <row r="187" spans="2:17">
      <c r="B187">
        <v>6724</v>
      </c>
      <c r="C187" t="s">
        <v>316</v>
      </c>
      <c r="D187">
        <v>47.27</v>
      </c>
      <c r="E187">
        <v>45.8</v>
      </c>
      <c r="F187" s="3">
        <v>5000</v>
      </c>
      <c r="G187">
        <v>46.95</v>
      </c>
      <c r="H187" s="3">
        <v>5999</v>
      </c>
      <c r="I187">
        <v>47.8</v>
      </c>
      <c r="J187">
        <v>45.8</v>
      </c>
      <c r="K187">
        <v>46.4</v>
      </c>
      <c r="L187">
        <v>46.95</v>
      </c>
      <c r="M187" t="s">
        <v>140</v>
      </c>
      <c r="N187" t="s">
        <v>1</v>
      </c>
      <c r="O187" s="3">
        <v>257196</v>
      </c>
      <c r="P187" t="s">
        <v>1</v>
      </c>
      <c r="Q187" t="s">
        <v>1</v>
      </c>
    </row>
    <row r="188" spans="2:17">
      <c r="B188">
        <v>6729</v>
      </c>
      <c r="C188" t="s">
        <v>317</v>
      </c>
      <c r="D188">
        <v>18.37</v>
      </c>
      <c r="E188">
        <v>19.55</v>
      </c>
      <c r="F188" s="3">
        <v>5000</v>
      </c>
      <c r="G188">
        <v>19.899999999999999</v>
      </c>
      <c r="H188" s="3">
        <v>3996</v>
      </c>
      <c r="I188">
        <v>19.95</v>
      </c>
      <c r="J188">
        <v>18.5</v>
      </c>
      <c r="K188">
        <v>19.309999999999999</v>
      </c>
      <c r="L188">
        <v>19.899999999999999</v>
      </c>
      <c r="M188" t="s">
        <v>140</v>
      </c>
      <c r="N188" t="s">
        <v>1</v>
      </c>
      <c r="O188" s="3">
        <v>182635</v>
      </c>
      <c r="P188" t="s">
        <v>1</v>
      </c>
      <c r="Q188" t="s">
        <v>1</v>
      </c>
    </row>
    <row r="189" spans="2:17">
      <c r="B189">
        <v>6730</v>
      </c>
      <c r="C189" t="s">
        <v>318</v>
      </c>
      <c r="D189">
        <v>33.450000000000003</v>
      </c>
      <c r="E189">
        <v>32.65</v>
      </c>
      <c r="F189" s="3">
        <v>3000</v>
      </c>
      <c r="G189">
        <v>33.65</v>
      </c>
      <c r="H189" s="3">
        <v>3000</v>
      </c>
      <c r="I189">
        <v>33.75</v>
      </c>
      <c r="J189">
        <v>33.299999999999997</v>
      </c>
      <c r="K189">
        <v>33.57</v>
      </c>
      <c r="L189">
        <v>33.700000000000003</v>
      </c>
      <c r="M189" t="s">
        <v>140</v>
      </c>
      <c r="N189" t="s">
        <v>1</v>
      </c>
      <c r="O189" s="3">
        <v>7003</v>
      </c>
      <c r="P189" t="s">
        <v>1</v>
      </c>
      <c r="Q189" t="s">
        <v>1</v>
      </c>
    </row>
    <row r="190" spans="2:17">
      <c r="B190">
        <v>6731</v>
      </c>
      <c r="C190" t="s">
        <v>319</v>
      </c>
      <c r="D190">
        <v>39.75</v>
      </c>
      <c r="E190">
        <v>36.85</v>
      </c>
      <c r="F190" s="3">
        <v>3000</v>
      </c>
      <c r="G190">
        <v>38.450000000000003</v>
      </c>
      <c r="H190" s="3">
        <v>3000</v>
      </c>
      <c r="I190">
        <v>40.15</v>
      </c>
      <c r="J190">
        <v>37.049999999999997</v>
      </c>
      <c r="K190">
        <v>38.07</v>
      </c>
      <c r="L190">
        <v>37.200000000000003</v>
      </c>
      <c r="M190" t="s">
        <v>143</v>
      </c>
      <c r="N190" t="s">
        <v>1</v>
      </c>
      <c r="O190" s="3">
        <v>59901</v>
      </c>
      <c r="P190" t="s">
        <v>3139</v>
      </c>
      <c r="Q190" t="s">
        <v>166</v>
      </c>
    </row>
    <row r="191" spans="2:17">
      <c r="B191">
        <v>6734</v>
      </c>
      <c r="C191" t="s">
        <v>320</v>
      </c>
      <c r="D191">
        <v>14.56</v>
      </c>
      <c r="E191">
        <v>13.65</v>
      </c>
      <c r="F191" s="3">
        <v>5000</v>
      </c>
      <c r="G191">
        <v>13.85</v>
      </c>
      <c r="H191" s="3">
        <v>5000</v>
      </c>
      <c r="I191">
        <v>14.25</v>
      </c>
      <c r="J191">
        <v>13.65</v>
      </c>
      <c r="K191">
        <v>13.82</v>
      </c>
      <c r="L191">
        <v>13.75</v>
      </c>
      <c r="M191" t="s">
        <v>140</v>
      </c>
      <c r="N191" t="s">
        <v>1</v>
      </c>
      <c r="O191" s="3">
        <v>320534</v>
      </c>
      <c r="P191" t="s">
        <v>1</v>
      </c>
      <c r="Q191" t="s">
        <v>1</v>
      </c>
    </row>
    <row r="192" spans="2:17">
      <c r="B192">
        <v>6735</v>
      </c>
      <c r="C192" t="s">
        <v>321</v>
      </c>
      <c r="D192">
        <v>144.49</v>
      </c>
      <c r="E192">
        <v>140</v>
      </c>
      <c r="F192" s="3">
        <v>1000</v>
      </c>
      <c r="G192">
        <v>142.5</v>
      </c>
      <c r="H192" s="3">
        <v>5000</v>
      </c>
      <c r="I192">
        <v>143.5</v>
      </c>
      <c r="J192">
        <v>137.5</v>
      </c>
      <c r="K192">
        <v>139.6</v>
      </c>
      <c r="L192">
        <v>142.5</v>
      </c>
      <c r="M192" t="s">
        <v>140</v>
      </c>
      <c r="N192" t="s">
        <v>1</v>
      </c>
      <c r="O192" s="3">
        <v>82154</v>
      </c>
      <c r="P192" t="s">
        <v>3070</v>
      </c>
      <c r="Q192" t="s">
        <v>166</v>
      </c>
    </row>
    <row r="193" spans="2:17">
      <c r="B193">
        <v>6736</v>
      </c>
      <c r="C193" t="s">
        <v>322</v>
      </c>
      <c r="D193">
        <v>24.98</v>
      </c>
      <c r="E193">
        <v>24.4</v>
      </c>
      <c r="F193" s="3">
        <v>6000</v>
      </c>
      <c r="G193">
        <v>25</v>
      </c>
      <c r="H193" s="3">
        <v>6000</v>
      </c>
      <c r="I193">
        <v>25.05</v>
      </c>
      <c r="J193">
        <v>24.4</v>
      </c>
      <c r="K193">
        <v>24.65</v>
      </c>
      <c r="L193">
        <v>24.5</v>
      </c>
      <c r="M193" t="s">
        <v>140</v>
      </c>
      <c r="N193" t="s">
        <v>1</v>
      </c>
      <c r="O193" s="3">
        <v>171110</v>
      </c>
      <c r="P193" t="s">
        <v>1</v>
      </c>
      <c r="Q193" t="s">
        <v>1</v>
      </c>
    </row>
    <row r="194" spans="2:17">
      <c r="B194">
        <v>6737</v>
      </c>
      <c r="C194" t="s">
        <v>323</v>
      </c>
      <c r="D194">
        <v>70.94</v>
      </c>
      <c r="E194">
        <v>70.3</v>
      </c>
      <c r="F194" s="3">
        <v>6000</v>
      </c>
      <c r="G194">
        <v>71.2</v>
      </c>
      <c r="H194" s="3">
        <v>2990</v>
      </c>
      <c r="I194">
        <v>71.5</v>
      </c>
      <c r="J194">
        <v>70.3</v>
      </c>
      <c r="K194">
        <v>70.73</v>
      </c>
      <c r="L194">
        <v>71.2</v>
      </c>
      <c r="M194" t="s">
        <v>140</v>
      </c>
      <c r="N194" t="s">
        <v>1</v>
      </c>
      <c r="O194" s="3">
        <v>36873</v>
      </c>
      <c r="P194" t="s">
        <v>1</v>
      </c>
      <c r="Q194" t="s">
        <v>1</v>
      </c>
    </row>
    <row r="195" spans="2:17">
      <c r="B195">
        <v>6738</v>
      </c>
      <c r="C195" t="s">
        <v>324</v>
      </c>
      <c r="D195">
        <v>59.85</v>
      </c>
      <c r="E195">
        <v>59.7</v>
      </c>
      <c r="F195" s="3">
        <v>2000</v>
      </c>
      <c r="G195">
        <v>60</v>
      </c>
      <c r="H195" s="3">
        <v>8440</v>
      </c>
      <c r="I195">
        <v>60</v>
      </c>
      <c r="J195">
        <v>59.6</v>
      </c>
      <c r="K195">
        <v>59.78</v>
      </c>
      <c r="L195">
        <v>60</v>
      </c>
      <c r="M195" t="s">
        <v>140</v>
      </c>
      <c r="N195" t="s">
        <v>1</v>
      </c>
      <c r="O195" s="3">
        <v>27660</v>
      </c>
      <c r="P195" t="s">
        <v>1</v>
      </c>
      <c r="Q195" t="s">
        <v>1</v>
      </c>
    </row>
    <row r="196" spans="2:17">
      <c r="B196">
        <v>6739</v>
      </c>
      <c r="C196" t="s">
        <v>325</v>
      </c>
      <c r="D196">
        <v>31.96</v>
      </c>
      <c r="E196">
        <v>33</v>
      </c>
      <c r="F196" s="3">
        <v>3000</v>
      </c>
      <c r="G196">
        <v>33.65</v>
      </c>
      <c r="H196" s="3">
        <v>2900</v>
      </c>
      <c r="I196">
        <v>33.65</v>
      </c>
      <c r="J196">
        <v>33.1</v>
      </c>
      <c r="K196">
        <v>33.28</v>
      </c>
      <c r="L196">
        <v>33.65</v>
      </c>
      <c r="M196" t="s">
        <v>140</v>
      </c>
      <c r="N196" t="s">
        <v>1</v>
      </c>
      <c r="O196" s="3">
        <v>4000</v>
      </c>
      <c r="P196" t="s">
        <v>1</v>
      </c>
      <c r="Q196" t="s">
        <v>1</v>
      </c>
    </row>
    <row r="197" spans="2:17">
      <c r="B197">
        <v>6742</v>
      </c>
      <c r="C197" t="s">
        <v>2904</v>
      </c>
      <c r="D197">
        <v>108.52</v>
      </c>
      <c r="E197">
        <v>108.5</v>
      </c>
      <c r="F197" s="3">
        <v>5000</v>
      </c>
      <c r="G197">
        <v>109.5</v>
      </c>
      <c r="H197" s="3">
        <v>5000</v>
      </c>
      <c r="I197">
        <v>111.5</v>
      </c>
      <c r="J197">
        <v>107.5</v>
      </c>
      <c r="K197">
        <v>109.88</v>
      </c>
      <c r="L197">
        <v>109</v>
      </c>
      <c r="M197" t="s">
        <v>140</v>
      </c>
      <c r="N197" t="s">
        <v>1</v>
      </c>
      <c r="O197" s="3">
        <v>492024</v>
      </c>
      <c r="P197" t="s">
        <v>1</v>
      </c>
      <c r="Q197" t="s">
        <v>1</v>
      </c>
    </row>
    <row r="198" spans="2:17">
      <c r="B198">
        <v>6744</v>
      </c>
      <c r="C198" t="s">
        <v>326</v>
      </c>
      <c r="D198">
        <v>24.55</v>
      </c>
      <c r="E198">
        <v>24.6</v>
      </c>
      <c r="F198" s="3">
        <v>3000</v>
      </c>
      <c r="G198">
        <v>25.75</v>
      </c>
      <c r="H198" s="3">
        <v>3000</v>
      </c>
      <c r="I198">
        <v>24.75</v>
      </c>
      <c r="J198">
        <v>24.6</v>
      </c>
      <c r="K198">
        <v>24.68</v>
      </c>
      <c r="L198">
        <v>24.75</v>
      </c>
      <c r="M198" t="s">
        <v>140</v>
      </c>
      <c r="N198" t="s">
        <v>1</v>
      </c>
      <c r="O198" s="3">
        <v>9000</v>
      </c>
      <c r="P198" t="s">
        <v>1</v>
      </c>
      <c r="Q198" t="s">
        <v>1</v>
      </c>
    </row>
    <row r="199" spans="2:17">
      <c r="B199">
        <v>6748</v>
      </c>
      <c r="C199" t="s">
        <v>2672</v>
      </c>
      <c r="D199">
        <v>26.41</v>
      </c>
      <c r="E199">
        <v>25.65</v>
      </c>
      <c r="F199" s="3">
        <v>5000</v>
      </c>
      <c r="G199">
        <v>26.35</v>
      </c>
      <c r="H199" s="3">
        <v>5999</v>
      </c>
      <c r="I199">
        <v>27</v>
      </c>
      <c r="J199">
        <v>25.8</v>
      </c>
      <c r="K199">
        <v>26.21</v>
      </c>
      <c r="L199">
        <v>26.35</v>
      </c>
      <c r="M199" t="s">
        <v>140</v>
      </c>
      <c r="N199" t="s">
        <v>1</v>
      </c>
      <c r="O199" s="3">
        <v>279939</v>
      </c>
      <c r="P199" t="s">
        <v>1</v>
      </c>
      <c r="Q199" t="s">
        <v>1</v>
      </c>
    </row>
    <row r="200" spans="2:17">
      <c r="B200">
        <v>6750</v>
      </c>
      <c r="C200" t="s">
        <v>327</v>
      </c>
      <c r="D200">
        <v>25.04</v>
      </c>
      <c r="E200">
        <v>25</v>
      </c>
      <c r="F200" s="3">
        <v>3000</v>
      </c>
      <c r="G200">
        <v>25.5</v>
      </c>
      <c r="H200" s="3">
        <v>6000</v>
      </c>
      <c r="I200">
        <v>25.3</v>
      </c>
      <c r="J200">
        <v>25.25</v>
      </c>
      <c r="K200">
        <v>25.27</v>
      </c>
      <c r="L200">
        <v>25.3</v>
      </c>
      <c r="M200" t="s">
        <v>140</v>
      </c>
      <c r="N200" t="s">
        <v>1</v>
      </c>
      <c r="O200" s="3">
        <v>9000</v>
      </c>
      <c r="P200" t="s">
        <v>1</v>
      </c>
      <c r="Q200" t="s">
        <v>1</v>
      </c>
    </row>
    <row r="201" spans="2:17">
      <c r="B201">
        <v>6753</v>
      </c>
      <c r="C201" t="s">
        <v>328</v>
      </c>
      <c r="D201">
        <v>30.96</v>
      </c>
      <c r="E201">
        <v>30.85</v>
      </c>
      <c r="F201" s="3">
        <v>6000</v>
      </c>
      <c r="G201">
        <v>31.25</v>
      </c>
      <c r="H201" s="3">
        <v>2999</v>
      </c>
      <c r="I201">
        <v>31.5</v>
      </c>
      <c r="J201">
        <v>30.9</v>
      </c>
      <c r="K201">
        <v>31.07</v>
      </c>
      <c r="L201">
        <v>31.25</v>
      </c>
      <c r="M201" t="s">
        <v>140</v>
      </c>
      <c r="N201" t="s">
        <v>1</v>
      </c>
      <c r="O201" s="3">
        <v>55581</v>
      </c>
      <c r="P201" t="s">
        <v>1</v>
      </c>
      <c r="Q201" t="s">
        <v>1</v>
      </c>
    </row>
    <row r="202" spans="2:17">
      <c r="B202">
        <v>6755</v>
      </c>
      <c r="C202" t="s">
        <v>329</v>
      </c>
      <c r="D202">
        <v>51.67</v>
      </c>
      <c r="E202">
        <v>51.1</v>
      </c>
      <c r="F202" s="3">
        <v>3000</v>
      </c>
      <c r="G202">
        <v>51.1</v>
      </c>
      <c r="H202" s="3">
        <v>3000</v>
      </c>
      <c r="I202">
        <v>51.5</v>
      </c>
      <c r="J202">
        <v>50.8</v>
      </c>
      <c r="K202">
        <v>51.1</v>
      </c>
      <c r="L202">
        <v>51</v>
      </c>
      <c r="M202" t="s">
        <v>140</v>
      </c>
      <c r="N202" t="s">
        <v>1</v>
      </c>
      <c r="O202" s="3">
        <v>61220</v>
      </c>
      <c r="P202" t="s">
        <v>1</v>
      </c>
      <c r="Q202" t="s">
        <v>1</v>
      </c>
    </row>
    <row r="203" spans="2:17">
      <c r="B203">
        <v>6757</v>
      </c>
      <c r="C203" t="s">
        <v>330</v>
      </c>
      <c r="D203">
        <v>29.04</v>
      </c>
      <c r="E203">
        <v>29.4</v>
      </c>
      <c r="F203" s="3">
        <v>6000</v>
      </c>
      <c r="G203">
        <v>29.6</v>
      </c>
      <c r="H203" s="3">
        <v>4000</v>
      </c>
      <c r="I203">
        <v>29.6</v>
      </c>
      <c r="J203">
        <v>29.2</v>
      </c>
      <c r="K203">
        <v>29.39</v>
      </c>
      <c r="L203">
        <v>29.6</v>
      </c>
      <c r="M203" t="s">
        <v>140</v>
      </c>
      <c r="N203" t="s">
        <v>1</v>
      </c>
      <c r="O203" s="3">
        <v>136966</v>
      </c>
      <c r="P203" t="s">
        <v>3140</v>
      </c>
      <c r="Q203" t="s">
        <v>223</v>
      </c>
    </row>
    <row r="204" spans="2:17">
      <c r="B204">
        <v>6758</v>
      </c>
      <c r="C204" t="s">
        <v>331</v>
      </c>
      <c r="D204">
        <v>47.05</v>
      </c>
      <c r="E204">
        <v>47.05</v>
      </c>
      <c r="F204" s="3">
        <v>3000</v>
      </c>
      <c r="G204">
        <v>47.7</v>
      </c>
      <c r="H204" s="3">
        <v>6000</v>
      </c>
      <c r="I204" t="s">
        <v>1</v>
      </c>
      <c r="J204" t="s">
        <v>1</v>
      </c>
      <c r="K204" t="s">
        <v>1</v>
      </c>
      <c r="L204" t="s">
        <v>1</v>
      </c>
      <c r="M204" t="s">
        <v>1</v>
      </c>
      <c r="N204" t="s">
        <v>1</v>
      </c>
      <c r="O204" t="s">
        <v>1</v>
      </c>
      <c r="P204" t="s">
        <v>1</v>
      </c>
      <c r="Q204" t="s">
        <v>1</v>
      </c>
    </row>
    <row r="205" spans="2:17">
      <c r="B205">
        <v>6763</v>
      </c>
      <c r="C205" t="s">
        <v>333</v>
      </c>
      <c r="D205" s="8">
        <v>1189.54</v>
      </c>
      <c r="E205" s="8">
        <v>1190</v>
      </c>
      <c r="F205" s="3">
        <v>1897</v>
      </c>
      <c r="G205" s="8">
        <v>1205</v>
      </c>
      <c r="H205" s="3">
        <v>2000</v>
      </c>
      <c r="I205" s="8">
        <v>1205</v>
      </c>
      <c r="J205" s="8">
        <v>1175</v>
      </c>
      <c r="K205" s="8">
        <v>1195.73</v>
      </c>
      <c r="L205" s="8">
        <v>1195</v>
      </c>
      <c r="M205" t="s">
        <v>140</v>
      </c>
      <c r="N205" t="s">
        <v>1</v>
      </c>
      <c r="O205" s="3">
        <v>22032</v>
      </c>
      <c r="P205" t="s">
        <v>3117</v>
      </c>
      <c r="Q205" t="s">
        <v>227</v>
      </c>
    </row>
    <row r="206" spans="2:17">
      <c r="B206">
        <v>6764</v>
      </c>
      <c r="C206" t="s">
        <v>334</v>
      </c>
      <c r="D206">
        <v>99.55</v>
      </c>
      <c r="E206">
        <v>98</v>
      </c>
      <c r="F206" s="3">
        <v>3000</v>
      </c>
      <c r="G206">
        <v>101.5</v>
      </c>
      <c r="H206" s="3">
        <v>1000</v>
      </c>
      <c r="I206">
        <v>102</v>
      </c>
      <c r="J206">
        <v>100</v>
      </c>
      <c r="K206">
        <v>101.07</v>
      </c>
      <c r="L206">
        <v>101.5</v>
      </c>
      <c r="M206" t="s">
        <v>140</v>
      </c>
      <c r="N206" t="s">
        <v>1</v>
      </c>
      <c r="O206" s="3">
        <v>13500</v>
      </c>
      <c r="P206" t="s">
        <v>3139</v>
      </c>
      <c r="Q206" t="s">
        <v>3141</v>
      </c>
    </row>
    <row r="207" spans="2:17">
      <c r="B207">
        <v>6771</v>
      </c>
      <c r="C207" t="s">
        <v>336</v>
      </c>
      <c r="D207">
        <v>68.27</v>
      </c>
      <c r="E207">
        <v>67.5</v>
      </c>
      <c r="F207" s="3">
        <v>2800</v>
      </c>
      <c r="G207">
        <v>68.900000000000006</v>
      </c>
      <c r="H207" s="3">
        <v>3000</v>
      </c>
      <c r="I207">
        <v>67.5</v>
      </c>
      <c r="J207">
        <v>67.5</v>
      </c>
      <c r="K207">
        <v>67.5</v>
      </c>
      <c r="L207">
        <v>67.5</v>
      </c>
      <c r="M207" t="s">
        <v>143</v>
      </c>
      <c r="N207" t="s">
        <v>1</v>
      </c>
      <c r="O207">
        <v>200</v>
      </c>
      <c r="P207" t="s">
        <v>1</v>
      </c>
      <c r="Q207" t="s">
        <v>1</v>
      </c>
    </row>
    <row r="208" spans="2:17">
      <c r="B208">
        <v>6775</v>
      </c>
      <c r="C208" t="s">
        <v>337</v>
      </c>
      <c r="D208">
        <v>34.880000000000003</v>
      </c>
      <c r="E208">
        <v>34.200000000000003</v>
      </c>
      <c r="F208" s="3">
        <v>3000</v>
      </c>
      <c r="G208">
        <v>35.25</v>
      </c>
      <c r="H208" s="3">
        <v>3000</v>
      </c>
      <c r="I208">
        <v>34.6</v>
      </c>
      <c r="J208">
        <v>34.299999999999997</v>
      </c>
      <c r="K208">
        <v>34.4</v>
      </c>
      <c r="L208">
        <v>34.6</v>
      </c>
      <c r="M208" t="s">
        <v>140</v>
      </c>
      <c r="N208" t="s">
        <v>1</v>
      </c>
      <c r="O208" s="3">
        <v>1500</v>
      </c>
      <c r="P208" t="s">
        <v>1</v>
      </c>
      <c r="Q208" t="s">
        <v>1</v>
      </c>
    </row>
    <row r="209" spans="2:17">
      <c r="B209">
        <v>6780</v>
      </c>
      <c r="C209" t="s">
        <v>338</v>
      </c>
      <c r="D209">
        <v>38.25</v>
      </c>
      <c r="E209">
        <v>36.6</v>
      </c>
      <c r="F209" s="3">
        <v>3000</v>
      </c>
      <c r="G209">
        <v>38.299999999999997</v>
      </c>
      <c r="H209" s="3">
        <v>2899</v>
      </c>
      <c r="I209">
        <v>38.299999999999997</v>
      </c>
      <c r="J209">
        <v>36.6</v>
      </c>
      <c r="K209">
        <v>37.909999999999997</v>
      </c>
      <c r="L209">
        <v>38.299999999999997</v>
      </c>
      <c r="M209" t="s">
        <v>140</v>
      </c>
      <c r="N209" t="s">
        <v>1</v>
      </c>
      <c r="O209">
        <v>131</v>
      </c>
      <c r="P209" t="s">
        <v>1</v>
      </c>
      <c r="Q209" t="s">
        <v>1</v>
      </c>
    </row>
    <row r="210" spans="2:17">
      <c r="B210">
        <v>6782</v>
      </c>
      <c r="C210" t="s">
        <v>339</v>
      </c>
      <c r="D210">
        <v>219.32</v>
      </c>
      <c r="E210">
        <v>214.5</v>
      </c>
      <c r="F210" s="3">
        <v>5000</v>
      </c>
      <c r="G210">
        <v>222</v>
      </c>
      <c r="H210" s="3">
        <v>4995</v>
      </c>
      <c r="I210">
        <v>223.5</v>
      </c>
      <c r="J210">
        <v>214.5</v>
      </c>
      <c r="K210">
        <v>216.63</v>
      </c>
      <c r="L210">
        <v>222</v>
      </c>
      <c r="M210" t="s">
        <v>140</v>
      </c>
      <c r="N210" t="s">
        <v>1</v>
      </c>
      <c r="O210" s="3">
        <v>19150</v>
      </c>
      <c r="P210" t="s">
        <v>1</v>
      </c>
      <c r="Q210" t="s">
        <v>1</v>
      </c>
    </row>
    <row r="211" spans="2:17">
      <c r="B211">
        <v>6784</v>
      </c>
      <c r="C211" t="s">
        <v>340</v>
      </c>
      <c r="D211">
        <v>26.74</v>
      </c>
      <c r="E211">
        <v>29.25</v>
      </c>
      <c r="F211" s="3">
        <v>4000</v>
      </c>
      <c r="G211">
        <v>29.4</v>
      </c>
      <c r="H211" s="3">
        <v>3000</v>
      </c>
      <c r="I211">
        <v>29.7</v>
      </c>
      <c r="J211">
        <v>26.9</v>
      </c>
      <c r="K211">
        <v>28.65</v>
      </c>
      <c r="L211">
        <v>29.25</v>
      </c>
      <c r="M211" t="s">
        <v>143</v>
      </c>
      <c r="N211" t="s">
        <v>1</v>
      </c>
      <c r="O211" s="3">
        <v>85083</v>
      </c>
      <c r="P211" t="s">
        <v>1</v>
      </c>
      <c r="Q211" t="s">
        <v>1</v>
      </c>
    </row>
    <row r="212" spans="2:17">
      <c r="B212">
        <v>6785</v>
      </c>
      <c r="C212" t="s">
        <v>341</v>
      </c>
      <c r="D212">
        <v>45.55</v>
      </c>
      <c r="E212">
        <v>45.85</v>
      </c>
      <c r="F212" s="3">
        <v>6000</v>
      </c>
      <c r="G212">
        <v>46.45</v>
      </c>
      <c r="H212" s="3">
        <v>3000</v>
      </c>
      <c r="I212" t="s">
        <v>1</v>
      </c>
      <c r="J212" t="s">
        <v>1</v>
      </c>
      <c r="K212" t="s">
        <v>1</v>
      </c>
      <c r="L212" t="s">
        <v>1</v>
      </c>
      <c r="M212" t="s">
        <v>1</v>
      </c>
      <c r="N212" t="s">
        <v>1</v>
      </c>
      <c r="O212" t="s">
        <v>1</v>
      </c>
      <c r="P212" t="s">
        <v>1</v>
      </c>
      <c r="Q212" t="s">
        <v>1</v>
      </c>
    </row>
    <row r="213" spans="2:17">
      <c r="B213">
        <v>6786</v>
      </c>
      <c r="C213" t="s">
        <v>342</v>
      </c>
      <c r="D213">
        <v>99.52</v>
      </c>
      <c r="E213">
        <v>97.1</v>
      </c>
      <c r="F213" s="3">
        <v>1000</v>
      </c>
      <c r="G213">
        <v>98.7</v>
      </c>
      <c r="H213" s="3">
        <v>3000</v>
      </c>
      <c r="I213">
        <v>99.5</v>
      </c>
      <c r="J213">
        <v>97.1</v>
      </c>
      <c r="K213">
        <v>98.38</v>
      </c>
      <c r="L213">
        <v>97.1</v>
      </c>
      <c r="M213" t="s">
        <v>143</v>
      </c>
      <c r="N213" t="s">
        <v>1</v>
      </c>
      <c r="O213" s="3">
        <v>38699</v>
      </c>
      <c r="P213" t="s">
        <v>1</v>
      </c>
      <c r="Q213" t="s">
        <v>1</v>
      </c>
    </row>
    <row r="214" spans="2:17">
      <c r="B214">
        <v>6787</v>
      </c>
      <c r="C214" t="s">
        <v>343</v>
      </c>
      <c r="D214">
        <v>33.950000000000003</v>
      </c>
      <c r="E214">
        <v>33.9</v>
      </c>
      <c r="F214" s="3">
        <v>3000</v>
      </c>
      <c r="G214">
        <v>34.15</v>
      </c>
      <c r="H214" s="3">
        <v>4999</v>
      </c>
      <c r="I214">
        <v>34.450000000000003</v>
      </c>
      <c r="J214">
        <v>33.799999999999997</v>
      </c>
      <c r="K214">
        <v>34.07</v>
      </c>
      <c r="L214">
        <v>34.15</v>
      </c>
      <c r="M214" t="s">
        <v>140</v>
      </c>
      <c r="N214" t="s">
        <v>1</v>
      </c>
      <c r="O214" s="3">
        <v>172070</v>
      </c>
      <c r="P214" t="s">
        <v>1</v>
      </c>
      <c r="Q214" t="s">
        <v>1</v>
      </c>
    </row>
    <row r="215" spans="2:17">
      <c r="B215">
        <v>6789</v>
      </c>
      <c r="C215" t="s">
        <v>345</v>
      </c>
      <c r="D215">
        <v>498.43</v>
      </c>
      <c r="E215">
        <v>504</v>
      </c>
      <c r="F215" s="3">
        <v>4600</v>
      </c>
      <c r="G215">
        <v>507</v>
      </c>
      <c r="H215" s="3">
        <v>2326</v>
      </c>
      <c r="I215">
        <v>509</v>
      </c>
      <c r="J215">
        <v>498.5</v>
      </c>
      <c r="K215">
        <v>503.68</v>
      </c>
      <c r="L215">
        <v>507</v>
      </c>
      <c r="M215" t="s">
        <v>140</v>
      </c>
      <c r="N215" t="s">
        <v>1</v>
      </c>
      <c r="O215" s="3">
        <v>459704</v>
      </c>
      <c r="P215" t="s">
        <v>1</v>
      </c>
      <c r="Q215" t="s">
        <v>1</v>
      </c>
    </row>
    <row r="216" spans="2:17">
      <c r="B216">
        <v>6791</v>
      </c>
      <c r="C216" t="s">
        <v>2712</v>
      </c>
      <c r="D216">
        <v>61.72</v>
      </c>
      <c r="E216">
        <v>59.1</v>
      </c>
      <c r="F216" s="3">
        <v>3000</v>
      </c>
      <c r="G216">
        <v>62.1</v>
      </c>
      <c r="H216" s="3">
        <v>5499</v>
      </c>
      <c r="I216">
        <v>62.1</v>
      </c>
      <c r="J216">
        <v>62.1</v>
      </c>
      <c r="K216">
        <v>62.1</v>
      </c>
      <c r="L216">
        <v>62.1</v>
      </c>
      <c r="M216" t="s">
        <v>140</v>
      </c>
      <c r="N216" t="s">
        <v>1</v>
      </c>
      <c r="O216">
        <v>501</v>
      </c>
      <c r="P216" t="s">
        <v>1</v>
      </c>
      <c r="Q216" t="s">
        <v>1</v>
      </c>
    </row>
    <row r="217" spans="2:17">
      <c r="B217">
        <v>6793</v>
      </c>
      <c r="C217" t="s">
        <v>2714</v>
      </c>
      <c r="D217">
        <v>79.83</v>
      </c>
      <c r="E217">
        <v>79.3</v>
      </c>
      <c r="F217" s="3">
        <v>7800</v>
      </c>
      <c r="G217">
        <v>80</v>
      </c>
      <c r="H217" s="3">
        <v>4995</v>
      </c>
      <c r="I217">
        <v>80.400000000000006</v>
      </c>
      <c r="J217">
        <v>77.7</v>
      </c>
      <c r="K217">
        <v>78.86</v>
      </c>
      <c r="L217">
        <v>80</v>
      </c>
      <c r="M217" t="s">
        <v>140</v>
      </c>
      <c r="N217" t="s">
        <v>1</v>
      </c>
      <c r="O217" s="3">
        <v>496574</v>
      </c>
      <c r="P217" t="s">
        <v>1</v>
      </c>
      <c r="Q217" t="s">
        <v>1</v>
      </c>
    </row>
    <row r="218" spans="2:17">
      <c r="B218">
        <v>6794</v>
      </c>
      <c r="C218" t="s">
        <v>2715</v>
      </c>
      <c r="D218">
        <v>42.46</v>
      </c>
      <c r="E218">
        <v>42</v>
      </c>
      <c r="F218" s="3">
        <v>6000</v>
      </c>
      <c r="G218">
        <v>43.3</v>
      </c>
      <c r="H218" s="3">
        <v>3000</v>
      </c>
      <c r="I218">
        <v>43.45</v>
      </c>
      <c r="J218">
        <v>41.5</v>
      </c>
      <c r="K218">
        <v>42.71</v>
      </c>
      <c r="L218">
        <v>43</v>
      </c>
      <c r="M218" t="s">
        <v>140</v>
      </c>
      <c r="N218" t="s">
        <v>1</v>
      </c>
      <c r="O218" s="3">
        <v>35000</v>
      </c>
      <c r="P218" t="s">
        <v>1</v>
      </c>
      <c r="Q218" t="s">
        <v>1</v>
      </c>
    </row>
    <row r="219" spans="2:17">
      <c r="B219">
        <v>6796</v>
      </c>
      <c r="C219" t="s">
        <v>2716</v>
      </c>
      <c r="D219">
        <v>64.34</v>
      </c>
      <c r="E219">
        <v>63.1</v>
      </c>
      <c r="F219" s="3">
        <v>3000</v>
      </c>
      <c r="G219">
        <v>64.099999999999994</v>
      </c>
      <c r="H219" s="3">
        <v>3000</v>
      </c>
      <c r="I219">
        <v>65</v>
      </c>
      <c r="J219">
        <v>62.5</v>
      </c>
      <c r="K219">
        <v>63.41</v>
      </c>
      <c r="L219">
        <v>64.099999999999994</v>
      </c>
      <c r="M219" t="s">
        <v>140</v>
      </c>
      <c r="N219" t="s">
        <v>1</v>
      </c>
      <c r="O219" s="3">
        <v>16469</v>
      </c>
      <c r="P219" t="s">
        <v>3085</v>
      </c>
      <c r="Q219" t="s">
        <v>223</v>
      </c>
    </row>
    <row r="220" spans="2:17">
      <c r="B220">
        <v>6797</v>
      </c>
      <c r="C220" t="s">
        <v>2717</v>
      </c>
      <c r="D220">
        <v>115.93</v>
      </c>
      <c r="E220">
        <v>119</v>
      </c>
      <c r="F220" s="3">
        <v>2000</v>
      </c>
      <c r="G220">
        <v>120</v>
      </c>
      <c r="H220" s="3">
        <v>3000</v>
      </c>
      <c r="I220">
        <v>121</v>
      </c>
      <c r="J220">
        <v>117.5</v>
      </c>
      <c r="K220">
        <v>119.21</v>
      </c>
      <c r="L220">
        <v>120</v>
      </c>
      <c r="M220" t="s">
        <v>140</v>
      </c>
      <c r="N220" t="s">
        <v>1</v>
      </c>
      <c r="O220" s="3">
        <v>186915</v>
      </c>
      <c r="P220" t="s">
        <v>1</v>
      </c>
      <c r="Q220" t="s">
        <v>1</v>
      </c>
    </row>
    <row r="221" spans="2:17">
      <c r="B221">
        <v>6799</v>
      </c>
      <c r="C221" t="s">
        <v>2718</v>
      </c>
      <c r="D221">
        <v>296.62</v>
      </c>
      <c r="E221">
        <v>307</v>
      </c>
      <c r="F221" s="3">
        <v>5000</v>
      </c>
      <c r="G221">
        <v>314.5</v>
      </c>
      <c r="H221" s="3">
        <v>9999</v>
      </c>
      <c r="I221">
        <v>319.5</v>
      </c>
      <c r="J221">
        <v>298.5</v>
      </c>
      <c r="K221">
        <v>306.60000000000002</v>
      </c>
      <c r="L221">
        <v>314.5</v>
      </c>
      <c r="M221" t="s">
        <v>140</v>
      </c>
      <c r="N221" t="s">
        <v>1</v>
      </c>
      <c r="O221" s="3">
        <v>835176</v>
      </c>
      <c r="P221" t="s">
        <v>3140</v>
      </c>
      <c r="Q221" t="s">
        <v>3087</v>
      </c>
    </row>
    <row r="222" spans="2:17">
      <c r="B222">
        <v>6804</v>
      </c>
      <c r="C222" t="s">
        <v>2719</v>
      </c>
      <c r="D222">
        <v>44.45</v>
      </c>
      <c r="E222">
        <v>42.75</v>
      </c>
      <c r="F222" s="3">
        <v>3000</v>
      </c>
      <c r="G222">
        <v>44.5</v>
      </c>
      <c r="H222" s="3">
        <v>2000</v>
      </c>
      <c r="I222">
        <v>44.5</v>
      </c>
      <c r="J222">
        <v>44.25</v>
      </c>
      <c r="K222">
        <v>44.39</v>
      </c>
      <c r="L222">
        <v>44.25</v>
      </c>
      <c r="M222" t="s">
        <v>143</v>
      </c>
      <c r="N222" t="s">
        <v>1</v>
      </c>
      <c r="O222" s="3">
        <v>6000</v>
      </c>
      <c r="P222" t="s">
        <v>3117</v>
      </c>
      <c r="Q222" t="s">
        <v>227</v>
      </c>
    </row>
    <row r="223" spans="2:17">
      <c r="B223">
        <v>6805</v>
      </c>
      <c r="C223" t="s">
        <v>2720</v>
      </c>
      <c r="D223">
        <v>268.83</v>
      </c>
      <c r="E223">
        <v>268.5</v>
      </c>
      <c r="F223" s="3">
        <v>1195</v>
      </c>
      <c r="G223">
        <v>270.5</v>
      </c>
      <c r="H223" s="3">
        <v>6999</v>
      </c>
      <c r="I223">
        <v>273</v>
      </c>
      <c r="J223">
        <v>268.5</v>
      </c>
      <c r="K223">
        <v>270.83999999999997</v>
      </c>
      <c r="L223">
        <v>270</v>
      </c>
      <c r="M223" t="s">
        <v>140</v>
      </c>
      <c r="N223" t="s">
        <v>1</v>
      </c>
      <c r="O223" s="3">
        <v>90256</v>
      </c>
      <c r="P223" t="s">
        <v>1</v>
      </c>
      <c r="Q223" t="s">
        <v>1</v>
      </c>
    </row>
    <row r="224" spans="2:17">
      <c r="B224">
        <v>6808</v>
      </c>
      <c r="C224" t="s">
        <v>2722</v>
      </c>
      <c r="D224">
        <v>39.520000000000003</v>
      </c>
      <c r="E224">
        <v>39.549999999999997</v>
      </c>
      <c r="F224" s="3">
        <v>3000</v>
      </c>
      <c r="G224">
        <v>40.9</v>
      </c>
      <c r="H224" s="3">
        <v>3000</v>
      </c>
      <c r="I224">
        <v>41</v>
      </c>
      <c r="J224">
        <v>39.35</v>
      </c>
      <c r="K224">
        <v>40.020000000000003</v>
      </c>
      <c r="L224">
        <v>39.700000000000003</v>
      </c>
      <c r="M224" t="s">
        <v>140</v>
      </c>
      <c r="N224" t="s">
        <v>1</v>
      </c>
      <c r="O224" s="3">
        <v>78331</v>
      </c>
      <c r="P224" t="s">
        <v>1</v>
      </c>
      <c r="Q224" t="s">
        <v>1</v>
      </c>
    </row>
    <row r="225" spans="2:17">
      <c r="B225">
        <v>6810</v>
      </c>
      <c r="C225" t="s">
        <v>2723</v>
      </c>
      <c r="D225">
        <v>42.54</v>
      </c>
      <c r="E225">
        <v>40.9</v>
      </c>
      <c r="F225" s="3">
        <v>6000</v>
      </c>
      <c r="G225">
        <v>41.15</v>
      </c>
      <c r="H225" s="3">
        <v>2988</v>
      </c>
      <c r="I225">
        <v>42.6</v>
      </c>
      <c r="J225">
        <v>40.200000000000003</v>
      </c>
      <c r="K225">
        <v>40.94</v>
      </c>
      <c r="L225">
        <v>41.15</v>
      </c>
      <c r="M225" t="s">
        <v>140</v>
      </c>
      <c r="N225" t="s">
        <v>1</v>
      </c>
      <c r="O225" s="3">
        <v>572469</v>
      </c>
      <c r="P225" t="s">
        <v>1</v>
      </c>
      <c r="Q225" t="s">
        <v>1</v>
      </c>
    </row>
    <row r="226" spans="2:17">
      <c r="B226">
        <v>6811</v>
      </c>
      <c r="C226" t="s">
        <v>2724</v>
      </c>
      <c r="D226">
        <v>218.69</v>
      </c>
      <c r="E226">
        <v>217</v>
      </c>
      <c r="F226" s="3">
        <v>2000</v>
      </c>
      <c r="G226">
        <v>219.5</v>
      </c>
      <c r="H226" s="3">
        <v>1999</v>
      </c>
      <c r="I226">
        <v>219.5</v>
      </c>
      <c r="J226">
        <v>219</v>
      </c>
      <c r="K226">
        <v>219</v>
      </c>
      <c r="L226">
        <v>219.5</v>
      </c>
      <c r="M226" t="s">
        <v>140</v>
      </c>
      <c r="N226" t="s">
        <v>1</v>
      </c>
      <c r="O226" s="3">
        <v>1322</v>
      </c>
      <c r="P226" t="s">
        <v>1</v>
      </c>
      <c r="Q226" t="s">
        <v>1</v>
      </c>
    </row>
    <row r="227" spans="2:17">
      <c r="B227">
        <v>6812</v>
      </c>
      <c r="C227" t="s">
        <v>2725</v>
      </c>
      <c r="D227">
        <v>188.08</v>
      </c>
      <c r="E227">
        <v>185</v>
      </c>
      <c r="F227" s="3">
        <v>13800</v>
      </c>
      <c r="G227">
        <v>186.5</v>
      </c>
      <c r="H227" s="3">
        <v>1990</v>
      </c>
      <c r="I227">
        <v>189.5</v>
      </c>
      <c r="J227">
        <v>180</v>
      </c>
      <c r="K227">
        <v>183.58</v>
      </c>
      <c r="L227">
        <v>186.5</v>
      </c>
      <c r="M227" t="s">
        <v>140</v>
      </c>
      <c r="N227" t="s">
        <v>1</v>
      </c>
      <c r="O227" s="3">
        <v>176199</v>
      </c>
      <c r="P227" t="s">
        <v>1</v>
      </c>
      <c r="Q227" t="s">
        <v>1</v>
      </c>
    </row>
    <row r="228" spans="2:17">
      <c r="B228">
        <v>6813</v>
      </c>
      <c r="C228" t="s">
        <v>2726</v>
      </c>
      <c r="D228">
        <v>12.95</v>
      </c>
      <c r="E228">
        <v>13.45</v>
      </c>
      <c r="F228" s="3">
        <v>3000</v>
      </c>
      <c r="G228">
        <v>13.9</v>
      </c>
      <c r="H228" s="3">
        <v>9998</v>
      </c>
      <c r="I228">
        <v>14.4</v>
      </c>
      <c r="J228">
        <v>13.3</v>
      </c>
      <c r="K228">
        <v>13.74</v>
      </c>
      <c r="L228">
        <v>13.9</v>
      </c>
      <c r="M228" t="s">
        <v>140</v>
      </c>
      <c r="N228" t="s">
        <v>1</v>
      </c>
      <c r="O228" s="3">
        <v>126503</v>
      </c>
      <c r="P228" t="s">
        <v>1</v>
      </c>
      <c r="Q228" t="s">
        <v>1</v>
      </c>
    </row>
    <row r="229" spans="2:17">
      <c r="B229">
        <v>6814</v>
      </c>
      <c r="C229" t="s">
        <v>2727</v>
      </c>
      <c r="D229">
        <v>37.18</v>
      </c>
      <c r="E229">
        <v>36.6</v>
      </c>
      <c r="F229" s="3">
        <v>3000</v>
      </c>
      <c r="G229">
        <v>37.799999999999997</v>
      </c>
      <c r="H229" s="3">
        <v>2910</v>
      </c>
      <c r="I229">
        <v>37.799999999999997</v>
      </c>
      <c r="J229">
        <v>35.65</v>
      </c>
      <c r="K229">
        <v>36.549999999999997</v>
      </c>
      <c r="L229">
        <v>37.799999999999997</v>
      </c>
      <c r="M229" t="s">
        <v>140</v>
      </c>
      <c r="N229" t="s">
        <v>1</v>
      </c>
      <c r="O229" s="3">
        <v>60694</v>
      </c>
      <c r="P229" t="s">
        <v>1</v>
      </c>
      <c r="Q229" t="s">
        <v>1</v>
      </c>
    </row>
    <row r="230" spans="2:17">
      <c r="B230">
        <v>6815</v>
      </c>
      <c r="C230" t="s">
        <v>2728</v>
      </c>
      <c r="D230">
        <v>47.65</v>
      </c>
      <c r="E230">
        <v>44.9</v>
      </c>
      <c r="F230" s="3">
        <v>3000</v>
      </c>
      <c r="G230">
        <v>45.65</v>
      </c>
      <c r="H230" s="3">
        <v>3000</v>
      </c>
      <c r="I230">
        <v>49.4</v>
      </c>
      <c r="J230">
        <v>43.9</v>
      </c>
      <c r="K230">
        <v>45.71</v>
      </c>
      <c r="L230">
        <v>45.55</v>
      </c>
      <c r="M230" t="s">
        <v>140</v>
      </c>
      <c r="N230" t="s">
        <v>1</v>
      </c>
      <c r="O230" s="3">
        <v>61188</v>
      </c>
      <c r="P230" t="s">
        <v>1</v>
      </c>
      <c r="Q230" t="s">
        <v>1</v>
      </c>
    </row>
    <row r="231" spans="2:17">
      <c r="B231">
        <v>6816</v>
      </c>
      <c r="C231" t="s">
        <v>2729</v>
      </c>
      <c r="D231">
        <v>52.09</v>
      </c>
      <c r="E231">
        <v>50</v>
      </c>
      <c r="F231" s="3">
        <v>3000</v>
      </c>
      <c r="G231">
        <v>52.4</v>
      </c>
      <c r="H231" s="3">
        <v>3000</v>
      </c>
      <c r="I231">
        <v>52.4</v>
      </c>
      <c r="J231">
        <v>52.4</v>
      </c>
      <c r="K231">
        <v>52.4</v>
      </c>
      <c r="L231">
        <v>52.4</v>
      </c>
      <c r="M231" t="s">
        <v>140</v>
      </c>
      <c r="N231" t="s">
        <v>1</v>
      </c>
      <c r="O231" s="3">
        <v>1800</v>
      </c>
      <c r="P231" t="s">
        <v>1</v>
      </c>
      <c r="Q231" t="s">
        <v>1</v>
      </c>
    </row>
    <row r="232" spans="2:17">
      <c r="B232">
        <v>6817</v>
      </c>
      <c r="C232" t="s">
        <v>2730</v>
      </c>
      <c r="D232">
        <v>75.849999999999994</v>
      </c>
      <c r="E232">
        <v>75</v>
      </c>
      <c r="F232" s="3">
        <v>2000</v>
      </c>
      <c r="G232">
        <v>75.900000000000006</v>
      </c>
      <c r="H232" s="3">
        <v>2935</v>
      </c>
      <c r="I232">
        <v>75.900000000000006</v>
      </c>
      <c r="J232">
        <v>75</v>
      </c>
      <c r="K232">
        <v>75.430000000000007</v>
      </c>
      <c r="L232">
        <v>75.900000000000006</v>
      </c>
      <c r="M232" t="s">
        <v>140</v>
      </c>
      <c r="N232" t="s">
        <v>1</v>
      </c>
      <c r="O232" s="3">
        <v>16460</v>
      </c>
      <c r="P232" t="s">
        <v>1</v>
      </c>
      <c r="Q232" t="s">
        <v>1</v>
      </c>
    </row>
    <row r="233" spans="2:17">
      <c r="B233">
        <v>6818</v>
      </c>
      <c r="C233" t="s">
        <v>2731</v>
      </c>
      <c r="D233">
        <v>38.43</v>
      </c>
      <c r="E233">
        <v>38.25</v>
      </c>
      <c r="F233" s="3">
        <v>6000</v>
      </c>
      <c r="G233">
        <v>39.15</v>
      </c>
      <c r="H233" s="3">
        <v>6000</v>
      </c>
      <c r="I233">
        <v>39.200000000000003</v>
      </c>
      <c r="J233">
        <v>37.85</v>
      </c>
      <c r="K233">
        <v>38.700000000000003</v>
      </c>
      <c r="L233">
        <v>39.200000000000003</v>
      </c>
      <c r="M233" t="s">
        <v>140</v>
      </c>
      <c r="N233" t="s">
        <v>1</v>
      </c>
      <c r="O233" s="3">
        <v>11403</v>
      </c>
      <c r="P233" t="s">
        <v>1</v>
      </c>
      <c r="Q233" t="s">
        <v>1</v>
      </c>
    </row>
    <row r="234" spans="2:17">
      <c r="B234">
        <v>6819</v>
      </c>
      <c r="C234" t="s">
        <v>2732</v>
      </c>
      <c r="D234">
        <v>42.48</v>
      </c>
      <c r="E234">
        <v>42.7</v>
      </c>
      <c r="F234" s="3">
        <v>3000</v>
      </c>
      <c r="G234">
        <v>43.45</v>
      </c>
      <c r="H234" s="3">
        <v>3000</v>
      </c>
      <c r="I234">
        <v>43.55</v>
      </c>
      <c r="J234">
        <v>42.5</v>
      </c>
      <c r="K234">
        <v>42.87</v>
      </c>
      <c r="L234">
        <v>42.7</v>
      </c>
      <c r="M234" t="s">
        <v>143</v>
      </c>
      <c r="N234" t="s">
        <v>1</v>
      </c>
      <c r="O234" s="3">
        <v>17900</v>
      </c>
      <c r="P234" t="s">
        <v>1</v>
      </c>
      <c r="Q234" t="s">
        <v>1</v>
      </c>
    </row>
    <row r="235" spans="2:17">
      <c r="B235">
        <v>6820</v>
      </c>
      <c r="C235" t="s">
        <v>2733</v>
      </c>
      <c r="D235">
        <v>22.3</v>
      </c>
      <c r="E235">
        <v>21.8</v>
      </c>
      <c r="F235" s="3">
        <v>2997</v>
      </c>
      <c r="G235">
        <v>22.75</v>
      </c>
      <c r="H235" s="3">
        <v>1890</v>
      </c>
      <c r="I235">
        <v>22.75</v>
      </c>
      <c r="J235">
        <v>21.8</v>
      </c>
      <c r="K235">
        <v>22.75</v>
      </c>
      <c r="L235">
        <v>22.75</v>
      </c>
      <c r="M235" t="s">
        <v>140</v>
      </c>
      <c r="N235" t="s">
        <v>1</v>
      </c>
      <c r="O235" s="3">
        <v>1113</v>
      </c>
      <c r="P235" t="s">
        <v>1</v>
      </c>
      <c r="Q235" t="s">
        <v>1</v>
      </c>
    </row>
    <row r="236" spans="2:17">
      <c r="B236">
        <v>6821</v>
      </c>
      <c r="C236" t="s">
        <v>2734</v>
      </c>
      <c r="D236">
        <v>30</v>
      </c>
      <c r="E236">
        <v>28.9</v>
      </c>
      <c r="F236" s="3">
        <v>3000</v>
      </c>
      <c r="G236">
        <v>30</v>
      </c>
      <c r="H236" s="3">
        <v>3000</v>
      </c>
      <c r="I236">
        <v>29.9</v>
      </c>
      <c r="J236">
        <v>29.5</v>
      </c>
      <c r="K236">
        <v>29.78</v>
      </c>
      <c r="L236">
        <v>29.9</v>
      </c>
      <c r="M236" t="s">
        <v>140</v>
      </c>
      <c r="N236" t="s">
        <v>1</v>
      </c>
      <c r="O236" s="3">
        <v>4005</v>
      </c>
      <c r="P236" t="s">
        <v>1</v>
      </c>
      <c r="Q236" t="s">
        <v>1</v>
      </c>
    </row>
    <row r="237" spans="2:17">
      <c r="B237">
        <v>6823</v>
      </c>
      <c r="C237" t="s">
        <v>2735</v>
      </c>
      <c r="D237">
        <v>173.54</v>
      </c>
      <c r="E237">
        <v>170.5</v>
      </c>
      <c r="F237" s="3">
        <v>2000</v>
      </c>
      <c r="G237">
        <v>177</v>
      </c>
      <c r="H237" s="3">
        <v>2000</v>
      </c>
      <c r="I237">
        <v>176</v>
      </c>
      <c r="J237">
        <v>173</v>
      </c>
      <c r="K237">
        <v>174.21</v>
      </c>
      <c r="L237">
        <v>174</v>
      </c>
      <c r="M237" t="s">
        <v>140</v>
      </c>
      <c r="N237" t="s">
        <v>1</v>
      </c>
      <c r="O237" s="3">
        <v>9278</v>
      </c>
      <c r="P237" t="s">
        <v>3138</v>
      </c>
      <c r="Q237" t="s">
        <v>166</v>
      </c>
    </row>
    <row r="238" spans="2:17">
      <c r="B238">
        <v>6825</v>
      </c>
      <c r="C238" t="s">
        <v>2736</v>
      </c>
      <c r="D238">
        <v>51.36</v>
      </c>
      <c r="E238">
        <v>51</v>
      </c>
      <c r="F238" s="3">
        <v>3000</v>
      </c>
      <c r="G238">
        <v>53</v>
      </c>
      <c r="H238" s="3">
        <v>3000</v>
      </c>
      <c r="I238" t="s">
        <v>1</v>
      </c>
      <c r="J238" t="s">
        <v>1</v>
      </c>
      <c r="K238" t="s">
        <v>1</v>
      </c>
      <c r="L238" t="s">
        <v>1</v>
      </c>
      <c r="M238" t="s">
        <v>1</v>
      </c>
      <c r="N238" t="s">
        <v>1</v>
      </c>
      <c r="O238" t="s">
        <v>1</v>
      </c>
      <c r="P238" t="s">
        <v>1</v>
      </c>
      <c r="Q238" t="s">
        <v>1</v>
      </c>
    </row>
    <row r="239" spans="2:17">
      <c r="B239">
        <v>6826</v>
      </c>
      <c r="C239" t="s">
        <v>2737</v>
      </c>
      <c r="D239">
        <v>124.49</v>
      </c>
      <c r="E239">
        <v>124.5</v>
      </c>
      <c r="F239" s="3">
        <v>3000</v>
      </c>
      <c r="G239">
        <v>125.5</v>
      </c>
      <c r="H239" s="3">
        <v>5000</v>
      </c>
      <c r="I239">
        <v>125.5</v>
      </c>
      <c r="J239">
        <v>124</v>
      </c>
      <c r="K239">
        <v>124.93</v>
      </c>
      <c r="L239">
        <v>125.5</v>
      </c>
      <c r="M239" t="s">
        <v>140</v>
      </c>
      <c r="N239" t="s">
        <v>1</v>
      </c>
      <c r="O239" s="3">
        <v>48359</v>
      </c>
      <c r="P239" t="s">
        <v>3140</v>
      </c>
      <c r="Q239" t="s">
        <v>223</v>
      </c>
    </row>
    <row r="240" spans="2:17">
      <c r="B240">
        <v>6827</v>
      </c>
      <c r="C240" t="s">
        <v>2881</v>
      </c>
      <c r="D240">
        <v>31.49</v>
      </c>
      <c r="E240">
        <v>31.45</v>
      </c>
      <c r="F240" s="3">
        <v>3000</v>
      </c>
      <c r="G240">
        <v>31.95</v>
      </c>
      <c r="H240" s="3">
        <v>2999</v>
      </c>
      <c r="I240">
        <v>31.95</v>
      </c>
      <c r="J240">
        <v>31.4</v>
      </c>
      <c r="K240">
        <v>31.52</v>
      </c>
      <c r="L240">
        <v>31.95</v>
      </c>
      <c r="M240" t="s">
        <v>140</v>
      </c>
      <c r="N240" t="s">
        <v>1</v>
      </c>
      <c r="O240" s="3">
        <v>56351</v>
      </c>
      <c r="P240" t="s">
        <v>1</v>
      </c>
      <c r="Q240" t="s">
        <v>1</v>
      </c>
    </row>
    <row r="241" spans="2:17">
      <c r="B241">
        <v>6829</v>
      </c>
      <c r="C241" t="s">
        <v>2738</v>
      </c>
      <c r="D241">
        <v>104.35</v>
      </c>
      <c r="E241">
        <v>102</v>
      </c>
      <c r="F241" s="3">
        <v>5000</v>
      </c>
      <c r="G241">
        <v>104.5</v>
      </c>
      <c r="H241" s="3">
        <v>5000</v>
      </c>
      <c r="I241">
        <v>105</v>
      </c>
      <c r="J241">
        <v>102</v>
      </c>
      <c r="K241">
        <v>102.86</v>
      </c>
      <c r="L241">
        <v>103</v>
      </c>
      <c r="M241" t="s">
        <v>140</v>
      </c>
      <c r="N241" t="s">
        <v>1</v>
      </c>
      <c r="O241" s="3">
        <v>39575</v>
      </c>
      <c r="P241" t="s">
        <v>3068</v>
      </c>
      <c r="Q241" t="s">
        <v>227</v>
      </c>
    </row>
    <row r="242" spans="2:17">
      <c r="B242">
        <v>6830</v>
      </c>
      <c r="C242" t="s">
        <v>2739</v>
      </c>
      <c r="D242">
        <v>163</v>
      </c>
      <c r="E242">
        <v>166</v>
      </c>
      <c r="F242" s="3">
        <v>5000</v>
      </c>
      <c r="G242">
        <v>169</v>
      </c>
      <c r="H242" s="3">
        <v>2900</v>
      </c>
      <c r="I242">
        <v>169</v>
      </c>
      <c r="J242">
        <v>162</v>
      </c>
      <c r="K242">
        <v>165.55</v>
      </c>
      <c r="L242">
        <v>167.5</v>
      </c>
      <c r="M242" t="s">
        <v>143</v>
      </c>
      <c r="N242" t="s">
        <v>1</v>
      </c>
      <c r="O242" s="3">
        <v>121434</v>
      </c>
      <c r="P242" t="s">
        <v>1</v>
      </c>
      <c r="Q242" t="s">
        <v>1</v>
      </c>
    </row>
    <row r="243" spans="2:17">
      <c r="B243">
        <v>6831</v>
      </c>
      <c r="C243" t="s">
        <v>2841</v>
      </c>
      <c r="D243">
        <v>61.37</v>
      </c>
      <c r="E243">
        <v>62.5</v>
      </c>
      <c r="F243" s="3">
        <v>3000</v>
      </c>
      <c r="G243">
        <v>63.5</v>
      </c>
      <c r="H243" s="3">
        <v>3000</v>
      </c>
      <c r="I243">
        <v>65.8</v>
      </c>
      <c r="J243">
        <v>62.5</v>
      </c>
      <c r="K243">
        <v>64.03</v>
      </c>
      <c r="L243">
        <v>62.8</v>
      </c>
      <c r="M243" t="s">
        <v>140</v>
      </c>
      <c r="N243" t="s">
        <v>1</v>
      </c>
      <c r="O243" s="3">
        <v>87630</v>
      </c>
      <c r="P243" t="s">
        <v>1</v>
      </c>
      <c r="Q243" t="s">
        <v>1</v>
      </c>
    </row>
    <row r="244" spans="2:17">
      <c r="B244">
        <v>6832</v>
      </c>
      <c r="C244" t="s">
        <v>2740</v>
      </c>
      <c r="D244">
        <v>103.55</v>
      </c>
      <c r="E244">
        <v>111</v>
      </c>
      <c r="F244" s="3">
        <v>2000</v>
      </c>
      <c r="G244">
        <v>115</v>
      </c>
      <c r="H244" s="3">
        <v>1999</v>
      </c>
      <c r="I244">
        <v>118</v>
      </c>
      <c r="J244">
        <v>112.5</v>
      </c>
      <c r="K244">
        <v>115.02</v>
      </c>
      <c r="L244">
        <v>115</v>
      </c>
      <c r="M244" t="s">
        <v>140</v>
      </c>
      <c r="N244" t="s">
        <v>1</v>
      </c>
      <c r="O244" s="3">
        <v>73509</v>
      </c>
      <c r="P244" t="s">
        <v>1</v>
      </c>
      <c r="Q244" t="s">
        <v>1</v>
      </c>
    </row>
    <row r="245" spans="2:17">
      <c r="B245">
        <v>6833</v>
      </c>
      <c r="C245" t="s">
        <v>2741</v>
      </c>
      <c r="D245">
        <v>138.15</v>
      </c>
      <c r="E245">
        <v>135</v>
      </c>
      <c r="F245" s="3">
        <v>4000</v>
      </c>
      <c r="G245">
        <v>138.5</v>
      </c>
      <c r="H245" s="3">
        <v>2999</v>
      </c>
      <c r="I245">
        <v>139</v>
      </c>
      <c r="J245">
        <v>135</v>
      </c>
      <c r="K245">
        <v>137.49</v>
      </c>
      <c r="L245">
        <v>138.5</v>
      </c>
      <c r="M245" t="s">
        <v>140</v>
      </c>
      <c r="N245" t="s">
        <v>1</v>
      </c>
      <c r="O245" s="3">
        <v>30351</v>
      </c>
      <c r="P245" t="s">
        <v>1</v>
      </c>
      <c r="Q245" t="s">
        <v>1</v>
      </c>
    </row>
    <row r="246" spans="2:17">
      <c r="B246">
        <v>6834</v>
      </c>
      <c r="C246" t="s">
        <v>2742</v>
      </c>
      <c r="D246">
        <v>39.31</v>
      </c>
      <c r="E246">
        <v>38.85</v>
      </c>
      <c r="F246" s="3">
        <v>5000</v>
      </c>
      <c r="G246">
        <v>39.25</v>
      </c>
      <c r="H246" s="3">
        <v>2989</v>
      </c>
      <c r="I246">
        <v>39.25</v>
      </c>
      <c r="J246">
        <v>38.75</v>
      </c>
      <c r="K246">
        <v>38.909999999999997</v>
      </c>
      <c r="L246">
        <v>39.25</v>
      </c>
      <c r="M246" t="s">
        <v>140</v>
      </c>
      <c r="N246" t="s">
        <v>1</v>
      </c>
      <c r="O246" s="3">
        <v>28141</v>
      </c>
      <c r="P246" t="s">
        <v>1</v>
      </c>
      <c r="Q246" t="s">
        <v>1</v>
      </c>
    </row>
    <row r="247" spans="2:17">
      <c r="B247">
        <v>6835</v>
      </c>
      <c r="C247" t="s">
        <v>2743</v>
      </c>
      <c r="D247">
        <v>47</v>
      </c>
      <c r="E247">
        <v>46</v>
      </c>
      <c r="F247" s="3">
        <v>3000</v>
      </c>
      <c r="G247">
        <v>47.2</v>
      </c>
      <c r="H247" s="3">
        <v>2990</v>
      </c>
      <c r="I247">
        <v>47.2</v>
      </c>
      <c r="J247">
        <v>47.2</v>
      </c>
      <c r="K247">
        <v>47.2</v>
      </c>
      <c r="L247">
        <v>47.2</v>
      </c>
      <c r="M247" t="s">
        <v>140</v>
      </c>
      <c r="N247" t="s">
        <v>1</v>
      </c>
      <c r="O247">
        <v>10</v>
      </c>
      <c r="P247" t="s">
        <v>1</v>
      </c>
      <c r="Q247" t="s">
        <v>1</v>
      </c>
    </row>
    <row r="248" spans="2:17">
      <c r="B248">
        <v>6837</v>
      </c>
      <c r="C248" t="s">
        <v>2744</v>
      </c>
      <c r="D248">
        <v>42.86</v>
      </c>
      <c r="E248">
        <v>43.05</v>
      </c>
      <c r="F248" s="3">
        <v>3000</v>
      </c>
      <c r="G248">
        <v>43.55</v>
      </c>
      <c r="H248" s="3">
        <v>2998</v>
      </c>
      <c r="I248">
        <v>44.1</v>
      </c>
      <c r="J248">
        <v>43</v>
      </c>
      <c r="K248">
        <v>43.37</v>
      </c>
      <c r="L248">
        <v>43.55</v>
      </c>
      <c r="M248" t="s">
        <v>140</v>
      </c>
      <c r="N248" t="s">
        <v>1</v>
      </c>
      <c r="O248" s="3">
        <v>216453</v>
      </c>
      <c r="P248" t="s">
        <v>1</v>
      </c>
      <c r="Q248" t="s">
        <v>1</v>
      </c>
    </row>
    <row r="249" spans="2:17">
      <c r="B249">
        <v>6838</v>
      </c>
      <c r="C249" t="s">
        <v>2824</v>
      </c>
      <c r="D249">
        <v>34.4</v>
      </c>
      <c r="E249">
        <v>34.450000000000003</v>
      </c>
      <c r="F249" s="3">
        <v>3000</v>
      </c>
      <c r="G249">
        <v>35</v>
      </c>
      <c r="H249" s="3">
        <v>12000</v>
      </c>
      <c r="I249">
        <v>35</v>
      </c>
      <c r="J249">
        <v>33.9</v>
      </c>
      <c r="K249">
        <v>34.56</v>
      </c>
      <c r="L249">
        <v>35</v>
      </c>
      <c r="M249" t="s">
        <v>140</v>
      </c>
      <c r="N249" t="s">
        <v>1</v>
      </c>
      <c r="O249" s="3">
        <v>66187</v>
      </c>
      <c r="P249" t="s">
        <v>1</v>
      </c>
      <c r="Q249" t="s">
        <v>1</v>
      </c>
    </row>
    <row r="250" spans="2:17">
      <c r="B250">
        <v>6839</v>
      </c>
      <c r="C250" t="s">
        <v>2890</v>
      </c>
      <c r="D250">
        <v>46.16</v>
      </c>
      <c r="E250">
        <v>45.55</v>
      </c>
      <c r="F250" s="3">
        <v>3000</v>
      </c>
      <c r="G250">
        <v>46.6</v>
      </c>
      <c r="H250" s="3">
        <v>3000</v>
      </c>
      <c r="I250">
        <v>46.85</v>
      </c>
      <c r="J250">
        <v>45.55</v>
      </c>
      <c r="K250">
        <v>45.99</v>
      </c>
      <c r="L250">
        <v>46.65</v>
      </c>
      <c r="M250" t="s">
        <v>140</v>
      </c>
      <c r="N250" t="s">
        <v>1</v>
      </c>
      <c r="O250" s="3">
        <v>42136</v>
      </c>
      <c r="P250" t="s">
        <v>1</v>
      </c>
      <c r="Q250" t="s">
        <v>1</v>
      </c>
    </row>
    <row r="251" spans="2:17">
      <c r="B251">
        <v>6841</v>
      </c>
      <c r="C251" t="s">
        <v>2745</v>
      </c>
      <c r="D251">
        <v>134.81</v>
      </c>
      <c r="E251">
        <v>134</v>
      </c>
      <c r="F251" s="3">
        <v>2000</v>
      </c>
      <c r="G251">
        <v>136</v>
      </c>
      <c r="H251" s="3">
        <v>5000</v>
      </c>
      <c r="I251">
        <v>138</v>
      </c>
      <c r="J251">
        <v>133</v>
      </c>
      <c r="K251">
        <v>135.08000000000001</v>
      </c>
      <c r="L251">
        <v>136</v>
      </c>
      <c r="M251" t="s">
        <v>140</v>
      </c>
      <c r="N251" t="s">
        <v>1</v>
      </c>
      <c r="O251" s="3">
        <v>95476</v>
      </c>
      <c r="P251" t="s">
        <v>1</v>
      </c>
      <c r="Q251" t="s">
        <v>1</v>
      </c>
    </row>
    <row r="252" spans="2:17">
      <c r="B252">
        <v>6842</v>
      </c>
      <c r="C252" t="s">
        <v>2746</v>
      </c>
      <c r="D252">
        <v>89.08</v>
      </c>
      <c r="E252">
        <v>90</v>
      </c>
      <c r="F252" s="3">
        <v>3000</v>
      </c>
      <c r="G252">
        <v>91.5</v>
      </c>
      <c r="H252" s="3">
        <v>2998</v>
      </c>
      <c r="I252">
        <v>91.6</v>
      </c>
      <c r="J252">
        <v>88.6</v>
      </c>
      <c r="K252">
        <v>89.82</v>
      </c>
      <c r="L252">
        <v>91.5</v>
      </c>
      <c r="M252" t="s">
        <v>140</v>
      </c>
      <c r="N252" t="s">
        <v>1</v>
      </c>
      <c r="O252" s="3">
        <v>62566</v>
      </c>
      <c r="P252" t="s">
        <v>1</v>
      </c>
      <c r="Q252" t="s">
        <v>1</v>
      </c>
    </row>
    <row r="253" spans="2:17">
      <c r="B253">
        <v>6844</v>
      </c>
      <c r="C253" t="s">
        <v>2905</v>
      </c>
      <c r="D253">
        <v>176.11</v>
      </c>
      <c r="E253">
        <v>171</v>
      </c>
      <c r="F253" s="3">
        <v>7000</v>
      </c>
      <c r="G253">
        <v>174.5</v>
      </c>
      <c r="H253" s="3">
        <v>1999</v>
      </c>
      <c r="I253">
        <v>177</v>
      </c>
      <c r="J253">
        <v>171</v>
      </c>
      <c r="K253">
        <v>171.83</v>
      </c>
      <c r="L253">
        <v>174.5</v>
      </c>
      <c r="M253" t="s">
        <v>140</v>
      </c>
      <c r="N253" t="s">
        <v>1</v>
      </c>
      <c r="O253" s="3">
        <v>30573</v>
      </c>
      <c r="P253" t="s">
        <v>1</v>
      </c>
      <c r="Q253" t="s">
        <v>1</v>
      </c>
    </row>
    <row r="254" spans="2:17">
      <c r="B254">
        <v>6847</v>
      </c>
      <c r="C254" t="s">
        <v>2897</v>
      </c>
      <c r="D254">
        <v>160.9</v>
      </c>
      <c r="E254">
        <v>159.5</v>
      </c>
      <c r="F254" s="3">
        <v>4000</v>
      </c>
      <c r="G254">
        <v>161.5</v>
      </c>
      <c r="H254" s="3">
        <v>1900</v>
      </c>
      <c r="I254">
        <v>164.5</v>
      </c>
      <c r="J254">
        <v>160</v>
      </c>
      <c r="K254">
        <v>163.01</v>
      </c>
      <c r="L254">
        <v>161.5</v>
      </c>
      <c r="M254" t="s">
        <v>140</v>
      </c>
      <c r="N254" t="s">
        <v>1</v>
      </c>
      <c r="O254" s="3">
        <v>15482</v>
      </c>
      <c r="P254" t="s">
        <v>1</v>
      </c>
      <c r="Q254" t="s">
        <v>1</v>
      </c>
    </row>
    <row r="255" spans="2:17">
      <c r="B255">
        <v>6848</v>
      </c>
      <c r="C255" t="s">
        <v>2891</v>
      </c>
      <c r="D255">
        <v>34.94</v>
      </c>
      <c r="E255">
        <v>33.9</v>
      </c>
      <c r="F255" s="3">
        <v>3000</v>
      </c>
      <c r="G255">
        <v>35.450000000000003</v>
      </c>
      <c r="H255" s="3">
        <v>2997</v>
      </c>
      <c r="I255">
        <v>35.450000000000003</v>
      </c>
      <c r="J255">
        <v>35.450000000000003</v>
      </c>
      <c r="K255">
        <v>35.450000000000003</v>
      </c>
      <c r="L255">
        <v>35.450000000000003</v>
      </c>
      <c r="M255" t="s">
        <v>140</v>
      </c>
      <c r="N255" t="s">
        <v>1</v>
      </c>
      <c r="O255">
        <v>4</v>
      </c>
      <c r="P255" t="s">
        <v>1</v>
      </c>
      <c r="Q255" t="s">
        <v>1</v>
      </c>
    </row>
    <row r="256" spans="2:17">
      <c r="B256">
        <v>6850</v>
      </c>
      <c r="C256" t="s">
        <v>2906</v>
      </c>
      <c r="D256">
        <v>48.66</v>
      </c>
      <c r="E256">
        <v>48.5</v>
      </c>
      <c r="F256" s="3">
        <v>1987</v>
      </c>
      <c r="G256">
        <v>49.7</v>
      </c>
      <c r="H256" s="3">
        <v>3000</v>
      </c>
      <c r="I256">
        <v>49.8</v>
      </c>
      <c r="J256">
        <v>48.5</v>
      </c>
      <c r="K256">
        <v>48.58</v>
      </c>
      <c r="L256">
        <v>49.8</v>
      </c>
      <c r="M256" t="s">
        <v>140</v>
      </c>
      <c r="N256" t="s">
        <v>1</v>
      </c>
      <c r="O256" s="3">
        <v>1081</v>
      </c>
      <c r="P256" t="s">
        <v>1</v>
      </c>
      <c r="Q256" t="s">
        <v>1</v>
      </c>
    </row>
    <row r="257" spans="2:17">
      <c r="B257">
        <v>6859</v>
      </c>
      <c r="C257" t="s">
        <v>3086</v>
      </c>
      <c r="D257">
        <v>155.41</v>
      </c>
      <c r="E257">
        <v>151.5</v>
      </c>
      <c r="F257" s="3">
        <v>2000</v>
      </c>
      <c r="G257">
        <v>154</v>
      </c>
      <c r="H257" s="3">
        <v>2000</v>
      </c>
      <c r="I257">
        <v>157</v>
      </c>
      <c r="J257">
        <v>151.5</v>
      </c>
      <c r="K257">
        <v>153.30000000000001</v>
      </c>
      <c r="L257">
        <v>154</v>
      </c>
      <c r="M257" t="s">
        <v>140</v>
      </c>
      <c r="N257" t="s">
        <v>1</v>
      </c>
      <c r="O257" s="3">
        <v>59520</v>
      </c>
      <c r="P257" t="s">
        <v>1</v>
      </c>
      <c r="Q257" t="s">
        <v>1</v>
      </c>
    </row>
    <row r="258" spans="2:17">
      <c r="B258">
        <v>6861</v>
      </c>
      <c r="C258" t="s">
        <v>3076</v>
      </c>
      <c r="D258">
        <v>168.13</v>
      </c>
      <c r="E258">
        <v>156.5</v>
      </c>
      <c r="F258" s="3">
        <v>5000</v>
      </c>
      <c r="G258">
        <v>163.5</v>
      </c>
      <c r="H258" s="3">
        <v>2700</v>
      </c>
      <c r="I258">
        <v>173</v>
      </c>
      <c r="J258">
        <v>156.5</v>
      </c>
      <c r="K258">
        <v>164.89</v>
      </c>
      <c r="L258">
        <v>163.5</v>
      </c>
      <c r="M258" t="s">
        <v>140</v>
      </c>
      <c r="N258" t="s">
        <v>1</v>
      </c>
      <c r="O258" s="3">
        <v>99011</v>
      </c>
      <c r="P258" t="s">
        <v>1</v>
      </c>
      <c r="Q258" t="s">
        <v>1</v>
      </c>
    </row>
    <row r="259" spans="2:17">
      <c r="B259">
        <v>6865</v>
      </c>
      <c r="C259" t="s">
        <v>3142</v>
      </c>
      <c r="D259" t="s">
        <v>1</v>
      </c>
      <c r="E259">
        <v>107.5</v>
      </c>
      <c r="F259" s="3">
        <v>2000</v>
      </c>
      <c r="G259">
        <v>111.5</v>
      </c>
      <c r="H259" s="3">
        <v>4000</v>
      </c>
      <c r="I259">
        <v>118</v>
      </c>
      <c r="J259">
        <v>75</v>
      </c>
      <c r="K259">
        <v>106.3</v>
      </c>
      <c r="L259">
        <v>107.5</v>
      </c>
      <c r="M259" t="s">
        <v>140</v>
      </c>
      <c r="N259" t="s">
        <v>1</v>
      </c>
      <c r="O259" s="3">
        <v>311981</v>
      </c>
      <c r="P259" t="s">
        <v>1</v>
      </c>
      <c r="Q259" t="s">
        <v>1</v>
      </c>
    </row>
    <row r="260" spans="2:17">
      <c r="B260">
        <v>6873</v>
      </c>
      <c r="C260" t="s">
        <v>3143</v>
      </c>
      <c r="D260" t="s">
        <v>1</v>
      </c>
      <c r="E260">
        <v>79.7</v>
      </c>
      <c r="F260" s="3">
        <v>6000</v>
      </c>
      <c r="G260">
        <v>80.3</v>
      </c>
      <c r="H260" s="3">
        <v>6999</v>
      </c>
      <c r="I260">
        <v>85.6</v>
      </c>
      <c r="J260">
        <v>60</v>
      </c>
      <c r="K260">
        <v>79.31</v>
      </c>
      <c r="L260">
        <v>80.3</v>
      </c>
      <c r="M260" t="s">
        <v>140</v>
      </c>
      <c r="N260" t="s">
        <v>1</v>
      </c>
      <c r="O260" s="3">
        <v>2003658</v>
      </c>
      <c r="P260" t="s">
        <v>1</v>
      </c>
      <c r="Q260" t="s">
        <v>1</v>
      </c>
    </row>
    <row r="261" spans="2:17">
      <c r="B261">
        <v>7419</v>
      </c>
      <c r="C261" t="s">
        <v>2747</v>
      </c>
      <c r="D261">
        <v>14.49</v>
      </c>
      <c r="E261">
        <v>14.1</v>
      </c>
      <c r="F261" s="3">
        <v>4999</v>
      </c>
      <c r="G261">
        <v>14.6</v>
      </c>
      <c r="H261" s="3">
        <v>4000</v>
      </c>
      <c r="I261">
        <v>14.6</v>
      </c>
      <c r="J261">
        <v>14.1</v>
      </c>
      <c r="K261">
        <v>14.6</v>
      </c>
      <c r="L261">
        <v>14.6</v>
      </c>
      <c r="M261" t="s">
        <v>140</v>
      </c>
      <c r="N261" t="s">
        <v>1</v>
      </c>
      <c r="O261" s="3">
        <v>1001</v>
      </c>
      <c r="P261" t="s">
        <v>1</v>
      </c>
      <c r="Q261" t="s">
        <v>1</v>
      </c>
    </row>
    <row r="262" spans="2:17">
      <c r="B262">
        <v>7427</v>
      </c>
      <c r="C262" t="s">
        <v>2748</v>
      </c>
      <c r="D262">
        <v>40.67</v>
      </c>
      <c r="E262">
        <v>39.35</v>
      </c>
      <c r="F262" s="3">
        <v>6000</v>
      </c>
      <c r="G262">
        <v>40.1</v>
      </c>
      <c r="H262" s="3">
        <v>2980</v>
      </c>
      <c r="I262">
        <v>41</v>
      </c>
      <c r="J262">
        <v>39.35</v>
      </c>
      <c r="K262">
        <v>39.909999999999997</v>
      </c>
      <c r="L262">
        <v>40.1</v>
      </c>
      <c r="M262" t="s">
        <v>140</v>
      </c>
      <c r="N262" t="s">
        <v>1</v>
      </c>
      <c r="O262" s="3">
        <v>251555</v>
      </c>
      <c r="P262" t="s">
        <v>1</v>
      </c>
      <c r="Q262" t="s">
        <v>1</v>
      </c>
    </row>
    <row r="263" spans="2:17">
      <c r="B263">
        <v>7443</v>
      </c>
      <c r="C263" t="s">
        <v>2749</v>
      </c>
      <c r="D263">
        <v>9.89</v>
      </c>
      <c r="E263">
        <v>9.65</v>
      </c>
      <c r="F263" s="3">
        <v>5000</v>
      </c>
      <c r="G263">
        <v>10.1</v>
      </c>
      <c r="H263" s="3">
        <v>5000</v>
      </c>
      <c r="I263">
        <v>9.6999999999999993</v>
      </c>
      <c r="J263">
        <v>9.65</v>
      </c>
      <c r="K263">
        <v>9.68</v>
      </c>
      <c r="L263">
        <v>9.6999999999999993</v>
      </c>
      <c r="M263" t="s">
        <v>140</v>
      </c>
      <c r="N263" t="s">
        <v>1</v>
      </c>
      <c r="O263" s="3">
        <v>400000</v>
      </c>
      <c r="P263" t="s">
        <v>1</v>
      </c>
      <c r="Q263" t="s">
        <v>1</v>
      </c>
    </row>
    <row r="264" spans="2:17">
      <c r="B264">
        <v>7452</v>
      </c>
      <c r="C264" t="s">
        <v>2750</v>
      </c>
      <c r="D264">
        <v>23.95</v>
      </c>
      <c r="E264">
        <v>23.6</v>
      </c>
      <c r="F264" s="3">
        <v>3000</v>
      </c>
      <c r="G264">
        <v>24.65</v>
      </c>
      <c r="H264" s="3">
        <v>3000</v>
      </c>
      <c r="I264">
        <v>24.65</v>
      </c>
      <c r="J264">
        <v>23.8</v>
      </c>
      <c r="K264">
        <v>23.81</v>
      </c>
      <c r="L264">
        <v>24.65</v>
      </c>
      <c r="M264" t="s">
        <v>140</v>
      </c>
      <c r="N264" t="s">
        <v>1</v>
      </c>
      <c r="O264">
        <v>151</v>
      </c>
      <c r="P264" t="s">
        <v>1</v>
      </c>
      <c r="Q264" t="s">
        <v>1</v>
      </c>
    </row>
    <row r="265" spans="2:17">
      <c r="B265">
        <v>7507</v>
      </c>
      <c r="C265" t="s">
        <v>2751</v>
      </c>
      <c r="D265">
        <v>18.41</v>
      </c>
      <c r="E265">
        <v>17.3</v>
      </c>
      <c r="F265" s="3">
        <v>10000</v>
      </c>
      <c r="G265">
        <v>17.7</v>
      </c>
      <c r="H265" s="3">
        <v>5000</v>
      </c>
      <c r="I265">
        <v>18.25</v>
      </c>
      <c r="J265">
        <v>17.350000000000001</v>
      </c>
      <c r="K265">
        <v>17.760000000000002</v>
      </c>
      <c r="L265">
        <v>17.5</v>
      </c>
      <c r="M265" t="s">
        <v>140</v>
      </c>
      <c r="N265" t="s">
        <v>1</v>
      </c>
      <c r="O265" s="3">
        <v>160400</v>
      </c>
      <c r="P265" t="s">
        <v>1</v>
      </c>
      <c r="Q265" t="s">
        <v>1</v>
      </c>
    </row>
    <row r="266" spans="2:17">
      <c r="B266">
        <v>7516</v>
      </c>
      <c r="C266" t="s">
        <v>2752</v>
      </c>
      <c r="D266">
        <v>7.64</v>
      </c>
      <c r="E266">
        <v>7.51</v>
      </c>
      <c r="F266" s="3">
        <v>5000</v>
      </c>
      <c r="G266">
        <v>7.88</v>
      </c>
      <c r="H266" s="3">
        <v>5000</v>
      </c>
      <c r="I266" t="s">
        <v>1</v>
      </c>
      <c r="J266" t="s">
        <v>1</v>
      </c>
      <c r="K266" t="s">
        <v>1</v>
      </c>
      <c r="L266" t="s">
        <v>1</v>
      </c>
      <c r="M266" t="s">
        <v>1</v>
      </c>
      <c r="N266" t="s">
        <v>1</v>
      </c>
      <c r="O266" t="s">
        <v>1</v>
      </c>
      <c r="P266" t="s">
        <v>1</v>
      </c>
      <c r="Q266" t="s">
        <v>1</v>
      </c>
    </row>
    <row r="267" spans="2:17">
      <c r="B267">
        <v>7530</v>
      </c>
      <c r="C267" t="s">
        <v>3071</v>
      </c>
      <c r="D267">
        <v>69.92</v>
      </c>
      <c r="E267">
        <v>69.2</v>
      </c>
      <c r="F267" s="3">
        <v>6000</v>
      </c>
      <c r="G267">
        <v>69.8</v>
      </c>
      <c r="H267" s="3">
        <v>3000</v>
      </c>
      <c r="I267">
        <v>70</v>
      </c>
      <c r="J267">
        <v>69</v>
      </c>
      <c r="K267">
        <v>69.42</v>
      </c>
      <c r="L267">
        <v>69.599999999999994</v>
      </c>
      <c r="M267" t="s">
        <v>140</v>
      </c>
      <c r="N267" t="s">
        <v>1</v>
      </c>
      <c r="O267" s="3">
        <v>45050</v>
      </c>
      <c r="P267" t="s">
        <v>1</v>
      </c>
      <c r="Q267" t="s">
        <v>1</v>
      </c>
    </row>
    <row r="268" spans="2:17">
      <c r="B268">
        <v>7547</v>
      </c>
      <c r="C268" t="s">
        <v>2753</v>
      </c>
      <c r="D268">
        <v>40.950000000000003</v>
      </c>
      <c r="E268">
        <v>40.799999999999997</v>
      </c>
      <c r="F268" s="3">
        <v>3000</v>
      </c>
      <c r="G268">
        <v>42</v>
      </c>
      <c r="H268" s="3">
        <v>3000</v>
      </c>
      <c r="I268">
        <v>40.9</v>
      </c>
      <c r="J268">
        <v>40.9</v>
      </c>
      <c r="K268">
        <v>40.9</v>
      </c>
      <c r="L268">
        <v>40.9</v>
      </c>
      <c r="M268" t="s">
        <v>143</v>
      </c>
      <c r="N268" t="s">
        <v>1</v>
      </c>
      <c r="O268" s="3">
        <v>1000</v>
      </c>
      <c r="P268" t="s">
        <v>1</v>
      </c>
      <c r="Q268" t="s">
        <v>1</v>
      </c>
    </row>
    <row r="269" spans="2:17">
      <c r="B269">
        <v>7551</v>
      </c>
      <c r="C269" t="s">
        <v>2754</v>
      </c>
      <c r="D269">
        <v>39.25</v>
      </c>
      <c r="E269">
        <v>39</v>
      </c>
      <c r="F269" s="3">
        <v>2978</v>
      </c>
      <c r="G269">
        <v>40.299999999999997</v>
      </c>
      <c r="H269" s="3">
        <v>2899</v>
      </c>
      <c r="I269">
        <v>40.299999999999997</v>
      </c>
      <c r="J269">
        <v>39</v>
      </c>
      <c r="K269">
        <v>39.81</v>
      </c>
      <c r="L269">
        <v>40.299999999999997</v>
      </c>
      <c r="M269" t="s">
        <v>140</v>
      </c>
      <c r="N269" t="s">
        <v>1</v>
      </c>
      <c r="O269" s="3">
        <v>6223</v>
      </c>
      <c r="P269" t="s">
        <v>1</v>
      </c>
      <c r="Q269" t="s">
        <v>1</v>
      </c>
    </row>
    <row r="270" spans="2:17">
      <c r="B270">
        <v>7555</v>
      </c>
      <c r="C270" t="s">
        <v>2755</v>
      </c>
      <c r="D270">
        <v>77.56</v>
      </c>
      <c r="E270">
        <v>78.2</v>
      </c>
      <c r="F270" s="3">
        <v>3000</v>
      </c>
      <c r="G270">
        <v>79.900000000000006</v>
      </c>
      <c r="H270" s="3">
        <v>3000</v>
      </c>
      <c r="I270">
        <v>80.3</v>
      </c>
      <c r="J270">
        <v>77</v>
      </c>
      <c r="K270">
        <v>77.819999999999993</v>
      </c>
      <c r="L270">
        <v>78.3</v>
      </c>
      <c r="M270" t="s">
        <v>140</v>
      </c>
      <c r="N270" t="s">
        <v>1</v>
      </c>
      <c r="O270" s="3">
        <v>27000</v>
      </c>
      <c r="P270" t="s">
        <v>1</v>
      </c>
      <c r="Q270" t="s">
        <v>1</v>
      </c>
    </row>
    <row r="271" spans="2:17">
      <c r="B271">
        <v>7558</v>
      </c>
      <c r="C271" t="s">
        <v>2756</v>
      </c>
      <c r="D271">
        <v>40.24</v>
      </c>
      <c r="E271">
        <v>40.1</v>
      </c>
      <c r="F271" s="3">
        <v>3000</v>
      </c>
      <c r="G271">
        <v>41</v>
      </c>
      <c r="H271" s="3">
        <v>3000</v>
      </c>
      <c r="I271">
        <v>42</v>
      </c>
      <c r="J271">
        <v>40.049999999999997</v>
      </c>
      <c r="K271">
        <v>40.520000000000003</v>
      </c>
      <c r="L271">
        <v>41</v>
      </c>
      <c r="M271" t="s">
        <v>140</v>
      </c>
      <c r="N271" t="s">
        <v>1</v>
      </c>
      <c r="O271" s="3">
        <v>21005</v>
      </c>
      <c r="P271" t="s">
        <v>1</v>
      </c>
      <c r="Q271" t="s">
        <v>1</v>
      </c>
    </row>
    <row r="272" spans="2:17">
      <c r="B272">
        <v>7561</v>
      </c>
      <c r="C272" t="s">
        <v>2757</v>
      </c>
      <c r="D272">
        <v>43.57</v>
      </c>
      <c r="E272">
        <v>42.5</v>
      </c>
      <c r="F272" s="3">
        <v>3000</v>
      </c>
      <c r="G272">
        <v>44</v>
      </c>
      <c r="H272" s="3">
        <v>2999</v>
      </c>
      <c r="I272">
        <v>44.5</v>
      </c>
      <c r="J272">
        <v>43</v>
      </c>
      <c r="K272">
        <v>43.36</v>
      </c>
      <c r="L272">
        <v>44</v>
      </c>
      <c r="M272" t="s">
        <v>140</v>
      </c>
      <c r="N272" t="s">
        <v>1</v>
      </c>
      <c r="O272" s="3">
        <v>11203</v>
      </c>
      <c r="P272" t="s">
        <v>1</v>
      </c>
      <c r="Q272" t="s">
        <v>1</v>
      </c>
    </row>
    <row r="273" spans="2:17">
      <c r="B273">
        <v>7566</v>
      </c>
      <c r="C273" t="s">
        <v>2758</v>
      </c>
      <c r="D273">
        <v>47.19</v>
      </c>
      <c r="E273">
        <v>46.05</v>
      </c>
      <c r="F273" s="3">
        <v>2999</v>
      </c>
      <c r="G273">
        <v>47.55</v>
      </c>
      <c r="H273" s="3">
        <v>2997</v>
      </c>
      <c r="I273">
        <v>47.85</v>
      </c>
      <c r="J273">
        <v>46.05</v>
      </c>
      <c r="K273">
        <v>46.79</v>
      </c>
      <c r="L273">
        <v>46.05</v>
      </c>
      <c r="M273" t="s">
        <v>143</v>
      </c>
      <c r="N273" t="s">
        <v>1</v>
      </c>
      <c r="O273" s="3">
        <v>196969</v>
      </c>
      <c r="P273" t="s">
        <v>1</v>
      </c>
      <c r="Q273" t="s">
        <v>1</v>
      </c>
    </row>
    <row r="274" spans="2:17">
      <c r="B274">
        <v>7584</v>
      </c>
      <c r="C274" t="s">
        <v>2759</v>
      </c>
      <c r="D274">
        <v>66.7</v>
      </c>
      <c r="E274">
        <v>68</v>
      </c>
      <c r="F274" s="3">
        <v>3000</v>
      </c>
      <c r="G274">
        <v>70.099999999999994</v>
      </c>
      <c r="H274" s="3">
        <v>1000</v>
      </c>
      <c r="I274">
        <v>70.099999999999994</v>
      </c>
      <c r="J274">
        <v>68</v>
      </c>
      <c r="K274">
        <v>69.7</v>
      </c>
      <c r="L274">
        <v>70.099999999999994</v>
      </c>
      <c r="M274" t="s">
        <v>140</v>
      </c>
      <c r="N274" t="s">
        <v>1</v>
      </c>
      <c r="O274" s="3">
        <v>6000</v>
      </c>
      <c r="P274" t="s">
        <v>1</v>
      </c>
      <c r="Q274" t="s">
        <v>1</v>
      </c>
    </row>
    <row r="275" spans="2:17">
      <c r="B275">
        <v>7595</v>
      </c>
      <c r="C275" t="s">
        <v>2760</v>
      </c>
      <c r="D275">
        <v>21.59</v>
      </c>
      <c r="E275">
        <v>21.35</v>
      </c>
      <c r="F275" s="3">
        <v>3000</v>
      </c>
      <c r="G275">
        <v>21.85</v>
      </c>
      <c r="H275" s="3">
        <v>2980</v>
      </c>
      <c r="I275">
        <v>21.9</v>
      </c>
      <c r="J275">
        <v>21.35</v>
      </c>
      <c r="K275">
        <v>21.47</v>
      </c>
      <c r="L275">
        <v>21.85</v>
      </c>
      <c r="M275" t="s">
        <v>140</v>
      </c>
      <c r="N275" t="s">
        <v>1</v>
      </c>
      <c r="O275" s="3">
        <v>13070</v>
      </c>
      <c r="P275" t="s">
        <v>1</v>
      </c>
      <c r="Q275" t="s">
        <v>1</v>
      </c>
    </row>
    <row r="276" spans="2:17">
      <c r="B276">
        <v>8045</v>
      </c>
      <c r="C276" t="s">
        <v>2761</v>
      </c>
      <c r="D276">
        <v>14.01</v>
      </c>
      <c r="E276">
        <v>13.9</v>
      </c>
      <c r="F276" s="3">
        <v>10000</v>
      </c>
      <c r="G276">
        <v>14.1</v>
      </c>
      <c r="H276" s="3">
        <v>5000</v>
      </c>
      <c r="I276">
        <v>14.1</v>
      </c>
      <c r="J276">
        <v>13.7</v>
      </c>
      <c r="K276">
        <v>14.01</v>
      </c>
      <c r="L276">
        <v>14.05</v>
      </c>
      <c r="M276" t="s">
        <v>140</v>
      </c>
      <c r="N276" t="s">
        <v>1</v>
      </c>
      <c r="O276" s="3">
        <v>94074</v>
      </c>
      <c r="P276" t="s">
        <v>1</v>
      </c>
      <c r="Q276" t="s">
        <v>1</v>
      </c>
    </row>
    <row r="277" spans="2:17">
      <c r="B277">
        <v>8115</v>
      </c>
      <c r="C277" t="s">
        <v>2762</v>
      </c>
      <c r="D277">
        <v>17.55</v>
      </c>
      <c r="E277">
        <v>17.45</v>
      </c>
      <c r="F277" s="3">
        <v>5000</v>
      </c>
      <c r="G277">
        <v>17.600000000000001</v>
      </c>
      <c r="H277" s="3">
        <v>10000</v>
      </c>
      <c r="I277">
        <v>17.55</v>
      </c>
      <c r="J277">
        <v>17.45</v>
      </c>
      <c r="K277">
        <v>17.489999999999998</v>
      </c>
      <c r="L277">
        <v>17.45</v>
      </c>
      <c r="M277" t="s">
        <v>143</v>
      </c>
      <c r="N277" t="s">
        <v>1</v>
      </c>
      <c r="O277" s="3">
        <v>14000</v>
      </c>
      <c r="P277" t="s">
        <v>1</v>
      </c>
      <c r="Q277" t="s">
        <v>1</v>
      </c>
    </row>
    <row r="278" spans="2:17">
      <c r="B278">
        <v>8119</v>
      </c>
      <c r="C278" t="s">
        <v>2763</v>
      </c>
      <c r="D278">
        <v>35.46</v>
      </c>
      <c r="E278">
        <v>33.9</v>
      </c>
      <c r="F278" s="3">
        <v>3000</v>
      </c>
      <c r="G278">
        <v>34.450000000000003</v>
      </c>
      <c r="H278" s="3">
        <v>3000</v>
      </c>
      <c r="I278">
        <v>35.25</v>
      </c>
      <c r="J278">
        <v>34</v>
      </c>
      <c r="K278">
        <v>34.58</v>
      </c>
      <c r="L278">
        <v>34</v>
      </c>
      <c r="M278" t="s">
        <v>143</v>
      </c>
      <c r="N278" t="s">
        <v>1</v>
      </c>
      <c r="O278" s="3">
        <v>615719</v>
      </c>
      <c r="P278" t="s">
        <v>1</v>
      </c>
      <c r="Q278" t="s">
        <v>1</v>
      </c>
    </row>
    <row r="279" spans="2:17">
      <c r="B279">
        <v>8179</v>
      </c>
      <c r="C279" t="s">
        <v>2764</v>
      </c>
      <c r="D279">
        <v>33.19</v>
      </c>
      <c r="E279">
        <v>32.9</v>
      </c>
      <c r="F279" s="3">
        <v>1000</v>
      </c>
      <c r="G279">
        <v>33.15</v>
      </c>
      <c r="H279" s="3">
        <v>8985</v>
      </c>
      <c r="I279">
        <v>33.549999999999997</v>
      </c>
      <c r="J279">
        <v>32.9</v>
      </c>
      <c r="K279">
        <v>33.270000000000003</v>
      </c>
      <c r="L279">
        <v>33.15</v>
      </c>
      <c r="M279" t="s">
        <v>140</v>
      </c>
      <c r="N279" t="s">
        <v>1</v>
      </c>
      <c r="O279" s="3">
        <v>503192</v>
      </c>
      <c r="P279" t="s">
        <v>1</v>
      </c>
      <c r="Q279" t="s">
        <v>1</v>
      </c>
    </row>
    <row r="280" spans="2:17">
      <c r="B280">
        <v>8227</v>
      </c>
      <c r="C280" t="s">
        <v>2765</v>
      </c>
      <c r="D280">
        <v>100.95</v>
      </c>
      <c r="E280">
        <v>100.5</v>
      </c>
      <c r="F280" s="3">
        <v>10000</v>
      </c>
      <c r="G280">
        <v>101.5</v>
      </c>
      <c r="H280" s="3">
        <v>2000</v>
      </c>
      <c r="I280">
        <v>102.5</v>
      </c>
      <c r="J280">
        <v>100.5</v>
      </c>
      <c r="K280">
        <v>101.07</v>
      </c>
      <c r="L280">
        <v>101.5</v>
      </c>
      <c r="M280" t="s">
        <v>140</v>
      </c>
      <c r="N280" t="s">
        <v>1</v>
      </c>
      <c r="O280" s="3">
        <v>190333</v>
      </c>
      <c r="P280" t="s">
        <v>1</v>
      </c>
      <c r="Q280" t="s">
        <v>1</v>
      </c>
    </row>
    <row r="281" spans="2:17">
      <c r="B281">
        <v>8281</v>
      </c>
      <c r="C281" t="s">
        <v>2766</v>
      </c>
      <c r="D281">
        <v>5.48</v>
      </c>
      <c r="E281">
        <v>5.29</v>
      </c>
      <c r="F281" s="3">
        <v>5000</v>
      </c>
      <c r="G281">
        <v>5.55</v>
      </c>
      <c r="H281" s="3">
        <v>5000</v>
      </c>
      <c r="I281">
        <v>5.55</v>
      </c>
      <c r="J281">
        <v>5.3</v>
      </c>
      <c r="K281">
        <v>5.35</v>
      </c>
      <c r="L281">
        <v>5.4</v>
      </c>
      <c r="M281" t="s">
        <v>140</v>
      </c>
      <c r="N281" t="s">
        <v>1</v>
      </c>
      <c r="O281" s="3">
        <v>17027</v>
      </c>
      <c r="P281" t="s">
        <v>1</v>
      </c>
      <c r="Q281" t="s">
        <v>1</v>
      </c>
    </row>
    <row r="282" spans="2:17">
      <c r="B282">
        <v>8298</v>
      </c>
      <c r="C282" t="s">
        <v>2767</v>
      </c>
      <c r="D282">
        <v>28.75</v>
      </c>
      <c r="E282">
        <v>28</v>
      </c>
      <c r="F282" s="3">
        <v>3000</v>
      </c>
      <c r="G282">
        <v>29</v>
      </c>
      <c r="H282" s="3">
        <v>2000</v>
      </c>
      <c r="I282">
        <v>29</v>
      </c>
      <c r="J282">
        <v>29</v>
      </c>
      <c r="K282">
        <v>29</v>
      </c>
      <c r="L282">
        <v>29</v>
      </c>
      <c r="M282" t="s">
        <v>140</v>
      </c>
      <c r="N282" t="s">
        <v>1</v>
      </c>
      <c r="O282" s="3">
        <v>1000</v>
      </c>
      <c r="P282" t="s">
        <v>1</v>
      </c>
      <c r="Q282" t="s">
        <v>1</v>
      </c>
    </row>
    <row r="283" spans="2:17">
      <c r="B283">
        <v>8329</v>
      </c>
      <c r="C283" t="s">
        <v>2768</v>
      </c>
      <c r="D283">
        <v>7.84</v>
      </c>
      <c r="E283">
        <v>7.85</v>
      </c>
      <c r="F283" s="3">
        <v>2000</v>
      </c>
      <c r="G283">
        <v>8.1999999999999993</v>
      </c>
      <c r="H283" s="3">
        <v>4999</v>
      </c>
      <c r="I283">
        <v>8.1999999999999993</v>
      </c>
      <c r="J283">
        <v>7.8</v>
      </c>
      <c r="K283">
        <v>7.87</v>
      </c>
      <c r="L283">
        <v>7.85</v>
      </c>
      <c r="M283" t="s">
        <v>143</v>
      </c>
      <c r="N283" t="s">
        <v>1</v>
      </c>
      <c r="O283" s="3">
        <v>13001</v>
      </c>
      <c r="P283" t="s">
        <v>1</v>
      </c>
      <c r="Q283" t="s">
        <v>1</v>
      </c>
    </row>
    <row r="284" spans="2:17">
      <c r="B284">
        <v>8359</v>
      </c>
      <c r="C284" t="s">
        <v>2769</v>
      </c>
      <c r="D284">
        <v>84.61</v>
      </c>
      <c r="E284">
        <v>84.8</v>
      </c>
      <c r="F284" s="3">
        <v>3000</v>
      </c>
      <c r="G284">
        <v>85.6</v>
      </c>
      <c r="H284" s="3">
        <v>3000</v>
      </c>
      <c r="I284">
        <v>85.7</v>
      </c>
      <c r="J284">
        <v>84.7</v>
      </c>
      <c r="K284">
        <v>85.18</v>
      </c>
      <c r="L284">
        <v>85.7</v>
      </c>
      <c r="M284" t="s">
        <v>140</v>
      </c>
      <c r="N284" t="s">
        <v>1</v>
      </c>
      <c r="O284" s="3">
        <v>58727</v>
      </c>
      <c r="P284" t="s">
        <v>1</v>
      </c>
      <c r="Q284" t="s">
        <v>1</v>
      </c>
    </row>
    <row r="285" spans="2:17">
      <c r="B285">
        <v>8438</v>
      </c>
      <c r="C285" t="s">
        <v>2770</v>
      </c>
      <c r="D285">
        <v>61.45</v>
      </c>
      <c r="E285">
        <v>61.3</v>
      </c>
      <c r="F285" s="3">
        <v>3000</v>
      </c>
      <c r="G285">
        <v>64.099999999999994</v>
      </c>
      <c r="H285" s="3">
        <v>2994</v>
      </c>
      <c r="I285">
        <v>64.099999999999994</v>
      </c>
      <c r="J285">
        <v>61.3</v>
      </c>
      <c r="K285">
        <v>61.63</v>
      </c>
      <c r="L285">
        <v>64.099999999999994</v>
      </c>
      <c r="M285" t="s">
        <v>140</v>
      </c>
      <c r="N285" t="s">
        <v>1</v>
      </c>
      <c r="O285" s="3">
        <v>11047</v>
      </c>
      <c r="P285" t="s">
        <v>3138</v>
      </c>
      <c r="Q285" t="s">
        <v>348</v>
      </c>
    </row>
    <row r="286" spans="2:17">
      <c r="B286">
        <v>8458</v>
      </c>
      <c r="C286" t="s">
        <v>2771</v>
      </c>
      <c r="D286">
        <v>23.35</v>
      </c>
      <c r="E286">
        <v>22.6</v>
      </c>
      <c r="F286" s="3">
        <v>2999</v>
      </c>
      <c r="G286">
        <v>23.2</v>
      </c>
      <c r="H286" s="3">
        <v>3000</v>
      </c>
      <c r="I286">
        <v>23.2</v>
      </c>
      <c r="J286">
        <v>22.6</v>
      </c>
      <c r="K286">
        <v>22.97</v>
      </c>
      <c r="L286">
        <v>23.2</v>
      </c>
      <c r="M286" t="s">
        <v>140</v>
      </c>
      <c r="N286" t="s">
        <v>1</v>
      </c>
      <c r="O286" s="3">
        <v>9098</v>
      </c>
      <c r="P286" t="s">
        <v>1</v>
      </c>
      <c r="Q286" t="s">
        <v>1</v>
      </c>
    </row>
    <row r="287" spans="2:17">
      <c r="B287">
        <v>8465</v>
      </c>
      <c r="C287" t="s">
        <v>2772</v>
      </c>
      <c r="D287">
        <v>7.47</v>
      </c>
      <c r="E287">
        <v>7.41</v>
      </c>
      <c r="F287" s="3">
        <v>4800</v>
      </c>
      <c r="G287">
        <v>7.68</v>
      </c>
      <c r="H287" s="3">
        <v>5000</v>
      </c>
      <c r="I287">
        <v>7.65</v>
      </c>
      <c r="J287">
        <v>7.41</v>
      </c>
      <c r="K287">
        <v>7.41</v>
      </c>
      <c r="L287">
        <v>7.41</v>
      </c>
      <c r="M287" t="s">
        <v>143</v>
      </c>
      <c r="N287" t="s">
        <v>1</v>
      </c>
      <c r="O287">
        <v>201</v>
      </c>
      <c r="P287" t="s">
        <v>1</v>
      </c>
      <c r="Q287" t="s">
        <v>1</v>
      </c>
    </row>
    <row r="288" spans="2:17">
      <c r="B288">
        <v>8487</v>
      </c>
      <c r="C288" t="s">
        <v>2773</v>
      </c>
      <c r="D288">
        <v>22.43</v>
      </c>
      <c r="E288">
        <v>24.4</v>
      </c>
      <c r="F288" s="3">
        <v>1000</v>
      </c>
      <c r="G288">
        <v>25.15</v>
      </c>
      <c r="H288" s="3">
        <v>3000</v>
      </c>
      <c r="I288">
        <v>26.5</v>
      </c>
      <c r="J288">
        <v>22.95</v>
      </c>
      <c r="K288">
        <v>24.76</v>
      </c>
      <c r="L288">
        <v>24.4</v>
      </c>
      <c r="M288" t="s">
        <v>143</v>
      </c>
      <c r="N288" t="s">
        <v>1</v>
      </c>
      <c r="O288" s="3">
        <v>130241</v>
      </c>
      <c r="P288" t="s">
        <v>1</v>
      </c>
      <c r="Q288" t="s">
        <v>1</v>
      </c>
    </row>
    <row r="289" spans="2:17">
      <c r="B289">
        <v>8490</v>
      </c>
      <c r="C289" t="s">
        <v>2774</v>
      </c>
      <c r="D289">
        <v>8.16</v>
      </c>
      <c r="E289">
        <v>8.56</v>
      </c>
      <c r="F289" s="3">
        <v>5000</v>
      </c>
      <c r="G289">
        <v>8.75</v>
      </c>
      <c r="H289" s="3">
        <v>5000</v>
      </c>
      <c r="I289">
        <v>8.84</v>
      </c>
      <c r="J289">
        <v>8.3000000000000007</v>
      </c>
      <c r="K289">
        <v>8.5</v>
      </c>
      <c r="L289">
        <v>8.73</v>
      </c>
      <c r="M289" t="s">
        <v>140</v>
      </c>
      <c r="N289" t="s">
        <v>1</v>
      </c>
      <c r="O289" s="3">
        <v>153500</v>
      </c>
      <c r="P289" t="s">
        <v>1</v>
      </c>
      <c r="Q289" t="s">
        <v>1</v>
      </c>
    </row>
    <row r="290" spans="2:17">
      <c r="B290">
        <v>8491</v>
      </c>
      <c r="C290" t="s">
        <v>2775</v>
      </c>
      <c r="D290">
        <v>19.350000000000001</v>
      </c>
      <c r="E290">
        <v>18.7</v>
      </c>
      <c r="F290" s="3">
        <v>4997</v>
      </c>
      <c r="G290">
        <v>19.55</v>
      </c>
      <c r="H290" s="3">
        <v>4999</v>
      </c>
      <c r="I290">
        <v>19.75</v>
      </c>
      <c r="J290">
        <v>18.7</v>
      </c>
      <c r="K290">
        <v>19.04</v>
      </c>
      <c r="L290">
        <v>18.7</v>
      </c>
      <c r="M290" t="s">
        <v>143</v>
      </c>
      <c r="N290" t="s">
        <v>1</v>
      </c>
      <c r="O290" s="3">
        <v>28960</v>
      </c>
      <c r="P290" t="s">
        <v>1</v>
      </c>
      <c r="Q290" t="s">
        <v>1</v>
      </c>
    </row>
    <row r="291" spans="2:17">
      <c r="B291">
        <v>8492</v>
      </c>
      <c r="C291" t="s">
        <v>2776</v>
      </c>
      <c r="D291">
        <v>18.100000000000001</v>
      </c>
      <c r="E291">
        <v>17.2</v>
      </c>
      <c r="F291" s="3">
        <v>10000</v>
      </c>
      <c r="G291">
        <v>18.100000000000001</v>
      </c>
      <c r="H291" s="3">
        <v>10000</v>
      </c>
      <c r="I291" t="s">
        <v>1</v>
      </c>
      <c r="J291" t="s">
        <v>1</v>
      </c>
      <c r="K291" t="s">
        <v>1</v>
      </c>
      <c r="L291" t="s">
        <v>1</v>
      </c>
      <c r="M291" t="s">
        <v>1</v>
      </c>
      <c r="N291" t="s">
        <v>1</v>
      </c>
      <c r="O291" t="s">
        <v>1</v>
      </c>
      <c r="P291" t="s">
        <v>1</v>
      </c>
      <c r="Q291" t="s">
        <v>1</v>
      </c>
    </row>
    <row r="292" spans="2:17">
      <c r="B292">
        <v>9957</v>
      </c>
      <c r="C292" t="s">
        <v>2777</v>
      </c>
      <c r="D292">
        <v>11.48</v>
      </c>
      <c r="E292">
        <v>11.3</v>
      </c>
      <c r="F292" s="3">
        <v>20000</v>
      </c>
      <c r="G292">
        <v>11.4</v>
      </c>
      <c r="H292" s="3">
        <v>30000</v>
      </c>
      <c r="I292">
        <v>11.5</v>
      </c>
      <c r="J292">
        <v>11.3</v>
      </c>
      <c r="K292">
        <v>11.39</v>
      </c>
      <c r="L292">
        <v>11.3</v>
      </c>
      <c r="M292" t="s">
        <v>143</v>
      </c>
      <c r="N292" t="s">
        <v>1</v>
      </c>
      <c r="O292" s="3">
        <v>810010</v>
      </c>
      <c r="P292" t="s">
        <v>1</v>
      </c>
      <c r="Q292" t="s">
        <v>1</v>
      </c>
    </row>
    <row r="293" spans="2:17">
      <c r="B293" t="s">
        <v>2778</v>
      </c>
      <c r="C293" t="s">
        <v>3144</v>
      </c>
    </row>
    <row r="294" spans="2:17">
      <c r="B294" t="s">
        <v>2779</v>
      </c>
      <c r="C294" t="s">
        <v>3145</v>
      </c>
    </row>
    <row r="295" spans="2:17">
      <c r="B295" t="s">
        <v>2780</v>
      </c>
      <c r="C295" t="s">
        <v>3146</v>
      </c>
    </row>
    <row r="296" spans="2:17">
      <c r="B296" t="s">
        <v>2781</v>
      </c>
      <c r="C296" t="s">
        <v>3147</v>
      </c>
    </row>
  </sheetData>
  <mergeCells count="1">
    <mergeCell ref="A13:A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590550</xdr:colOff>
                <xdr:row>2</xdr:row>
                <xdr:rowOff>123825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0"/>
  <dimension ref="A1:Z902"/>
  <sheetViews>
    <sheetView workbookViewId="0">
      <selection activeCell="N29" sqref="N29"/>
    </sheetView>
  </sheetViews>
  <sheetFormatPr defaultColWidth="9" defaultRowHeight="16.5"/>
  <cols>
    <col min="1" max="1" width="9.75" style="6" bestFit="1" customWidth="1"/>
    <col min="2" max="2" width="7.5" bestFit="1" customWidth="1"/>
    <col min="3" max="3" width="16.375" bestFit="1" customWidth="1"/>
    <col min="4" max="4" width="8.5" bestFit="1" customWidth="1"/>
    <col min="5" max="5" width="6.125" bestFit="1" customWidth="1"/>
    <col min="6" max="8" width="8.5" bestFit="1" customWidth="1"/>
    <col min="9" max="9" width="10.5" bestFit="1" customWidth="1"/>
    <col min="10" max="10" width="13.375" bestFit="1" customWidth="1"/>
    <col min="11" max="11" width="7.5" bestFit="1" customWidth="1"/>
    <col min="12" max="12" width="8.5" bestFit="1" customWidth="1"/>
    <col min="13" max="13" width="11.875" bestFit="1" customWidth="1"/>
    <col min="14" max="14" width="8.5" bestFit="1" customWidth="1"/>
    <col min="15" max="15" width="11.875" bestFit="1" customWidth="1"/>
    <col min="16" max="16" width="13.375" bestFit="1" customWidth="1"/>
    <col min="17" max="18" width="9" bestFit="1" customWidth="1"/>
    <col min="19" max="26" width="8.75" customWidth="1"/>
    <col min="27" max="16384" width="9" style="6"/>
  </cols>
  <sheetData>
    <row r="1" spans="1:18" ht="13.5" customHeight="1">
      <c r="B1" s="317" t="s">
        <v>2782</v>
      </c>
    </row>
    <row r="3" spans="1:18" ht="17.25" thickBot="1">
      <c r="B3" s="353" t="s">
        <v>3149</v>
      </c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353"/>
    </row>
    <row r="4" spans="1:18" ht="17.25" thickBot="1">
      <c r="A4" s="7">
        <f>VALUE(A5&amp;"/"&amp;A6&amp;"/"&amp;A7)</f>
        <v>44558</v>
      </c>
      <c r="B4" s="318" t="s">
        <v>16</v>
      </c>
      <c r="C4" s="318" t="s">
        <v>17</v>
      </c>
      <c r="D4" s="318" t="s">
        <v>18</v>
      </c>
      <c r="E4" s="318" t="s">
        <v>19</v>
      </c>
      <c r="F4" s="318" t="s">
        <v>20</v>
      </c>
      <c r="G4" s="318" t="s">
        <v>21</v>
      </c>
      <c r="H4" s="318" t="s">
        <v>22</v>
      </c>
      <c r="I4" s="318" t="s">
        <v>6</v>
      </c>
      <c r="J4" s="318" t="s">
        <v>4</v>
      </c>
      <c r="K4" s="318" t="s">
        <v>5</v>
      </c>
      <c r="L4" s="318" t="s">
        <v>23</v>
      </c>
      <c r="M4" s="318" t="s">
        <v>35</v>
      </c>
      <c r="N4" s="318" t="s">
        <v>24</v>
      </c>
      <c r="O4" s="318" t="s">
        <v>36</v>
      </c>
      <c r="P4" s="318" t="s">
        <v>25</v>
      </c>
      <c r="Q4" s="318" t="s">
        <v>26</v>
      </c>
      <c r="R4" s="318" t="s">
        <v>27</v>
      </c>
    </row>
    <row r="5" spans="1:18">
      <c r="A5" s="6">
        <f>MID(B3,43,3)+1911</f>
        <v>2021</v>
      </c>
      <c r="B5" s="319" t="s">
        <v>358</v>
      </c>
      <c r="C5" s="319" t="s">
        <v>359</v>
      </c>
      <c r="D5" s="320">
        <v>41.85</v>
      </c>
      <c r="E5" s="320">
        <v>0.04</v>
      </c>
      <c r="F5" s="320">
        <v>41.77</v>
      </c>
      <c r="G5" s="320">
        <v>41.85</v>
      </c>
      <c r="H5" s="320">
        <v>41.77</v>
      </c>
      <c r="I5" s="321">
        <v>228000</v>
      </c>
      <c r="J5" s="321">
        <v>9532800</v>
      </c>
      <c r="K5" s="320">
        <v>77</v>
      </c>
      <c r="L5" s="320">
        <v>41.84</v>
      </c>
      <c r="M5" s="320">
        <v>7</v>
      </c>
      <c r="N5" s="320">
        <v>41.85</v>
      </c>
      <c r="O5" s="320">
        <v>79</v>
      </c>
      <c r="P5" s="321">
        <v>353192000</v>
      </c>
      <c r="Q5" s="322">
        <v>9999.9500000000007</v>
      </c>
      <c r="R5" s="320">
        <v>0.01</v>
      </c>
    </row>
    <row r="6" spans="1:18">
      <c r="A6" s="6" t="str">
        <f>MID(B3,47,2)</f>
        <v>12</v>
      </c>
      <c r="B6" s="319" t="s">
        <v>360</v>
      </c>
      <c r="C6" s="319" t="s">
        <v>361</v>
      </c>
      <c r="D6" s="320">
        <v>43.64</v>
      </c>
      <c r="E6" s="320">
        <v>-0.01</v>
      </c>
      <c r="F6" s="320">
        <v>43.64</v>
      </c>
      <c r="G6" s="320">
        <v>43.72</v>
      </c>
      <c r="H6" s="320">
        <v>43.64</v>
      </c>
      <c r="I6" s="321">
        <v>84000</v>
      </c>
      <c r="J6" s="321">
        <v>3670870</v>
      </c>
      <c r="K6" s="320">
        <v>7</v>
      </c>
      <c r="L6" s="320">
        <v>43.65</v>
      </c>
      <c r="M6" s="320">
        <v>31</v>
      </c>
      <c r="N6" s="320">
        <v>43.68</v>
      </c>
      <c r="O6" s="320">
        <v>1</v>
      </c>
      <c r="P6" s="321">
        <v>188787000</v>
      </c>
      <c r="Q6" s="322">
        <v>9999.9500000000007</v>
      </c>
      <c r="R6" s="320">
        <v>0.01</v>
      </c>
    </row>
    <row r="7" spans="1:18">
      <c r="A7" s="6" t="str">
        <f>MID(B3,50,2)</f>
        <v>28</v>
      </c>
      <c r="B7" s="319" t="s">
        <v>362</v>
      </c>
      <c r="C7" s="319" t="s">
        <v>363</v>
      </c>
      <c r="D7" s="320">
        <v>36.65</v>
      </c>
      <c r="E7" s="320">
        <v>-0.09</v>
      </c>
      <c r="F7" s="320">
        <v>36.700000000000003</v>
      </c>
      <c r="G7" s="320">
        <v>36.700000000000003</v>
      </c>
      <c r="H7" s="320">
        <v>36.61</v>
      </c>
      <c r="I7" s="321">
        <v>116000</v>
      </c>
      <c r="J7" s="321">
        <v>4254220</v>
      </c>
      <c r="K7" s="320">
        <v>23</v>
      </c>
      <c r="L7" s="320">
        <v>36.61</v>
      </c>
      <c r="M7" s="320">
        <v>25</v>
      </c>
      <c r="N7" s="320">
        <v>36.700000000000003</v>
      </c>
      <c r="O7" s="320">
        <v>31</v>
      </c>
      <c r="P7" s="321">
        <v>360576000</v>
      </c>
      <c r="Q7" s="322">
        <v>9999.9500000000007</v>
      </c>
      <c r="R7" s="320">
        <v>0.01</v>
      </c>
    </row>
    <row r="8" spans="1:18">
      <c r="B8" s="319" t="s">
        <v>364</v>
      </c>
      <c r="C8" s="319" t="s">
        <v>365</v>
      </c>
      <c r="D8" s="320">
        <v>36.65</v>
      </c>
      <c r="E8" s="320">
        <v>-0.05</v>
      </c>
      <c r="F8" s="320">
        <v>36.65</v>
      </c>
      <c r="G8" s="320">
        <v>36.67</v>
      </c>
      <c r="H8" s="320">
        <v>36.61</v>
      </c>
      <c r="I8" s="321">
        <v>116000</v>
      </c>
      <c r="J8" s="321">
        <v>4252950</v>
      </c>
      <c r="K8" s="320">
        <v>14</v>
      </c>
      <c r="L8" s="320">
        <v>36.630000000000003</v>
      </c>
      <c r="M8" s="320">
        <v>1</v>
      </c>
      <c r="N8" s="320">
        <v>36.65</v>
      </c>
      <c r="O8" s="320">
        <v>1</v>
      </c>
      <c r="P8" s="321">
        <v>12186000</v>
      </c>
      <c r="Q8" s="322">
        <v>9999.9500000000007</v>
      </c>
      <c r="R8" s="320">
        <v>0.01</v>
      </c>
    </row>
    <row r="9" spans="1:18">
      <c r="A9" s="6" t="str">
        <f>TEXT(TWN!A10-1911,"000")</f>
        <v>110</v>
      </c>
      <c r="B9" s="319" t="s">
        <v>366</v>
      </c>
      <c r="C9" s="319" t="s">
        <v>367</v>
      </c>
      <c r="D9" s="320">
        <v>43.49</v>
      </c>
      <c r="E9" s="320">
        <v>0</v>
      </c>
      <c r="F9" s="320">
        <v>43.49</v>
      </c>
      <c r="G9" s="320">
        <v>43.49</v>
      </c>
      <c r="H9" s="320">
        <v>43.45</v>
      </c>
      <c r="I9" s="321">
        <v>131000</v>
      </c>
      <c r="J9" s="321">
        <v>5696560</v>
      </c>
      <c r="K9" s="320">
        <v>17</v>
      </c>
      <c r="L9" s="320">
        <v>43.48</v>
      </c>
      <c r="M9" s="320">
        <v>3</v>
      </c>
      <c r="N9" s="320">
        <v>43.49</v>
      </c>
      <c r="O9" s="320">
        <v>1</v>
      </c>
      <c r="P9" s="321">
        <v>635181000</v>
      </c>
      <c r="Q9" s="322">
        <v>9999.9500000000007</v>
      </c>
      <c r="R9" s="320">
        <v>0.01</v>
      </c>
    </row>
    <row r="10" spans="1:18">
      <c r="A10" s="6" t="str">
        <f>TEXT(TWN!A11,"00")</f>
        <v>12</v>
      </c>
      <c r="B10" s="319" t="s">
        <v>368</v>
      </c>
      <c r="C10" s="319" t="s">
        <v>369</v>
      </c>
      <c r="D10" s="320">
        <v>38.78</v>
      </c>
      <c r="E10" s="320">
        <v>0.04</v>
      </c>
      <c r="F10" s="320">
        <v>38.82</v>
      </c>
      <c r="G10" s="320">
        <v>38.85</v>
      </c>
      <c r="H10" s="320">
        <v>38.75</v>
      </c>
      <c r="I10" s="321">
        <v>307000</v>
      </c>
      <c r="J10" s="321">
        <v>11912350</v>
      </c>
      <c r="K10" s="320">
        <v>20</v>
      </c>
      <c r="L10" s="320">
        <v>38.75</v>
      </c>
      <c r="M10" s="320">
        <v>13</v>
      </c>
      <c r="N10" s="320">
        <v>38.78</v>
      </c>
      <c r="O10" s="320">
        <v>1</v>
      </c>
      <c r="P10" s="321">
        <v>7712000</v>
      </c>
      <c r="Q10" s="322">
        <v>9999.9500000000007</v>
      </c>
      <c r="R10" s="320">
        <v>0.01</v>
      </c>
    </row>
    <row r="11" spans="1:18">
      <c r="A11" s="6" t="str">
        <f>TEXT(TWN!A12,"dd")</f>
        <v>28</v>
      </c>
      <c r="B11" s="319" t="s">
        <v>370</v>
      </c>
      <c r="C11" s="319" t="s">
        <v>371</v>
      </c>
      <c r="D11" s="320">
        <v>19.97</v>
      </c>
      <c r="E11" s="320">
        <v>-0.03</v>
      </c>
      <c r="F11" s="320">
        <v>20</v>
      </c>
      <c r="G11" s="320">
        <v>20</v>
      </c>
      <c r="H11" s="320">
        <v>19.920000000000002</v>
      </c>
      <c r="I11" s="321">
        <v>168000</v>
      </c>
      <c r="J11" s="321">
        <v>3357790</v>
      </c>
      <c r="K11" s="320">
        <v>9</v>
      </c>
      <c r="L11" s="320">
        <v>19.97</v>
      </c>
      <c r="M11" s="320">
        <v>2</v>
      </c>
      <c r="N11" s="320">
        <v>19.989999999999998</v>
      </c>
      <c r="O11" s="320">
        <v>9</v>
      </c>
      <c r="P11" s="321">
        <v>1145501000</v>
      </c>
      <c r="Q11" s="322">
        <v>9999.9500000000007</v>
      </c>
      <c r="R11" s="320">
        <v>0.01</v>
      </c>
    </row>
    <row r="12" spans="1:18" ht="12.75" customHeight="1">
      <c r="B12" s="319" t="s">
        <v>372</v>
      </c>
      <c r="C12" s="319" t="s">
        <v>373</v>
      </c>
      <c r="D12" s="320">
        <v>29.52</v>
      </c>
      <c r="E12" s="320">
        <v>-0.05</v>
      </c>
      <c r="F12" s="320">
        <v>29.57</v>
      </c>
      <c r="G12" s="320">
        <v>29.57</v>
      </c>
      <c r="H12" s="320">
        <v>29.52</v>
      </c>
      <c r="I12" s="321">
        <v>109000</v>
      </c>
      <c r="J12" s="321">
        <v>3221740</v>
      </c>
      <c r="K12" s="320">
        <v>6</v>
      </c>
      <c r="L12" s="320">
        <v>29.52</v>
      </c>
      <c r="M12" s="320">
        <v>43</v>
      </c>
      <c r="N12" s="320">
        <v>29.53</v>
      </c>
      <c r="O12" s="320">
        <v>1</v>
      </c>
      <c r="P12" s="321">
        <v>864514000</v>
      </c>
      <c r="Q12" s="322">
        <v>9999.9500000000007</v>
      </c>
      <c r="R12" s="320">
        <v>0.01</v>
      </c>
    </row>
    <row r="13" spans="1:18" ht="12.75" customHeight="1">
      <c r="B13" s="319" t="s">
        <v>374</v>
      </c>
      <c r="C13" s="319" t="s">
        <v>375</v>
      </c>
      <c r="D13" s="320">
        <v>44.13</v>
      </c>
      <c r="E13" s="320">
        <v>0.06</v>
      </c>
      <c r="F13" s="320">
        <v>44.08</v>
      </c>
      <c r="G13" s="320">
        <v>44.14</v>
      </c>
      <c r="H13" s="320">
        <v>44.08</v>
      </c>
      <c r="I13" s="321">
        <v>160000</v>
      </c>
      <c r="J13" s="321">
        <v>7059890</v>
      </c>
      <c r="K13" s="320">
        <v>20</v>
      </c>
      <c r="L13" s="320">
        <v>44.11</v>
      </c>
      <c r="M13" s="320">
        <v>5</v>
      </c>
      <c r="N13" s="320">
        <v>44.14</v>
      </c>
      <c r="O13" s="320">
        <v>1</v>
      </c>
      <c r="P13" s="321">
        <v>790609000</v>
      </c>
      <c r="Q13" s="322">
        <v>9999.9500000000007</v>
      </c>
      <c r="R13" s="320">
        <v>0.01</v>
      </c>
    </row>
    <row r="14" spans="1:18" ht="12.75" customHeight="1">
      <c r="B14" s="319" t="s">
        <v>376</v>
      </c>
      <c r="C14" s="319" t="s">
        <v>377</v>
      </c>
      <c r="D14" s="320">
        <v>45.67</v>
      </c>
      <c r="E14" s="320">
        <v>0.06</v>
      </c>
      <c r="F14" s="320">
        <v>45.71</v>
      </c>
      <c r="G14" s="320">
        <v>45.71</v>
      </c>
      <c r="H14" s="320">
        <v>45.67</v>
      </c>
      <c r="I14" s="321">
        <v>171000</v>
      </c>
      <c r="J14" s="321">
        <v>7809610</v>
      </c>
      <c r="K14" s="320">
        <v>6</v>
      </c>
      <c r="L14" s="320">
        <v>45.54</v>
      </c>
      <c r="M14" s="320">
        <v>1</v>
      </c>
      <c r="N14" s="320">
        <v>45.67</v>
      </c>
      <c r="O14" s="320">
        <v>1</v>
      </c>
      <c r="P14" s="321">
        <v>405122000</v>
      </c>
      <c r="Q14" s="322">
        <v>9999.9500000000007</v>
      </c>
      <c r="R14" s="320">
        <v>0.01</v>
      </c>
    </row>
    <row r="15" spans="1:18" ht="12.75" customHeight="1">
      <c r="B15" s="319" t="s">
        <v>378</v>
      </c>
      <c r="C15" s="319" t="s">
        <v>379</v>
      </c>
      <c r="D15" s="320">
        <v>47.08</v>
      </c>
      <c r="E15" s="320">
        <v>0.18</v>
      </c>
      <c r="F15" s="320">
        <v>47.1</v>
      </c>
      <c r="G15" s="320">
        <v>47.2</v>
      </c>
      <c r="H15" s="320">
        <v>47.04</v>
      </c>
      <c r="I15" s="321">
        <v>113000</v>
      </c>
      <c r="J15" s="321">
        <v>5320280</v>
      </c>
      <c r="K15" s="320">
        <v>7</v>
      </c>
      <c r="L15" s="320">
        <v>47.05</v>
      </c>
      <c r="M15" s="320">
        <v>110</v>
      </c>
      <c r="N15" s="320">
        <v>47.07</v>
      </c>
      <c r="O15" s="320">
        <v>1</v>
      </c>
      <c r="P15" s="321">
        <v>998739000</v>
      </c>
      <c r="Q15" s="322">
        <v>9999.9500000000007</v>
      </c>
      <c r="R15" s="320">
        <v>0.01</v>
      </c>
    </row>
    <row r="16" spans="1:18" ht="12.75" customHeight="1">
      <c r="B16" s="319" t="s">
        <v>380</v>
      </c>
      <c r="C16" s="319" t="s">
        <v>381</v>
      </c>
      <c r="D16" s="320">
        <v>42.06</v>
      </c>
      <c r="E16" s="320">
        <v>0.12</v>
      </c>
      <c r="F16" s="320">
        <v>42.06</v>
      </c>
      <c r="G16" s="320">
        <v>42.06</v>
      </c>
      <c r="H16" s="320">
        <v>42.06</v>
      </c>
      <c r="I16" s="321">
        <v>102000</v>
      </c>
      <c r="J16" s="321">
        <v>4290120</v>
      </c>
      <c r="K16" s="320">
        <v>6</v>
      </c>
      <c r="L16" s="320">
        <v>42.01</v>
      </c>
      <c r="M16" s="320">
        <v>150</v>
      </c>
      <c r="N16" s="320">
        <v>42.05</v>
      </c>
      <c r="O16" s="320">
        <v>2</v>
      </c>
      <c r="P16" s="321">
        <v>1064583000</v>
      </c>
      <c r="Q16" s="322">
        <v>9999.9500000000007</v>
      </c>
      <c r="R16" s="320">
        <v>0.01</v>
      </c>
    </row>
    <row r="17" spans="2:18">
      <c r="B17" s="319" t="s">
        <v>382</v>
      </c>
      <c r="C17" s="319" t="s">
        <v>383</v>
      </c>
      <c r="D17" s="320">
        <v>41.88</v>
      </c>
      <c r="E17" s="320">
        <v>0.05</v>
      </c>
      <c r="F17" s="320">
        <v>41.91</v>
      </c>
      <c r="G17" s="320">
        <v>41.91</v>
      </c>
      <c r="H17" s="320">
        <v>41.88</v>
      </c>
      <c r="I17" s="321">
        <v>106000</v>
      </c>
      <c r="J17" s="321">
        <v>4442400</v>
      </c>
      <c r="K17" s="320">
        <v>10</v>
      </c>
      <c r="L17" s="320">
        <v>41.86</v>
      </c>
      <c r="M17" s="320">
        <v>10</v>
      </c>
      <c r="N17" s="320">
        <v>41.9</v>
      </c>
      <c r="O17" s="320">
        <v>5</v>
      </c>
      <c r="P17" s="321">
        <v>1738775000</v>
      </c>
      <c r="Q17" s="322">
        <v>9999.9500000000007</v>
      </c>
      <c r="R17" s="320">
        <v>0.01</v>
      </c>
    </row>
    <row r="18" spans="2:18">
      <c r="B18" s="319" t="s">
        <v>384</v>
      </c>
      <c r="C18" s="319" t="s">
        <v>385</v>
      </c>
      <c r="D18" s="320">
        <v>44.18</v>
      </c>
      <c r="E18" s="320">
        <v>0.14000000000000001</v>
      </c>
      <c r="F18" s="320">
        <v>44.12</v>
      </c>
      <c r="G18" s="320">
        <v>44.18</v>
      </c>
      <c r="H18" s="320">
        <v>44.12</v>
      </c>
      <c r="I18" s="321">
        <v>120000</v>
      </c>
      <c r="J18" s="321">
        <v>5295470</v>
      </c>
      <c r="K18" s="320">
        <v>6</v>
      </c>
      <c r="L18" s="320">
        <v>44.14</v>
      </c>
      <c r="M18" s="320">
        <v>10</v>
      </c>
      <c r="N18" s="320">
        <v>44.18</v>
      </c>
      <c r="O18" s="320">
        <v>10</v>
      </c>
      <c r="P18" s="321">
        <v>1106206000</v>
      </c>
      <c r="Q18" s="322">
        <v>9999.9500000000007</v>
      </c>
      <c r="R18" s="320">
        <v>0.01</v>
      </c>
    </row>
    <row r="19" spans="2:18">
      <c r="B19" s="319" t="s">
        <v>386</v>
      </c>
      <c r="C19" s="319" t="s">
        <v>387</v>
      </c>
      <c r="D19" s="320">
        <v>41.44</v>
      </c>
      <c r="E19" s="320">
        <v>0</v>
      </c>
      <c r="F19" s="320">
        <v>41.44</v>
      </c>
      <c r="G19" s="320">
        <v>41.44</v>
      </c>
      <c r="H19" s="320">
        <v>41.44</v>
      </c>
      <c r="I19" s="321">
        <v>100000</v>
      </c>
      <c r="J19" s="321">
        <v>4144000</v>
      </c>
      <c r="K19" s="320">
        <v>2</v>
      </c>
      <c r="L19" s="320">
        <v>41.31</v>
      </c>
      <c r="M19" s="320">
        <v>1</v>
      </c>
      <c r="N19" s="320">
        <v>41.39</v>
      </c>
      <c r="O19" s="320">
        <v>2</v>
      </c>
      <c r="P19" s="321">
        <v>1136989000</v>
      </c>
      <c r="Q19" s="322">
        <v>9999.9500000000007</v>
      </c>
      <c r="R19" s="320">
        <v>0.01</v>
      </c>
    </row>
    <row r="20" spans="2:18">
      <c r="B20" s="319" t="s">
        <v>388</v>
      </c>
      <c r="C20" s="319" t="s">
        <v>389</v>
      </c>
      <c r="D20" s="320">
        <v>37.71</v>
      </c>
      <c r="E20" s="320">
        <v>-0.01</v>
      </c>
      <c r="F20" s="320">
        <v>37.72</v>
      </c>
      <c r="G20" s="320">
        <v>37.75</v>
      </c>
      <c r="H20" s="320">
        <v>37.71</v>
      </c>
      <c r="I20" s="321">
        <v>142000</v>
      </c>
      <c r="J20" s="321">
        <v>5357320</v>
      </c>
      <c r="K20" s="320">
        <v>13</v>
      </c>
      <c r="L20" s="320">
        <v>37.71</v>
      </c>
      <c r="M20" s="320">
        <v>32</v>
      </c>
      <c r="N20" s="320">
        <v>37.72</v>
      </c>
      <c r="O20" s="320">
        <v>1</v>
      </c>
      <c r="P20" s="321">
        <v>90689000</v>
      </c>
      <c r="Q20" s="322">
        <v>9999.9500000000007</v>
      </c>
      <c r="R20" s="320">
        <v>0.01</v>
      </c>
    </row>
    <row r="21" spans="2:18">
      <c r="B21" s="319" t="s">
        <v>390</v>
      </c>
      <c r="C21" s="319" t="s">
        <v>391</v>
      </c>
      <c r="D21" s="320">
        <v>19.25</v>
      </c>
      <c r="E21" s="320">
        <v>-0.03</v>
      </c>
      <c r="F21" s="320">
        <v>19.28</v>
      </c>
      <c r="G21" s="320">
        <v>19.28</v>
      </c>
      <c r="H21" s="320">
        <v>19.23</v>
      </c>
      <c r="I21" s="321">
        <v>1038000</v>
      </c>
      <c r="J21" s="321">
        <v>20001360</v>
      </c>
      <c r="K21" s="320">
        <v>10</v>
      </c>
      <c r="L21" s="320">
        <v>19.25</v>
      </c>
      <c r="M21" s="320">
        <v>45</v>
      </c>
      <c r="N21" s="320">
        <v>19.27</v>
      </c>
      <c r="O21" s="320">
        <v>5</v>
      </c>
      <c r="P21" s="321">
        <v>11979000</v>
      </c>
      <c r="Q21" s="322">
        <v>9999.9500000000007</v>
      </c>
      <c r="R21" s="320">
        <v>0.01</v>
      </c>
    </row>
    <row r="22" spans="2:18">
      <c r="B22" s="319" t="s">
        <v>392</v>
      </c>
      <c r="C22" s="319" t="s">
        <v>393</v>
      </c>
      <c r="D22" s="320">
        <v>47.54</v>
      </c>
      <c r="E22" s="320">
        <v>0.16</v>
      </c>
      <c r="F22" s="320">
        <v>47.5</v>
      </c>
      <c r="G22" s="320">
        <v>47.54</v>
      </c>
      <c r="H22" s="320">
        <v>47.5</v>
      </c>
      <c r="I22" s="321">
        <v>113000</v>
      </c>
      <c r="J22" s="321">
        <v>5371860</v>
      </c>
      <c r="K22" s="320">
        <v>7</v>
      </c>
      <c r="L22" s="320">
        <v>47.36</v>
      </c>
      <c r="M22" s="320">
        <v>120</v>
      </c>
      <c r="N22" s="320">
        <v>47.45</v>
      </c>
      <c r="O22" s="320">
        <v>2</v>
      </c>
      <c r="P22" s="321">
        <v>741971000</v>
      </c>
      <c r="Q22" s="322">
        <v>9999.9500000000007</v>
      </c>
      <c r="R22" s="320">
        <v>0.01</v>
      </c>
    </row>
    <row r="23" spans="2:18">
      <c r="B23" s="319" t="s">
        <v>394</v>
      </c>
      <c r="C23" s="319" t="s">
        <v>395</v>
      </c>
      <c r="D23" s="320">
        <v>36.83</v>
      </c>
      <c r="E23" s="320">
        <v>0.01</v>
      </c>
      <c r="F23" s="320">
        <v>36.72</v>
      </c>
      <c r="G23" s="320">
        <v>36.83</v>
      </c>
      <c r="H23" s="320">
        <v>36.700000000000003</v>
      </c>
      <c r="I23" s="321">
        <v>106000</v>
      </c>
      <c r="J23" s="321">
        <v>3903260</v>
      </c>
      <c r="K23" s="320">
        <v>8</v>
      </c>
      <c r="L23" s="320">
        <v>36.72</v>
      </c>
      <c r="M23" s="320">
        <v>2</v>
      </c>
      <c r="N23" s="320">
        <v>36.78</v>
      </c>
      <c r="O23" s="320">
        <v>1</v>
      </c>
      <c r="P23" s="321">
        <v>9628000</v>
      </c>
      <c r="Q23" s="322">
        <v>9999.9500000000007</v>
      </c>
      <c r="R23" s="320">
        <v>0.01</v>
      </c>
    </row>
    <row r="24" spans="2:18">
      <c r="B24" s="319" t="s">
        <v>396</v>
      </c>
      <c r="C24" s="319" t="s">
        <v>397</v>
      </c>
      <c r="D24" s="320">
        <v>42.65</v>
      </c>
      <c r="E24" s="320">
        <v>-0.15</v>
      </c>
      <c r="F24" s="320">
        <v>42.71</v>
      </c>
      <c r="G24" s="320">
        <v>42.71</v>
      </c>
      <c r="H24" s="320">
        <v>42.65</v>
      </c>
      <c r="I24" s="321">
        <v>105000</v>
      </c>
      <c r="J24" s="321">
        <v>4484300</v>
      </c>
      <c r="K24" s="320">
        <v>4</v>
      </c>
      <c r="L24" s="320">
        <v>42.65</v>
      </c>
      <c r="M24" s="320">
        <v>9</v>
      </c>
      <c r="N24" s="320">
        <v>42.69</v>
      </c>
      <c r="O24" s="320">
        <v>1</v>
      </c>
      <c r="P24" s="321">
        <v>730228000</v>
      </c>
      <c r="Q24" s="322">
        <v>9999.9500000000007</v>
      </c>
      <c r="R24" s="320">
        <v>0.01</v>
      </c>
    </row>
    <row r="25" spans="2:18">
      <c r="B25" s="319" t="s">
        <v>398</v>
      </c>
      <c r="C25" s="319" t="s">
        <v>399</v>
      </c>
      <c r="D25" s="320">
        <v>41.07</v>
      </c>
      <c r="E25" s="320">
        <v>-7.0000000000000007E-2</v>
      </c>
      <c r="F25" s="320">
        <v>41.07</v>
      </c>
      <c r="G25" s="320">
        <v>41.07</v>
      </c>
      <c r="H25" s="320">
        <v>41.07</v>
      </c>
      <c r="I25" s="321">
        <v>100000</v>
      </c>
      <c r="J25" s="321">
        <v>4107000</v>
      </c>
      <c r="K25" s="320">
        <v>4</v>
      </c>
      <c r="L25" s="320">
        <v>40.72</v>
      </c>
      <c r="M25" s="320">
        <v>30</v>
      </c>
      <c r="N25" s="320">
        <v>41.08</v>
      </c>
      <c r="O25" s="320">
        <v>10</v>
      </c>
      <c r="P25" s="321">
        <v>4016000</v>
      </c>
      <c r="Q25" s="322">
        <v>9999.9500000000007</v>
      </c>
      <c r="R25" s="320">
        <v>0.01</v>
      </c>
    </row>
    <row r="26" spans="2:18">
      <c r="B26" s="319" t="s">
        <v>400</v>
      </c>
      <c r="C26" s="319" t="s">
        <v>401</v>
      </c>
      <c r="D26" s="320">
        <v>44.05</v>
      </c>
      <c r="E26" s="320">
        <v>0.08</v>
      </c>
      <c r="F26" s="320">
        <v>44.05</v>
      </c>
      <c r="G26" s="320">
        <v>44.05</v>
      </c>
      <c r="H26" s="320">
        <v>44.05</v>
      </c>
      <c r="I26" s="321">
        <v>100000</v>
      </c>
      <c r="J26" s="321">
        <v>4405000</v>
      </c>
      <c r="K26" s="320">
        <v>7</v>
      </c>
      <c r="L26" s="320">
        <v>43.95</v>
      </c>
      <c r="M26" s="320">
        <v>3</v>
      </c>
      <c r="N26" s="320">
        <v>44</v>
      </c>
      <c r="O26" s="320">
        <v>1</v>
      </c>
      <c r="P26" s="321">
        <v>888964000</v>
      </c>
      <c r="Q26" s="322">
        <v>9999.9500000000007</v>
      </c>
      <c r="R26" s="320">
        <v>0.01</v>
      </c>
    </row>
    <row r="27" spans="2:18">
      <c r="B27" s="319" t="s">
        <v>402</v>
      </c>
      <c r="C27" s="319" t="s">
        <v>403</v>
      </c>
      <c r="D27" s="320">
        <v>51.95</v>
      </c>
      <c r="E27" s="320">
        <v>-0.25</v>
      </c>
      <c r="F27" s="320">
        <v>51.95</v>
      </c>
      <c r="G27" s="320">
        <v>51.95</v>
      </c>
      <c r="H27" s="320">
        <v>51.95</v>
      </c>
      <c r="I27" s="321">
        <v>100000</v>
      </c>
      <c r="J27" s="321">
        <v>5195000</v>
      </c>
      <c r="K27" s="320">
        <v>2</v>
      </c>
      <c r="L27" s="320">
        <v>51.9</v>
      </c>
      <c r="M27" s="320">
        <v>15</v>
      </c>
      <c r="N27" s="320">
        <v>51.95</v>
      </c>
      <c r="O27" s="320">
        <v>1</v>
      </c>
      <c r="P27" s="321">
        <v>686000000</v>
      </c>
      <c r="Q27" s="322">
        <v>9999.9500000000007</v>
      </c>
      <c r="R27" s="320">
        <v>0.01</v>
      </c>
    </row>
    <row r="28" spans="2:18">
      <c r="B28" s="319" t="s">
        <v>404</v>
      </c>
      <c r="C28" s="319" t="s">
        <v>405</v>
      </c>
      <c r="D28" s="320">
        <v>42.18</v>
      </c>
      <c r="E28" s="320">
        <v>0</v>
      </c>
      <c r="F28" s="320">
        <v>42.18</v>
      </c>
      <c r="G28" s="320">
        <v>42.18</v>
      </c>
      <c r="H28" s="320">
        <v>42.18</v>
      </c>
      <c r="I28" s="321">
        <v>100000</v>
      </c>
      <c r="J28" s="321">
        <v>4218000</v>
      </c>
      <c r="K28" s="320">
        <v>2</v>
      </c>
      <c r="L28" s="320">
        <v>42.12</v>
      </c>
      <c r="M28" s="320">
        <v>20</v>
      </c>
      <c r="N28" s="320">
        <v>42.18</v>
      </c>
      <c r="O28" s="320">
        <v>1</v>
      </c>
      <c r="P28" s="321">
        <v>598000000</v>
      </c>
      <c r="Q28" s="322">
        <v>9999.9500000000007</v>
      </c>
      <c r="R28" s="320">
        <v>0.01</v>
      </c>
    </row>
    <row r="29" spans="2:18">
      <c r="B29" s="319" t="s">
        <v>406</v>
      </c>
      <c r="C29" s="319" t="s">
        <v>407</v>
      </c>
      <c r="D29" s="320">
        <v>42.03</v>
      </c>
      <c r="E29" s="320">
        <v>-0.1</v>
      </c>
      <c r="F29" s="320">
        <v>42.03</v>
      </c>
      <c r="G29" s="320">
        <v>42.03</v>
      </c>
      <c r="H29" s="320">
        <v>42.03</v>
      </c>
      <c r="I29" s="321">
        <v>100000</v>
      </c>
      <c r="J29" s="321">
        <v>4203000</v>
      </c>
      <c r="K29" s="320">
        <v>2</v>
      </c>
      <c r="L29" s="320">
        <v>41.98</v>
      </c>
      <c r="M29" s="320">
        <v>2</v>
      </c>
      <c r="N29" s="320">
        <v>42.03</v>
      </c>
      <c r="O29" s="320">
        <v>1</v>
      </c>
      <c r="P29" s="321">
        <v>924500000</v>
      </c>
      <c r="Q29" s="322">
        <v>9999.9500000000007</v>
      </c>
      <c r="R29" s="320">
        <v>0.01</v>
      </c>
    </row>
    <row r="30" spans="2:18">
      <c r="B30" s="319" t="s">
        <v>408</v>
      </c>
      <c r="C30" s="319" t="s">
        <v>409</v>
      </c>
      <c r="D30" s="320">
        <v>42.92</v>
      </c>
      <c r="E30" s="320">
        <v>0.13</v>
      </c>
      <c r="F30" s="320">
        <v>42.92</v>
      </c>
      <c r="G30" s="320">
        <v>42.92</v>
      </c>
      <c r="H30" s="320">
        <v>42.92</v>
      </c>
      <c r="I30" s="321">
        <v>100000</v>
      </c>
      <c r="J30" s="321">
        <v>4292000</v>
      </c>
      <c r="K30" s="320">
        <v>4</v>
      </c>
      <c r="L30" s="320">
        <v>42.86</v>
      </c>
      <c r="M30" s="320">
        <v>100</v>
      </c>
      <c r="N30" s="320">
        <v>42.91</v>
      </c>
      <c r="O30" s="320">
        <v>2</v>
      </c>
      <c r="P30" s="321">
        <v>76500000</v>
      </c>
      <c r="Q30" s="322">
        <v>9999.9500000000007</v>
      </c>
      <c r="R30" s="320">
        <v>0.01</v>
      </c>
    </row>
    <row r="31" spans="2:18">
      <c r="B31" s="319" t="s">
        <v>410</v>
      </c>
      <c r="C31" s="319" t="s">
        <v>411</v>
      </c>
      <c r="D31" s="320">
        <v>44.41</v>
      </c>
      <c r="E31" s="320">
        <v>0.06</v>
      </c>
      <c r="F31" s="320">
        <v>44.36</v>
      </c>
      <c r="G31" s="320">
        <v>44.41</v>
      </c>
      <c r="H31" s="320">
        <v>44.35</v>
      </c>
      <c r="I31" s="321">
        <v>65000</v>
      </c>
      <c r="J31" s="321">
        <v>2886150</v>
      </c>
      <c r="K31" s="320">
        <v>14</v>
      </c>
      <c r="L31" s="320">
        <v>44.41</v>
      </c>
      <c r="M31" s="320">
        <v>10</v>
      </c>
      <c r="N31" s="320">
        <v>44.42</v>
      </c>
      <c r="O31" s="320">
        <v>1</v>
      </c>
      <c r="P31" s="321">
        <v>1270103000</v>
      </c>
      <c r="Q31" s="322">
        <v>9999.9500000000007</v>
      </c>
      <c r="R31" s="320">
        <v>0.01</v>
      </c>
    </row>
    <row r="32" spans="2:18">
      <c r="B32" s="319" t="s">
        <v>412</v>
      </c>
      <c r="C32" s="319" t="s">
        <v>413</v>
      </c>
      <c r="D32" s="320">
        <v>45.81</v>
      </c>
      <c r="E32" s="320">
        <v>0.08</v>
      </c>
      <c r="F32" s="320">
        <v>45.78</v>
      </c>
      <c r="G32" s="320">
        <v>45.81</v>
      </c>
      <c r="H32" s="320">
        <v>45.78</v>
      </c>
      <c r="I32" s="321">
        <v>243000</v>
      </c>
      <c r="J32" s="321">
        <v>11127690</v>
      </c>
      <c r="K32" s="320">
        <v>11</v>
      </c>
      <c r="L32" s="320">
        <v>45.79</v>
      </c>
      <c r="M32" s="320">
        <v>100</v>
      </c>
      <c r="N32" s="320">
        <v>45.81</v>
      </c>
      <c r="O32" s="320">
        <v>2</v>
      </c>
      <c r="P32" s="321">
        <v>151400000</v>
      </c>
      <c r="Q32" s="322">
        <v>9999.9500000000007</v>
      </c>
      <c r="R32" s="320">
        <v>0.01</v>
      </c>
    </row>
    <row r="33" spans="2:18">
      <c r="B33" s="319" t="s">
        <v>414</v>
      </c>
      <c r="C33" s="319" t="s">
        <v>415</v>
      </c>
      <c r="D33" s="320">
        <v>43.34</v>
      </c>
      <c r="E33" s="320">
        <v>7.0000000000000007E-2</v>
      </c>
      <c r="F33" s="320">
        <v>43.21</v>
      </c>
      <c r="G33" s="320">
        <v>43.34</v>
      </c>
      <c r="H33" s="320">
        <v>43.21</v>
      </c>
      <c r="I33" s="321">
        <v>115000</v>
      </c>
      <c r="J33" s="321">
        <v>4978360</v>
      </c>
      <c r="K33" s="320">
        <v>13</v>
      </c>
      <c r="L33" s="320">
        <v>43.31</v>
      </c>
      <c r="M33" s="320">
        <v>2</v>
      </c>
      <c r="N33" s="320">
        <v>43.37</v>
      </c>
      <c r="O33" s="320">
        <v>10</v>
      </c>
      <c r="P33" s="321">
        <v>124230000</v>
      </c>
      <c r="Q33" s="322">
        <v>9999.9500000000007</v>
      </c>
      <c r="R33" s="320">
        <v>0.01</v>
      </c>
    </row>
    <row r="34" spans="2:18">
      <c r="B34" s="319" t="s">
        <v>416</v>
      </c>
      <c r="C34" s="319" t="s">
        <v>417</v>
      </c>
      <c r="D34" s="320">
        <v>43.64</v>
      </c>
      <c r="E34" s="320">
        <v>-0.11</v>
      </c>
      <c r="F34" s="320">
        <v>43.64</v>
      </c>
      <c r="G34" s="320">
        <v>43.64</v>
      </c>
      <c r="H34" s="320">
        <v>43.63</v>
      </c>
      <c r="I34" s="321">
        <v>103000</v>
      </c>
      <c r="J34" s="321">
        <v>4493920</v>
      </c>
      <c r="K34" s="320">
        <v>7</v>
      </c>
      <c r="L34" s="320">
        <v>43.64</v>
      </c>
      <c r="M34" s="320">
        <v>1</v>
      </c>
      <c r="N34" s="320">
        <v>43.65</v>
      </c>
      <c r="O34" s="320">
        <v>1</v>
      </c>
      <c r="P34" s="321">
        <v>966800000</v>
      </c>
      <c r="Q34" s="322">
        <v>9999.9500000000007</v>
      </c>
      <c r="R34" s="320">
        <v>0.01</v>
      </c>
    </row>
    <row r="35" spans="2:18">
      <c r="B35" s="319" t="s">
        <v>418</v>
      </c>
      <c r="C35" s="319" t="s">
        <v>419</v>
      </c>
      <c r="D35" s="320">
        <v>61.8</v>
      </c>
      <c r="E35" s="320">
        <v>0.2</v>
      </c>
      <c r="F35" s="320">
        <v>61.8</v>
      </c>
      <c r="G35" s="320">
        <v>61.8</v>
      </c>
      <c r="H35" s="320">
        <v>61.8</v>
      </c>
      <c r="I35" s="321">
        <v>100000</v>
      </c>
      <c r="J35" s="321">
        <v>6180000</v>
      </c>
      <c r="K35" s="320">
        <v>2</v>
      </c>
      <c r="L35" s="320">
        <v>61.7</v>
      </c>
      <c r="M35" s="320">
        <v>10</v>
      </c>
      <c r="N35" s="320">
        <v>61.75</v>
      </c>
      <c r="O35" s="320">
        <v>1</v>
      </c>
      <c r="P35" s="321">
        <v>5525000</v>
      </c>
      <c r="Q35" s="322">
        <v>9999.9500000000007</v>
      </c>
      <c r="R35" s="320">
        <v>0.01</v>
      </c>
    </row>
    <row r="36" spans="2:18">
      <c r="B36" s="319" t="s">
        <v>420</v>
      </c>
      <c r="C36" s="319" t="s">
        <v>421</v>
      </c>
      <c r="D36" s="320">
        <v>69.3</v>
      </c>
      <c r="E36" s="320">
        <v>0.1</v>
      </c>
      <c r="F36" s="320">
        <v>69.3</v>
      </c>
      <c r="G36" s="320">
        <v>69.3</v>
      </c>
      <c r="H36" s="320">
        <v>69.3</v>
      </c>
      <c r="I36" s="321">
        <v>100000</v>
      </c>
      <c r="J36" s="321">
        <v>6930000</v>
      </c>
      <c r="K36" s="320">
        <v>2</v>
      </c>
      <c r="L36" s="320">
        <v>69.2</v>
      </c>
      <c r="M36" s="320">
        <v>10</v>
      </c>
      <c r="N36" s="320">
        <v>69.3</v>
      </c>
      <c r="O36" s="320">
        <v>1</v>
      </c>
      <c r="P36" s="321">
        <v>49025000</v>
      </c>
      <c r="Q36" s="322">
        <v>9999.9500000000007</v>
      </c>
      <c r="R36" s="320">
        <v>0.01</v>
      </c>
    </row>
    <row r="37" spans="2:18">
      <c r="B37" s="319" t="s">
        <v>422</v>
      </c>
      <c r="C37" s="319" t="s">
        <v>423</v>
      </c>
      <c r="D37" s="320">
        <v>63.5</v>
      </c>
      <c r="E37" s="320">
        <v>0.1</v>
      </c>
      <c r="F37" s="320">
        <v>63.45</v>
      </c>
      <c r="G37" s="320">
        <v>63.5</v>
      </c>
      <c r="H37" s="320">
        <v>63.45</v>
      </c>
      <c r="I37" s="321">
        <v>110000</v>
      </c>
      <c r="J37" s="321">
        <v>6984500</v>
      </c>
      <c r="K37" s="320">
        <v>3</v>
      </c>
      <c r="L37" s="320">
        <v>63.35</v>
      </c>
      <c r="M37" s="320">
        <v>9</v>
      </c>
      <c r="N37" s="320">
        <v>63.45</v>
      </c>
      <c r="O37" s="320">
        <v>2</v>
      </c>
      <c r="P37" s="321">
        <v>336020000</v>
      </c>
      <c r="Q37" s="322">
        <v>9999.9500000000007</v>
      </c>
      <c r="R37" s="320">
        <v>0.01</v>
      </c>
    </row>
    <row r="38" spans="2:18">
      <c r="B38" s="319" t="s">
        <v>424</v>
      </c>
      <c r="C38" s="319" t="s">
        <v>425</v>
      </c>
      <c r="D38" s="320">
        <v>45.62</v>
      </c>
      <c r="E38" s="320">
        <v>0.14000000000000001</v>
      </c>
      <c r="F38" s="320">
        <v>45.62</v>
      </c>
      <c r="G38" s="320">
        <v>45.62</v>
      </c>
      <c r="H38" s="320">
        <v>45.62</v>
      </c>
      <c r="I38" s="321">
        <v>100000</v>
      </c>
      <c r="J38" s="321">
        <v>4562000</v>
      </c>
      <c r="K38" s="320">
        <v>2</v>
      </c>
      <c r="L38" s="320">
        <v>45.57</v>
      </c>
      <c r="M38" s="320">
        <v>10</v>
      </c>
      <c r="N38" s="320">
        <v>45.61</v>
      </c>
      <c r="O38" s="320">
        <v>1</v>
      </c>
      <c r="P38" s="321">
        <v>1178589000</v>
      </c>
      <c r="Q38" s="322">
        <v>9999.9500000000007</v>
      </c>
      <c r="R38" s="320">
        <v>0.01</v>
      </c>
    </row>
    <row r="39" spans="2:18">
      <c r="B39" s="319" t="s">
        <v>426</v>
      </c>
      <c r="C39" s="319" t="s">
        <v>427</v>
      </c>
      <c r="D39" s="320">
        <v>43.98</v>
      </c>
      <c r="E39" s="320">
        <v>0.06</v>
      </c>
      <c r="F39" s="320">
        <v>43.97</v>
      </c>
      <c r="G39" s="320">
        <v>43.98</v>
      </c>
      <c r="H39" s="320">
        <v>43.97</v>
      </c>
      <c r="I39" s="321">
        <v>101000</v>
      </c>
      <c r="J39" s="321">
        <v>4440980</v>
      </c>
      <c r="K39" s="320">
        <v>3</v>
      </c>
      <c r="L39" s="320">
        <v>43.97</v>
      </c>
      <c r="M39" s="320">
        <v>1</v>
      </c>
      <c r="N39" s="320">
        <v>44</v>
      </c>
      <c r="O39" s="320">
        <v>25</v>
      </c>
      <c r="P39" s="321">
        <v>401000000</v>
      </c>
      <c r="Q39" s="322">
        <v>9999.9500000000007</v>
      </c>
      <c r="R39" s="320">
        <v>0.01</v>
      </c>
    </row>
    <row r="40" spans="2:18">
      <c r="B40" s="319" t="s">
        <v>428</v>
      </c>
      <c r="C40" s="319" t="s">
        <v>429</v>
      </c>
      <c r="D40" s="320">
        <v>39.81</v>
      </c>
      <c r="E40" s="320">
        <v>-0.06</v>
      </c>
      <c r="F40" s="320">
        <v>39.82</v>
      </c>
      <c r="G40" s="320">
        <v>39.82</v>
      </c>
      <c r="H40" s="320">
        <v>39.81</v>
      </c>
      <c r="I40" s="321">
        <v>105000</v>
      </c>
      <c r="J40" s="321">
        <v>4180100</v>
      </c>
      <c r="K40" s="320">
        <v>3</v>
      </c>
      <c r="L40" s="320">
        <v>39.75</v>
      </c>
      <c r="M40" s="320">
        <v>8</v>
      </c>
      <c r="N40" s="320">
        <v>39.83</v>
      </c>
      <c r="O40" s="320">
        <v>14</v>
      </c>
      <c r="P40" s="321">
        <v>3000000</v>
      </c>
      <c r="Q40" s="322">
        <v>9999.9500000000007</v>
      </c>
      <c r="R40" s="320">
        <v>0.01</v>
      </c>
    </row>
    <row r="41" spans="2:18">
      <c r="B41" s="319" t="s">
        <v>430</v>
      </c>
      <c r="C41" s="319" t="s">
        <v>431</v>
      </c>
      <c r="D41" s="320">
        <v>70.349999999999994</v>
      </c>
      <c r="E41" s="320">
        <v>0</v>
      </c>
      <c r="F41" s="320">
        <v>70.349999999999994</v>
      </c>
      <c r="G41" s="320">
        <v>70.349999999999994</v>
      </c>
      <c r="H41" s="320">
        <v>70.349999999999994</v>
      </c>
      <c r="I41" s="321">
        <v>100000</v>
      </c>
      <c r="J41" s="321">
        <v>7035000</v>
      </c>
      <c r="K41" s="320">
        <v>2</v>
      </c>
      <c r="L41" s="320">
        <v>70.25</v>
      </c>
      <c r="M41" s="320">
        <v>10</v>
      </c>
      <c r="N41" s="320">
        <v>70.3</v>
      </c>
      <c r="O41" s="320">
        <v>2</v>
      </c>
      <c r="P41" s="321">
        <v>213100000</v>
      </c>
      <c r="Q41" s="322">
        <v>9999.9500000000007</v>
      </c>
      <c r="R41" s="320">
        <v>0.01</v>
      </c>
    </row>
    <row r="42" spans="2:18">
      <c r="B42" s="319" t="s">
        <v>432</v>
      </c>
      <c r="C42" s="319" t="s">
        <v>433</v>
      </c>
      <c r="D42" s="320">
        <v>43.9</v>
      </c>
      <c r="E42" s="320">
        <v>0.04</v>
      </c>
      <c r="F42" s="320">
        <v>43.86</v>
      </c>
      <c r="G42" s="320">
        <v>43.94</v>
      </c>
      <c r="H42" s="320">
        <v>43.86</v>
      </c>
      <c r="I42" s="321">
        <v>631000</v>
      </c>
      <c r="J42" s="321">
        <v>27705690</v>
      </c>
      <c r="K42" s="320">
        <v>40</v>
      </c>
      <c r="L42" s="320">
        <v>43.9</v>
      </c>
      <c r="M42" s="320">
        <v>5</v>
      </c>
      <c r="N42" s="320">
        <v>43.92</v>
      </c>
      <c r="O42" s="320">
        <v>3</v>
      </c>
      <c r="P42" s="321">
        <v>1255290000</v>
      </c>
      <c r="Q42" s="322">
        <v>9999.9500000000007</v>
      </c>
      <c r="R42" s="320">
        <v>0.01</v>
      </c>
    </row>
    <row r="43" spans="2:18">
      <c r="B43" s="319" t="s">
        <v>434</v>
      </c>
      <c r="C43" s="319" t="s">
        <v>435</v>
      </c>
      <c r="D43" s="320">
        <v>44.93</v>
      </c>
      <c r="E43" s="320">
        <v>0.18</v>
      </c>
      <c r="F43" s="320">
        <v>44.9</v>
      </c>
      <c r="G43" s="320">
        <v>44.93</v>
      </c>
      <c r="H43" s="320">
        <v>44.86</v>
      </c>
      <c r="I43" s="321">
        <v>214000</v>
      </c>
      <c r="J43" s="321">
        <v>9610480</v>
      </c>
      <c r="K43" s="320">
        <v>18</v>
      </c>
      <c r="L43" s="320">
        <v>44.85</v>
      </c>
      <c r="M43" s="320">
        <v>1</v>
      </c>
      <c r="N43" s="320">
        <v>44.89</v>
      </c>
      <c r="O43" s="320">
        <v>2</v>
      </c>
      <c r="P43" s="321">
        <v>1246290000</v>
      </c>
      <c r="Q43" s="322">
        <v>9999.9500000000007</v>
      </c>
      <c r="R43" s="320">
        <v>0.01</v>
      </c>
    </row>
    <row r="44" spans="2:18">
      <c r="B44" s="319" t="s">
        <v>436</v>
      </c>
      <c r="C44" s="319" t="s">
        <v>437</v>
      </c>
      <c r="D44" s="320">
        <v>43.14</v>
      </c>
      <c r="E44" s="320">
        <v>0.18</v>
      </c>
      <c r="F44" s="320">
        <v>43.1</v>
      </c>
      <c r="G44" s="320">
        <v>43.14</v>
      </c>
      <c r="H44" s="320">
        <v>43.1</v>
      </c>
      <c r="I44" s="321">
        <v>103000</v>
      </c>
      <c r="J44" s="321">
        <v>4443380</v>
      </c>
      <c r="K44" s="320">
        <v>7</v>
      </c>
      <c r="L44" s="320">
        <v>43.06</v>
      </c>
      <c r="M44" s="320">
        <v>20</v>
      </c>
      <c r="N44" s="320">
        <v>43.12</v>
      </c>
      <c r="O44" s="320">
        <v>2</v>
      </c>
      <c r="P44" s="321">
        <v>860650000</v>
      </c>
      <c r="Q44" s="322">
        <v>9999.9500000000007</v>
      </c>
      <c r="R44" s="320">
        <v>0.01</v>
      </c>
    </row>
    <row r="45" spans="2:18">
      <c r="B45" s="319" t="s">
        <v>438</v>
      </c>
      <c r="C45" s="319" t="s">
        <v>439</v>
      </c>
      <c r="D45" s="320">
        <v>44.83</v>
      </c>
      <c r="E45" s="320">
        <v>0.22</v>
      </c>
      <c r="F45" s="320">
        <v>44.83</v>
      </c>
      <c r="G45" s="320">
        <v>44.83</v>
      </c>
      <c r="H45" s="320">
        <v>44.83</v>
      </c>
      <c r="I45" s="321">
        <v>100000</v>
      </c>
      <c r="J45" s="321">
        <v>4483000</v>
      </c>
      <c r="K45" s="320">
        <v>4</v>
      </c>
      <c r="L45" s="320">
        <v>44.75</v>
      </c>
      <c r="M45" s="320">
        <v>111</v>
      </c>
      <c r="N45" s="320">
        <v>44.82</v>
      </c>
      <c r="O45" s="320">
        <v>1</v>
      </c>
      <c r="P45" s="321">
        <v>818650000</v>
      </c>
      <c r="Q45" s="322">
        <v>9999.9500000000007</v>
      </c>
      <c r="R45" s="320">
        <v>0.01</v>
      </c>
    </row>
    <row r="46" spans="2:18">
      <c r="B46" s="319" t="s">
        <v>440</v>
      </c>
      <c r="C46" s="319" t="s">
        <v>441</v>
      </c>
      <c r="D46" s="320">
        <v>44</v>
      </c>
      <c r="E46" s="320">
        <v>0.1</v>
      </c>
      <c r="F46" s="320">
        <v>44</v>
      </c>
      <c r="G46" s="320">
        <v>44</v>
      </c>
      <c r="H46" s="320">
        <v>44</v>
      </c>
      <c r="I46" s="321">
        <v>100000</v>
      </c>
      <c r="J46" s="321">
        <v>4400000</v>
      </c>
      <c r="K46" s="320">
        <v>2</v>
      </c>
      <c r="L46" s="320">
        <v>43.95</v>
      </c>
      <c r="M46" s="320">
        <v>11</v>
      </c>
      <c r="N46" s="320">
        <v>44.01</v>
      </c>
      <c r="O46" s="320">
        <v>1</v>
      </c>
      <c r="P46" s="321">
        <v>380650000</v>
      </c>
      <c r="Q46" s="322">
        <v>9999.9500000000007</v>
      </c>
      <c r="R46" s="320">
        <v>0.01</v>
      </c>
    </row>
    <row r="47" spans="2:18">
      <c r="B47" s="319" t="s">
        <v>442</v>
      </c>
      <c r="C47" s="319" t="s">
        <v>443</v>
      </c>
      <c r="D47" s="320">
        <v>39.869999999999997</v>
      </c>
      <c r="E47" s="320">
        <v>-0.04</v>
      </c>
      <c r="F47" s="320">
        <v>39.869999999999997</v>
      </c>
      <c r="G47" s="320">
        <v>39.869999999999997</v>
      </c>
      <c r="H47" s="320">
        <v>39.869999999999997</v>
      </c>
      <c r="I47" s="321">
        <v>100000</v>
      </c>
      <c r="J47" s="321">
        <v>3987000</v>
      </c>
      <c r="K47" s="320">
        <v>2</v>
      </c>
      <c r="L47" s="320">
        <v>39.79</v>
      </c>
      <c r="M47" s="320">
        <v>6</v>
      </c>
      <c r="N47" s="320">
        <v>39.840000000000003</v>
      </c>
      <c r="O47" s="320">
        <v>1</v>
      </c>
      <c r="P47" s="321">
        <v>183602000</v>
      </c>
      <c r="Q47" s="322">
        <v>9999.9500000000007</v>
      </c>
      <c r="R47" s="320">
        <v>0.01</v>
      </c>
    </row>
    <row r="48" spans="2:18">
      <c r="B48" s="319" t="s">
        <v>444</v>
      </c>
      <c r="C48" s="319" t="s">
        <v>445</v>
      </c>
      <c r="D48" s="320">
        <v>42.1</v>
      </c>
      <c r="E48" s="320">
        <v>0.15</v>
      </c>
      <c r="F48" s="320">
        <v>42.07</v>
      </c>
      <c r="G48" s="320">
        <v>42.1</v>
      </c>
      <c r="H48" s="320">
        <v>42.07</v>
      </c>
      <c r="I48" s="321">
        <v>110000</v>
      </c>
      <c r="J48" s="321">
        <v>4630700</v>
      </c>
      <c r="K48" s="320">
        <v>3</v>
      </c>
      <c r="L48" s="320">
        <v>42.06</v>
      </c>
      <c r="M48" s="320">
        <v>10</v>
      </c>
      <c r="N48" s="320">
        <v>42.14</v>
      </c>
      <c r="O48" s="320">
        <v>10</v>
      </c>
      <c r="P48" s="321">
        <v>2836000</v>
      </c>
      <c r="Q48" s="322">
        <v>9999.9500000000007</v>
      </c>
      <c r="R48" s="320">
        <v>0.01</v>
      </c>
    </row>
    <row r="49" spans="2:18">
      <c r="B49" s="319" t="s">
        <v>446</v>
      </c>
      <c r="C49" s="319" t="s">
        <v>447</v>
      </c>
      <c r="D49" s="320">
        <v>41.54</v>
      </c>
      <c r="E49" s="320">
        <v>-0.21</v>
      </c>
      <c r="F49" s="320">
        <v>41.59</v>
      </c>
      <c r="G49" s="320">
        <v>41.59</v>
      </c>
      <c r="H49" s="320">
        <v>41.54</v>
      </c>
      <c r="I49" s="321">
        <v>101000</v>
      </c>
      <c r="J49" s="321">
        <v>4195590</v>
      </c>
      <c r="K49" s="320">
        <v>3</v>
      </c>
      <c r="L49" s="320">
        <v>41.55</v>
      </c>
      <c r="M49" s="320">
        <v>2</v>
      </c>
      <c r="N49" s="320">
        <v>41.56</v>
      </c>
      <c r="O49" s="320">
        <v>1</v>
      </c>
      <c r="P49" s="321">
        <v>2967000</v>
      </c>
      <c r="Q49" s="322">
        <v>9999.9500000000007</v>
      </c>
      <c r="R49" s="320">
        <v>0.01</v>
      </c>
    </row>
    <row r="50" spans="2:18">
      <c r="B50" s="319" t="s">
        <v>448</v>
      </c>
      <c r="C50" s="319" t="s">
        <v>449</v>
      </c>
      <c r="D50" s="320">
        <v>36.520000000000003</v>
      </c>
      <c r="E50" s="320">
        <v>0.01</v>
      </c>
      <c r="F50" s="320">
        <v>36.32</v>
      </c>
      <c r="G50" s="320">
        <v>36.520000000000003</v>
      </c>
      <c r="H50" s="320">
        <v>36.32</v>
      </c>
      <c r="I50" s="321">
        <v>151000</v>
      </c>
      <c r="J50" s="321">
        <v>5514320</v>
      </c>
      <c r="K50" s="320">
        <v>5</v>
      </c>
      <c r="L50" s="320">
        <v>36.33</v>
      </c>
      <c r="M50" s="320">
        <v>20</v>
      </c>
      <c r="N50" s="320">
        <v>36.54</v>
      </c>
      <c r="O50" s="320">
        <v>20</v>
      </c>
      <c r="P50" s="321">
        <v>2993000</v>
      </c>
      <c r="Q50" s="322">
        <v>9999.9500000000007</v>
      </c>
      <c r="R50" s="320">
        <v>0.01</v>
      </c>
    </row>
    <row r="51" spans="2:18">
      <c r="B51" s="319" t="s">
        <v>450</v>
      </c>
      <c r="C51" s="319" t="s">
        <v>451</v>
      </c>
      <c r="D51" s="320">
        <v>42.86</v>
      </c>
      <c r="E51" s="320">
        <v>0.2</v>
      </c>
      <c r="F51" s="320">
        <v>42.91</v>
      </c>
      <c r="G51" s="320">
        <v>42.91</v>
      </c>
      <c r="H51" s="320">
        <v>42.86</v>
      </c>
      <c r="I51" s="321">
        <v>152000</v>
      </c>
      <c r="J51" s="321">
        <v>6514820</v>
      </c>
      <c r="K51" s="320">
        <v>7</v>
      </c>
      <c r="L51" s="320">
        <v>42.72</v>
      </c>
      <c r="M51" s="320">
        <v>33</v>
      </c>
      <c r="N51" s="320">
        <v>42.8</v>
      </c>
      <c r="O51" s="320">
        <v>1</v>
      </c>
      <c r="P51" s="321">
        <v>332966000</v>
      </c>
      <c r="Q51" s="322">
        <v>9999.9500000000007</v>
      </c>
      <c r="R51" s="320">
        <v>0.01</v>
      </c>
    </row>
    <row r="52" spans="2:18">
      <c r="B52" s="319" t="s">
        <v>452</v>
      </c>
      <c r="C52" s="319" t="s">
        <v>453</v>
      </c>
      <c r="D52" s="320">
        <v>41.1</v>
      </c>
      <c r="E52" s="320">
        <v>0.2</v>
      </c>
      <c r="F52" s="320">
        <v>41.37</v>
      </c>
      <c r="G52" s="320">
        <v>41.37</v>
      </c>
      <c r="H52" s="320">
        <v>41.07</v>
      </c>
      <c r="I52" s="321">
        <v>104000</v>
      </c>
      <c r="J52" s="321">
        <v>4271710</v>
      </c>
      <c r="K52" s="320">
        <v>6</v>
      </c>
      <c r="L52" s="320">
        <v>41.03</v>
      </c>
      <c r="M52" s="320">
        <v>52</v>
      </c>
      <c r="N52" s="320">
        <v>41.06</v>
      </c>
      <c r="O52" s="320">
        <v>2</v>
      </c>
      <c r="P52" s="321">
        <v>8066000</v>
      </c>
      <c r="Q52" s="322">
        <v>9999.9500000000007</v>
      </c>
      <c r="R52" s="320">
        <v>0.01</v>
      </c>
    </row>
    <row r="53" spans="2:18">
      <c r="B53" s="319" t="s">
        <v>454</v>
      </c>
      <c r="C53" s="319" t="s">
        <v>455</v>
      </c>
      <c r="D53" s="320">
        <v>42.37</v>
      </c>
      <c r="E53" s="320">
        <v>0.23</v>
      </c>
      <c r="F53" s="320">
        <v>42.34</v>
      </c>
      <c r="G53" s="320">
        <v>42.37</v>
      </c>
      <c r="H53" s="320">
        <v>42.32</v>
      </c>
      <c r="I53" s="321">
        <v>154000</v>
      </c>
      <c r="J53" s="321">
        <v>6519920</v>
      </c>
      <c r="K53" s="320">
        <v>7</v>
      </c>
      <c r="L53" s="320">
        <v>42.27</v>
      </c>
      <c r="M53" s="320">
        <v>48</v>
      </c>
      <c r="N53" s="320">
        <v>42.37</v>
      </c>
      <c r="O53" s="320">
        <v>2</v>
      </c>
      <c r="P53" s="321">
        <v>5306000</v>
      </c>
      <c r="Q53" s="322">
        <v>9999.9500000000007</v>
      </c>
      <c r="R53" s="320">
        <v>0.01</v>
      </c>
    </row>
    <row r="54" spans="2:18">
      <c r="B54" s="319" t="s">
        <v>456</v>
      </c>
      <c r="C54" s="319" t="s">
        <v>457</v>
      </c>
      <c r="D54" s="320">
        <v>40.25</v>
      </c>
      <c r="E54" s="320">
        <v>0.06</v>
      </c>
      <c r="F54" s="320">
        <v>40.32</v>
      </c>
      <c r="G54" s="320">
        <v>40.32</v>
      </c>
      <c r="H54" s="320">
        <v>40.200000000000003</v>
      </c>
      <c r="I54" s="321">
        <v>124000</v>
      </c>
      <c r="J54" s="321">
        <v>4990650</v>
      </c>
      <c r="K54" s="320">
        <v>7</v>
      </c>
      <c r="L54" s="320">
        <v>40.229999999999997</v>
      </c>
      <c r="M54" s="320">
        <v>10</v>
      </c>
      <c r="N54" s="320">
        <v>40.25</v>
      </c>
      <c r="O54" s="320">
        <v>8</v>
      </c>
      <c r="P54" s="321">
        <v>5706000</v>
      </c>
      <c r="Q54" s="322">
        <v>9999.9500000000007</v>
      </c>
      <c r="R54" s="320">
        <v>0.01</v>
      </c>
    </row>
    <row r="55" spans="2:18">
      <c r="B55" s="319" t="s">
        <v>458</v>
      </c>
      <c r="C55" s="319" t="s">
        <v>459</v>
      </c>
      <c r="D55" s="320">
        <v>64.75</v>
      </c>
      <c r="E55" s="320">
        <v>0.05</v>
      </c>
      <c r="F55" s="320">
        <v>64.75</v>
      </c>
      <c r="G55" s="320">
        <v>64.75</v>
      </c>
      <c r="H55" s="320">
        <v>64.75</v>
      </c>
      <c r="I55" s="321">
        <v>100000</v>
      </c>
      <c r="J55" s="321">
        <v>6475000</v>
      </c>
      <c r="K55" s="320">
        <v>4</v>
      </c>
      <c r="L55" s="320">
        <v>64.650000000000006</v>
      </c>
      <c r="M55" s="320">
        <v>3</v>
      </c>
      <c r="N55" s="320">
        <v>64.75</v>
      </c>
      <c r="O55" s="320">
        <v>1</v>
      </c>
      <c r="P55" s="321">
        <v>42600000</v>
      </c>
      <c r="Q55" s="322">
        <v>9999.9500000000007</v>
      </c>
      <c r="R55" s="320">
        <v>0.01</v>
      </c>
    </row>
    <row r="56" spans="2:18">
      <c r="B56" s="319" t="s">
        <v>460</v>
      </c>
      <c r="C56" s="319" t="s">
        <v>461</v>
      </c>
      <c r="D56" s="320">
        <v>62.65</v>
      </c>
      <c r="E56" s="320">
        <v>0</v>
      </c>
      <c r="F56" s="320">
        <v>62.65</v>
      </c>
      <c r="G56" s="320">
        <v>62.65</v>
      </c>
      <c r="H56" s="320">
        <v>62.65</v>
      </c>
      <c r="I56" s="321">
        <v>100000</v>
      </c>
      <c r="J56" s="321">
        <v>6265000</v>
      </c>
      <c r="K56" s="320">
        <v>2</v>
      </c>
      <c r="L56" s="320">
        <v>62.5</v>
      </c>
      <c r="M56" s="320">
        <v>15</v>
      </c>
      <c r="N56" s="320">
        <v>62.75</v>
      </c>
      <c r="O56" s="320">
        <v>5</v>
      </c>
      <c r="P56" s="321">
        <v>2100000</v>
      </c>
      <c r="Q56" s="322">
        <v>9999.9500000000007</v>
      </c>
      <c r="R56" s="320">
        <v>0.01</v>
      </c>
    </row>
    <row r="57" spans="2:18">
      <c r="B57" s="319" t="s">
        <v>462</v>
      </c>
      <c r="C57" s="319" t="s">
        <v>463</v>
      </c>
      <c r="D57" s="320">
        <v>54</v>
      </c>
      <c r="E57" s="320">
        <v>-0.2</v>
      </c>
      <c r="F57" s="320">
        <v>54.15</v>
      </c>
      <c r="G57" s="320">
        <v>54.15</v>
      </c>
      <c r="H57" s="320">
        <v>54</v>
      </c>
      <c r="I57" s="321">
        <v>102000</v>
      </c>
      <c r="J57" s="321">
        <v>5508250</v>
      </c>
      <c r="K57" s="320">
        <v>4</v>
      </c>
      <c r="L57" s="320">
        <v>53.85</v>
      </c>
      <c r="M57" s="320">
        <v>101</v>
      </c>
      <c r="N57" s="320">
        <v>53.95</v>
      </c>
      <c r="O57" s="320">
        <v>1</v>
      </c>
      <c r="P57" s="321">
        <v>355600000</v>
      </c>
      <c r="Q57" s="322">
        <v>9999.9500000000007</v>
      </c>
      <c r="R57" s="320">
        <v>0.01</v>
      </c>
    </row>
    <row r="58" spans="2:18">
      <c r="B58" s="319" t="s">
        <v>464</v>
      </c>
      <c r="C58" s="319" t="s">
        <v>465</v>
      </c>
      <c r="D58" s="320">
        <v>42.24</v>
      </c>
      <c r="E58" s="320">
        <v>0.1</v>
      </c>
      <c r="F58" s="320">
        <v>42.24</v>
      </c>
      <c r="G58" s="320">
        <v>42.24</v>
      </c>
      <c r="H58" s="320">
        <v>42.24</v>
      </c>
      <c r="I58" s="321">
        <v>102000</v>
      </c>
      <c r="J58" s="321">
        <v>4308480</v>
      </c>
      <c r="K58" s="320">
        <v>6</v>
      </c>
      <c r="L58" s="320">
        <v>42.18</v>
      </c>
      <c r="M58" s="320">
        <v>20</v>
      </c>
      <c r="N58" s="320">
        <v>42.25</v>
      </c>
      <c r="O58" s="320">
        <v>2</v>
      </c>
      <c r="P58" s="321">
        <v>574115000</v>
      </c>
      <c r="Q58" s="322">
        <v>9999.9500000000007</v>
      </c>
      <c r="R58" s="320">
        <v>0.01</v>
      </c>
    </row>
    <row r="59" spans="2:18">
      <c r="B59" s="319" t="s">
        <v>466</v>
      </c>
      <c r="C59" s="319" t="s">
        <v>467</v>
      </c>
      <c r="D59" s="320">
        <v>41.32</v>
      </c>
      <c r="E59" s="320">
        <v>-0.01</v>
      </c>
      <c r="F59" s="320">
        <v>41.29</v>
      </c>
      <c r="G59" s="320">
        <v>41.4</v>
      </c>
      <c r="H59" s="320">
        <v>41.29</v>
      </c>
      <c r="I59" s="321">
        <v>113000</v>
      </c>
      <c r="J59" s="321">
        <v>4669060</v>
      </c>
      <c r="K59" s="320">
        <v>7</v>
      </c>
      <c r="L59" s="320">
        <v>41.28</v>
      </c>
      <c r="M59" s="320">
        <v>1</v>
      </c>
      <c r="N59" s="320">
        <v>41.41</v>
      </c>
      <c r="O59" s="320">
        <v>169</v>
      </c>
      <c r="P59" s="321">
        <v>2526000</v>
      </c>
      <c r="Q59" s="322">
        <v>9999.9500000000007</v>
      </c>
      <c r="R59" s="320">
        <v>0.01</v>
      </c>
    </row>
    <row r="60" spans="2:18">
      <c r="B60" s="319" t="s">
        <v>468</v>
      </c>
      <c r="C60" s="319" t="s">
        <v>469</v>
      </c>
      <c r="D60" s="320">
        <v>40.5</v>
      </c>
      <c r="E60" s="320">
        <v>-7.0000000000000007E-2</v>
      </c>
      <c r="F60" s="320">
        <v>40.5</v>
      </c>
      <c r="G60" s="320">
        <v>40.5</v>
      </c>
      <c r="H60" s="320">
        <v>40.5</v>
      </c>
      <c r="I60" s="321">
        <v>100000</v>
      </c>
      <c r="J60" s="321">
        <v>4050000</v>
      </c>
      <c r="K60" s="320">
        <v>2</v>
      </c>
      <c r="L60" s="320">
        <v>40.47</v>
      </c>
      <c r="M60" s="320">
        <v>1</v>
      </c>
      <c r="N60" s="320">
        <v>40.5</v>
      </c>
      <c r="O60" s="320">
        <v>1</v>
      </c>
      <c r="P60" s="321">
        <v>185687000</v>
      </c>
      <c r="Q60" s="322">
        <v>9999.9500000000007</v>
      </c>
      <c r="R60" s="320">
        <v>0.01</v>
      </c>
    </row>
    <row r="61" spans="2:18">
      <c r="B61" s="319" t="s">
        <v>470</v>
      </c>
      <c r="C61" s="319" t="s">
        <v>471</v>
      </c>
      <c r="D61" s="320">
        <v>41.86</v>
      </c>
      <c r="E61" s="320">
        <v>0</v>
      </c>
      <c r="F61" s="320">
        <v>41.84</v>
      </c>
      <c r="G61" s="320">
        <v>41.87</v>
      </c>
      <c r="H61" s="320">
        <v>41.84</v>
      </c>
      <c r="I61" s="321">
        <v>356000</v>
      </c>
      <c r="J61" s="321">
        <v>14898620</v>
      </c>
      <c r="K61" s="320">
        <v>13</v>
      </c>
      <c r="L61" s="320">
        <v>41.83</v>
      </c>
      <c r="M61" s="320">
        <v>2</v>
      </c>
      <c r="N61" s="320">
        <v>41.85</v>
      </c>
      <c r="O61" s="320">
        <v>3</v>
      </c>
      <c r="P61" s="321">
        <v>224098000</v>
      </c>
      <c r="Q61" s="322">
        <v>9999.9500000000007</v>
      </c>
      <c r="R61" s="320">
        <v>0.01</v>
      </c>
    </row>
    <row r="62" spans="2:18">
      <c r="B62" s="319" t="s">
        <v>472</v>
      </c>
      <c r="C62" s="319" t="s">
        <v>473</v>
      </c>
      <c r="D62" s="320">
        <v>40.409999999999997</v>
      </c>
      <c r="E62" s="320">
        <v>-0.11</v>
      </c>
      <c r="F62" s="320">
        <v>40.479999999999997</v>
      </c>
      <c r="G62" s="320">
        <v>40.479999999999997</v>
      </c>
      <c r="H62" s="320">
        <v>40.409999999999997</v>
      </c>
      <c r="I62" s="321">
        <v>262000</v>
      </c>
      <c r="J62" s="321">
        <v>10593250</v>
      </c>
      <c r="K62" s="320">
        <v>13</v>
      </c>
      <c r="L62" s="320">
        <v>40.369999999999997</v>
      </c>
      <c r="M62" s="320">
        <v>10</v>
      </c>
      <c r="N62" s="320">
        <v>40.409999999999997</v>
      </c>
      <c r="O62" s="320">
        <v>2</v>
      </c>
      <c r="P62" s="321">
        <v>81970000</v>
      </c>
      <c r="Q62" s="322">
        <v>9999.9500000000007</v>
      </c>
      <c r="R62" s="320">
        <v>0.01</v>
      </c>
    </row>
    <row r="63" spans="2:18">
      <c r="B63" s="319" t="s">
        <v>474</v>
      </c>
      <c r="C63" s="319" t="s">
        <v>475</v>
      </c>
      <c r="D63" s="320">
        <v>41.92</v>
      </c>
      <c r="E63" s="320">
        <v>-0.05</v>
      </c>
      <c r="F63" s="320">
        <v>41.96</v>
      </c>
      <c r="G63" s="320">
        <v>41.96</v>
      </c>
      <c r="H63" s="320">
        <v>41.92</v>
      </c>
      <c r="I63" s="321">
        <v>104000</v>
      </c>
      <c r="J63" s="321">
        <v>4359830</v>
      </c>
      <c r="K63" s="320">
        <v>5</v>
      </c>
      <c r="L63" s="320">
        <v>41.85</v>
      </c>
      <c r="M63" s="320">
        <v>15</v>
      </c>
      <c r="N63" s="320">
        <v>41.96</v>
      </c>
      <c r="O63" s="320">
        <v>19</v>
      </c>
      <c r="P63" s="321">
        <v>4036000</v>
      </c>
      <c r="Q63" s="322">
        <v>9999.9500000000007</v>
      </c>
      <c r="R63" s="320">
        <v>0.01</v>
      </c>
    </row>
    <row r="64" spans="2:18">
      <c r="B64" s="319" t="s">
        <v>476</v>
      </c>
      <c r="C64" s="319" t="s">
        <v>477</v>
      </c>
      <c r="D64" s="320">
        <v>35.72</v>
      </c>
      <c r="E64" s="320">
        <v>-0.03</v>
      </c>
      <c r="F64" s="320">
        <v>35.72</v>
      </c>
      <c r="G64" s="320">
        <v>35.72</v>
      </c>
      <c r="H64" s="320">
        <v>35.72</v>
      </c>
      <c r="I64" s="321">
        <v>50000</v>
      </c>
      <c r="J64" s="321">
        <v>1786000</v>
      </c>
      <c r="K64" s="320">
        <v>2</v>
      </c>
      <c r="L64" s="320">
        <v>35.65</v>
      </c>
      <c r="M64" s="320">
        <v>5</v>
      </c>
      <c r="N64" s="320">
        <v>35.71</v>
      </c>
      <c r="O64" s="320">
        <v>1</v>
      </c>
      <c r="P64" s="321">
        <v>140600000</v>
      </c>
      <c r="Q64" s="322">
        <v>9999.9500000000007</v>
      </c>
      <c r="R64" s="320">
        <v>0.01</v>
      </c>
    </row>
    <row r="65" spans="2:18">
      <c r="B65" s="319" t="s">
        <v>480</v>
      </c>
      <c r="C65" s="319" t="s">
        <v>481</v>
      </c>
      <c r="D65" s="320">
        <v>42</v>
      </c>
      <c r="E65" s="320">
        <v>0.2</v>
      </c>
      <c r="F65" s="320">
        <v>42</v>
      </c>
      <c r="G65" s="320">
        <v>42</v>
      </c>
      <c r="H65" s="320">
        <v>42</v>
      </c>
      <c r="I65" s="321">
        <v>100000</v>
      </c>
      <c r="J65" s="321">
        <v>4200000</v>
      </c>
      <c r="K65" s="320">
        <v>6</v>
      </c>
      <c r="L65" s="320">
        <v>41.85</v>
      </c>
      <c r="M65" s="320">
        <v>1</v>
      </c>
      <c r="N65" s="320">
        <v>41.92</v>
      </c>
      <c r="O65" s="320">
        <v>2</v>
      </c>
      <c r="P65" s="321">
        <v>17198000</v>
      </c>
      <c r="Q65" s="322">
        <v>9999.9500000000007</v>
      </c>
      <c r="R65" s="320">
        <v>0.01</v>
      </c>
    </row>
    <row r="66" spans="2:18">
      <c r="B66" s="319" t="s">
        <v>482</v>
      </c>
      <c r="C66" s="319" t="s">
        <v>483</v>
      </c>
      <c r="D66" s="320">
        <v>39.409999999999997</v>
      </c>
      <c r="E66" s="320">
        <v>0.08</v>
      </c>
      <c r="F66" s="320">
        <v>39.409999999999997</v>
      </c>
      <c r="G66" s="320">
        <v>39.409999999999997</v>
      </c>
      <c r="H66" s="320">
        <v>39.409999999999997</v>
      </c>
      <c r="I66" s="321">
        <v>100000</v>
      </c>
      <c r="J66" s="321">
        <v>3941000</v>
      </c>
      <c r="K66" s="320">
        <v>2</v>
      </c>
      <c r="L66" s="320">
        <v>39.380000000000003</v>
      </c>
      <c r="M66" s="320">
        <v>5</v>
      </c>
      <c r="N66" s="320">
        <v>39.42</v>
      </c>
      <c r="O66" s="320">
        <v>1</v>
      </c>
      <c r="P66" s="321">
        <v>213041000</v>
      </c>
      <c r="Q66" s="322">
        <v>9999.9500000000007</v>
      </c>
      <c r="R66" s="320">
        <v>0.01</v>
      </c>
    </row>
    <row r="67" spans="2:18">
      <c r="B67" s="319" t="s">
        <v>484</v>
      </c>
      <c r="C67" s="319" t="s">
        <v>485</v>
      </c>
      <c r="D67" s="320">
        <v>39.369999999999997</v>
      </c>
      <c r="E67" s="320">
        <v>-0.08</v>
      </c>
      <c r="F67" s="320">
        <v>39.369999999999997</v>
      </c>
      <c r="G67" s="320">
        <v>39.369999999999997</v>
      </c>
      <c r="H67" s="320">
        <v>39.369999999999997</v>
      </c>
      <c r="I67" s="321">
        <v>100000</v>
      </c>
      <c r="J67" s="321">
        <v>3937000</v>
      </c>
      <c r="K67" s="320">
        <v>2</v>
      </c>
      <c r="L67" s="320">
        <v>39.36</v>
      </c>
      <c r="M67" s="320">
        <v>5</v>
      </c>
      <c r="N67" s="320">
        <v>39.380000000000003</v>
      </c>
      <c r="O67" s="320">
        <v>10</v>
      </c>
      <c r="P67" s="321">
        <v>5691000</v>
      </c>
      <c r="Q67" s="322">
        <v>9999.9500000000007</v>
      </c>
      <c r="R67" s="320">
        <v>0.01</v>
      </c>
    </row>
    <row r="68" spans="2:18">
      <c r="B68" s="319" t="s">
        <v>486</v>
      </c>
      <c r="C68" s="319" t="s">
        <v>487</v>
      </c>
      <c r="D68" s="320">
        <v>39.369999999999997</v>
      </c>
      <c r="E68" s="320">
        <v>0.14000000000000001</v>
      </c>
      <c r="F68" s="320">
        <v>39.369999999999997</v>
      </c>
      <c r="G68" s="320">
        <v>39.369999999999997</v>
      </c>
      <c r="H68" s="320">
        <v>39.369999999999997</v>
      </c>
      <c r="I68" s="321">
        <v>100000</v>
      </c>
      <c r="J68" s="321">
        <v>3937000</v>
      </c>
      <c r="K68" s="320">
        <v>2</v>
      </c>
      <c r="L68" s="320">
        <v>39.31</v>
      </c>
      <c r="M68" s="320">
        <v>11</v>
      </c>
      <c r="N68" s="320">
        <v>39.369999999999997</v>
      </c>
      <c r="O68" s="320">
        <v>1</v>
      </c>
      <c r="P68" s="321">
        <v>19931000</v>
      </c>
      <c r="Q68" s="322">
        <v>9999.9500000000007</v>
      </c>
      <c r="R68" s="320">
        <v>0.01</v>
      </c>
    </row>
    <row r="69" spans="2:18">
      <c r="B69" s="319" t="s">
        <v>488</v>
      </c>
      <c r="C69" s="319" t="s">
        <v>489</v>
      </c>
      <c r="D69" s="320">
        <v>39.79</v>
      </c>
      <c r="E69" s="320">
        <v>0.09</v>
      </c>
      <c r="F69" s="320">
        <v>39.79</v>
      </c>
      <c r="G69" s="320">
        <v>39.79</v>
      </c>
      <c r="H69" s="320">
        <v>39.79</v>
      </c>
      <c r="I69" s="321">
        <v>100000</v>
      </c>
      <c r="J69" s="321">
        <v>3979000</v>
      </c>
      <c r="K69" s="320">
        <v>2</v>
      </c>
      <c r="L69" s="320">
        <v>39.729999999999997</v>
      </c>
      <c r="M69" s="320">
        <v>11</v>
      </c>
      <c r="N69" s="320">
        <v>39.86</v>
      </c>
      <c r="O69" s="320">
        <v>11</v>
      </c>
      <c r="P69" s="321">
        <v>53940000</v>
      </c>
      <c r="Q69" s="322">
        <v>9999.9500000000007</v>
      </c>
      <c r="R69" s="320">
        <v>0.01</v>
      </c>
    </row>
    <row r="70" spans="2:18">
      <c r="B70" s="319" t="s">
        <v>490</v>
      </c>
      <c r="C70" s="319" t="s">
        <v>491</v>
      </c>
      <c r="D70" s="320">
        <v>40.01</v>
      </c>
      <c r="E70" s="320">
        <v>-0.05</v>
      </c>
      <c r="F70" s="320">
        <v>40.01</v>
      </c>
      <c r="G70" s="320">
        <v>40.01</v>
      </c>
      <c r="H70" s="320">
        <v>40.01</v>
      </c>
      <c r="I70" s="321">
        <v>100000</v>
      </c>
      <c r="J70" s="321">
        <v>4001000</v>
      </c>
      <c r="K70" s="320">
        <v>2</v>
      </c>
      <c r="L70" s="320">
        <v>39.96</v>
      </c>
      <c r="M70" s="320">
        <v>11</v>
      </c>
      <c r="N70" s="320">
        <v>40</v>
      </c>
      <c r="O70" s="320">
        <v>1</v>
      </c>
      <c r="P70" s="321">
        <v>9767000</v>
      </c>
      <c r="Q70" s="322">
        <v>9999.9500000000007</v>
      </c>
      <c r="R70" s="320">
        <v>0.01</v>
      </c>
    </row>
    <row r="71" spans="2:18">
      <c r="B71" s="319" t="s">
        <v>492</v>
      </c>
      <c r="C71" s="319" t="s">
        <v>493</v>
      </c>
      <c r="D71" s="320">
        <v>40.19</v>
      </c>
      <c r="E71" s="320">
        <v>-0.06</v>
      </c>
      <c r="F71" s="320">
        <v>40.19</v>
      </c>
      <c r="G71" s="320">
        <v>40.19</v>
      </c>
      <c r="H71" s="320">
        <v>40.19</v>
      </c>
      <c r="I71" s="321">
        <v>100000</v>
      </c>
      <c r="J71" s="321">
        <v>4019000</v>
      </c>
      <c r="K71" s="320">
        <v>2</v>
      </c>
      <c r="L71" s="320">
        <v>40.14</v>
      </c>
      <c r="M71" s="320">
        <v>20</v>
      </c>
      <c r="N71" s="320">
        <v>40.22</v>
      </c>
      <c r="O71" s="320">
        <v>20</v>
      </c>
      <c r="P71" s="321">
        <v>5021000</v>
      </c>
      <c r="Q71" s="322">
        <v>9999.9500000000007</v>
      </c>
      <c r="R71" s="320">
        <v>0.01</v>
      </c>
    </row>
    <row r="72" spans="2:18">
      <c r="B72" s="319" t="s">
        <v>494</v>
      </c>
      <c r="C72" s="319" t="s">
        <v>495</v>
      </c>
      <c r="D72" s="320">
        <v>39.549999999999997</v>
      </c>
      <c r="E72" s="320">
        <v>0.15</v>
      </c>
      <c r="F72" s="320">
        <v>39.549999999999997</v>
      </c>
      <c r="G72" s="320">
        <v>39.549999999999997</v>
      </c>
      <c r="H72" s="320">
        <v>39.549999999999997</v>
      </c>
      <c r="I72" s="321">
        <v>2000</v>
      </c>
      <c r="J72" s="321">
        <v>79100</v>
      </c>
      <c r="K72" s="320">
        <v>2</v>
      </c>
      <c r="L72" s="320">
        <v>39.409999999999997</v>
      </c>
      <c r="M72" s="320">
        <v>5</v>
      </c>
      <c r="N72" s="320">
        <v>39.61</v>
      </c>
      <c r="O72" s="320">
        <v>1</v>
      </c>
      <c r="P72" s="321">
        <v>38175000</v>
      </c>
      <c r="Q72" s="322">
        <v>9999.9500000000007</v>
      </c>
      <c r="R72" s="320">
        <v>0.01</v>
      </c>
    </row>
    <row r="73" spans="2:18">
      <c r="B73" s="319" t="s">
        <v>496</v>
      </c>
      <c r="C73" s="319" t="s">
        <v>497</v>
      </c>
      <c r="D73" s="320">
        <v>36.29</v>
      </c>
      <c r="E73" s="320">
        <v>-0.03</v>
      </c>
      <c r="F73" s="320">
        <v>36.299999999999997</v>
      </c>
      <c r="G73" s="320">
        <v>36.299999999999997</v>
      </c>
      <c r="H73" s="320">
        <v>36.29</v>
      </c>
      <c r="I73" s="321">
        <v>104000</v>
      </c>
      <c r="J73" s="321">
        <v>3774190</v>
      </c>
      <c r="K73" s="320">
        <v>5</v>
      </c>
      <c r="L73" s="320">
        <v>36.229999999999997</v>
      </c>
      <c r="M73" s="320">
        <v>11</v>
      </c>
      <c r="N73" s="320">
        <v>36.270000000000003</v>
      </c>
      <c r="O73" s="320">
        <v>1</v>
      </c>
      <c r="P73" s="321">
        <v>177551000</v>
      </c>
      <c r="Q73" s="322">
        <v>9999.9500000000007</v>
      </c>
      <c r="R73" s="320">
        <v>0.01</v>
      </c>
    </row>
    <row r="74" spans="2:18">
      <c r="B74" s="319" t="s">
        <v>498</v>
      </c>
      <c r="C74" s="319" t="s">
        <v>499</v>
      </c>
      <c r="D74" s="320">
        <v>36.46</v>
      </c>
      <c r="E74" s="320">
        <v>-0.01</v>
      </c>
      <c r="F74" s="320">
        <v>36.39</v>
      </c>
      <c r="G74" s="320">
        <v>36.46</v>
      </c>
      <c r="H74" s="320">
        <v>36.39</v>
      </c>
      <c r="I74" s="321">
        <v>101000</v>
      </c>
      <c r="J74" s="321">
        <v>3682390</v>
      </c>
      <c r="K74" s="320">
        <v>3</v>
      </c>
      <c r="L74" s="320">
        <v>36.380000000000003</v>
      </c>
      <c r="M74" s="320">
        <v>11</v>
      </c>
      <c r="N74" s="320">
        <v>36.43</v>
      </c>
      <c r="O74" s="320">
        <v>1</v>
      </c>
      <c r="P74" s="321">
        <v>77350000</v>
      </c>
      <c r="Q74" s="322">
        <v>9999.9500000000007</v>
      </c>
      <c r="R74" s="320">
        <v>0.01</v>
      </c>
    </row>
    <row r="75" spans="2:18">
      <c r="B75" s="319" t="s">
        <v>500</v>
      </c>
      <c r="C75" s="319" t="s">
        <v>501</v>
      </c>
      <c r="D75" s="320">
        <v>35.299999999999997</v>
      </c>
      <c r="E75" s="320">
        <v>0</v>
      </c>
      <c r="F75" s="320">
        <v>35.33</v>
      </c>
      <c r="G75" s="320">
        <v>35.33</v>
      </c>
      <c r="H75" s="320">
        <v>35.299999999999997</v>
      </c>
      <c r="I75" s="321">
        <v>201000</v>
      </c>
      <c r="J75" s="321">
        <v>7096330</v>
      </c>
      <c r="K75" s="320">
        <v>7</v>
      </c>
      <c r="L75" s="320">
        <v>35.29</v>
      </c>
      <c r="M75" s="320">
        <v>12</v>
      </c>
      <c r="N75" s="320">
        <v>35.299999999999997</v>
      </c>
      <c r="O75" s="320">
        <v>2</v>
      </c>
      <c r="P75" s="321">
        <v>9805000</v>
      </c>
      <c r="Q75" s="322">
        <v>9999.9500000000007</v>
      </c>
      <c r="R75" s="320">
        <v>0.01</v>
      </c>
    </row>
    <row r="76" spans="2:18">
      <c r="B76" s="319" t="s">
        <v>502</v>
      </c>
      <c r="C76" s="319" t="s">
        <v>503</v>
      </c>
      <c r="D76" s="320">
        <v>37.24</v>
      </c>
      <c r="E76" s="320">
        <v>0.13</v>
      </c>
      <c r="F76" s="320">
        <v>37.25</v>
      </c>
      <c r="G76" s="320">
        <v>37.25</v>
      </c>
      <c r="H76" s="320">
        <v>37.24</v>
      </c>
      <c r="I76" s="321">
        <v>201000</v>
      </c>
      <c r="J76" s="321">
        <v>7486740</v>
      </c>
      <c r="K76" s="320">
        <v>7</v>
      </c>
      <c r="L76" s="320">
        <v>37.229999999999997</v>
      </c>
      <c r="M76" s="320">
        <v>2</v>
      </c>
      <c r="N76" s="320">
        <v>37.24</v>
      </c>
      <c r="O76" s="320">
        <v>2</v>
      </c>
      <c r="P76" s="321">
        <v>154566000</v>
      </c>
      <c r="Q76" s="322">
        <v>9999.9500000000007</v>
      </c>
      <c r="R76" s="320">
        <v>0.01</v>
      </c>
    </row>
    <row r="77" spans="2:18">
      <c r="B77" s="319" t="s">
        <v>504</v>
      </c>
      <c r="C77" s="319" t="s">
        <v>505</v>
      </c>
      <c r="D77" s="320">
        <v>35.619999999999997</v>
      </c>
      <c r="E77" s="320">
        <v>0.03</v>
      </c>
      <c r="F77" s="320">
        <v>35.630000000000003</v>
      </c>
      <c r="G77" s="320">
        <v>35.630000000000003</v>
      </c>
      <c r="H77" s="320">
        <v>35.619999999999997</v>
      </c>
      <c r="I77" s="321">
        <v>200000</v>
      </c>
      <c r="J77" s="321">
        <v>7125000</v>
      </c>
      <c r="K77" s="320">
        <v>6</v>
      </c>
      <c r="L77" s="320">
        <v>35.57</v>
      </c>
      <c r="M77" s="320">
        <v>2</v>
      </c>
      <c r="N77" s="320">
        <v>35.6</v>
      </c>
      <c r="O77" s="320">
        <v>2</v>
      </c>
      <c r="P77" s="321">
        <v>743106000</v>
      </c>
      <c r="Q77" s="322">
        <v>9999.9500000000007</v>
      </c>
      <c r="R77" s="320">
        <v>0.01</v>
      </c>
    </row>
    <row r="78" spans="2:18">
      <c r="B78" s="319" t="s">
        <v>506</v>
      </c>
      <c r="C78" s="319" t="s">
        <v>507</v>
      </c>
      <c r="D78" s="320">
        <v>35.33</v>
      </c>
      <c r="E78" s="320">
        <v>0.03</v>
      </c>
      <c r="F78" s="320">
        <v>35.33</v>
      </c>
      <c r="G78" s="320">
        <v>35.33</v>
      </c>
      <c r="H78" s="320">
        <v>35.33</v>
      </c>
      <c r="I78" s="321">
        <v>2000</v>
      </c>
      <c r="J78" s="321">
        <v>70660</v>
      </c>
      <c r="K78" s="320">
        <v>2</v>
      </c>
      <c r="L78" s="320">
        <v>35.26</v>
      </c>
      <c r="M78" s="320">
        <v>10</v>
      </c>
      <c r="N78" s="320">
        <v>35.380000000000003</v>
      </c>
      <c r="O78" s="320">
        <v>10</v>
      </c>
      <c r="P78" s="321">
        <v>4134000</v>
      </c>
      <c r="Q78" s="322">
        <v>9999.9500000000007</v>
      </c>
      <c r="R78" s="320">
        <v>0.01</v>
      </c>
    </row>
    <row r="79" spans="2:18">
      <c r="B79" s="319" t="s">
        <v>508</v>
      </c>
      <c r="C79" s="319" t="s">
        <v>509</v>
      </c>
      <c r="D79" s="320">
        <v>35.64</v>
      </c>
      <c r="E79" s="320">
        <v>-0.04</v>
      </c>
      <c r="F79" s="320">
        <v>35.64</v>
      </c>
      <c r="G79" s="320">
        <v>35.64</v>
      </c>
      <c r="H79" s="320">
        <v>35.64</v>
      </c>
      <c r="I79" s="321">
        <v>100000</v>
      </c>
      <c r="J79" s="321">
        <v>3564000</v>
      </c>
      <c r="K79" s="320">
        <v>2</v>
      </c>
      <c r="L79" s="320">
        <v>35.57</v>
      </c>
      <c r="M79" s="320">
        <v>15</v>
      </c>
      <c r="N79" s="320">
        <v>35.6</v>
      </c>
      <c r="O79" s="320">
        <v>1</v>
      </c>
      <c r="P79" s="321">
        <v>16292000</v>
      </c>
      <c r="Q79" s="322">
        <v>9999.9500000000007</v>
      </c>
      <c r="R79" s="320">
        <v>0.01</v>
      </c>
    </row>
    <row r="80" spans="2:18">
      <c r="B80" s="319" t="s">
        <v>510</v>
      </c>
      <c r="C80" s="319" t="s">
        <v>511</v>
      </c>
      <c r="D80" s="320">
        <v>36.090000000000003</v>
      </c>
      <c r="E80" s="320">
        <v>-0.01</v>
      </c>
      <c r="F80" s="320">
        <v>36.03</v>
      </c>
      <c r="G80" s="320">
        <v>36.090000000000003</v>
      </c>
      <c r="H80" s="320">
        <v>36.020000000000003</v>
      </c>
      <c r="I80" s="321">
        <v>119000</v>
      </c>
      <c r="J80" s="321">
        <v>4290590</v>
      </c>
      <c r="K80" s="320">
        <v>8</v>
      </c>
      <c r="L80" s="320">
        <v>36.03</v>
      </c>
      <c r="M80" s="320">
        <v>10</v>
      </c>
      <c r="N80" s="320">
        <v>36.1</v>
      </c>
      <c r="O80" s="320">
        <v>5</v>
      </c>
      <c r="P80" s="321">
        <v>3268000</v>
      </c>
      <c r="Q80" s="322">
        <v>9999.9500000000007</v>
      </c>
      <c r="R80" s="320">
        <v>0.01</v>
      </c>
    </row>
    <row r="81" spans="2:18">
      <c r="B81" s="319">
        <v>858</v>
      </c>
      <c r="C81" s="319" t="s">
        <v>512</v>
      </c>
      <c r="D81" s="320">
        <v>30.14</v>
      </c>
      <c r="E81" s="320">
        <v>0.28999999999999998</v>
      </c>
      <c r="F81" s="320">
        <v>30.16</v>
      </c>
      <c r="G81" s="320">
        <v>30.16</v>
      </c>
      <c r="H81" s="320">
        <v>30.14</v>
      </c>
      <c r="I81" s="321">
        <v>118000</v>
      </c>
      <c r="J81" s="321">
        <v>3557670</v>
      </c>
      <c r="K81" s="320">
        <v>12</v>
      </c>
      <c r="L81" s="320">
        <v>30.15</v>
      </c>
      <c r="M81" s="320">
        <v>10</v>
      </c>
      <c r="N81" s="320">
        <v>30.18</v>
      </c>
      <c r="O81" s="320">
        <v>10</v>
      </c>
      <c r="P81" s="321">
        <v>3874000</v>
      </c>
      <c r="Q81" s="322">
        <v>9999.9500000000007</v>
      </c>
      <c r="R81" s="320">
        <v>0.01</v>
      </c>
    </row>
    <row r="82" spans="2:18">
      <c r="B82" s="319" t="s">
        <v>513</v>
      </c>
      <c r="C82" s="319" t="s">
        <v>514</v>
      </c>
      <c r="D82" s="320">
        <v>35.47</v>
      </c>
      <c r="E82" s="320">
        <v>-0.06</v>
      </c>
      <c r="F82" s="320">
        <v>35.43</v>
      </c>
      <c r="G82" s="320">
        <v>35.47</v>
      </c>
      <c r="H82" s="320">
        <v>35.43</v>
      </c>
      <c r="I82" s="321">
        <v>101000</v>
      </c>
      <c r="J82" s="321">
        <v>3582430</v>
      </c>
      <c r="K82" s="320">
        <v>3</v>
      </c>
      <c r="L82" s="320">
        <v>35.42</v>
      </c>
      <c r="M82" s="320">
        <v>8</v>
      </c>
      <c r="N82" s="320">
        <v>35.520000000000003</v>
      </c>
      <c r="O82" s="320">
        <v>8</v>
      </c>
      <c r="P82" s="321">
        <v>4011000</v>
      </c>
      <c r="Q82" s="322">
        <v>9999.9500000000007</v>
      </c>
      <c r="R82" s="320">
        <v>0.01</v>
      </c>
    </row>
    <row r="83" spans="2:18">
      <c r="B83" s="319" t="s">
        <v>515</v>
      </c>
      <c r="C83" s="319" t="s">
        <v>516</v>
      </c>
      <c r="D83" s="320">
        <v>36.35</v>
      </c>
      <c r="E83" s="320">
        <v>-0.04</v>
      </c>
      <c r="F83" s="320">
        <v>36.35</v>
      </c>
      <c r="G83" s="320">
        <v>36.35</v>
      </c>
      <c r="H83" s="320">
        <v>36.35</v>
      </c>
      <c r="I83" s="321">
        <v>100000</v>
      </c>
      <c r="J83" s="321">
        <v>3635000</v>
      </c>
      <c r="K83" s="320">
        <v>2</v>
      </c>
      <c r="L83" s="320">
        <v>36.33</v>
      </c>
      <c r="M83" s="320">
        <v>1</v>
      </c>
      <c r="N83" s="320">
        <v>36.36</v>
      </c>
      <c r="O83" s="320">
        <v>1</v>
      </c>
      <c r="P83" s="321">
        <v>19671000</v>
      </c>
      <c r="Q83" s="322">
        <v>9999.9500000000007</v>
      </c>
      <c r="R83" s="320">
        <v>0.01</v>
      </c>
    </row>
    <row r="84" spans="2:18">
      <c r="B84" s="319" t="s">
        <v>517</v>
      </c>
      <c r="C84" s="319" t="s">
        <v>518</v>
      </c>
      <c r="D84" s="320">
        <v>39.79</v>
      </c>
      <c r="E84" s="320">
        <v>0.03</v>
      </c>
      <c r="F84" s="320">
        <v>39.770000000000003</v>
      </c>
      <c r="G84" s="320">
        <v>39.81</v>
      </c>
      <c r="H84" s="320">
        <v>39.75</v>
      </c>
      <c r="I84" s="321">
        <v>327000</v>
      </c>
      <c r="J84" s="321">
        <v>13008090</v>
      </c>
      <c r="K84" s="320">
        <v>14</v>
      </c>
      <c r="L84" s="320">
        <v>39.76</v>
      </c>
      <c r="M84" s="320">
        <v>2</v>
      </c>
      <c r="N84" s="320">
        <v>39.83</v>
      </c>
      <c r="O84" s="320">
        <v>10</v>
      </c>
      <c r="P84" s="321">
        <v>273381000</v>
      </c>
      <c r="Q84" s="322">
        <v>9999.9500000000007</v>
      </c>
      <c r="R84" s="320">
        <v>0.01</v>
      </c>
    </row>
    <row r="85" spans="2:18">
      <c r="B85" s="319" t="s">
        <v>519</v>
      </c>
      <c r="C85" s="319" t="s">
        <v>520</v>
      </c>
      <c r="D85" s="320">
        <v>39.43</v>
      </c>
      <c r="E85" s="320">
        <v>7.0000000000000007E-2</v>
      </c>
      <c r="F85" s="320">
        <v>39.409999999999997</v>
      </c>
      <c r="G85" s="320">
        <v>39.44</v>
      </c>
      <c r="H85" s="320">
        <v>39.409999999999997</v>
      </c>
      <c r="I85" s="321">
        <v>202000</v>
      </c>
      <c r="J85" s="321">
        <v>7962860</v>
      </c>
      <c r="K85" s="320">
        <v>7</v>
      </c>
      <c r="L85" s="320">
        <v>39.409999999999997</v>
      </c>
      <c r="M85" s="320">
        <v>10</v>
      </c>
      <c r="N85" s="320">
        <v>39.46</v>
      </c>
      <c r="O85" s="320">
        <v>10</v>
      </c>
      <c r="P85" s="321">
        <v>304464000</v>
      </c>
      <c r="Q85" s="322">
        <v>9999.9500000000007</v>
      </c>
      <c r="R85" s="320">
        <v>0.01</v>
      </c>
    </row>
    <row r="86" spans="2:18">
      <c r="B86" s="319" t="s">
        <v>521</v>
      </c>
      <c r="C86" s="319" t="s">
        <v>522</v>
      </c>
      <c r="D86" s="320">
        <v>36.35</v>
      </c>
      <c r="E86" s="320">
        <v>-0.02</v>
      </c>
      <c r="F86" s="320">
        <v>36.36</v>
      </c>
      <c r="G86" s="320">
        <v>36.36</v>
      </c>
      <c r="H86" s="320">
        <v>36.35</v>
      </c>
      <c r="I86" s="321">
        <v>100000</v>
      </c>
      <c r="J86" s="321">
        <v>3635500</v>
      </c>
      <c r="K86" s="320">
        <v>4</v>
      </c>
      <c r="L86" s="320">
        <v>36.31</v>
      </c>
      <c r="M86" s="320">
        <v>12</v>
      </c>
      <c r="N86" s="320">
        <v>36.369999999999997</v>
      </c>
      <c r="O86" s="320">
        <v>25</v>
      </c>
      <c r="P86" s="321">
        <v>5722000</v>
      </c>
      <c r="Q86" s="322">
        <v>9999.9500000000007</v>
      </c>
      <c r="R86" s="320">
        <v>0.01</v>
      </c>
    </row>
    <row r="87" spans="2:18">
      <c r="B87" s="319" t="s">
        <v>523</v>
      </c>
      <c r="C87" s="319" t="s">
        <v>524</v>
      </c>
      <c r="D87" s="320">
        <v>39.700000000000003</v>
      </c>
      <c r="E87" s="320">
        <v>0.12</v>
      </c>
      <c r="F87" s="320">
        <v>39.700000000000003</v>
      </c>
      <c r="G87" s="320">
        <v>39.700000000000003</v>
      </c>
      <c r="H87" s="320">
        <v>39.700000000000003</v>
      </c>
      <c r="I87" s="321">
        <v>2000</v>
      </c>
      <c r="J87" s="321">
        <v>79400</v>
      </c>
      <c r="K87" s="320">
        <v>2</v>
      </c>
      <c r="L87" s="320">
        <v>39.57</v>
      </c>
      <c r="M87" s="320">
        <v>6</v>
      </c>
      <c r="N87" s="320">
        <v>39.75</v>
      </c>
      <c r="O87" s="320">
        <v>5</v>
      </c>
      <c r="P87" s="321">
        <v>311650000</v>
      </c>
      <c r="Q87" s="322">
        <v>9999.9500000000007</v>
      </c>
      <c r="R87" s="320">
        <v>0.01</v>
      </c>
    </row>
    <row r="88" spans="2:18">
      <c r="B88" s="319" t="s">
        <v>525</v>
      </c>
      <c r="C88" s="319" t="s">
        <v>526</v>
      </c>
      <c r="D88" s="320">
        <v>37.9</v>
      </c>
      <c r="E88" s="320">
        <v>-0.03</v>
      </c>
      <c r="F88" s="320">
        <v>37.770000000000003</v>
      </c>
      <c r="G88" s="320">
        <v>37.9</v>
      </c>
      <c r="H88" s="320">
        <v>37.770000000000003</v>
      </c>
      <c r="I88" s="321">
        <v>102000</v>
      </c>
      <c r="J88" s="321">
        <v>3865540</v>
      </c>
      <c r="K88" s="320">
        <v>4</v>
      </c>
      <c r="L88" s="320">
        <v>37.770000000000003</v>
      </c>
      <c r="M88" s="320">
        <v>18</v>
      </c>
      <c r="N88" s="320">
        <v>37.840000000000003</v>
      </c>
      <c r="O88" s="320">
        <v>1</v>
      </c>
      <c r="P88" s="321">
        <v>386651000</v>
      </c>
      <c r="Q88" s="322">
        <v>9999.9500000000007</v>
      </c>
      <c r="R88" s="320">
        <v>0.01</v>
      </c>
    </row>
    <row r="89" spans="2:18">
      <c r="B89" s="319">
        <v>877</v>
      </c>
      <c r="C89" s="319" t="s">
        <v>527</v>
      </c>
      <c r="D89" s="320">
        <v>13.97</v>
      </c>
      <c r="E89" s="320">
        <v>-0.12</v>
      </c>
      <c r="F89" s="320">
        <v>14.12</v>
      </c>
      <c r="G89" s="320">
        <v>14.13</v>
      </c>
      <c r="H89" s="320">
        <v>13.96</v>
      </c>
      <c r="I89" s="321">
        <v>1551000</v>
      </c>
      <c r="J89" s="321">
        <v>21821990</v>
      </c>
      <c r="K89" s="320">
        <v>309</v>
      </c>
      <c r="L89" s="320">
        <v>13.96</v>
      </c>
      <c r="M89" s="320">
        <v>29</v>
      </c>
      <c r="N89" s="320">
        <v>13.97</v>
      </c>
      <c r="O89" s="320">
        <v>2</v>
      </c>
      <c r="P89" s="321">
        <v>367788000</v>
      </c>
      <c r="Q89" s="322">
        <v>9999.9500000000007</v>
      </c>
      <c r="R89" s="320">
        <v>0.01</v>
      </c>
    </row>
    <row r="90" spans="2:18">
      <c r="B90" s="319" t="s">
        <v>528</v>
      </c>
      <c r="C90" s="319" t="s">
        <v>529</v>
      </c>
      <c r="D90" s="320">
        <v>38.94</v>
      </c>
      <c r="E90" s="320">
        <v>0.12</v>
      </c>
      <c r="F90" s="320">
        <v>38.9</v>
      </c>
      <c r="G90" s="320">
        <v>38.94</v>
      </c>
      <c r="H90" s="320">
        <v>38.9</v>
      </c>
      <c r="I90" s="321">
        <v>262000</v>
      </c>
      <c r="J90" s="321">
        <v>10197350</v>
      </c>
      <c r="K90" s="320">
        <v>8</v>
      </c>
      <c r="L90" s="320">
        <v>38.89</v>
      </c>
      <c r="M90" s="320">
        <v>14</v>
      </c>
      <c r="N90" s="320">
        <v>38.92</v>
      </c>
      <c r="O90" s="320">
        <v>2</v>
      </c>
      <c r="P90" s="321">
        <v>8258000</v>
      </c>
      <c r="Q90" s="322">
        <v>9999.9500000000007</v>
      </c>
      <c r="R90" s="320">
        <v>0.01</v>
      </c>
    </row>
    <row r="91" spans="2:18">
      <c r="B91" s="319" t="s">
        <v>530</v>
      </c>
      <c r="C91" s="319" t="s">
        <v>531</v>
      </c>
      <c r="D91" s="320">
        <v>38.1</v>
      </c>
      <c r="E91" s="320">
        <v>0.06</v>
      </c>
      <c r="F91" s="320">
        <v>38.1</v>
      </c>
      <c r="G91" s="320">
        <v>38.11</v>
      </c>
      <c r="H91" s="320">
        <v>38.07</v>
      </c>
      <c r="I91" s="321">
        <v>328000</v>
      </c>
      <c r="J91" s="321">
        <v>12494890</v>
      </c>
      <c r="K91" s="320">
        <v>11</v>
      </c>
      <c r="L91" s="320">
        <v>38.07</v>
      </c>
      <c r="M91" s="320">
        <v>15</v>
      </c>
      <c r="N91" s="320">
        <v>38.090000000000003</v>
      </c>
      <c r="O91" s="320">
        <v>6</v>
      </c>
      <c r="P91" s="321">
        <v>26440000</v>
      </c>
      <c r="Q91" s="322">
        <v>9999.9500000000007</v>
      </c>
      <c r="R91" s="320">
        <v>0.01</v>
      </c>
    </row>
    <row r="92" spans="2:18">
      <c r="B92" s="319">
        <v>886</v>
      </c>
      <c r="C92" s="319" t="s">
        <v>532</v>
      </c>
      <c r="D92" s="320">
        <v>23.94</v>
      </c>
      <c r="E92" s="320">
        <v>0.22</v>
      </c>
      <c r="F92" s="320">
        <v>23.98</v>
      </c>
      <c r="G92" s="320">
        <v>23.98</v>
      </c>
      <c r="H92" s="320">
        <v>23.94</v>
      </c>
      <c r="I92" s="321">
        <v>200000</v>
      </c>
      <c r="J92" s="321">
        <v>4790710</v>
      </c>
      <c r="K92" s="320">
        <v>41</v>
      </c>
      <c r="L92" s="320">
        <v>23.93</v>
      </c>
      <c r="M92" s="320">
        <v>50</v>
      </c>
      <c r="N92" s="320">
        <v>23.94</v>
      </c>
      <c r="O92" s="320">
        <v>3</v>
      </c>
      <c r="P92" s="321">
        <v>15451000</v>
      </c>
      <c r="Q92" s="322">
        <v>9999.9500000000007</v>
      </c>
      <c r="R92" s="320">
        <v>0.01</v>
      </c>
    </row>
    <row r="93" spans="2:18">
      <c r="B93" s="319">
        <v>887</v>
      </c>
      <c r="C93" s="319" t="s">
        <v>533</v>
      </c>
      <c r="D93" s="320">
        <v>21.39</v>
      </c>
      <c r="E93" s="320">
        <v>0.02</v>
      </c>
      <c r="F93" s="320">
        <v>21.41</v>
      </c>
      <c r="G93" s="320">
        <v>21.5</v>
      </c>
      <c r="H93" s="320">
        <v>21.32</v>
      </c>
      <c r="I93" s="321">
        <v>552000</v>
      </c>
      <c r="J93" s="321">
        <v>11804410</v>
      </c>
      <c r="K93" s="320">
        <v>84</v>
      </c>
      <c r="L93" s="320">
        <v>21.37</v>
      </c>
      <c r="M93" s="320">
        <v>10</v>
      </c>
      <c r="N93" s="320">
        <v>21.39</v>
      </c>
      <c r="O93" s="320">
        <v>1</v>
      </c>
      <c r="P93" s="321">
        <v>33851000</v>
      </c>
      <c r="Q93" s="322">
        <v>9999.9500000000007</v>
      </c>
      <c r="R93" s="320">
        <v>0.01</v>
      </c>
    </row>
    <row r="94" spans="2:18">
      <c r="B94" s="319">
        <v>888</v>
      </c>
      <c r="C94" s="319" t="s">
        <v>534</v>
      </c>
      <c r="D94" s="320">
        <v>16.100000000000001</v>
      </c>
      <c r="E94" s="320">
        <v>0.1</v>
      </c>
      <c r="F94" s="320">
        <v>16.04</v>
      </c>
      <c r="G94" s="320">
        <v>16.100000000000001</v>
      </c>
      <c r="H94" s="320">
        <v>16.04</v>
      </c>
      <c r="I94" s="321">
        <v>3806000</v>
      </c>
      <c r="J94" s="321">
        <v>61185600</v>
      </c>
      <c r="K94" s="321">
        <v>1498</v>
      </c>
      <c r="L94" s="320">
        <v>16.09</v>
      </c>
      <c r="M94" s="320">
        <v>90</v>
      </c>
      <c r="N94" s="320">
        <v>16.100000000000001</v>
      </c>
      <c r="O94" s="320">
        <v>187</v>
      </c>
      <c r="P94" s="321">
        <v>451478000</v>
      </c>
      <c r="Q94" s="320">
        <v>17.7</v>
      </c>
      <c r="R94" s="320">
        <v>14.5</v>
      </c>
    </row>
    <row r="95" spans="2:18">
      <c r="B95" s="319" t="s">
        <v>535</v>
      </c>
      <c r="C95" s="319" t="s">
        <v>536</v>
      </c>
      <c r="D95" s="320">
        <v>39.58</v>
      </c>
      <c r="E95" s="320">
        <v>0.04</v>
      </c>
      <c r="F95" s="320">
        <v>39.58</v>
      </c>
      <c r="G95" s="320">
        <v>39.58</v>
      </c>
      <c r="H95" s="320">
        <v>39.58</v>
      </c>
      <c r="I95" s="321">
        <v>100000</v>
      </c>
      <c r="J95" s="321">
        <v>3958000</v>
      </c>
      <c r="K95" s="320">
        <v>2</v>
      </c>
      <c r="L95" s="320">
        <v>39.520000000000003</v>
      </c>
      <c r="M95" s="320">
        <v>2</v>
      </c>
      <c r="N95" s="320">
        <v>39.6</v>
      </c>
      <c r="O95" s="320">
        <v>20</v>
      </c>
      <c r="P95" s="321">
        <v>260000</v>
      </c>
      <c r="Q95" s="322">
        <v>9999.9500000000007</v>
      </c>
      <c r="R95" s="320">
        <v>0.01</v>
      </c>
    </row>
    <row r="96" spans="2:18">
      <c r="B96" s="319" t="s">
        <v>537</v>
      </c>
      <c r="C96" s="319" t="s">
        <v>538</v>
      </c>
      <c r="D96" s="320">
        <v>41.75</v>
      </c>
      <c r="E96" s="320">
        <v>0.15</v>
      </c>
      <c r="F96" s="320">
        <v>41.75</v>
      </c>
      <c r="G96" s="320">
        <v>41.75</v>
      </c>
      <c r="H96" s="320">
        <v>41.75</v>
      </c>
      <c r="I96" s="321">
        <v>100000</v>
      </c>
      <c r="J96" s="321">
        <v>4175000</v>
      </c>
      <c r="K96" s="320">
        <v>2</v>
      </c>
      <c r="L96" s="320">
        <v>41.68</v>
      </c>
      <c r="M96" s="320">
        <v>12</v>
      </c>
      <c r="N96" s="320">
        <v>41.73</v>
      </c>
      <c r="O96" s="320">
        <v>2</v>
      </c>
      <c r="P96" s="321">
        <v>37764000</v>
      </c>
      <c r="Q96" s="322">
        <v>9999.9500000000007</v>
      </c>
      <c r="R96" s="320">
        <v>0.01</v>
      </c>
    </row>
    <row r="97" spans="2:18">
      <c r="B97" s="319">
        <v>1240</v>
      </c>
      <c r="C97" s="319" t="s">
        <v>539</v>
      </c>
      <c r="D97" s="320">
        <v>51.5</v>
      </c>
      <c r="E97" s="320">
        <v>-0.3</v>
      </c>
      <c r="F97" s="320">
        <v>51.3</v>
      </c>
      <c r="G97" s="320">
        <v>51.6</v>
      </c>
      <c r="H97" s="320">
        <v>51.1</v>
      </c>
      <c r="I97" s="321">
        <v>20000</v>
      </c>
      <c r="J97" s="321">
        <v>1028800</v>
      </c>
      <c r="K97" s="320">
        <v>16</v>
      </c>
      <c r="L97" s="320">
        <v>51.2</v>
      </c>
      <c r="M97" s="320">
        <v>3</v>
      </c>
      <c r="N97" s="320">
        <v>51.7</v>
      </c>
      <c r="O97" s="320">
        <v>3</v>
      </c>
      <c r="P97" s="321">
        <v>36760185</v>
      </c>
      <c r="Q97" s="320">
        <v>56.6</v>
      </c>
      <c r="R97" s="320">
        <v>46.35</v>
      </c>
    </row>
    <row r="98" spans="2:18">
      <c r="B98" s="319">
        <v>1258</v>
      </c>
      <c r="C98" s="319" t="s">
        <v>540</v>
      </c>
      <c r="D98" s="320">
        <v>19.149999999999999</v>
      </c>
      <c r="E98" s="320">
        <v>0.15</v>
      </c>
      <c r="F98" s="320">
        <v>19.45</v>
      </c>
      <c r="G98" s="320">
        <v>19.5</v>
      </c>
      <c r="H98" s="320">
        <v>19.149999999999999</v>
      </c>
      <c r="I98" s="321">
        <v>31000</v>
      </c>
      <c r="J98" s="321">
        <v>602300</v>
      </c>
      <c r="K98" s="320">
        <v>15</v>
      </c>
      <c r="L98" s="320">
        <v>19.100000000000001</v>
      </c>
      <c r="M98" s="320">
        <v>3</v>
      </c>
      <c r="N98" s="320">
        <v>19.2</v>
      </c>
      <c r="O98" s="320">
        <v>1</v>
      </c>
      <c r="P98" s="321">
        <v>36819791</v>
      </c>
      <c r="Q98" s="320">
        <v>21.05</v>
      </c>
      <c r="R98" s="320">
        <v>17.25</v>
      </c>
    </row>
    <row r="99" spans="2:18">
      <c r="B99" s="319">
        <v>1259</v>
      </c>
      <c r="C99" s="319" t="s">
        <v>541</v>
      </c>
      <c r="D99" s="320" t="s">
        <v>478</v>
      </c>
      <c r="E99" s="320" t="s">
        <v>479</v>
      </c>
      <c r="F99" s="320" t="s">
        <v>478</v>
      </c>
      <c r="G99" s="320" t="s">
        <v>478</v>
      </c>
      <c r="H99" s="320" t="s">
        <v>478</v>
      </c>
      <c r="I99" s="320">
        <v>0</v>
      </c>
      <c r="J99" s="320">
        <v>0</v>
      </c>
      <c r="K99" s="320">
        <v>0</v>
      </c>
      <c r="L99" s="320">
        <v>68.599999999999994</v>
      </c>
      <c r="M99" s="320">
        <v>1</v>
      </c>
      <c r="N99" s="320">
        <v>68.8</v>
      </c>
      <c r="O99" s="320">
        <v>1</v>
      </c>
      <c r="P99" s="321">
        <v>32389500</v>
      </c>
      <c r="Q99" s="320">
        <v>75.599999999999994</v>
      </c>
      <c r="R99" s="320">
        <v>62</v>
      </c>
    </row>
    <row r="100" spans="2:18">
      <c r="B100" s="319">
        <v>1264</v>
      </c>
      <c r="C100" s="319" t="s">
        <v>542</v>
      </c>
      <c r="D100" s="320">
        <v>292</v>
      </c>
      <c r="E100" s="320">
        <v>-0.5</v>
      </c>
      <c r="F100" s="320">
        <v>293</v>
      </c>
      <c r="G100" s="320">
        <v>293</v>
      </c>
      <c r="H100" s="320">
        <v>292</v>
      </c>
      <c r="I100" s="321">
        <v>10000</v>
      </c>
      <c r="J100" s="321">
        <v>2925500</v>
      </c>
      <c r="K100" s="320">
        <v>8</v>
      </c>
      <c r="L100" s="320">
        <v>291.5</v>
      </c>
      <c r="M100" s="320">
        <v>1</v>
      </c>
      <c r="N100" s="320">
        <v>293</v>
      </c>
      <c r="O100" s="320">
        <v>2</v>
      </c>
      <c r="P100" s="321">
        <v>37064367</v>
      </c>
      <c r="Q100" s="320">
        <v>321</v>
      </c>
      <c r="R100" s="320">
        <v>263</v>
      </c>
    </row>
    <row r="101" spans="2:18">
      <c r="B101" s="319">
        <v>1268</v>
      </c>
      <c r="C101" s="319" t="s">
        <v>543</v>
      </c>
      <c r="D101" s="320">
        <v>111.5</v>
      </c>
      <c r="E101" s="320">
        <v>0.5</v>
      </c>
      <c r="F101" s="320">
        <v>111</v>
      </c>
      <c r="G101" s="320">
        <v>111.5</v>
      </c>
      <c r="H101" s="320">
        <v>111</v>
      </c>
      <c r="I101" s="321">
        <v>13000</v>
      </c>
      <c r="J101" s="321">
        <v>1445000</v>
      </c>
      <c r="K101" s="320">
        <v>13</v>
      </c>
      <c r="L101" s="320">
        <v>111</v>
      </c>
      <c r="M101" s="320">
        <v>5</v>
      </c>
      <c r="N101" s="320">
        <v>111.5</v>
      </c>
      <c r="O101" s="320">
        <v>3</v>
      </c>
      <c r="P101" s="321">
        <v>42723730</v>
      </c>
      <c r="Q101" s="320">
        <v>122.5</v>
      </c>
      <c r="R101" s="320">
        <v>100.5</v>
      </c>
    </row>
    <row r="102" spans="2:18">
      <c r="B102" s="319">
        <v>1336</v>
      </c>
      <c r="C102" s="319" t="s">
        <v>544</v>
      </c>
      <c r="D102" s="320">
        <v>21.3</v>
      </c>
      <c r="E102" s="320">
        <v>0</v>
      </c>
      <c r="F102" s="320">
        <v>21.45</v>
      </c>
      <c r="G102" s="320">
        <v>21.45</v>
      </c>
      <c r="H102" s="320">
        <v>21.3</v>
      </c>
      <c r="I102" s="321">
        <v>35000</v>
      </c>
      <c r="J102" s="321">
        <v>748550</v>
      </c>
      <c r="K102" s="320">
        <v>18</v>
      </c>
      <c r="L102" s="320">
        <v>21.2</v>
      </c>
      <c r="M102" s="320">
        <v>5</v>
      </c>
      <c r="N102" s="320">
        <v>21.3</v>
      </c>
      <c r="O102" s="320">
        <v>1</v>
      </c>
      <c r="P102" s="321">
        <v>77098419</v>
      </c>
      <c r="Q102" s="320">
        <v>23.4</v>
      </c>
      <c r="R102" s="320">
        <v>19.2</v>
      </c>
    </row>
    <row r="103" spans="2:18">
      <c r="B103" s="319">
        <v>1565</v>
      </c>
      <c r="C103" s="319" t="s">
        <v>545</v>
      </c>
      <c r="D103" s="320">
        <v>309.5</v>
      </c>
      <c r="E103" s="320">
        <v>-0.5</v>
      </c>
      <c r="F103" s="320">
        <v>313.5</v>
      </c>
      <c r="G103" s="320">
        <v>313.5</v>
      </c>
      <c r="H103" s="320">
        <v>309.5</v>
      </c>
      <c r="I103" s="321">
        <v>90000</v>
      </c>
      <c r="J103" s="321">
        <v>27944500</v>
      </c>
      <c r="K103" s="320">
        <v>76</v>
      </c>
      <c r="L103" s="320">
        <v>309.5</v>
      </c>
      <c r="M103" s="320">
        <v>3</v>
      </c>
      <c r="N103" s="320">
        <v>310</v>
      </c>
      <c r="O103" s="320">
        <v>2</v>
      </c>
      <c r="P103" s="321">
        <v>50416516</v>
      </c>
      <c r="Q103" s="320">
        <v>340</v>
      </c>
      <c r="R103" s="320">
        <v>279</v>
      </c>
    </row>
    <row r="104" spans="2:18">
      <c r="B104" s="319">
        <v>1569</v>
      </c>
      <c r="C104" s="319" t="s">
        <v>546</v>
      </c>
      <c r="D104" s="320">
        <v>25.2</v>
      </c>
      <c r="E104" s="320">
        <v>-0.05</v>
      </c>
      <c r="F104" s="320">
        <v>25.55</v>
      </c>
      <c r="G104" s="320">
        <v>25.55</v>
      </c>
      <c r="H104" s="320">
        <v>25.1</v>
      </c>
      <c r="I104" s="321">
        <v>221000</v>
      </c>
      <c r="J104" s="321">
        <v>5575950</v>
      </c>
      <c r="K104" s="320">
        <v>116</v>
      </c>
      <c r="L104" s="320">
        <v>25.2</v>
      </c>
      <c r="M104" s="320">
        <v>2</v>
      </c>
      <c r="N104" s="320">
        <v>25.25</v>
      </c>
      <c r="O104" s="320">
        <v>9</v>
      </c>
      <c r="P104" s="321">
        <v>120687081</v>
      </c>
      <c r="Q104" s="320">
        <v>27.7</v>
      </c>
      <c r="R104" s="320">
        <v>22.7</v>
      </c>
    </row>
    <row r="105" spans="2:18">
      <c r="B105" s="319">
        <v>1570</v>
      </c>
      <c r="C105" s="319" t="s">
        <v>547</v>
      </c>
      <c r="D105" s="320">
        <v>23.45</v>
      </c>
      <c r="E105" s="320">
        <v>0.4</v>
      </c>
      <c r="F105" s="320">
        <v>23.1</v>
      </c>
      <c r="G105" s="320">
        <v>24.2</v>
      </c>
      <c r="H105" s="320">
        <v>23.1</v>
      </c>
      <c r="I105" s="321">
        <v>1643000</v>
      </c>
      <c r="J105" s="321">
        <v>38900650</v>
      </c>
      <c r="K105" s="320">
        <v>877</v>
      </c>
      <c r="L105" s="320">
        <v>23.45</v>
      </c>
      <c r="M105" s="320">
        <v>2</v>
      </c>
      <c r="N105" s="320">
        <v>23.5</v>
      </c>
      <c r="O105" s="320">
        <v>1</v>
      </c>
      <c r="P105" s="321">
        <v>51500839</v>
      </c>
      <c r="Q105" s="320">
        <v>25.75</v>
      </c>
      <c r="R105" s="320">
        <v>21.15</v>
      </c>
    </row>
    <row r="106" spans="2:18">
      <c r="B106" s="319">
        <v>1580</v>
      </c>
      <c r="C106" s="319" t="s">
        <v>548</v>
      </c>
      <c r="D106" s="320">
        <v>106</v>
      </c>
      <c r="E106" s="320">
        <v>0</v>
      </c>
      <c r="F106" s="320">
        <v>106.5</v>
      </c>
      <c r="G106" s="320">
        <v>106.5</v>
      </c>
      <c r="H106" s="320">
        <v>105.5</v>
      </c>
      <c r="I106" s="321">
        <v>29000</v>
      </c>
      <c r="J106" s="321">
        <v>3071500</v>
      </c>
      <c r="K106" s="320">
        <v>24</v>
      </c>
      <c r="L106" s="320">
        <v>105.5</v>
      </c>
      <c r="M106" s="320">
        <v>19</v>
      </c>
      <c r="N106" s="320">
        <v>106</v>
      </c>
      <c r="O106" s="320">
        <v>1</v>
      </c>
      <c r="P106" s="321">
        <v>50230242</v>
      </c>
      <c r="Q106" s="320">
        <v>116.5</v>
      </c>
      <c r="R106" s="320">
        <v>95.4</v>
      </c>
    </row>
    <row r="107" spans="2:18">
      <c r="B107" s="319">
        <v>1584</v>
      </c>
      <c r="C107" s="319" t="s">
        <v>549</v>
      </c>
      <c r="D107" s="320">
        <v>18</v>
      </c>
      <c r="E107" s="320">
        <v>-0.05</v>
      </c>
      <c r="F107" s="320">
        <v>18.05</v>
      </c>
      <c r="G107" s="320">
        <v>18.05</v>
      </c>
      <c r="H107" s="320">
        <v>17.75</v>
      </c>
      <c r="I107" s="321">
        <v>301000</v>
      </c>
      <c r="J107" s="321">
        <v>5378900</v>
      </c>
      <c r="K107" s="320">
        <v>161</v>
      </c>
      <c r="L107" s="320">
        <v>17.8</v>
      </c>
      <c r="M107" s="320">
        <v>1</v>
      </c>
      <c r="N107" s="320">
        <v>18.05</v>
      </c>
      <c r="O107" s="320">
        <v>6</v>
      </c>
      <c r="P107" s="321">
        <v>122470533</v>
      </c>
      <c r="Q107" s="320">
        <v>19.8</v>
      </c>
      <c r="R107" s="320">
        <v>16.2</v>
      </c>
    </row>
    <row r="108" spans="2:18">
      <c r="B108" s="319">
        <v>1586</v>
      </c>
      <c r="C108" s="319" t="s">
        <v>28</v>
      </c>
      <c r="D108" s="320">
        <v>42</v>
      </c>
      <c r="E108" s="320">
        <v>0</v>
      </c>
      <c r="F108" s="320">
        <v>42.2</v>
      </c>
      <c r="G108" s="320">
        <v>42.3</v>
      </c>
      <c r="H108" s="320">
        <v>41.8</v>
      </c>
      <c r="I108" s="321">
        <v>107000</v>
      </c>
      <c r="J108" s="321">
        <v>4486850</v>
      </c>
      <c r="K108" s="320">
        <v>88</v>
      </c>
      <c r="L108" s="320">
        <v>41.9</v>
      </c>
      <c r="M108" s="320">
        <v>1</v>
      </c>
      <c r="N108" s="320">
        <v>42</v>
      </c>
      <c r="O108" s="320">
        <v>15</v>
      </c>
      <c r="P108" s="321">
        <v>85841954</v>
      </c>
      <c r="Q108" s="320">
        <v>46.2</v>
      </c>
      <c r="R108" s="320">
        <v>37.799999999999997</v>
      </c>
    </row>
    <row r="109" spans="2:18">
      <c r="B109" s="319">
        <v>1591</v>
      </c>
      <c r="C109" s="319" t="s">
        <v>550</v>
      </c>
      <c r="D109" s="320">
        <v>14.6</v>
      </c>
      <c r="E109" s="320">
        <v>0</v>
      </c>
      <c r="F109" s="320">
        <v>14.65</v>
      </c>
      <c r="G109" s="320">
        <v>14.65</v>
      </c>
      <c r="H109" s="320">
        <v>14.45</v>
      </c>
      <c r="I109" s="321">
        <v>106000</v>
      </c>
      <c r="J109" s="321">
        <v>1542900</v>
      </c>
      <c r="K109" s="320">
        <v>38</v>
      </c>
      <c r="L109" s="320">
        <v>14.5</v>
      </c>
      <c r="M109" s="320">
        <v>4</v>
      </c>
      <c r="N109" s="320">
        <v>14.6</v>
      </c>
      <c r="O109" s="320">
        <v>7</v>
      </c>
      <c r="P109" s="321">
        <v>33164807</v>
      </c>
      <c r="Q109" s="320">
        <v>16.05</v>
      </c>
      <c r="R109" s="320">
        <v>13.15</v>
      </c>
    </row>
    <row r="110" spans="2:18">
      <c r="B110" s="319">
        <v>1593</v>
      </c>
      <c r="C110" s="319" t="s">
        <v>551</v>
      </c>
      <c r="D110" s="320">
        <v>82</v>
      </c>
      <c r="E110" s="320">
        <v>-0.3</v>
      </c>
      <c r="F110" s="320">
        <v>81.3</v>
      </c>
      <c r="G110" s="320">
        <v>84.4</v>
      </c>
      <c r="H110" s="320">
        <v>81.3</v>
      </c>
      <c r="I110" s="321">
        <v>20000</v>
      </c>
      <c r="J110" s="321">
        <v>1650500</v>
      </c>
      <c r="K110" s="320">
        <v>18</v>
      </c>
      <c r="L110" s="320">
        <v>82</v>
      </c>
      <c r="M110" s="320">
        <v>1</v>
      </c>
      <c r="N110" s="320">
        <v>82.3</v>
      </c>
      <c r="O110" s="320">
        <v>1</v>
      </c>
      <c r="P110" s="321">
        <v>35227533</v>
      </c>
      <c r="Q110" s="320">
        <v>90.2</v>
      </c>
      <c r="R110" s="320">
        <v>73.8</v>
      </c>
    </row>
    <row r="111" spans="2:18">
      <c r="B111" s="319">
        <v>1595</v>
      </c>
      <c r="C111" s="319" t="s">
        <v>552</v>
      </c>
      <c r="D111" s="320">
        <v>45.3</v>
      </c>
      <c r="E111" s="320">
        <v>-0.35</v>
      </c>
      <c r="F111" s="320">
        <v>45.9</v>
      </c>
      <c r="G111" s="320">
        <v>45.9</v>
      </c>
      <c r="H111" s="320">
        <v>45</v>
      </c>
      <c r="I111" s="321">
        <v>86000</v>
      </c>
      <c r="J111" s="321">
        <v>3911550</v>
      </c>
      <c r="K111" s="320">
        <v>54</v>
      </c>
      <c r="L111" s="320">
        <v>45.3</v>
      </c>
      <c r="M111" s="320">
        <v>4</v>
      </c>
      <c r="N111" s="320">
        <v>45.6</v>
      </c>
      <c r="O111" s="320">
        <v>1</v>
      </c>
      <c r="P111" s="321">
        <v>47148134</v>
      </c>
      <c r="Q111" s="320">
        <v>49.8</v>
      </c>
      <c r="R111" s="320">
        <v>40.799999999999997</v>
      </c>
    </row>
    <row r="112" spans="2:18">
      <c r="B112" s="319">
        <v>1599</v>
      </c>
      <c r="C112" s="319" t="s">
        <v>29</v>
      </c>
      <c r="D112" s="320">
        <v>47.05</v>
      </c>
      <c r="E112" s="320">
        <v>-0.6</v>
      </c>
      <c r="F112" s="320">
        <v>48.2</v>
      </c>
      <c r="G112" s="320">
        <v>48.2</v>
      </c>
      <c r="H112" s="320">
        <v>46.95</v>
      </c>
      <c r="I112" s="321">
        <v>1007000</v>
      </c>
      <c r="J112" s="321">
        <v>47785000</v>
      </c>
      <c r="K112" s="320">
        <v>592</v>
      </c>
      <c r="L112" s="320">
        <v>47.05</v>
      </c>
      <c r="M112" s="320">
        <v>25</v>
      </c>
      <c r="N112" s="320">
        <v>47.15</v>
      </c>
      <c r="O112" s="320">
        <v>63</v>
      </c>
      <c r="P112" s="321">
        <v>74528764</v>
      </c>
      <c r="Q112" s="320">
        <v>51.7</v>
      </c>
      <c r="R112" s="320">
        <v>42.35</v>
      </c>
    </row>
    <row r="113" spans="2:18">
      <c r="B113" s="319">
        <v>1742</v>
      </c>
      <c r="C113" s="319" t="s">
        <v>553</v>
      </c>
      <c r="D113" s="320">
        <v>19.600000000000001</v>
      </c>
      <c r="E113" s="320">
        <v>-0.1</v>
      </c>
      <c r="F113" s="320">
        <v>19.8</v>
      </c>
      <c r="G113" s="320">
        <v>19.8</v>
      </c>
      <c r="H113" s="320">
        <v>19.600000000000001</v>
      </c>
      <c r="I113" s="321">
        <v>61000</v>
      </c>
      <c r="J113" s="321">
        <v>1198100</v>
      </c>
      <c r="K113" s="320">
        <v>39</v>
      </c>
      <c r="L113" s="320">
        <v>19.600000000000001</v>
      </c>
      <c r="M113" s="320">
        <v>12</v>
      </c>
      <c r="N113" s="320">
        <v>19.7</v>
      </c>
      <c r="O113" s="320">
        <v>1</v>
      </c>
      <c r="P113" s="321">
        <v>81550000</v>
      </c>
      <c r="Q113" s="320">
        <v>21.55</v>
      </c>
      <c r="R113" s="320">
        <v>17.649999999999999</v>
      </c>
    </row>
    <row r="114" spans="2:18">
      <c r="B114" s="319">
        <v>1752</v>
      </c>
      <c r="C114" s="319" t="s">
        <v>554</v>
      </c>
      <c r="D114" s="320">
        <v>38.700000000000003</v>
      </c>
      <c r="E114" s="320">
        <v>-0.1</v>
      </c>
      <c r="F114" s="320">
        <v>38.85</v>
      </c>
      <c r="G114" s="320">
        <v>38.85</v>
      </c>
      <c r="H114" s="320">
        <v>38.549999999999997</v>
      </c>
      <c r="I114" s="321">
        <v>76000</v>
      </c>
      <c r="J114" s="321">
        <v>2942650</v>
      </c>
      <c r="K114" s="320">
        <v>64</v>
      </c>
      <c r="L114" s="320">
        <v>38.65</v>
      </c>
      <c r="M114" s="320">
        <v>2</v>
      </c>
      <c r="N114" s="320">
        <v>38.700000000000003</v>
      </c>
      <c r="O114" s="320">
        <v>4</v>
      </c>
      <c r="P114" s="321">
        <v>100988472</v>
      </c>
      <c r="Q114" s="320">
        <v>42.55</v>
      </c>
      <c r="R114" s="320">
        <v>34.85</v>
      </c>
    </row>
    <row r="115" spans="2:18">
      <c r="B115" s="319">
        <v>1777</v>
      </c>
      <c r="C115" s="319" t="s">
        <v>555</v>
      </c>
      <c r="D115" s="320">
        <v>64.900000000000006</v>
      </c>
      <c r="E115" s="320">
        <v>0.5</v>
      </c>
      <c r="F115" s="320">
        <v>64.400000000000006</v>
      </c>
      <c r="G115" s="320">
        <v>64.900000000000006</v>
      </c>
      <c r="H115" s="320">
        <v>64.400000000000006</v>
      </c>
      <c r="I115" s="321">
        <v>80000</v>
      </c>
      <c r="J115" s="321">
        <v>5179900</v>
      </c>
      <c r="K115" s="320">
        <v>66</v>
      </c>
      <c r="L115" s="320">
        <v>64.8</v>
      </c>
      <c r="M115" s="320">
        <v>10</v>
      </c>
      <c r="N115" s="320">
        <v>64.900000000000006</v>
      </c>
      <c r="O115" s="320">
        <v>1</v>
      </c>
      <c r="P115" s="321">
        <v>40059550</v>
      </c>
      <c r="Q115" s="320">
        <v>71.3</v>
      </c>
      <c r="R115" s="320">
        <v>58.5</v>
      </c>
    </row>
    <row r="116" spans="2:18">
      <c r="B116" s="319">
        <v>1781</v>
      </c>
      <c r="C116" s="319" t="s">
        <v>556</v>
      </c>
      <c r="D116" s="320">
        <v>15.55</v>
      </c>
      <c r="E116" s="320">
        <v>-0.25</v>
      </c>
      <c r="F116" s="320">
        <v>15.8</v>
      </c>
      <c r="G116" s="320">
        <v>15.9</v>
      </c>
      <c r="H116" s="320">
        <v>15.45</v>
      </c>
      <c r="I116" s="321">
        <v>76000</v>
      </c>
      <c r="J116" s="321">
        <v>1190200</v>
      </c>
      <c r="K116" s="320">
        <v>44</v>
      </c>
      <c r="L116" s="320">
        <v>15.5</v>
      </c>
      <c r="M116" s="320">
        <v>2</v>
      </c>
      <c r="N116" s="320">
        <v>15.75</v>
      </c>
      <c r="O116" s="320">
        <v>9</v>
      </c>
      <c r="P116" s="321">
        <v>47407605</v>
      </c>
      <c r="Q116" s="320">
        <v>17.100000000000001</v>
      </c>
      <c r="R116" s="320">
        <v>14</v>
      </c>
    </row>
    <row r="117" spans="2:18">
      <c r="B117" s="319">
        <v>1784</v>
      </c>
      <c r="C117" s="319" t="s">
        <v>557</v>
      </c>
      <c r="D117" s="320">
        <v>39.4</v>
      </c>
      <c r="E117" s="320">
        <v>0.05</v>
      </c>
      <c r="F117" s="320">
        <v>39.4</v>
      </c>
      <c r="G117" s="320">
        <v>39.5</v>
      </c>
      <c r="H117" s="320">
        <v>39.35</v>
      </c>
      <c r="I117" s="321">
        <v>60000</v>
      </c>
      <c r="J117" s="321">
        <v>2364150</v>
      </c>
      <c r="K117" s="320">
        <v>45</v>
      </c>
      <c r="L117" s="320">
        <v>39.4</v>
      </c>
      <c r="M117" s="320">
        <v>3</v>
      </c>
      <c r="N117" s="320">
        <v>39.450000000000003</v>
      </c>
      <c r="O117" s="320">
        <v>10</v>
      </c>
      <c r="P117" s="321">
        <v>49626924</v>
      </c>
      <c r="Q117" s="320">
        <v>43.3</v>
      </c>
      <c r="R117" s="320">
        <v>35.5</v>
      </c>
    </row>
    <row r="118" spans="2:18">
      <c r="B118" s="319">
        <v>1785</v>
      </c>
      <c r="C118" s="319" t="s">
        <v>558</v>
      </c>
      <c r="D118" s="320">
        <v>49.4</v>
      </c>
      <c r="E118" s="320">
        <v>-0.5</v>
      </c>
      <c r="F118" s="320">
        <v>50.5</v>
      </c>
      <c r="G118" s="320">
        <v>50.5</v>
      </c>
      <c r="H118" s="320">
        <v>49.4</v>
      </c>
      <c r="I118" s="321">
        <v>2812000</v>
      </c>
      <c r="J118" s="321">
        <v>139796600</v>
      </c>
      <c r="K118" s="321">
        <v>1651</v>
      </c>
      <c r="L118" s="320">
        <v>49.4</v>
      </c>
      <c r="M118" s="320">
        <v>119</v>
      </c>
      <c r="N118" s="320">
        <v>49.45</v>
      </c>
      <c r="O118" s="320">
        <v>118</v>
      </c>
      <c r="P118" s="321">
        <v>591931243</v>
      </c>
      <c r="Q118" s="320">
        <v>54.3</v>
      </c>
      <c r="R118" s="320">
        <v>44.5</v>
      </c>
    </row>
    <row r="119" spans="2:18">
      <c r="B119" s="319">
        <v>1788</v>
      </c>
      <c r="C119" s="319" t="s">
        <v>559</v>
      </c>
      <c r="D119" s="320">
        <v>145</v>
      </c>
      <c r="E119" s="320">
        <v>1</v>
      </c>
      <c r="F119" s="320">
        <v>144</v>
      </c>
      <c r="G119" s="320">
        <v>146</v>
      </c>
      <c r="H119" s="320">
        <v>144</v>
      </c>
      <c r="I119" s="321">
        <v>21000</v>
      </c>
      <c r="J119" s="321">
        <v>3042500</v>
      </c>
      <c r="K119" s="320">
        <v>20</v>
      </c>
      <c r="L119" s="320">
        <v>144.5</v>
      </c>
      <c r="M119" s="320">
        <v>5</v>
      </c>
      <c r="N119" s="320">
        <v>145</v>
      </c>
      <c r="O119" s="320">
        <v>5</v>
      </c>
      <c r="P119" s="321">
        <v>39885164</v>
      </c>
      <c r="Q119" s="320">
        <v>159.5</v>
      </c>
      <c r="R119" s="320">
        <v>130.5</v>
      </c>
    </row>
    <row r="120" spans="2:18">
      <c r="B120" s="319">
        <v>1796</v>
      </c>
      <c r="C120" s="319" t="s">
        <v>560</v>
      </c>
      <c r="D120" s="320">
        <v>43.85</v>
      </c>
      <c r="E120" s="320">
        <v>0.35</v>
      </c>
      <c r="F120" s="320">
        <v>43.65</v>
      </c>
      <c r="G120" s="320">
        <v>44.5</v>
      </c>
      <c r="H120" s="320">
        <v>43.65</v>
      </c>
      <c r="I120" s="321">
        <v>28000</v>
      </c>
      <c r="J120" s="321">
        <v>1237200</v>
      </c>
      <c r="K120" s="320">
        <v>23</v>
      </c>
      <c r="L120" s="320">
        <v>43.8</v>
      </c>
      <c r="M120" s="320">
        <v>2</v>
      </c>
      <c r="N120" s="320">
        <v>44</v>
      </c>
      <c r="O120" s="320">
        <v>2</v>
      </c>
      <c r="P120" s="321">
        <v>40789391</v>
      </c>
      <c r="Q120" s="320">
        <v>48.2</v>
      </c>
      <c r="R120" s="320">
        <v>39.5</v>
      </c>
    </row>
    <row r="121" spans="2:18">
      <c r="B121" s="319">
        <v>1799</v>
      </c>
      <c r="C121" s="319" t="s">
        <v>561</v>
      </c>
      <c r="D121" s="320">
        <v>16.2</v>
      </c>
      <c r="E121" s="320">
        <v>-0.15</v>
      </c>
      <c r="F121" s="320">
        <v>16.350000000000001</v>
      </c>
      <c r="G121" s="320">
        <v>16.350000000000001</v>
      </c>
      <c r="H121" s="320">
        <v>16</v>
      </c>
      <c r="I121" s="321">
        <v>66000</v>
      </c>
      <c r="J121" s="321">
        <v>1066450</v>
      </c>
      <c r="K121" s="320">
        <v>49</v>
      </c>
      <c r="L121" s="320">
        <v>16.149999999999999</v>
      </c>
      <c r="M121" s="320">
        <v>1</v>
      </c>
      <c r="N121" s="320">
        <v>16.2</v>
      </c>
      <c r="O121" s="320">
        <v>5</v>
      </c>
      <c r="P121" s="321">
        <v>163379678</v>
      </c>
      <c r="Q121" s="320">
        <v>17.8</v>
      </c>
      <c r="R121" s="320">
        <v>14.6</v>
      </c>
    </row>
    <row r="122" spans="2:18">
      <c r="B122" s="319">
        <v>1813</v>
      </c>
      <c r="C122" s="319" t="s">
        <v>562</v>
      </c>
      <c r="D122" s="320">
        <v>18.100000000000001</v>
      </c>
      <c r="E122" s="320">
        <v>-0.05</v>
      </c>
      <c r="F122" s="320">
        <v>18.149999999999999</v>
      </c>
      <c r="G122" s="320">
        <v>18.149999999999999</v>
      </c>
      <c r="H122" s="320">
        <v>18.100000000000001</v>
      </c>
      <c r="I122" s="321">
        <v>17000</v>
      </c>
      <c r="J122" s="321">
        <v>308150</v>
      </c>
      <c r="K122" s="320">
        <v>13</v>
      </c>
      <c r="L122" s="320">
        <v>18.100000000000001</v>
      </c>
      <c r="M122" s="320">
        <v>1</v>
      </c>
      <c r="N122" s="320">
        <v>18.149999999999999</v>
      </c>
      <c r="O122" s="320">
        <v>3</v>
      </c>
      <c r="P122" s="321">
        <v>46635510</v>
      </c>
      <c r="Q122" s="320">
        <v>19.899999999999999</v>
      </c>
      <c r="R122" s="320">
        <v>16.3</v>
      </c>
    </row>
    <row r="123" spans="2:18">
      <c r="B123" s="319">
        <v>1815</v>
      </c>
      <c r="C123" s="319" t="s">
        <v>563</v>
      </c>
      <c r="D123" s="320">
        <v>17.55</v>
      </c>
      <c r="E123" s="320">
        <v>-0.05</v>
      </c>
      <c r="F123" s="320">
        <v>17.600000000000001</v>
      </c>
      <c r="G123" s="320">
        <v>17.95</v>
      </c>
      <c r="H123" s="320">
        <v>17.5</v>
      </c>
      <c r="I123" s="321">
        <v>10140000</v>
      </c>
      <c r="J123" s="321">
        <v>179855200</v>
      </c>
      <c r="K123" s="321">
        <v>2557</v>
      </c>
      <c r="L123" s="320">
        <v>17.5</v>
      </c>
      <c r="M123" s="320">
        <v>81</v>
      </c>
      <c r="N123" s="320">
        <v>17.55</v>
      </c>
      <c r="O123" s="320">
        <v>3</v>
      </c>
      <c r="P123" s="321">
        <v>428477670</v>
      </c>
      <c r="Q123" s="320">
        <v>19.3</v>
      </c>
      <c r="R123" s="320">
        <v>15.8</v>
      </c>
    </row>
    <row r="124" spans="2:18">
      <c r="B124" s="319" t="s">
        <v>564</v>
      </c>
      <c r="C124" s="319" t="s">
        <v>565</v>
      </c>
      <c r="D124" s="320" t="s">
        <v>478</v>
      </c>
      <c r="E124" s="320" t="s">
        <v>479</v>
      </c>
      <c r="F124" s="320" t="s">
        <v>478</v>
      </c>
      <c r="G124" s="320" t="s">
        <v>478</v>
      </c>
      <c r="H124" s="320" t="s">
        <v>478</v>
      </c>
      <c r="I124" s="320">
        <v>0</v>
      </c>
      <c r="J124" s="320">
        <v>0</v>
      </c>
      <c r="K124" s="320">
        <v>0</v>
      </c>
      <c r="L124" s="320">
        <v>9.6199999999999992</v>
      </c>
      <c r="M124" s="320">
        <v>492</v>
      </c>
      <c r="N124" s="320">
        <v>9.64</v>
      </c>
      <c r="O124" s="320">
        <v>286</v>
      </c>
      <c r="P124" s="321">
        <v>20000000</v>
      </c>
      <c r="Q124" s="322">
        <v>9999.9500000000007</v>
      </c>
      <c r="R124" s="320">
        <v>0.01</v>
      </c>
    </row>
    <row r="125" spans="2:18">
      <c r="B125" s="319" t="s">
        <v>566</v>
      </c>
      <c r="C125" s="319" t="s">
        <v>567</v>
      </c>
      <c r="D125" s="320">
        <v>8.69</v>
      </c>
      <c r="E125" s="320">
        <v>0.09</v>
      </c>
      <c r="F125" s="320">
        <v>8.7200000000000006</v>
      </c>
      <c r="G125" s="320">
        <v>8.7200000000000006</v>
      </c>
      <c r="H125" s="320">
        <v>8.69</v>
      </c>
      <c r="I125" s="321">
        <v>12000</v>
      </c>
      <c r="J125" s="321">
        <v>104430</v>
      </c>
      <c r="K125" s="320">
        <v>7</v>
      </c>
      <c r="L125" s="320">
        <v>8.66</v>
      </c>
      <c r="M125" s="320">
        <v>231</v>
      </c>
      <c r="N125" s="320">
        <v>8.67</v>
      </c>
      <c r="O125" s="320">
        <v>111</v>
      </c>
      <c r="P125" s="321">
        <v>40000000</v>
      </c>
      <c r="Q125" s="320">
        <v>10.42</v>
      </c>
      <c r="R125" s="320">
        <v>6.96</v>
      </c>
    </row>
    <row r="126" spans="2:18">
      <c r="B126" s="319" t="s">
        <v>568</v>
      </c>
      <c r="C126" s="319" t="s">
        <v>569</v>
      </c>
      <c r="D126" s="320" t="s">
        <v>478</v>
      </c>
      <c r="E126" s="320" t="s">
        <v>479</v>
      </c>
      <c r="F126" s="320" t="s">
        <v>478</v>
      </c>
      <c r="G126" s="320" t="s">
        <v>478</v>
      </c>
      <c r="H126" s="320" t="s">
        <v>478</v>
      </c>
      <c r="I126" s="320">
        <v>0</v>
      </c>
      <c r="J126" s="320">
        <v>0</v>
      </c>
      <c r="K126" s="320">
        <v>0</v>
      </c>
      <c r="L126" s="320">
        <v>8.7100000000000009</v>
      </c>
      <c r="M126" s="320">
        <v>200</v>
      </c>
      <c r="N126" s="320">
        <v>8.75</v>
      </c>
      <c r="O126" s="320">
        <v>60</v>
      </c>
      <c r="P126" s="321">
        <v>40000000</v>
      </c>
      <c r="Q126" s="320">
        <v>10.45</v>
      </c>
      <c r="R126" s="320">
        <v>6.97</v>
      </c>
    </row>
    <row r="127" spans="2:18">
      <c r="B127" s="319">
        <v>2035</v>
      </c>
      <c r="C127" s="319" t="s">
        <v>570</v>
      </c>
      <c r="D127" s="320">
        <v>35.9</v>
      </c>
      <c r="E127" s="320">
        <v>-0.2</v>
      </c>
      <c r="F127" s="320">
        <v>36.1</v>
      </c>
      <c r="G127" s="320">
        <v>36.1</v>
      </c>
      <c r="H127" s="320">
        <v>35.85</v>
      </c>
      <c r="I127" s="321">
        <v>11000</v>
      </c>
      <c r="J127" s="321">
        <v>395100</v>
      </c>
      <c r="K127" s="320">
        <v>10</v>
      </c>
      <c r="L127" s="320">
        <v>35.799999999999997</v>
      </c>
      <c r="M127" s="320">
        <v>3</v>
      </c>
      <c r="N127" s="320">
        <v>36</v>
      </c>
      <c r="O127" s="320">
        <v>2</v>
      </c>
      <c r="P127" s="321">
        <v>350000000</v>
      </c>
      <c r="Q127" s="320">
        <v>39.450000000000003</v>
      </c>
      <c r="R127" s="320">
        <v>32.35</v>
      </c>
    </row>
    <row r="128" spans="2:18">
      <c r="B128" s="319">
        <v>2061</v>
      </c>
      <c r="C128" s="319" t="s">
        <v>571</v>
      </c>
      <c r="D128" s="320">
        <v>22.4</v>
      </c>
      <c r="E128" s="320">
        <v>-0.3</v>
      </c>
      <c r="F128" s="320">
        <v>22.8</v>
      </c>
      <c r="G128" s="320">
        <v>22.8</v>
      </c>
      <c r="H128" s="320">
        <v>22.35</v>
      </c>
      <c r="I128" s="321">
        <v>114000</v>
      </c>
      <c r="J128" s="321">
        <v>2571850</v>
      </c>
      <c r="K128" s="320">
        <v>63</v>
      </c>
      <c r="L128" s="320">
        <v>22.4</v>
      </c>
      <c r="M128" s="320">
        <v>1</v>
      </c>
      <c r="N128" s="320">
        <v>22.55</v>
      </c>
      <c r="O128" s="320">
        <v>1</v>
      </c>
      <c r="P128" s="321">
        <v>46928758</v>
      </c>
      <c r="Q128" s="320">
        <v>24.6</v>
      </c>
      <c r="R128" s="320">
        <v>20.2</v>
      </c>
    </row>
    <row r="129" spans="2:18">
      <c r="B129" s="319">
        <v>2063</v>
      </c>
      <c r="C129" s="319" t="s">
        <v>572</v>
      </c>
      <c r="D129" s="320">
        <v>36.799999999999997</v>
      </c>
      <c r="E129" s="320">
        <v>1.05</v>
      </c>
      <c r="F129" s="320">
        <v>35.75</v>
      </c>
      <c r="G129" s="320">
        <v>36.799999999999997</v>
      </c>
      <c r="H129" s="320">
        <v>35.65</v>
      </c>
      <c r="I129" s="321">
        <v>79000</v>
      </c>
      <c r="J129" s="321">
        <v>2840950</v>
      </c>
      <c r="K129" s="320">
        <v>48</v>
      </c>
      <c r="L129" s="320">
        <v>36.15</v>
      </c>
      <c r="M129" s="320">
        <v>2</v>
      </c>
      <c r="N129" s="320">
        <v>36.65</v>
      </c>
      <c r="O129" s="320">
        <v>5</v>
      </c>
      <c r="P129" s="321">
        <v>45000000</v>
      </c>
      <c r="Q129" s="320">
        <v>40.450000000000003</v>
      </c>
      <c r="R129" s="320">
        <v>33.15</v>
      </c>
    </row>
    <row r="130" spans="2:18">
      <c r="B130" s="319">
        <v>2064</v>
      </c>
      <c r="C130" s="319" t="s">
        <v>573</v>
      </c>
      <c r="D130" s="320">
        <v>18.3</v>
      </c>
      <c r="E130" s="320">
        <v>-0.05</v>
      </c>
      <c r="F130" s="320">
        <v>18.350000000000001</v>
      </c>
      <c r="G130" s="320">
        <v>18.5</v>
      </c>
      <c r="H130" s="320">
        <v>18.3</v>
      </c>
      <c r="I130" s="321">
        <v>22000</v>
      </c>
      <c r="J130" s="321">
        <v>403150</v>
      </c>
      <c r="K130" s="320">
        <v>16</v>
      </c>
      <c r="L130" s="320">
        <v>18.350000000000001</v>
      </c>
      <c r="M130" s="320">
        <v>2</v>
      </c>
      <c r="N130" s="320">
        <v>18.5</v>
      </c>
      <c r="O130" s="320">
        <v>1</v>
      </c>
      <c r="P130" s="321">
        <v>69630000</v>
      </c>
      <c r="Q130" s="320">
        <v>20.100000000000001</v>
      </c>
      <c r="R130" s="320">
        <v>16.5</v>
      </c>
    </row>
    <row r="131" spans="2:18">
      <c r="B131" s="319">
        <v>2065</v>
      </c>
      <c r="C131" s="319" t="s">
        <v>574</v>
      </c>
      <c r="D131" s="320">
        <v>47.2</v>
      </c>
      <c r="E131" s="320">
        <v>0</v>
      </c>
      <c r="F131" s="320">
        <v>47.45</v>
      </c>
      <c r="G131" s="320">
        <v>47.45</v>
      </c>
      <c r="H131" s="320">
        <v>47.05</v>
      </c>
      <c r="I131" s="321">
        <v>70000</v>
      </c>
      <c r="J131" s="321">
        <v>3298200</v>
      </c>
      <c r="K131" s="320">
        <v>59</v>
      </c>
      <c r="L131" s="320">
        <v>47.15</v>
      </c>
      <c r="M131" s="320">
        <v>2</v>
      </c>
      <c r="N131" s="320">
        <v>47.2</v>
      </c>
      <c r="O131" s="320">
        <v>2</v>
      </c>
      <c r="P131" s="321">
        <v>54377199</v>
      </c>
      <c r="Q131" s="320">
        <v>51.9</v>
      </c>
      <c r="R131" s="320">
        <v>42.5</v>
      </c>
    </row>
    <row r="132" spans="2:18">
      <c r="B132" s="319">
        <v>2066</v>
      </c>
      <c r="C132" s="319" t="s">
        <v>575</v>
      </c>
      <c r="D132" s="320">
        <v>62.6</v>
      </c>
      <c r="E132" s="320">
        <v>-0.3</v>
      </c>
      <c r="F132" s="320">
        <v>63</v>
      </c>
      <c r="G132" s="320">
        <v>63</v>
      </c>
      <c r="H132" s="320">
        <v>62.6</v>
      </c>
      <c r="I132" s="321">
        <v>24000</v>
      </c>
      <c r="J132" s="321">
        <v>1509000</v>
      </c>
      <c r="K132" s="320">
        <v>20</v>
      </c>
      <c r="L132" s="320">
        <v>62.5</v>
      </c>
      <c r="M132" s="320">
        <v>3</v>
      </c>
      <c r="N132" s="320">
        <v>62.8</v>
      </c>
      <c r="O132" s="320">
        <v>2</v>
      </c>
      <c r="P132" s="321">
        <v>36502870</v>
      </c>
      <c r="Q132" s="320">
        <v>68.8</v>
      </c>
      <c r="R132" s="320">
        <v>56.4</v>
      </c>
    </row>
    <row r="133" spans="2:18">
      <c r="B133" s="319">
        <v>2067</v>
      </c>
      <c r="C133" s="319" t="s">
        <v>576</v>
      </c>
      <c r="D133" s="320">
        <v>14</v>
      </c>
      <c r="E133" s="320">
        <v>-0.2</v>
      </c>
      <c r="F133" s="320">
        <v>14.25</v>
      </c>
      <c r="G133" s="320">
        <v>14.4</v>
      </c>
      <c r="H133" s="320">
        <v>14</v>
      </c>
      <c r="I133" s="321">
        <v>148000</v>
      </c>
      <c r="J133" s="321">
        <v>2090500</v>
      </c>
      <c r="K133" s="320">
        <v>74</v>
      </c>
      <c r="L133" s="320">
        <v>14</v>
      </c>
      <c r="M133" s="320">
        <v>4</v>
      </c>
      <c r="N133" s="320">
        <v>14.05</v>
      </c>
      <c r="O133" s="320">
        <v>3</v>
      </c>
      <c r="P133" s="321">
        <v>45138177</v>
      </c>
      <c r="Q133" s="320">
        <v>15.4</v>
      </c>
      <c r="R133" s="320">
        <v>12.6</v>
      </c>
    </row>
    <row r="134" spans="2:18">
      <c r="B134" s="319">
        <v>2070</v>
      </c>
      <c r="C134" s="319" t="s">
        <v>577</v>
      </c>
      <c r="D134" s="320">
        <v>36.9</v>
      </c>
      <c r="E134" s="320">
        <v>0</v>
      </c>
      <c r="F134" s="320">
        <v>37.049999999999997</v>
      </c>
      <c r="G134" s="320">
        <v>37.049999999999997</v>
      </c>
      <c r="H134" s="320">
        <v>35.9</v>
      </c>
      <c r="I134" s="321">
        <v>147000</v>
      </c>
      <c r="J134" s="321">
        <v>5351650</v>
      </c>
      <c r="K134" s="320">
        <v>104</v>
      </c>
      <c r="L134" s="320">
        <v>36.5</v>
      </c>
      <c r="M134" s="320">
        <v>2</v>
      </c>
      <c r="N134" s="320">
        <v>37.049999999999997</v>
      </c>
      <c r="O134" s="320">
        <v>2</v>
      </c>
      <c r="P134" s="321">
        <v>35782800</v>
      </c>
      <c r="Q134" s="320">
        <v>40.549999999999997</v>
      </c>
      <c r="R134" s="320">
        <v>33.25</v>
      </c>
    </row>
    <row r="135" spans="2:18">
      <c r="B135" s="319">
        <v>2221</v>
      </c>
      <c r="C135" s="319" t="s">
        <v>578</v>
      </c>
      <c r="D135" s="320">
        <v>40.5</v>
      </c>
      <c r="E135" s="320">
        <v>0.25</v>
      </c>
      <c r="F135" s="320">
        <v>40.4</v>
      </c>
      <c r="G135" s="320">
        <v>40.799999999999997</v>
      </c>
      <c r="H135" s="320">
        <v>40.35</v>
      </c>
      <c r="I135" s="321">
        <v>103000</v>
      </c>
      <c r="J135" s="321">
        <v>4175250</v>
      </c>
      <c r="K135" s="320">
        <v>87</v>
      </c>
      <c r="L135" s="320">
        <v>40.35</v>
      </c>
      <c r="M135" s="320">
        <v>5</v>
      </c>
      <c r="N135" s="320">
        <v>40.5</v>
      </c>
      <c r="O135" s="320">
        <v>3</v>
      </c>
      <c r="P135" s="321">
        <v>42325000</v>
      </c>
      <c r="Q135" s="320">
        <v>44.55</v>
      </c>
      <c r="R135" s="320">
        <v>36.450000000000003</v>
      </c>
    </row>
    <row r="136" spans="2:18">
      <c r="B136" s="319">
        <v>2230</v>
      </c>
      <c r="C136" s="319" t="s">
        <v>579</v>
      </c>
      <c r="D136" s="320">
        <v>14.15</v>
      </c>
      <c r="E136" s="320">
        <v>0.05</v>
      </c>
      <c r="F136" s="320">
        <v>14.35</v>
      </c>
      <c r="G136" s="320">
        <v>14.45</v>
      </c>
      <c r="H136" s="320">
        <v>14</v>
      </c>
      <c r="I136" s="321">
        <v>77000</v>
      </c>
      <c r="J136" s="321">
        <v>1093800</v>
      </c>
      <c r="K136" s="320">
        <v>39</v>
      </c>
      <c r="L136" s="320">
        <v>14.1</v>
      </c>
      <c r="M136" s="320">
        <v>2</v>
      </c>
      <c r="N136" s="320">
        <v>14.2</v>
      </c>
      <c r="O136" s="320">
        <v>5</v>
      </c>
      <c r="P136" s="321">
        <v>39913194</v>
      </c>
      <c r="Q136" s="320">
        <v>15.55</v>
      </c>
      <c r="R136" s="320">
        <v>12.75</v>
      </c>
    </row>
    <row r="137" spans="2:18">
      <c r="B137" s="319">
        <v>2235</v>
      </c>
      <c r="C137" s="319" t="s">
        <v>580</v>
      </c>
      <c r="D137" s="320">
        <v>39.5</v>
      </c>
      <c r="E137" s="320">
        <v>-0.4</v>
      </c>
      <c r="F137" s="320">
        <v>39.9</v>
      </c>
      <c r="G137" s="320">
        <v>40</v>
      </c>
      <c r="H137" s="320">
        <v>39.5</v>
      </c>
      <c r="I137" s="321">
        <v>6000</v>
      </c>
      <c r="J137" s="321">
        <v>238400</v>
      </c>
      <c r="K137" s="320">
        <v>5</v>
      </c>
      <c r="L137" s="320">
        <v>39.549999999999997</v>
      </c>
      <c r="M137" s="320">
        <v>1</v>
      </c>
      <c r="N137" s="320">
        <v>40</v>
      </c>
      <c r="O137" s="320">
        <v>1</v>
      </c>
      <c r="P137" s="321">
        <v>35878000</v>
      </c>
      <c r="Q137" s="320">
        <v>43.45</v>
      </c>
      <c r="R137" s="320">
        <v>35.549999999999997</v>
      </c>
    </row>
    <row r="138" spans="2:18">
      <c r="B138" s="319">
        <v>2596</v>
      </c>
      <c r="C138" s="319" t="s">
        <v>581</v>
      </c>
      <c r="D138" s="320">
        <v>22.5</v>
      </c>
      <c r="E138" s="320">
        <v>-0.35</v>
      </c>
      <c r="F138" s="320">
        <v>22.8</v>
      </c>
      <c r="G138" s="320">
        <v>22.9</v>
      </c>
      <c r="H138" s="320">
        <v>22.4</v>
      </c>
      <c r="I138" s="321">
        <v>688000</v>
      </c>
      <c r="J138" s="321">
        <v>15487000</v>
      </c>
      <c r="K138" s="320">
        <v>276</v>
      </c>
      <c r="L138" s="320">
        <v>22.5</v>
      </c>
      <c r="M138" s="320">
        <v>2</v>
      </c>
      <c r="N138" s="320">
        <v>22.55</v>
      </c>
      <c r="O138" s="320">
        <v>3</v>
      </c>
      <c r="P138" s="321">
        <v>100000000</v>
      </c>
      <c r="Q138" s="320">
        <v>24.75</v>
      </c>
      <c r="R138" s="320">
        <v>20.25</v>
      </c>
    </row>
    <row r="139" spans="2:18">
      <c r="B139" s="319">
        <v>2640</v>
      </c>
      <c r="C139" s="319" t="s">
        <v>582</v>
      </c>
      <c r="D139" s="320">
        <v>78.900000000000006</v>
      </c>
      <c r="E139" s="320">
        <v>-0.7</v>
      </c>
      <c r="F139" s="320">
        <v>80.5</v>
      </c>
      <c r="G139" s="320">
        <v>80.5</v>
      </c>
      <c r="H139" s="320">
        <v>78</v>
      </c>
      <c r="I139" s="321">
        <v>52000</v>
      </c>
      <c r="J139" s="321">
        <v>4105000</v>
      </c>
      <c r="K139" s="320">
        <v>44</v>
      </c>
      <c r="L139" s="320">
        <v>78.8</v>
      </c>
      <c r="M139" s="320">
        <v>12</v>
      </c>
      <c r="N139" s="320">
        <v>79</v>
      </c>
      <c r="O139" s="320">
        <v>10</v>
      </c>
      <c r="P139" s="321">
        <v>59264956</v>
      </c>
      <c r="Q139" s="320">
        <v>86.7</v>
      </c>
      <c r="R139" s="320">
        <v>71.099999999999994</v>
      </c>
    </row>
    <row r="140" spans="2:18">
      <c r="B140" s="319">
        <v>2641</v>
      </c>
      <c r="C140" s="319" t="s">
        <v>583</v>
      </c>
      <c r="D140" s="320">
        <v>26.55</v>
      </c>
      <c r="E140" s="320">
        <v>0</v>
      </c>
      <c r="F140" s="320">
        <v>26.65</v>
      </c>
      <c r="G140" s="320">
        <v>27.4</v>
      </c>
      <c r="H140" s="320">
        <v>26.55</v>
      </c>
      <c r="I140" s="321">
        <v>2764000</v>
      </c>
      <c r="J140" s="321">
        <v>74380700</v>
      </c>
      <c r="K140" s="321">
        <v>1438</v>
      </c>
      <c r="L140" s="320">
        <v>26.55</v>
      </c>
      <c r="M140" s="320">
        <v>137</v>
      </c>
      <c r="N140" s="320">
        <v>26.6</v>
      </c>
      <c r="O140" s="320">
        <v>6</v>
      </c>
      <c r="P140" s="321">
        <v>188635888</v>
      </c>
      <c r="Q140" s="320">
        <v>29.2</v>
      </c>
      <c r="R140" s="320">
        <v>23.9</v>
      </c>
    </row>
    <row r="141" spans="2:18">
      <c r="B141" s="319">
        <v>2643</v>
      </c>
      <c r="C141" s="319" t="s">
        <v>584</v>
      </c>
      <c r="D141" s="320">
        <v>77.2</v>
      </c>
      <c r="E141" s="320">
        <v>0.3</v>
      </c>
      <c r="F141" s="320">
        <v>76.900000000000006</v>
      </c>
      <c r="G141" s="320">
        <v>78.5</v>
      </c>
      <c r="H141" s="320">
        <v>76.900000000000006</v>
      </c>
      <c r="I141" s="321">
        <v>105000</v>
      </c>
      <c r="J141" s="321">
        <v>8145800</v>
      </c>
      <c r="K141" s="320">
        <v>83</v>
      </c>
      <c r="L141" s="320">
        <v>77.099999999999994</v>
      </c>
      <c r="M141" s="320">
        <v>4</v>
      </c>
      <c r="N141" s="320">
        <v>77.3</v>
      </c>
      <c r="O141" s="320">
        <v>2</v>
      </c>
      <c r="P141" s="321">
        <v>30000000</v>
      </c>
      <c r="Q141" s="320">
        <v>84.9</v>
      </c>
      <c r="R141" s="320">
        <v>69.5</v>
      </c>
    </row>
    <row r="142" spans="2:18">
      <c r="B142" s="319">
        <v>2718</v>
      </c>
      <c r="C142" s="319" t="s">
        <v>585</v>
      </c>
      <c r="D142" s="320">
        <v>34.5</v>
      </c>
      <c r="E142" s="320">
        <v>0.7</v>
      </c>
      <c r="F142" s="320">
        <v>34.1</v>
      </c>
      <c r="G142" s="320">
        <v>34.5</v>
      </c>
      <c r="H142" s="320">
        <v>34</v>
      </c>
      <c r="I142" s="321">
        <v>17000</v>
      </c>
      <c r="J142" s="321">
        <v>578700</v>
      </c>
      <c r="K142" s="320">
        <v>5</v>
      </c>
      <c r="L142" s="320">
        <v>34</v>
      </c>
      <c r="M142" s="320">
        <v>6</v>
      </c>
      <c r="N142" s="320">
        <v>34.450000000000003</v>
      </c>
      <c r="O142" s="320">
        <v>1</v>
      </c>
      <c r="P142" s="321">
        <v>72576000</v>
      </c>
      <c r="Q142" s="320">
        <v>37.950000000000003</v>
      </c>
      <c r="R142" s="320">
        <v>31.05</v>
      </c>
    </row>
    <row r="143" spans="2:18">
      <c r="B143" s="319">
        <v>2719</v>
      </c>
      <c r="C143" s="319" t="s">
        <v>586</v>
      </c>
      <c r="D143" s="320">
        <v>13.2</v>
      </c>
      <c r="E143" s="320">
        <v>0.7</v>
      </c>
      <c r="F143" s="320">
        <v>13.2</v>
      </c>
      <c r="G143" s="320">
        <v>13.2</v>
      </c>
      <c r="H143" s="320">
        <v>13.2</v>
      </c>
      <c r="I143" s="321">
        <v>6000</v>
      </c>
      <c r="J143" s="321">
        <v>79200</v>
      </c>
      <c r="K143" s="320">
        <v>4</v>
      </c>
      <c r="L143" s="320">
        <v>12.5</v>
      </c>
      <c r="M143" s="320">
        <v>1</v>
      </c>
      <c r="N143" s="320">
        <v>13.2</v>
      </c>
      <c r="O143" s="320">
        <v>15</v>
      </c>
      <c r="P143" s="321">
        <v>34072100</v>
      </c>
      <c r="Q143" s="320">
        <v>14.5</v>
      </c>
      <c r="R143" s="320">
        <v>11.9</v>
      </c>
    </row>
    <row r="144" spans="2:18">
      <c r="B144" s="319">
        <v>2724</v>
      </c>
      <c r="C144" s="319" t="s">
        <v>587</v>
      </c>
      <c r="D144" s="320">
        <v>8.9</v>
      </c>
      <c r="E144" s="320">
        <v>-0.09</v>
      </c>
      <c r="F144" s="320">
        <v>8.99</v>
      </c>
      <c r="G144" s="320">
        <v>8.99</v>
      </c>
      <c r="H144" s="320">
        <v>8.9</v>
      </c>
      <c r="I144" s="321">
        <v>11000</v>
      </c>
      <c r="J144" s="321">
        <v>98260</v>
      </c>
      <c r="K144" s="320">
        <v>4</v>
      </c>
      <c r="L144" s="320">
        <v>8.89</v>
      </c>
      <c r="M144" s="320">
        <v>2</v>
      </c>
      <c r="N144" s="320">
        <v>8.9</v>
      </c>
      <c r="O144" s="320">
        <v>15</v>
      </c>
      <c r="P144" s="321">
        <v>79312690</v>
      </c>
      <c r="Q144" s="320">
        <v>9.7899999999999991</v>
      </c>
      <c r="R144" s="320">
        <v>8.01</v>
      </c>
    </row>
    <row r="145" spans="2:18">
      <c r="B145" s="319">
        <v>2726</v>
      </c>
      <c r="C145" s="319" t="s">
        <v>588</v>
      </c>
      <c r="D145" s="320">
        <v>30.5</v>
      </c>
      <c r="E145" s="320">
        <v>-0.2</v>
      </c>
      <c r="F145" s="320">
        <v>30.5</v>
      </c>
      <c r="G145" s="320">
        <v>30.5</v>
      </c>
      <c r="H145" s="320">
        <v>30.2</v>
      </c>
      <c r="I145" s="321">
        <v>58000</v>
      </c>
      <c r="J145" s="321">
        <v>1759850</v>
      </c>
      <c r="K145" s="320">
        <v>44</v>
      </c>
      <c r="L145" s="320">
        <v>30.5</v>
      </c>
      <c r="M145" s="320">
        <v>3</v>
      </c>
      <c r="N145" s="320">
        <v>30.65</v>
      </c>
      <c r="O145" s="320">
        <v>2</v>
      </c>
      <c r="P145" s="321">
        <v>35785216</v>
      </c>
      <c r="Q145" s="320">
        <v>33.549999999999997</v>
      </c>
      <c r="R145" s="320">
        <v>27.45</v>
      </c>
    </row>
    <row r="146" spans="2:18">
      <c r="B146" s="319">
        <v>2729</v>
      </c>
      <c r="C146" s="319" t="s">
        <v>589</v>
      </c>
      <c r="D146" s="320">
        <v>217.5</v>
      </c>
      <c r="E146" s="320">
        <v>-0.5</v>
      </c>
      <c r="F146" s="320">
        <v>217</v>
      </c>
      <c r="G146" s="320">
        <v>218</v>
      </c>
      <c r="H146" s="320">
        <v>217</v>
      </c>
      <c r="I146" s="321">
        <v>20000</v>
      </c>
      <c r="J146" s="321">
        <v>4353500</v>
      </c>
      <c r="K146" s="320">
        <v>18</v>
      </c>
      <c r="L146" s="320">
        <v>217.5</v>
      </c>
      <c r="M146" s="320">
        <v>5</v>
      </c>
      <c r="N146" s="320">
        <v>218.5</v>
      </c>
      <c r="O146" s="320">
        <v>1</v>
      </c>
      <c r="P146" s="321">
        <v>23266680</v>
      </c>
      <c r="Q146" s="320">
        <v>239</v>
      </c>
      <c r="R146" s="320">
        <v>196</v>
      </c>
    </row>
    <row r="147" spans="2:18">
      <c r="B147" s="319">
        <v>2732</v>
      </c>
      <c r="C147" s="319" t="s">
        <v>590</v>
      </c>
      <c r="D147" s="320">
        <v>94.7</v>
      </c>
      <c r="E147" s="320">
        <v>-1.3</v>
      </c>
      <c r="F147" s="320">
        <v>97.4</v>
      </c>
      <c r="G147" s="320">
        <v>97.5</v>
      </c>
      <c r="H147" s="320">
        <v>93</v>
      </c>
      <c r="I147" s="321">
        <v>169000</v>
      </c>
      <c r="J147" s="321">
        <v>16048700</v>
      </c>
      <c r="K147" s="320">
        <v>159</v>
      </c>
      <c r="L147" s="320">
        <v>94.6</v>
      </c>
      <c r="M147" s="320">
        <v>1</v>
      </c>
      <c r="N147" s="320">
        <v>94.7</v>
      </c>
      <c r="O147" s="320">
        <v>1</v>
      </c>
      <c r="P147" s="321">
        <v>45091336</v>
      </c>
      <c r="Q147" s="320">
        <v>104</v>
      </c>
      <c r="R147" s="320">
        <v>85.3</v>
      </c>
    </row>
    <row r="148" spans="2:18">
      <c r="B148" s="319">
        <v>2734</v>
      </c>
      <c r="C148" s="319" t="s">
        <v>591</v>
      </c>
      <c r="D148" s="320">
        <v>21.35</v>
      </c>
      <c r="E148" s="320">
        <v>0.05</v>
      </c>
      <c r="F148" s="320">
        <v>21.35</v>
      </c>
      <c r="G148" s="320">
        <v>21.45</v>
      </c>
      <c r="H148" s="320">
        <v>21.3</v>
      </c>
      <c r="I148" s="321">
        <v>62000</v>
      </c>
      <c r="J148" s="321">
        <v>1324700</v>
      </c>
      <c r="K148" s="320">
        <v>38</v>
      </c>
      <c r="L148" s="320">
        <v>21.35</v>
      </c>
      <c r="M148" s="320">
        <v>1</v>
      </c>
      <c r="N148" s="320">
        <v>21.45</v>
      </c>
      <c r="O148" s="320">
        <v>28</v>
      </c>
      <c r="P148" s="321">
        <v>37259760</v>
      </c>
      <c r="Q148" s="320">
        <v>23.45</v>
      </c>
      <c r="R148" s="320">
        <v>19.25</v>
      </c>
    </row>
    <row r="149" spans="2:18">
      <c r="B149" s="319">
        <v>2736</v>
      </c>
      <c r="C149" s="319" t="s">
        <v>3119</v>
      </c>
      <c r="D149" s="320">
        <v>15.7</v>
      </c>
      <c r="E149" s="320">
        <v>0.1</v>
      </c>
      <c r="F149" s="320">
        <v>15.6</v>
      </c>
      <c r="G149" s="320">
        <v>15.7</v>
      </c>
      <c r="H149" s="320">
        <v>15.45</v>
      </c>
      <c r="I149" s="321">
        <v>54000</v>
      </c>
      <c r="J149" s="321">
        <v>840950</v>
      </c>
      <c r="K149" s="320">
        <v>41</v>
      </c>
      <c r="L149" s="320">
        <v>15.6</v>
      </c>
      <c r="M149" s="320">
        <v>1</v>
      </c>
      <c r="N149" s="320">
        <v>15.7</v>
      </c>
      <c r="O149" s="320">
        <v>12</v>
      </c>
      <c r="P149" s="321">
        <v>48992383</v>
      </c>
      <c r="Q149" s="320">
        <v>17.25</v>
      </c>
      <c r="R149" s="320">
        <v>14.15</v>
      </c>
    </row>
    <row r="150" spans="2:18">
      <c r="B150" s="319">
        <v>2740</v>
      </c>
      <c r="C150" s="319" t="s">
        <v>592</v>
      </c>
      <c r="D150" s="320">
        <v>24</v>
      </c>
      <c r="E150" s="320">
        <v>1.55</v>
      </c>
      <c r="F150" s="320">
        <v>24.05</v>
      </c>
      <c r="G150" s="320">
        <v>24.5</v>
      </c>
      <c r="H150" s="320">
        <v>22</v>
      </c>
      <c r="I150" s="321">
        <v>28000</v>
      </c>
      <c r="J150" s="321">
        <v>631450</v>
      </c>
      <c r="K150" s="320">
        <v>14</v>
      </c>
      <c r="L150" s="320">
        <v>22</v>
      </c>
      <c r="M150" s="320">
        <v>9</v>
      </c>
      <c r="N150" s="320">
        <v>24.05</v>
      </c>
      <c r="O150" s="320">
        <v>1</v>
      </c>
      <c r="P150" s="321">
        <v>13185484</v>
      </c>
      <c r="Q150" s="320">
        <v>26.4</v>
      </c>
      <c r="R150" s="320">
        <v>21.6</v>
      </c>
    </row>
    <row r="151" spans="2:18">
      <c r="B151" s="319">
        <v>2743</v>
      </c>
      <c r="C151" s="319" t="s">
        <v>593</v>
      </c>
      <c r="D151" s="320">
        <v>22.45</v>
      </c>
      <c r="E151" s="320">
        <v>0.05</v>
      </c>
      <c r="F151" s="320">
        <v>22.25</v>
      </c>
      <c r="G151" s="320">
        <v>22.45</v>
      </c>
      <c r="H151" s="320">
        <v>22.25</v>
      </c>
      <c r="I151" s="321">
        <v>16000</v>
      </c>
      <c r="J151" s="321">
        <v>357900</v>
      </c>
      <c r="K151" s="320">
        <v>11</v>
      </c>
      <c r="L151" s="320">
        <v>22.35</v>
      </c>
      <c r="M151" s="320">
        <v>1</v>
      </c>
      <c r="N151" s="320">
        <v>22.6</v>
      </c>
      <c r="O151" s="320">
        <v>1</v>
      </c>
      <c r="P151" s="321">
        <v>32031700</v>
      </c>
      <c r="Q151" s="320">
        <v>24.65</v>
      </c>
      <c r="R151" s="320">
        <v>20.25</v>
      </c>
    </row>
    <row r="152" spans="2:18">
      <c r="B152" s="319">
        <v>2745</v>
      </c>
      <c r="C152" s="319" t="s">
        <v>594</v>
      </c>
      <c r="D152" s="320">
        <v>22.1</v>
      </c>
      <c r="E152" s="320">
        <v>0</v>
      </c>
      <c r="F152" s="320">
        <v>22.1</v>
      </c>
      <c r="G152" s="320">
        <v>22.1</v>
      </c>
      <c r="H152" s="320">
        <v>22</v>
      </c>
      <c r="I152" s="321">
        <v>21000</v>
      </c>
      <c r="J152" s="321">
        <v>463700</v>
      </c>
      <c r="K152" s="320">
        <v>12</v>
      </c>
      <c r="L152" s="320">
        <v>22</v>
      </c>
      <c r="M152" s="320">
        <v>8</v>
      </c>
      <c r="N152" s="320">
        <v>22.1</v>
      </c>
      <c r="O152" s="320">
        <v>1</v>
      </c>
      <c r="P152" s="321">
        <v>29308526</v>
      </c>
      <c r="Q152" s="320">
        <v>24.3</v>
      </c>
      <c r="R152" s="320">
        <v>19.899999999999999</v>
      </c>
    </row>
    <row r="153" spans="2:18">
      <c r="B153" s="319">
        <v>2752</v>
      </c>
      <c r="C153" s="319" t="s">
        <v>595</v>
      </c>
      <c r="D153" s="320">
        <v>151</v>
      </c>
      <c r="E153" s="320">
        <v>0</v>
      </c>
      <c r="F153" s="320">
        <v>151</v>
      </c>
      <c r="G153" s="320">
        <v>151</v>
      </c>
      <c r="H153" s="320">
        <v>151</v>
      </c>
      <c r="I153" s="321">
        <v>1000</v>
      </c>
      <c r="J153" s="321">
        <v>151000</v>
      </c>
      <c r="K153" s="320">
        <v>1</v>
      </c>
      <c r="L153" s="320">
        <v>150.5</v>
      </c>
      <c r="M153" s="320">
        <v>1</v>
      </c>
      <c r="N153" s="320">
        <v>152</v>
      </c>
      <c r="O153" s="320">
        <v>9</v>
      </c>
      <c r="P153" s="321">
        <v>23019984</v>
      </c>
      <c r="Q153" s="320">
        <v>166</v>
      </c>
      <c r="R153" s="320">
        <v>136</v>
      </c>
    </row>
    <row r="154" spans="2:18">
      <c r="B154" s="319">
        <v>2754</v>
      </c>
      <c r="C154" s="319" t="s">
        <v>596</v>
      </c>
      <c r="D154" s="320">
        <v>74.8</v>
      </c>
      <c r="E154" s="320">
        <v>-0.2</v>
      </c>
      <c r="F154" s="320">
        <v>75.2</v>
      </c>
      <c r="G154" s="320">
        <v>75.400000000000006</v>
      </c>
      <c r="H154" s="320">
        <v>74.5</v>
      </c>
      <c r="I154" s="321">
        <v>51000</v>
      </c>
      <c r="J154" s="321">
        <v>3813900</v>
      </c>
      <c r="K154" s="320">
        <v>41</v>
      </c>
      <c r="L154" s="320">
        <v>74.7</v>
      </c>
      <c r="M154" s="320">
        <v>1</v>
      </c>
      <c r="N154" s="320">
        <v>74.8</v>
      </c>
      <c r="O154" s="320">
        <v>1</v>
      </c>
      <c r="P154" s="321">
        <v>45856000</v>
      </c>
      <c r="Q154" s="320">
        <v>82.2</v>
      </c>
      <c r="R154" s="320">
        <v>67.400000000000006</v>
      </c>
    </row>
    <row r="155" spans="2:18">
      <c r="B155" s="319">
        <v>2755</v>
      </c>
      <c r="C155" s="319" t="s">
        <v>597</v>
      </c>
      <c r="D155" s="320">
        <v>54.6</v>
      </c>
      <c r="E155" s="320">
        <v>0</v>
      </c>
      <c r="F155" s="320">
        <v>54.6</v>
      </c>
      <c r="G155" s="320">
        <v>54.6</v>
      </c>
      <c r="H155" s="320">
        <v>54.6</v>
      </c>
      <c r="I155" s="321">
        <v>1000</v>
      </c>
      <c r="J155" s="321">
        <v>54600</v>
      </c>
      <c r="K155" s="320">
        <v>1</v>
      </c>
      <c r="L155" s="320">
        <v>54.6</v>
      </c>
      <c r="M155" s="320">
        <v>2</v>
      </c>
      <c r="N155" s="320">
        <v>55.2</v>
      </c>
      <c r="O155" s="320">
        <v>2</v>
      </c>
      <c r="P155" s="321">
        <v>20000000</v>
      </c>
      <c r="Q155" s="320">
        <v>60</v>
      </c>
      <c r="R155" s="320">
        <v>49.15</v>
      </c>
    </row>
    <row r="156" spans="2:18">
      <c r="B156" s="319">
        <v>2916</v>
      </c>
      <c r="C156" s="319" t="s">
        <v>598</v>
      </c>
      <c r="D156" s="320">
        <v>21.55</v>
      </c>
      <c r="E156" s="320">
        <v>0</v>
      </c>
      <c r="F156" s="320">
        <v>21.55</v>
      </c>
      <c r="G156" s="320">
        <v>21.6</v>
      </c>
      <c r="H156" s="320">
        <v>21.35</v>
      </c>
      <c r="I156" s="321">
        <v>30000</v>
      </c>
      <c r="J156" s="321">
        <v>643200</v>
      </c>
      <c r="K156" s="320">
        <v>16</v>
      </c>
      <c r="L156" s="320">
        <v>21.5</v>
      </c>
      <c r="M156" s="320">
        <v>1</v>
      </c>
      <c r="N156" s="320">
        <v>21.6</v>
      </c>
      <c r="O156" s="320">
        <v>7</v>
      </c>
      <c r="P156" s="321">
        <v>54626878</v>
      </c>
      <c r="Q156" s="320">
        <v>23.7</v>
      </c>
      <c r="R156" s="320">
        <v>19.399999999999999</v>
      </c>
    </row>
    <row r="157" spans="2:18">
      <c r="B157" s="319">
        <v>2924</v>
      </c>
      <c r="C157" s="319" t="s">
        <v>599</v>
      </c>
      <c r="D157" s="320" t="s">
        <v>478</v>
      </c>
      <c r="E157" s="320" t="s">
        <v>479</v>
      </c>
      <c r="F157" s="320" t="s">
        <v>478</v>
      </c>
      <c r="G157" s="320" t="s">
        <v>478</v>
      </c>
      <c r="H157" s="320" t="s">
        <v>478</v>
      </c>
      <c r="I157" s="320">
        <v>0</v>
      </c>
      <c r="J157" s="320">
        <v>0</v>
      </c>
      <c r="K157" s="320">
        <v>0</v>
      </c>
      <c r="L157" s="320">
        <v>17.3</v>
      </c>
      <c r="M157" s="320">
        <v>1</v>
      </c>
      <c r="N157" s="320">
        <v>18.8</v>
      </c>
      <c r="O157" s="320">
        <v>2</v>
      </c>
      <c r="P157" s="321">
        <v>32805174</v>
      </c>
      <c r="Q157" s="320">
        <v>19.350000000000001</v>
      </c>
      <c r="R157" s="320">
        <v>15.85</v>
      </c>
    </row>
    <row r="158" spans="2:18">
      <c r="B158" s="319">
        <v>2926</v>
      </c>
      <c r="C158" s="319" t="s">
        <v>600</v>
      </c>
      <c r="D158" s="320">
        <v>59.1</v>
      </c>
      <c r="E158" s="320">
        <v>-0.4</v>
      </c>
      <c r="F158" s="320">
        <v>59.2</v>
      </c>
      <c r="G158" s="320">
        <v>59.2</v>
      </c>
      <c r="H158" s="320">
        <v>59.1</v>
      </c>
      <c r="I158" s="321">
        <v>11000</v>
      </c>
      <c r="J158" s="321">
        <v>650900</v>
      </c>
      <c r="K158" s="320">
        <v>4</v>
      </c>
      <c r="L158" s="320">
        <v>59.1</v>
      </c>
      <c r="M158" s="320">
        <v>1</v>
      </c>
      <c r="N158" s="320">
        <v>59.4</v>
      </c>
      <c r="O158" s="320">
        <v>1</v>
      </c>
      <c r="P158" s="321">
        <v>47389650</v>
      </c>
      <c r="Q158" s="320">
        <v>65</v>
      </c>
      <c r="R158" s="320">
        <v>53.2</v>
      </c>
    </row>
    <row r="159" spans="2:18">
      <c r="B159" s="319">
        <v>2937</v>
      </c>
      <c r="C159" s="319" t="s">
        <v>601</v>
      </c>
      <c r="D159" s="320">
        <v>36.450000000000003</v>
      </c>
      <c r="E159" s="320">
        <v>-0.15</v>
      </c>
      <c r="F159" s="320">
        <v>36.6</v>
      </c>
      <c r="G159" s="320">
        <v>36.799999999999997</v>
      </c>
      <c r="H159" s="320">
        <v>36.450000000000003</v>
      </c>
      <c r="I159" s="321">
        <v>14000</v>
      </c>
      <c r="J159" s="321">
        <v>511550</v>
      </c>
      <c r="K159" s="320">
        <v>10</v>
      </c>
      <c r="L159" s="320">
        <v>36.35</v>
      </c>
      <c r="M159" s="320">
        <v>4</v>
      </c>
      <c r="N159" s="320">
        <v>36.6</v>
      </c>
      <c r="O159" s="320">
        <v>2</v>
      </c>
      <c r="P159" s="321">
        <v>36644799</v>
      </c>
      <c r="Q159" s="320">
        <v>40.049999999999997</v>
      </c>
      <c r="R159" s="320">
        <v>32.85</v>
      </c>
    </row>
    <row r="160" spans="2:18">
      <c r="B160" s="319">
        <v>2947</v>
      </c>
      <c r="C160" s="319" t="s">
        <v>165</v>
      </c>
      <c r="D160" s="320">
        <v>122.5</v>
      </c>
      <c r="E160" s="320">
        <v>-2</v>
      </c>
      <c r="F160" s="320">
        <v>124.5</v>
      </c>
      <c r="G160" s="320">
        <v>124.5</v>
      </c>
      <c r="H160" s="320">
        <v>122</v>
      </c>
      <c r="I160" s="321">
        <v>23000</v>
      </c>
      <c r="J160" s="321">
        <v>2833000</v>
      </c>
      <c r="K160" s="320">
        <v>20</v>
      </c>
      <c r="L160" s="320">
        <v>122.5</v>
      </c>
      <c r="M160" s="320">
        <v>7</v>
      </c>
      <c r="N160" s="320">
        <v>123.5</v>
      </c>
      <c r="O160" s="320">
        <v>7</v>
      </c>
      <c r="P160" s="321">
        <v>19268600</v>
      </c>
      <c r="Q160" s="320">
        <v>134.5</v>
      </c>
      <c r="R160" s="320">
        <v>110.5</v>
      </c>
    </row>
    <row r="161" spans="2:18">
      <c r="B161" s="319">
        <v>3064</v>
      </c>
      <c r="C161" s="319" t="s">
        <v>602</v>
      </c>
      <c r="D161" s="320">
        <v>17.600000000000001</v>
      </c>
      <c r="E161" s="320">
        <v>0.4</v>
      </c>
      <c r="F161" s="320">
        <v>17.2</v>
      </c>
      <c r="G161" s="320">
        <v>17.8</v>
      </c>
      <c r="H161" s="320">
        <v>17.2</v>
      </c>
      <c r="I161" s="321">
        <v>5000</v>
      </c>
      <c r="J161" s="321">
        <v>87450</v>
      </c>
      <c r="K161" s="320">
        <v>5</v>
      </c>
      <c r="L161" s="320">
        <v>17.350000000000001</v>
      </c>
      <c r="M161" s="320">
        <v>1</v>
      </c>
      <c r="N161" s="320">
        <v>17.850000000000001</v>
      </c>
      <c r="O161" s="320">
        <v>2</v>
      </c>
      <c r="P161" s="321">
        <v>26738425</v>
      </c>
      <c r="Q161" s="320">
        <v>19.350000000000001</v>
      </c>
      <c r="R161" s="320">
        <v>15.85</v>
      </c>
    </row>
    <row r="162" spans="2:18">
      <c r="B162" s="319">
        <v>3066</v>
      </c>
      <c r="C162" s="319" t="s">
        <v>603</v>
      </c>
      <c r="D162" s="320">
        <v>26.1</v>
      </c>
      <c r="E162" s="320">
        <v>-1</v>
      </c>
      <c r="F162" s="320">
        <v>27.3</v>
      </c>
      <c r="G162" s="320">
        <v>27.5</v>
      </c>
      <c r="H162" s="320">
        <v>25.8</v>
      </c>
      <c r="I162" s="321">
        <v>364000</v>
      </c>
      <c r="J162" s="321">
        <v>9733650</v>
      </c>
      <c r="K162" s="320">
        <v>242</v>
      </c>
      <c r="L162" s="320">
        <v>26.1</v>
      </c>
      <c r="M162" s="320">
        <v>46</v>
      </c>
      <c r="N162" s="320">
        <v>26.25</v>
      </c>
      <c r="O162" s="320">
        <v>2</v>
      </c>
      <c r="P162" s="321">
        <v>83070612</v>
      </c>
      <c r="Q162" s="320">
        <v>28.7</v>
      </c>
      <c r="R162" s="320">
        <v>23.5</v>
      </c>
    </row>
    <row r="163" spans="2:18">
      <c r="B163" s="319">
        <v>3067</v>
      </c>
      <c r="C163" s="319" t="s">
        <v>604</v>
      </c>
      <c r="D163" s="320" t="s">
        <v>478</v>
      </c>
      <c r="E163" s="320" t="s">
        <v>479</v>
      </c>
      <c r="F163" s="320" t="s">
        <v>478</v>
      </c>
      <c r="G163" s="320" t="s">
        <v>478</v>
      </c>
      <c r="H163" s="320" t="s">
        <v>478</v>
      </c>
      <c r="I163" s="320">
        <v>0</v>
      </c>
      <c r="J163" s="320">
        <v>0</v>
      </c>
      <c r="K163" s="320">
        <v>0</v>
      </c>
      <c r="L163" s="320">
        <v>35.15</v>
      </c>
      <c r="M163" s="320">
        <v>1</v>
      </c>
      <c r="N163" s="320">
        <v>38</v>
      </c>
      <c r="O163" s="320">
        <v>2</v>
      </c>
      <c r="P163" s="321">
        <v>20000000</v>
      </c>
      <c r="Q163" s="320">
        <v>41.8</v>
      </c>
      <c r="R163" s="320">
        <v>34.200000000000003</v>
      </c>
    </row>
    <row r="164" spans="2:18">
      <c r="B164" s="319">
        <v>3071</v>
      </c>
      <c r="C164" s="319" t="s">
        <v>605</v>
      </c>
      <c r="D164" s="320">
        <v>30.1</v>
      </c>
      <c r="E164" s="320">
        <v>-0.25</v>
      </c>
      <c r="F164" s="320">
        <v>30.5</v>
      </c>
      <c r="G164" s="320">
        <v>31.35</v>
      </c>
      <c r="H164" s="320">
        <v>30</v>
      </c>
      <c r="I164" s="321">
        <v>5152000</v>
      </c>
      <c r="J164" s="321">
        <v>157031850</v>
      </c>
      <c r="K164" s="321">
        <v>2799</v>
      </c>
      <c r="L164" s="320">
        <v>30.1</v>
      </c>
      <c r="M164" s="320">
        <v>69</v>
      </c>
      <c r="N164" s="320">
        <v>30.15</v>
      </c>
      <c r="O164" s="320">
        <v>84</v>
      </c>
      <c r="P164" s="321">
        <v>110000000</v>
      </c>
      <c r="Q164" s="320">
        <v>33.1</v>
      </c>
      <c r="R164" s="320">
        <v>27.1</v>
      </c>
    </row>
    <row r="165" spans="2:18">
      <c r="B165" s="319">
        <v>3073</v>
      </c>
      <c r="C165" s="319" t="s">
        <v>606</v>
      </c>
      <c r="D165" s="320">
        <v>26.4</v>
      </c>
      <c r="E165" s="320">
        <v>-0.1</v>
      </c>
      <c r="F165" s="320">
        <v>26.4</v>
      </c>
      <c r="G165" s="320">
        <v>26.4</v>
      </c>
      <c r="H165" s="320">
        <v>26.4</v>
      </c>
      <c r="I165" s="321">
        <v>1000</v>
      </c>
      <c r="J165" s="321">
        <v>26400</v>
      </c>
      <c r="K165" s="320">
        <v>1</v>
      </c>
      <c r="L165" s="320">
        <v>25.5</v>
      </c>
      <c r="M165" s="320">
        <v>1</v>
      </c>
      <c r="N165" s="320">
        <v>26.5</v>
      </c>
      <c r="O165" s="320">
        <v>3</v>
      </c>
      <c r="P165" s="321">
        <v>27099556</v>
      </c>
      <c r="Q165" s="320">
        <v>29</v>
      </c>
      <c r="R165" s="320">
        <v>23.8</v>
      </c>
    </row>
    <row r="166" spans="2:18">
      <c r="B166" s="319">
        <v>3078</v>
      </c>
      <c r="C166" s="319" t="s">
        <v>607</v>
      </c>
      <c r="D166" s="320">
        <v>39.35</v>
      </c>
      <c r="E166" s="320">
        <v>-0.1</v>
      </c>
      <c r="F166" s="320">
        <v>39.6</v>
      </c>
      <c r="G166" s="320">
        <v>39.65</v>
      </c>
      <c r="H166" s="320">
        <v>39.299999999999997</v>
      </c>
      <c r="I166" s="321">
        <v>469000</v>
      </c>
      <c r="J166" s="321">
        <v>18498750</v>
      </c>
      <c r="K166" s="320">
        <v>254</v>
      </c>
      <c r="L166" s="320">
        <v>39.35</v>
      </c>
      <c r="M166" s="320">
        <v>3</v>
      </c>
      <c r="N166" s="320">
        <v>39.4</v>
      </c>
      <c r="O166" s="320">
        <v>13</v>
      </c>
      <c r="P166" s="321">
        <v>227391064</v>
      </c>
      <c r="Q166" s="320">
        <v>43.25</v>
      </c>
      <c r="R166" s="320">
        <v>35.450000000000003</v>
      </c>
    </row>
    <row r="167" spans="2:18">
      <c r="B167" s="319">
        <v>3081</v>
      </c>
      <c r="C167" s="319" t="s">
        <v>608</v>
      </c>
      <c r="D167" s="320">
        <v>195.5</v>
      </c>
      <c r="E167" s="320">
        <v>3.5</v>
      </c>
      <c r="F167" s="320">
        <v>194</v>
      </c>
      <c r="G167" s="320">
        <v>196</v>
      </c>
      <c r="H167" s="320">
        <v>193</v>
      </c>
      <c r="I167" s="321">
        <v>93000</v>
      </c>
      <c r="J167" s="321">
        <v>18117500</v>
      </c>
      <c r="K167" s="320">
        <v>89</v>
      </c>
      <c r="L167" s="320">
        <v>195</v>
      </c>
      <c r="M167" s="320">
        <v>19</v>
      </c>
      <c r="N167" s="320">
        <v>195.5</v>
      </c>
      <c r="O167" s="320">
        <v>1</v>
      </c>
      <c r="P167" s="321">
        <v>91369177</v>
      </c>
      <c r="Q167" s="320">
        <v>215</v>
      </c>
      <c r="R167" s="320">
        <v>176</v>
      </c>
    </row>
    <row r="168" spans="2:18">
      <c r="B168" s="319">
        <v>3083</v>
      </c>
      <c r="C168" s="319" t="s">
        <v>609</v>
      </c>
      <c r="D168" s="320">
        <v>54.1</v>
      </c>
      <c r="E168" s="320">
        <v>-0.2</v>
      </c>
      <c r="F168" s="320">
        <v>54.5</v>
      </c>
      <c r="G168" s="320">
        <v>55.5</v>
      </c>
      <c r="H168" s="320">
        <v>54.1</v>
      </c>
      <c r="I168" s="321">
        <v>576000</v>
      </c>
      <c r="J168" s="321">
        <v>31497000</v>
      </c>
      <c r="K168" s="320">
        <v>387</v>
      </c>
      <c r="L168" s="320">
        <v>54.1</v>
      </c>
      <c r="M168" s="320">
        <v>6</v>
      </c>
      <c r="N168" s="320">
        <v>54.2</v>
      </c>
      <c r="O168" s="320">
        <v>5</v>
      </c>
      <c r="P168" s="321">
        <v>86267358</v>
      </c>
      <c r="Q168" s="320">
        <v>59.5</v>
      </c>
      <c r="R168" s="320">
        <v>48.7</v>
      </c>
    </row>
    <row r="169" spans="2:18">
      <c r="B169" s="319">
        <v>3085</v>
      </c>
      <c r="C169" s="319" t="s">
        <v>610</v>
      </c>
      <c r="D169" s="320">
        <v>10</v>
      </c>
      <c r="E169" s="320">
        <v>-0.7</v>
      </c>
      <c r="F169" s="320">
        <v>10.7</v>
      </c>
      <c r="G169" s="320">
        <v>10.7</v>
      </c>
      <c r="H169" s="320">
        <v>10</v>
      </c>
      <c r="I169" s="321">
        <v>22000</v>
      </c>
      <c r="J169" s="321">
        <v>224200</v>
      </c>
      <c r="K169" s="320">
        <v>17</v>
      </c>
      <c r="L169" s="320">
        <v>10.1</v>
      </c>
      <c r="M169" s="320">
        <v>11</v>
      </c>
      <c r="N169" s="320">
        <v>10.35</v>
      </c>
      <c r="O169" s="320">
        <v>5</v>
      </c>
      <c r="P169" s="321">
        <v>48038577</v>
      </c>
      <c r="Q169" s="320">
        <v>11</v>
      </c>
      <c r="R169" s="320">
        <v>9</v>
      </c>
    </row>
    <row r="170" spans="2:18">
      <c r="B170" s="319">
        <v>3086</v>
      </c>
      <c r="C170" s="319" t="s">
        <v>611</v>
      </c>
      <c r="D170" s="320">
        <v>100.5</v>
      </c>
      <c r="E170" s="320">
        <v>-0.5</v>
      </c>
      <c r="F170" s="320">
        <v>103</v>
      </c>
      <c r="G170" s="320">
        <v>105</v>
      </c>
      <c r="H170" s="320">
        <v>100</v>
      </c>
      <c r="I170" s="321">
        <v>232000</v>
      </c>
      <c r="J170" s="321">
        <v>23611500</v>
      </c>
      <c r="K170" s="320">
        <v>214</v>
      </c>
      <c r="L170" s="320">
        <v>100.5</v>
      </c>
      <c r="M170" s="320">
        <v>2</v>
      </c>
      <c r="N170" s="320">
        <v>101</v>
      </c>
      <c r="O170" s="320">
        <v>1</v>
      </c>
      <c r="P170" s="321">
        <v>19369400</v>
      </c>
      <c r="Q170" s="320">
        <v>110.5</v>
      </c>
      <c r="R170" s="320">
        <v>90.5</v>
      </c>
    </row>
    <row r="171" spans="2:18">
      <c r="B171" s="319">
        <v>3088</v>
      </c>
      <c r="C171" s="319" t="s">
        <v>612</v>
      </c>
      <c r="D171" s="320">
        <v>54.3</v>
      </c>
      <c r="E171" s="320">
        <v>0.3</v>
      </c>
      <c r="F171" s="320">
        <v>54.2</v>
      </c>
      <c r="G171" s="320">
        <v>54.3</v>
      </c>
      <c r="H171" s="320">
        <v>54</v>
      </c>
      <c r="I171" s="321">
        <v>128000</v>
      </c>
      <c r="J171" s="321">
        <v>6941700</v>
      </c>
      <c r="K171" s="320">
        <v>75</v>
      </c>
      <c r="L171" s="320">
        <v>54.2</v>
      </c>
      <c r="M171" s="320">
        <v>2</v>
      </c>
      <c r="N171" s="320">
        <v>54.3</v>
      </c>
      <c r="O171" s="320">
        <v>5</v>
      </c>
      <c r="P171" s="321">
        <v>88482865</v>
      </c>
      <c r="Q171" s="320">
        <v>59.7</v>
      </c>
      <c r="R171" s="320">
        <v>48.9</v>
      </c>
    </row>
    <row r="172" spans="2:18">
      <c r="B172" s="319">
        <v>3089</v>
      </c>
      <c r="C172" s="319" t="s">
        <v>2783</v>
      </c>
      <c r="D172" s="320">
        <v>44</v>
      </c>
      <c r="E172" s="320">
        <v>0.5</v>
      </c>
      <c r="F172" s="320">
        <v>40.549999999999997</v>
      </c>
      <c r="G172" s="320">
        <v>44</v>
      </c>
      <c r="H172" s="320">
        <v>39.9</v>
      </c>
      <c r="I172" s="321">
        <v>109000</v>
      </c>
      <c r="J172" s="321">
        <v>4599700</v>
      </c>
      <c r="K172" s="320">
        <v>62</v>
      </c>
      <c r="L172" s="320">
        <v>40.5</v>
      </c>
      <c r="M172" s="320">
        <v>5</v>
      </c>
      <c r="N172" s="320">
        <v>44</v>
      </c>
      <c r="O172" s="320">
        <v>4</v>
      </c>
      <c r="P172" s="321">
        <v>60113314</v>
      </c>
      <c r="Q172" s="320">
        <v>48.4</v>
      </c>
      <c r="R172" s="320">
        <v>39.6</v>
      </c>
    </row>
    <row r="173" spans="2:18">
      <c r="B173" s="319">
        <v>3093</v>
      </c>
      <c r="C173" s="319" t="s">
        <v>613</v>
      </c>
      <c r="D173" s="320">
        <v>78</v>
      </c>
      <c r="E173" s="320">
        <v>0</v>
      </c>
      <c r="F173" s="320">
        <v>78</v>
      </c>
      <c r="G173" s="320">
        <v>78.099999999999994</v>
      </c>
      <c r="H173" s="320">
        <v>78</v>
      </c>
      <c r="I173" s="321">
        <v>21000</v>
      </c>
      <c r="J173" s="321">
        <v>1638200</v>
      </c>
      <c r="K173" s="320">
        <v>12</v>
      </c>
      <c r="L173" s="320">
        <v>78</v>
      </c>
      <c r="M173" s="320">
        <v>1</v>
      </c>
      <c r="N173" s="320">
        <v>78.2</v>
      </c>
      <c r="O173" s="320">
        <v>1</v>
      </c>
      <c r="P173" s="321">
        <v>36288894</v>
      </c>
      <c r="Q173" s="320">
        <v>85.8</v>
      </c>
      <c r="R173" s="320">
        <v>70.2</v>
      </c>
    </row>
    <row r="174" spans="2:18">
      <c r="B174" s="319">
        <v>3095</v>
      </c>
      <c r="C174" s="319" t="s">
        <v>614</v>
      </c>
      <c r="D174" s="320">
        <v>2.95</v>
      </c>
      <c r="E174" s="320">
        <v>0</v>
      </c>
      <c r="F174" s="320">
        <v>2.95</v>
      </c>
      <c r="G174" s="320">
        <v>3</v>
      </c>
      <c r="H174" s="320">
        <v>2.95</v>
      </c>
      <c r="I174" s="321">
        <v>83000</v>
      </c>
      <c r="J174" s="321">
        <v>247950</v>
      </c>
      <c r="K174" s="320">
        <v>25</v>
      </c>
      <c r="L174" s="320">
        <v>2.93</v>
      </c>
      <c r="M174" s="320">
        <v>9</v>
      </c>
      <c r="N174" s="320">
        <v>2.98</v>
      </c>
      <c r="O174" s="320">
        <v>5</v>
      </c>
      <c r="P174" s="321">
        <v>109276321</v>
      </c>
      <c r="Q174" s="320">
        <v>3.24</v>
      </c>
      <c r="R174" s="320">
        <v>2.66</v>
      </c>
    </row>
    <row r="175" spans="2:18">
      <c r="B175" s="319">
        <v>3105</v>
      </c>
      <c r="C175" s="319" t="s">
        <v>615</v>
      </c>
      <c r="D175" s="320">
        <v>371.5</v>
      </c>
      <c r="E175" s="320">
        <v>0.5</v>
      </c>
      <c r="F175" s="320">
        <v>376</v>
      </c>
      <c r="G175" s="320">
        <v>376</v>
      </c>
      <c r="H175" s="320">
        <v>371</v>
      </c>
      <c r="I175" s="321">
        <v>1068000</v>
      </c>
      <c r="J175" s="321">
        <v>397469500</v>
      </c>
      <c r="K175" s="320">
        <v>752</v>
      </c>
      <c r="L175" s="320">
        <v>371.5</v>
      </c>
      <c r="M175" s="320">
        <v>4</v>
      </c>
      <c r="N175" s="320">
        <v>372</v>
      </c>
      <c r="O175" s="320">
        <v>83</v>
      </c>
      <c r="P175" s="321">
        <v>424041384</v>
      </c>
      <c r="Q175" s="320">
        <v>408.5</v>
      </c>
      <c r="R175" s="320">
        <v>334.5</v>
      </c>
    </row>
    <row r="176" spans="2:18">
      <c r="B176" s="319">
        <v>3114</v>
      </c>
      <c r="C176" s="319" t="s">
        <v>616</v>
      </c>
      <c r="D176" s="320">
        <v>29.5</v>
      </c>
      <c r="E176" s="320">
        <v>-0.7</v>
      </c>
      <c r="F176" s="320">
        <v>30.2</v>
      </c>
      <c r="G176" s="320">
        <v>30.25</v>
      </c>
      <c r="H176" s="320">
        <v>29.3</v>
      </c>
      <c r="I176" s="321">
        <v>842000</v>
      </c>
      <c r="J176" s="321">
        <v>24952750</v>
      </c>
      <c r="K176" s="320">
        <v>472</v>
      </c>
      <c r="L176" s="320">
        <v>29.45</v>
      </c>
      <c r="M176" s="320">
        <v>3</v>
      </c>
      <c r="N176" s="320">
        <v>29.5</v>
      </c>
      <c r="O176" s="320">
        <v>4</v>
      </c>
      <c r="P176" s="321">
        <v>59080000</v>
      </c>
      <c r="Q176" s="320">
        <v>32.450000000000003</v>
      </c>
      <c r="R176" s="320">
        <v>26.55</v>
      </c>
    </row>
    <row r="177" spans="2:18">
      <c r="B177" s="319">
        <v>3115</v>
      </c>
      <c r="C177" s="319" t="s">
        <v>617</v>
      </c>
      <c r="D177" s="320">
        <v>15.35</v>
      </c>
      <c r="E177" s="320">
        <v>-0.35</v>
      </c>
      <c r="F177" s="320">
        <v>15.9</v>
      </c>
      <c r="G177" s="320">
        <v>15.9</v>
      </c>
      <c r="H177" s="320">
        <v>15.35</v>
      </c>
      <c r="I177" s="321">
        <v>8000</v>
      </c>
      <c r="J177" s="321">
        <v>124650</v>
      </c>
      <c r="K177" s="320">
        <v>8</v>
      </c>
      <c r="L177" s="320">
        <v>15.3</v>
      </c>
      <c r="M177" s="320">
        <v>1</v>
      </c>
      <c r="N177" s="320">
        <v>15.7</v>
      </c>
      <c r="O177" s="320">
        <v>2</v>
      </c>
      <c r="P177" s="321">
        <v>43697600</v>
      </c>
      <c r="Q177" s="320">
        <v>16.850000000000001</v>
      </c>
      <c r="R177" s="320">
        <v>13.85</v>
      </c>
    </row>
    <row r="178" spans="2:18">
      <c r="B178" s="319">
        <v>3118</v>
      </c>
      <c r="C178" s="319" t="s">
        <v>618</v>
      </c>
      <c r="D178" s="320">
        <v>29.75</v>
      </c>
      <c r="E178" s="320">
        <v>0.15</v>
      </c>
      <c r="F178" s="320">
        <v>29.65</v>
      </c>
      <c r="G178" s="320">
        <v>29.8</v>
      </c>
      <c r="H178" s="320">
        <v>29.65</v>
      </c>
      <c r="I178" s="321">
        <v>25000</v>
      </c>
      <c r="J178" s="321">
        <v>743200</v>
      </c>
      <c r="K178" s="320">
        <v>19</v>
      </c>
      <c r="L178" s="320">
        <v>29.75</v>
      </c>
      <c r="M178" s="320">
        <v>4</v>
      </c>
      <c r="N178" s="320">
        <v>29.8</v>
      </c>
      <c r="O178" s="320">
        <v>1</v>
      </c>
      <c r="P178" s="321">
        <v>32452860</v>
      </c>
      <c r="Q178" s="320">
        <v>32.700000000000003</v>
      </c>
      <c r="R178" s="320">
        <v>26.8</v>
      </c>
    </row>
    <row r="179" spans="2:18">
      <c r="B179" s="319">
        <v>3122</v>
      </c>
      <c r="C179" s="319" t="s">
        <v>619</v>
      </c>
      <c r="D179" s="320">
        <v>58.4</v>
      </c>
      <c r="E179" s="320">
        <v>-1.1000000000000001</v>
      </c>
      <c r="F179" s="320">
        <v>60.3</v>
      </c>
      <c r="G179" s="320">
        <v>60.3</v>
      </c>
      <c r="H179" s="320">
        <v>58.2</v>
      </c>
      <c r="I179" s="321">
        <v>1055000</v>
      </c>
      <c r="J179" s="321">
        <v>62163000</v>
      </c>
      <c r="K179" s="320">
        <v>796</v>
      </c>
      <c r="L179" s="320">
        <v>58.4</v>
      </c>
      <c r="M179" s="320">
        <v>5</v>
      </c>
      <c r="N179" s="320">
        <v>58.5</v>
      </c>
      <c r="O179" s="320">
        <v>3</v>
      </c>
      <c r="P179" s="321">
        <v>38299934</v>
      </c>
      <c r="Q179" s="320">
        <v>64.2</v>
      </c>
      <c r="R179" s="320">
        <v>52.6</v>
      </c>
    </row>
    <row r="180" spans="2:18">
      <c r="B180" s="319">
        <v>3128</v>
      </c>
      <c r="C180" s="319" t="s">
        <v>620</v>
      </c>
      <c r="D180" s="320">
        <v>22.85</v>
      </c>
      <c r="E180" s="320">
        <v>0.1</v>
      </c>
      <c r="F180" s="320">
        <v>22.95</v>
      </c>
      <c r="G180" s="320">
        <v>23.15</v>
      </c>
      <c r="H180" s="320">
        <v>22.85</v>
      </c>
      <c r="I180" s="321">
        <v>664000</v>
      </c>
      <c r="J180" s="321">
        <v>15248350</v>
      </c>
      <c r="K180" s="320">
        <v>341</v>
      </c>
      <c r="L180" s="320">
        <v>22.85</v>
      </c>
      <c r="M180" s="320">
        <v>9</v>
      </c>
      <c r="N180" s="320">
        <v>22.9</v>
      </c>
      <c r="O180" s="320">
        <v>1</v>
      </c>
      <c r="P180" s="321">
        <v>42000000</v>
      </c>
      <c r="Q180" s="320">
        <v>25.1</v>
      </c>
      <c r="R180" s="320">
        <v>20.6</v>
      </c>
    </row>
    <row r="181" spans="2:18">
      <c r="B181" s="319">
        <v>3131</v>
      </c>
      <c r="C181" s="319" t="s">
        <v>621</v>
      </c>
      <c r="D181" s="320">
        <v>358.5</v>
      </c>
      <c r="E181" s="320">
        <v>4</v>
      </c>
      <c r="F181" s="320">
        <v>358.5</v>
      </c>
      <c r="G181" s="320">
        <v>360</v>
      </c>
      <c r="H181" s="320">
        <v>355</v>
      </c>
      <c r="I181" s="321">
        <v>70000</v>
      </c>
      <c r="J181" s="321">
        <v>25043500</v>
      </c>
      <c r="K181" s="320">
        <v>70</v>
      </c>
      <c r="L181" s="320">
        <v>358</v>
      </c>
      <c r="M181" s="320">
        <v>5</v>
      </c>
      <c r="N181" s="320">
        <v>358.5</v>
      </c>
      <c r="O181" s="320">
        <v>1</v>
      </c>
      <c r="P181" s="321">
        <v>29216015</v>
      </c>
      <c r="Q181" s="320">
        <v>394</v>
      </c>
      <c r="R181" s="320">
        <v>323</v>
      </c>
    </row>
    <row r="182" spans="2:18">
      <c r="B182" s="319">
        <v>3141</v>
      </c>
      <c r="C182" s="319" t="s">
        <v>622</v>
      </c>
      <c r="D182" s="320">
        <v>252</v>
      </c>
      <c r="E182" s="320">
        <v>1</v>
      </c>
      <c r="F182" s="320">
        <v>252</v>
      </c>
      <c r="G182" s="320">
        <v>257.5</v>
      </c>
      <c r="H182" s="320">
        <v>250</v>
      </c>
      <c r="I182" s="321">
        <v>6271000</v>
      </c>
      <c r="J182" s="321">
        <v>1585703000</v>
      </c>
      <c r="K182" s="321">
        <v>4291</v>
      </c>
      <c r="L182" s="320">
        <v>252</v>
      </c>
      <c r="M182" s="320">
        <v>15</v>
      </c>
      <c r="N182" s="320">
        <v>252.5</v>
      </c>
      <c r="O182" s="320">
        <v>12</v>
      </c>
      <c r="P182" s="321">
        <v>74714578</v>
      </c>
      <c r="Q182" s="320">
        <v>277</v>
      </c>
      <c r="R182" s="320">
        <v>227</v>
      </c>
    </row>
    <row r="183" spans="2:18">
      <c r="B183" s="319">
        <v>3147</v>
      </c>
      <c r="C183" s="319" t="s">
        <v>623</v>
      </c>
      <c r="D183" s="320">
        <v>50.3</v>
      </c>
      <c r="E183" s="320">
        <v>0.1</v>
      </c>
      <c r="F183" s="320">
        <v>50.2</v>
      </c>
      <c r="G183" s="320">
        <v>50.5</v>
      </c>
      <c r="H183" s="320">
        <v>50.2</v>
      </c>
      <c r="I183" s="321">
        <v>54000</v>
      </c>
      <c r="J183" s="321">
        <v>2720300</v>
      </c>
      <c r="K183" s="320">
        <v>44</v>
      </c>
      <c r="L183" s="320">
        <v>50.3</v>
      </c>
      <c r="M183" s="320">
        <v>5</v>
      </c>
      <c r="N183" s="320">
        <v>50.4</v>
      </c>
      <c r="O183" s="320">
        <v>6</v>
      </c>
      <c r="P183" s="321">
        <v>39006099</v>
      </c>
      <c r="Q183" s="320">
        <v>55.3</v>
      </c>
      <c r="R183" s="320">
        <v>45.3</v>
      </c>
    </row>
    <row r="184" spans="2:18">
      <c r="B184" s="319">
        <v>3152</v>
      </c>
      <c r="C184" s="319" t="s">
        <v>624</v>
      </c>
      <c r="D184" s="320">
        <v>348.5</v>
      </c>
      <c r="E184" s="320">
        <v>-1.5</v>
      </c>
      <c r="F184" s="320">
        <v>353</v>
      </c>
      <c r="G184" s="320">
        <v>356</v>
      </c>
      <c r="H184" s="320">
        <v>348</v>
      </c>
      <c r="I184" s="321">
        <v>488000</v>
      </c>
      <c r="J184" s="321">
        <v>171156000</v>
      </c>
      <c r="K184" s="320">
        <v>452</v>
      </c>
      <c r="L184" s="320">
        <v>348</v>
      </c>
      <c r="M184" s="320">
        <v>19</v>
      </c>
      <c r="N184" s="320">
        <v>349.5</v>
      </c>
      <c r="O184" s="320">
        <v>3</v>
      </c>
      <c r="P184" s="321">
        <v>69016200</v>
      </c>
      <c r="Q184" s="320">
        <v>383</v>
      </c>
      <c r="R184" s="320">
        <v>314</v>
      </c>
    </row>
    <row r="185" spans="2:18">
      <c r="B185" s="319">
        <v>3162</v>
      </c>
      <c r="C185" s="319" t="s">
        <v>625</v>
      </c>
      <c r="D185" s="320">
        <v>46.25</v>
      </c>
      <c r="E185" s="320">
        <v>-0.05</v>
      </c>
      <c r="F185" s="320">
        <v>46.3</v>
      </c>
      <c r="G185" s="320">
        <v>46.5</v>
      </c>
      <c r="H185" s="320">
        <v>46.1</v>
      </c>
      <c r="I185" s="321">
        <v>171000</v>
      </c>
      <c r="J185" s="321">
        <v>7907750</v>
      </c>
      <c r="K185" s="320">
        <v>108</v>
      </c>
      <c r="L185" s="320">
        <v>46.25</v>
      </c>
      <c r="M185" s="320">
        <v>8</v>
      </c>
      <c r="N185" s="320">
        <v>46.3</v>
      </c>
      <c r="O185" s="320">
        <v>28</v>
      </c>
      <c r="P185" s="321">
        <v>109531342</v>
      </c>
      <c r="Q185" s="320">
        <v>50.8</v>
      </c>
      <c r="R185" s="320">
        <v>41.65</v>
      </c>
    </row>
    <row r="186" spans="2:18">
      <c r="B186" s="319">
        <v>3163</v>
      </c>
      <c r="C186" s="319" t="s">
        <v>626</v>
      </c>
      <c r="D186" s="320">
        <v>42.3</v>
      </c>
      <c r="E186" s="320">
        <v>0.9</v>
      </c>
      <c r="F186" s="320">
        <v>41.65</v>
      </c>
      <c r="G186" s="320">
        <v>43</v>
      </c>
      <c r="H186" s="320">
        <v>41.65</v>
      </c>
      <c r="I186" s="321">
        <v>642000</v>
      </c>
      <c r="J186" s="321">
        <v>27264050</v>
      </c>
      <c r="K186" s="320">
        <v>414</v>
      </c>
      <c r="L186" s="320">
        <v>42.25</v>
      </c>
      <c r="M186" s="320">
        <v>5</v>
      </c>
      <c r="N186" s="320">
        <v>42.3</v>
      </c>
      <c r="O186" s="320">
        <v>8</v>
      </c>
      <c r="P186" s="321">
        <v>75286899</v>
      </c>
      <c r="Q186" s="320">
        <v>46.5</v>
      </c>
      <c r="R186" s="320">
        <v>38.1</v>
      </c>
    </row>
    <row r="187" spans="2:18">
      <c r="B187" s="319">
        <v>3169</v>
      </c>
      <c r="C187" s="319" t="s">
        <v>627</v>
      </c>
      <c r="D187" s="320">
        <v>281.5</v>
      </c>
      <c r="E187" s="320">
        <v>2.5</v>
      </c>
      <c r="F187" s="320">
        <v>283</v>
      </c>
      <c r="G187" s="320">
        <v>285</v>
      </c>
      <c r="H187" s="320">
        <v>278.5</v>
      </c>
      <c r="I187" s="321">
        <v>2776000</v>
      </c>
      <c r="J187" s="321">
        <v>781542000</v>
      </c>
      <c r="K187" s="321">
        <v>2128</v>
      </c>
      <c r="L187" s="320">
        <v>281</v>
      </c>
      <c r="M187" s="320">
        <v>1</v>
      </c>
      <c r="N187" s="320">
        <v>281.5</v>
      </c>
      <c r="O187" s="320">
        <v>7</v>
      </c>
      <c r="P187" s="321">
        <v>62196981</v>
      </c>
      <c r="Q187" s="320">
        <v>309.5</v>
      </c>
      <c r="R187" s="320">
        <v>253.5</v>
      </c>
    </row>
    <row r="188" spans="2:18">
      <c r="B188" s="319">
        <v>3171</v>
      </c>
      <c r="C188" s="319" t="s">
        <v>628</v>
      </c>
      <c r="D188" s="320">
        <v>20.75</v>
      </c>
      <c r="E188" s="320">
        <v>-0.1</v>
      </c>
      <c r="F188" s="320">
        <v>20.8</v>
      </c>
      <c r="G188" s="320">
        <v>20.8</v>
      </c>
      <c r="H188" s="320">
        <v>20.7</v>
      </c>
      <c r="I188" s="321">
        <v>47000</v>
      </c>
      <c r="J188" s="321">
        <v>975700</v>
      </c>
      <c r="K188" s="320">
        <v>27</v>
      </c>
      <c r="L188" s="320">
        <v>20.75</v>
      </c>
      <c r="M188" s="320">
        <v>4</v>
      </c>
      <c r="N188" s="320">
        <v>20.8</v>
      </c>
      <c r="O188" s="320">
        <v>2</v>
      </c>
      <c r="P188" s="321">
        <v>66703515</v>
      </c>
      <c r="Q188" s="320">
        <v>22.8</v>
      </c>
      <c r="R188" s="320">
        <v>18.7</v>
      </c>
    </row>
    <row r="189" spans="2:18">
      <c r="B189" s="319">
        <v>3176</v>
      </c>
      <c r="C189" s="319" t="s">
        <v>629</v>
      </c>
      <c r="D189" s="320">
        <v>56.5</v>
      </c>
      <c r="E189" s="320">
        <v>0.3</v>
      </c>
      <c r="F189" s="320">
        <v>56.4</v>
      </c>
      <c r="G189" s="320">
        <v>57.5</v>
      </c>
      <c r="H189" s="320">
        <v>56.2</v>
      </c>
      <c r="I189" s="321">
        <v>311000</v>
      </c>
      <c r="J189" s="321">
        <v>17621000</v>
      </c>
      <c r="K189" s="320">
        <v>233</v>
      </c>
      <c r="L189" s="320">
        <v>56.4</v>
      </c>
      <c r="M189" s="320">
        <v>1</v>
      </c>
      <c r="N189" s="320">
        <v>56.6</v>
      </c>
      <c r="O189" s="320">
        <v>5</v>
      </c>
      <c r="P189" s="321">
        <v>139362505</v>
      </c>
      <c r="Q189" s="320">
        <v>62.1</v>
      </c>
      <c r="R189" s="320">
        <v>50.9</v>
      </c>
    </row>
    <row r="190" spans="2:18">
      <c r="B190" s="319">
        <v>3178</v>
      </c>
      <c r="C190" s="319" t="s">
        <v>630</v>
      </c>
      <c r="D190" s="320">
        <v>73.2</v>
      </c>
      <c r="E190" s="320">
        <v>0.1</v>
      </c>
      <c r="F190" s="320">
        <v>74</v>
      </c>
      <c r="G190" s="320">
        <v>74</v>
      </c>
      <c r="H190" s="320">
        <v>73</v>
      </c>
      <c r="I190" s="321">
        <v>90000</v>
      </c>
      <c r="J190" s="321">
        <v>6612400</v>
      </c>
      <c r="K190" s="320">
        <v>85</v>
      </c>
      <c r="L190" s="320">
        <v>73.2</v>
      </c>
      <c r="M190" s="320">
        <v>3</v>
      </c>
      <c r="N190" s="320">
        <v>73.400000000000006</v>
      </c>
      <c r="O190" s="320">
        <v>1</v>
      </c>
      <c r="P190" s="321">
        <v>45050000</v>
      </c>
      <c r="Q190" s="320">
        <v>80.5</v>
      </c>
      <c r="R190" s="320">
        <v>65.900000000000006</v>
      </c>
    </row>
    <row r="191" spans="2:18">
      <c r="B191" s="319">
        <v>3188</v>
      </c>
      <c r="C191" s="319" t="s">
        <v>631</v>
      </c>
      <c r="D191" s="320">
        <v>17.350000000000001</v>
      </c>
      <c r="E191" s="320">
        <v>-0.25</v>
      </c>
      <c r="F191" s="320">
        <v>17.600000000000001</v>
      </c>
      <c r="G191" s="320">
        <v>17.850000000000001</v>
      </c>
      <c r="H191" s="320">
        <v>17.350000000000001</v>
      </c>
      <c r="I191" s="321">
        <v>108000</v>
      </c>
      <c r="J191" s="321">
        <v>1888500</v>
      </c>
      <c r="K191" s="320">
        <v>64</v>
      </c>
      <c r="L191" s="320">
        <v>17.350000000000001</v>
      </c>
      <c r="M191" s="320">
        <v>1</v>
      </c>
      <c r="N191" s="320">
        <v>17.5</v>
      </c>
      <c r="O191" s="320">
        <v>3</v>
      </c>
      <c r="P191" s="321">
        <v>120295120</v>
      </c>
      <c r="Q191" s="320">
        <v>19.05</v>
      </c>
      <c r="R191" s="320">
        <v>15.65</v>
      </c>
    </row>
    <row r="192" spans="2:18">
      <c r="B192" s="319">
        <v>3191</v>
      </c>
      <c r="C192" s="319" t="s">
        <v>632</v>
      </c>
      <c r="D192" s="320">
        <v>7.5</v>
      </c>
      <c r="E192" s="320">
        <v>-0.17</v>
      </c>
      <c r="F192" s="320">
        <v>7.62</v>
      </c>
      <c r="G192" s="320">
        <v>7.62</v>
      </c>
      <c r="H192" s="320">
        <v>7.5</v>
      </c>
      <c r="I192" s="321">
        <v>89000</v>
      </c>
      <c r="J192" s="321">
        <v>673420</v>
      </c>
      <c r="K192" s="320">
        <v>33</v>
      </c>
      <c r="L192" s="320">
        <v>7.48</v>
      </c>
      <c r="M192" s="320">
        <v>6</v>
      </c>
      <c r="N192" s="320">
        <v>7.5</v>
      </c>
      <c r="O192" s="320">
        <v>16</v>
      </c>
      <c r="P192" s="321">
        <v>57194761</v>
      </c>
      <c r="Q192" s="320">
        <v>8.25</v>
      </c>
      <c r="R192" s="320">
        <v>6.75</v>
      </c>
    </row>
    <row r="193" spans="2:18">
      <c r="B193" s="319">
        <v>3202</v>
      </c>
      <c r="C193" s="319" t="s">
        <v>633</v>
      </c>
      <c r="D193" s="320">
        <v>19.100000000000001</v>
      </c>
      <c r="E193" s="320">
        <v>0.9</v>
      </c>
      <c r="F193" s="320">
        <v>18.3</v>
      </c>
      <c r="G193" s="320">
        <v>19.5</v>
      </c>
      <c r="H193" s="320">
        <v>17.75</v>
      </c>
      <c r="I193" s="321">
        <v>6082000</v>
      </c>
      <c r="J193" s="321">
        <v>115238400</v>
      </c>
      <c r="K193" s="321">
        <v>2114</v>
      </c>
      <c r="L193" s="320">
        <v>19.100000000000001</v>
      </c>
      <c r="M193" s="320">
        <v>14</v>
      </c>
      <c r="N193" s="320">
        <v>19.149999999999999</v>
      </c>
      <c r="O193" s="320">
        <v>11</v>
      </c>
      <c r="P193" s="321">
        <v>117164870</v>
      </c>
      <c r="Q193" s="320">
        <v>21</v>
      </c>
      <c r="R193" s="320">
        <v>17.2</v>
      </c>
    </row>
    <row r="194" spans="2:18">
      <c r="B194" s="319">
        <v>3205</v>
      </c>
      <c r="C194" s="319" t="s">
        <v>634</v>
      </c>
      <c r="D194" s="320">
        <v>26.65</v>
      </c>
      <c r="E194" s="320">
        <v>-2.15</v>
      </c>
      <c r="F194" s="320">
        <v>28.1</v>
      </c>
      <c r="G194" s="320">
        <v>28.25</v>
      </c>
      <c r="H194" s="320">
        <v>26.65</v>
      </c>
      <c r="I194" s="321">
        <v>997000</v>
      </c>
      <c r="J194" s="321">
        <v>27404800</v>
      </c>
      <c r="K194" s="320">
        <v>631</v>
      </c>
      <c r="L194" s="320">
        <v>26.65</v>
      </c>
      <c r="M194" s="320">
        <v>3</v>
      </c>
      <c r="N194" s="320">
        <v>26.9</v>
      </c>
      <c r="O194" s="320">
        <v>1</v>
      </c>
      <c r="P194" s="321">
        <v>32772631</v>
      </c>
      <c r="Q194" s="320">
        <v>29.3</v>
      </c>
      <c r="R194" s="320">
        <v>24</v>
      </c>
    </row>
    <row r="195" spans="2:18">
      <c r="B195" s="319">
        <v>3206</v>
      </c>
      <c r="C195" s="319" t="s">
        <v>635</v>
      </c>
      <c r="D195" s="320">
        <v>29.8</v>
      </c>
      <c r="E195" s="320">
        <v>-0.1</v>
      </c>
      <c r="F195" s="320">
        <v>30.25</v>
      </c>
      <c r="G195" s="320">
        <v>30.25</v>
      </c>
      <c r="H195" s="320">
        <v>29.75</v>
      </c>
      <c r="I195" s="321">
        <v>166000</v>
      </c>
      <c r="J195" s="321">
        <v>4974350</v>
      </c>
      <c r="K195" s="320">
        <v>117</v>
      </c>
      <c r="L195" s="320">
        <v>29.8</v>
      </c>
      <c r="M195" s="320">
        <v>1</v>
      </c>
      <c r="N195" s="320">
        <v>29.85</v>
      </c>
      <c r="O195" s="320">
        <v>8</v>
      </c>
      <c r="P195" s="321">
        <v>58916621</v>
      </c>
      <c r="Q195" s="320">
        <v>32.75</v>
      </c>
      <c r="R195" s="320">
        <v>26.85</v>
      </c>
    </row>
    <row r="196" spans="2:18">
      <c r="B196" s="319">
        <v>3207</v>
      </c>
      <c r="C196" s="319" t="s">
        <v>636</v>
      </c>
      <c r="D196" s="320">
        <v>23</v>
      </c>
      <c r="E196" s="320">
        <v>-0.05</v>
      </c>
      <c r="F196" s="320">
        <v>23.05</v>
      </c>
      <c r="G196" s="320">
        <v>23.35</v>
      </c>
      <c r="H196" s="320">
        <v>23</v>
      </c>
      <c r="I196" s="321">
        <v>680000</v>
      </c>
      <c r="J196" s="321">
        <v>15699000</v>
      </c>
      <c r="K196" s="320">
        <v>276</v>
      </c>
      <c r="L196" s="320">
        <v>23</v>
      </c>
      <c r="M196" s="320">
        <v>11</v>
      </c>
      <c r="N196" s="320">
        <v>23.2</v>
      </c>
      <c r="O196" s="320">
        <v>1</v>
      </c>
      <c r="P196" s="321">
        <v>43770341</v>
      </c>
      <c r="Q196" s="320">
        <v>25.3</v>
      </c>
      <c r="R196" s="320">
        <v>20.7</v>
      </c>
    </row>
    <row r="197" spans="2:18">
      <c r="B197" s="319">
        <v>3211</v>
      </c>
      <c r="C197" s="319" t="s">
        <v>637</v>
      </c>
      <c r="D197" s="320">
        <v>100.5</v>
      </c>
      <c r="E197" s="320">
        <v>-0.5</v>
      </c>
      <c r="F197" s="320">
        <v>101</v>
      </c>
      <c r="G197" s="320">
        <v>101</v>
      </c>
      <c r="H197" s="320">
        <v>100</v>
      </c>
      <c r="I197" s="321">
        <v>187000</v>
      </c>
      <c r="J197" s="321">
        <v>18807500</v>
      </c>
      <c r="K197" s="320">
        <v>128</v>
      </c>
      <c r="L197" s="320">
        <v>100.5</v>
      </c>
      <c r="M197" s="320">
        <v>5</v>
      </c>
      <c r="N197" s="320">
        <v>101</v>
      </c>
      <c r="O197" s="320">
        <v>117</v>
      </c>
      <c r="P197" s="321">
        <v>147480521</v>
      </c>
      <c r="Q197" s="320">
        <v>110.5</v>
      </c>
      <c r="R197" s="320">
        <v>90.5</v>
      </c>
    </row>
    <row r="198" spans="2:18">
      <c r="B198" s="319">
        <v>3213</v>
      </c>
      <c r="C198" s="319" t="s">
        <v>638</v>
      </c>
      <c r="D198" s="320">
        <v>60.7</v>
      </c>
      <c r="E198" s="320">
        <v>0.3</v>
      </c>
      <c r="F198" s="320">
        <v>60.5</v>
      </c>
      <c r="G198" s="320">
        <v>60.8</v>
      </c>
      <c r="H198" s="320">
        <v>60.4</v>
      </c>
      <c r="I198" s="321">
        <v>84000</v>
      </c>
      <c r="J198" s="321">
        <v>5086900</v>
      </c>
      <c r="K198" s="320">
        <v>68</v>
      </c>
      <c r="L198" s="320">
        <v>60.7</v>
      </c>
      <c r="M198" s="320">
        <v>1</v>
      </c>
      <c r="N198" s="320">
        <v>60.8</v>
      </c>
      <c r="O198" s="320">
        <v>12</v>
      </c>
      <c r="P198" s="321">
        <v>58685547</v>
      </c>
      <c r="Q198" s="320">
        <v>66.7</v>
      </c>
      <c r="R198" s="320">
        <v>54.7</v>
      </c>
    </row>
    <row r="199" spans="2:18">
      <c r="B199" s="319">
        <v>3217</v>
      </c>
      <c r="C199" s="319" t="s">
        <v>639</v>
      </c>
      <c r="D199" s="320">
        <v>137.5</v>
      </c>
      <c r="E199" s="320">
        <v>-2</v>
      </c>
      <c r="F199" s="320">
        <v>140</v>
      </c>
      <c r="G199" s="320">
        <v>142.5</v>
      </c>
      <c r="H199" s="320">
        <v>137</v>
      </c>
      <c r="I199" s="321">
        <v>3321000</v>
      </c>
      <c r="J199" s="321">
        <v>463068000</v>
      </c>
      <c r="K199" s="321">
        <v>2178</v>
      </c>
      <c r="L199" s="320">
        <v>137.5</v>
      </c>
      <c r="M199" s="320">
        <v>60</v>
      </c>
      <c r="N199" s="320">
        <v>138</v>
      </c>
      <c r="O199" s="320">
        <v>19</v>
      </c>
      <c r="P199" s="321">
        <v>90104203</v>
      </c>
      <c r="Q199" s="320">
        <v>151</v>
      </c>
      <c r="R199" s="320">
        <v>124</v>
      </c>
    </row>
    <row r="200" spans="2:18">
      <c r="B200" s="319">
        <v>3218</v>
      </c>
      <c r="C200" s="319" t="s">
        <v>640</v>
      </c>
      <c r="D200" s="320">
        <v>281</v>
      </c>
      <c r="E200" s="320">
        <v>-1.5</v>
      </c>
      <c r="F200" s="320">
        <v>285.5</v>
      </c>
      <c r="G200" s="320">
        <v>285.5</v>
      </c>
      <c r="H200" s="320">
        <v>281</v>
      </c>
      <c r="I200" s="321">
        <v>95000</v>
      </c>
      <c r="J200" s="321">
        <v>26796500</v>
      </c>
      <c r="K200" s="320">
        <v>92</v>
      </c>
      <c r="L200" s="320">
        <v>281</v>
      </c>
      <c r="M200" s="320">
        <v>6</v>
      </c>
      <c r="N200" s="320">
        <v>281.5</v>
      </c>
      <c r="O200" s="320">
        <v>1</v>
      </c>
      <c r="P200" s="321">
        <v>76123000</v>
      </c>
      <c r="Q200" s="320">
        <v>309</v>
      </c>
      <c r="R200" s="320">
        <v>253</v>
      </c>
    </row>
    <row r="201" spans="2:18">
      <c r="B201" s="319">
        <v>3219</v>
      </c>
      <c r="C201" s="319" t="s">
        <v>641</v>
      </c>
      <c r="D201" s="320">
        <v>91.7</v>
      </c>
      <c r="E201" s="320">
        <v>-0.6</v>
      </c>
      <c r="F201" s="320">
        <v>92.5</v>
      </c>
      <c r="G201" s="320">
        <v>92.5</v>
      </c>
      <c r="H201" s="320">
        <v>91.6</v>
      </c>
      <c r="I201" s="321">
        <v>12000</v>
      </c>
      <c r="J201" s="321">
        <v>1104500</v>
      </c>
      <c r="K201" s="320">
        <v>11</v>
      </c>
      <c r="L201" s="320">
        <v>91.7</v>
      </c>
      <c r="M201" s="320">
        <v>1</v>
      </c>
      <c r="N201" s="320">
        <v>91.9</v>
      </c>
      <c r="O201" s="320">
        <v>1</v>
      </c>
      <c r="P201" s="321">
        <v>70283968</v>
      </c>
      <c r="Q201" s="320">
        <v>100.5</v>
      </c>
      <c r="R201" s="320">
        <v>82.6</v>
      </c>
    </row>
    <row r="202" spans="2:18">
      <c r="B202" s="319">
        <v>3221</v>
      </c>
      <c r="C202" s="319" t="s">
        <v>642</v>
      </c>
      <c r="D202" s="320">
        <v>39.700000000000003</v>
      </c>
      <c r="E202" s="320">
        <v>-0.8</v>
      </c>
      <c r="F202" s="320">
        <v>40.5</v>
      </c>
      <c r="G202" s="320">
        <v>40.799999999999997</v>
      </c>
      <c r="H202" s="320">
        <v>39.700000000000003</v>
      </c>
      <c r="I202" s="321">
        <v>2044000</v>
      </c>
      <c r="J202" s="321">
        <v>82014500</v>
      </c>
      <c r="K202" s="321">
        <v>1252</v>
      </c>
      <c r="L202" s="320">
        <v>39.700000000000003</v>
      </c>
      <c r="M202" s="320">
        <v>17</v>
      </c>
      <c r="N202" s="320">
        <v>39.950000000000003</v>
      </c>
      <c r="O202" s="320">
        <v>8</v>
      </c>
      <c r="P202" s="321">
        <v>102900410</v>
      </c>
      <c r="Q202" s="320">
        <v>43.65</v>
      </c>
      <c r="R202" s="320">
        <v>35.75</v>
      </c>
    </row>
    <row r="203" spans="2:18">
      <c r="B203" s="319">
        <v>3224</v>
      </c>
      <c r="C203" s="319" t="s">
        <v>643</v>
      </c>
      <c r="D203" s="320">
        <v>64</v>
      </c>
      <c r="E203" s="320">
        <v>1.1000000000000001</v>
      </c>
      <c r="F203" s="320">
        <v>63.3</v>
      </c>
      <c r="G203" s="320">
        <v>64.8</v>
      </c>
      <c r="H203" s="320">
        <v>63.3</v>
      </c>
      <c r="I203" s="321">
        <v>920000</v>
      </c>
      <c r="J203" s="321">
        <v>58972000</v>
      </c>
      <c r="K203" s="320">
        <v>593</v>
      </c>
      <c r="L203" s="320">
        <v>63.9</v>
      </c>
      <c r="M203" s="320">
        <v>3</v>
      </c>
      <c r="N203" s="320">
        <v>64</v>
      </c>
      <c r="O203" s="320">
        <v>21</v>
      </c>
      <c r="P203" s="321">
        <v>68016045</v>
      </c>
      <c r="Q203" s="320">
        <v>70.400000000000006</v>
      </c>
      <c r="R203" s="320">
        <v>57.6</v>
      </c>
    </row>
    <row r="204" spans="2:18">
      <c r="B204" s="319">
        <v>3226</v>
      </c>
      <c r="C204" s="319" t="s">
        <v>644</v>
      </c>
      <c r="D204" s="320">
        <v>65.5</v>
      </c>
      <c r="E204" s="320">
        <v>-0.2</v>
      </c>
      <c r="F204" s="320">
        <v>65.7</v>
      </c>
      <c r="G204" s="320">
        <v>65.7</v>
      </c>
      <c r="H204" s="320">
        <v>65</v>
      </c>
      <c r="I204" s="321">
        <v>11000</v>
      </c>
      <c r="J204" s="321">
        <v>719800</v>
      </c>
      <c r="K204" s="320">
        <v>8</v>
      </c>
      <c r="L204" s="320">
        <v>64.5</v>
      </c>
      <c r="M204" s="320">
        <v>2</v>
      </c>
      <c r="N204" s="320">
        <v>65.7</v>
      </c>
      <c r="O204" s="320">
        <v>2</v>
      </c>
      <c r="P204" s="321">
        <v>64430573</v>
      </c>
      <c r="Q204" s="320">
        <v>72</v>
      </c>
      <c r="R204" s="320">
        <v>59</v>
      </c>
    </row>
    <row r="205" spans="2:18">
      <c r="B205" s="319">
        <v>3227</v>
      </c>
      <c r="C205" s="319" t="s">
        <v>645</v>
      </c>
      <c r="D205" s="320">
        <v>150</v>
      </c>
      <c r="E205" s="320">
        <v>2</v>
      </c>
      <c r="F205" s="320">
        <v>149</v>
      </c>
      <c r="G205" s="320">
        <v>151</v>
      </c>
      <c r="H205" s="320">
        <v>148</v>
      </c>
      <c r="I205" s="321">
        <v>808000</v>
      </c>
      <c r="J205" s="321">
        <v>120950500</v>
      </c>
      <c r="K205" s="320">
        <v>601</v>
      </c>
      <c r="L205" s="320">
        <v>149.5</v>
      </c>
      <c r="M205" s="320">
        <v>26</v>
      </c>
      <c r="N205" s="320">
        <v>150</v>
      </c>
      <c r="O205" s="320">
        <v>13</v>
      </c>
      <c r="P205" s="321">
        <v>142478015</v>
      </c>
      <c r="Q205" s="320">
        <v>165</v>
      </c>
      <c r="R205" s="320">
        <v>135</v>
      </c>
    </row>
    <row r="206" spans="2:18">
      <c r="B206" s="319">
        <v>3228</v>
      </c>
      <c r="C206" s="319" t="s">
        <v>646</v>
      </c>
      <c r="D206" s="320">
        <v>447.5</v>
      </c>
      <c r="E206" s="320">
        <v>-7</v>
      </c>
      <c r="F206" s="320">
        <v>456.5</v>
      </c>
      <c r="G206" s="320">
        <v>465</v>
      </c>
      <c r="H206" s="320">
        <v>440.5</v>
      </c>
      <c r="I206" s="321">
        <v>1523000</v>
      </c>
      <c r="J206" s="321">
        <v>691744500</v>
      </c>
      <c r="K206" s="321">
        <v>1352</v>
      </c>
      <c r="L206" s="320">
        <v>447.5</v>
      </c>
      <c r="M206" s="320">
        <v>2</v>
      </c>
      <c r="N206" s="320">
        <v>448</v>
      </c>
      <c r="O206" s="320">
        <v>2</v>
      </c>
      <c r="P206" s="321">
        <v>67792705</v>
      </c>
      <c r="Q206" s="320">
        <v>492</v>
      </c>
      <c r="R206" s="320">
        <v>403</v>
      </c>
    </row>
    <row r="207" spans="2:18">
      <c r="B207" s="319">
        <v>3230</v>
      </c>
      <c r="C207" s="319" t="s">
        <v>647</v>
      </c>
      <c r="D207" s="320">
        <v>18.649999999999999</v>
      </c>
      <c r="E207" s="320">
        <v>-0.15</v>
      </c>
      <c r="F207" s="320">
        <v>18.649999999999999</v>
      </c>
      <c r="G207" s="320">
        <v>19.05</v>
      </c>
      <c r="H207" s="320">
        <v>18.5</v>
      </c>
      <c r="I207" s="321">
        <v>210000</v>
      </c>
      <c r="J207" s="321">
        <v>3923450</v>
      </c>
      <c r="K207" s="320">
        <v>101</v>
      </c>
      <c r="L207" s="320">
        <v>18.649999999999999</v>
      </c>
      <c r="M207" s="320">
        <v>1</v>
      </c>
      <c r="N207" s="320">
        <v>18.7</v>
      </c>
      <c r="O207" s="320">
        <v>2</v>
      </c>
      <c r="P207" s="321">
        <v>71010900</v>
      </c>
      <c r="Q207" s="320">
        <v>20.5</v>
      </c>
      <c r="R207" s="320">
        <v>16.8</v>
      </c>
    </row>
    <row r="208" spans="2:18">
      <c r="B208" s="319">
        <v>3232</v>
      </c>
      <c r="C208" s="319" t="s">
        <v>648</v>
      </c>
      <c r="D208" s="320">
        <v>27.8</v>
      </c>
      <c r="E208" s="320">
        <v>-0.1</v>
      </c>
      <c r="F208" s="320">
        <v>27.95</v>
      </c>
      <c r="G208" s="320">
        <v>28.2</v>
      </c>
      <c r="H208" s="320">
        <v>27.8</v>
      </c>
      <c r="I208" s="321">
        <v>554000</v>
      </c>
      <c r="J208" s="321">
        <v>15461700</v>
      </c>
      <c r="K208" s="320">
        <v>267</v>
      </c>
      <c r="L208" s="320">
        <v>27.75</v>
      </c>
      <c r="M208" s="320">
        <v>17</v>
      </c>
      <c r="N208" s="320">
        <v>27.8</v>
      </c>
      <c r="O208" s="320">
        <v>1</v>
      </c>
      <c r="P208" s="321">
        <v>36567865</v>
      </c>
      <c r="Q208" s="320">
        <v>30.55</v>
      </c>
      <c r="R208" s="320">
        <v>25.05</v>
      </c>
    </row>
    <row r="209" spans="2:18">
      <c r="B209" s="319">
        <v>3234</v>
      </c>
      <c r="C209" s="319" t="s">
        <v>649</v>
      </c>
      <c r="D209" s="320">
        <v>28.1</v>
      </c>
      <c r="E209" s="320">
        <v>0.5</v>
      </c>
      <c r="F209" s="320">
        <v>27.75</v>
      </c>
      <c r="G209" s="320">
        <v>29.75</v>
      </c>
      <c r="H209" s="320">
        <v>27.7</v>
      </c>
      <c r="I209" s="321">
        <v>2260000</v>
      </c>
      <c r="J209" s="321">
        <v>64762500</v>
      </c>
      <c r="K209" s="321">
        <v>1381</v>
      </c>
      <c r="L209" s="320">
        <v>28.1</v>
      </c>
      <c r="M209" s="320">
        <v>29</v>
      </c>
      <c r="N209" s="320">
        <v>28.2</v>
      </c>
      <c r="O209" s="320">
        <v>2</v>
      </c>
      <c r="P209" s="321">
        <v>76474692</v>
      </c>
      <c r="Q209" s="320">
        <v>30.9</v>
      </c>
      <c r="R209" s="320">
        <v>25.3</v>
      </c>
    </row>
    <row r="210" spans="2:18">
      <c r="B210" s="319">
        <v>3236</v>
      </c>
      <c r="C210" s="319" t="s">
        <v>650</v>
      </c>
      <c r="D210" s="320">
        <v>25.5</v>
      </c>
      <c r="E210" s="320">
        <v>-0.1</v>
      </c>
      <c r="F210" s="320">
        <v>25.7</v>
      </c>
      <c r="G210" s="320">
        <v>26</v>
      </c>
      <c r="H210" s="320">
        <v>25.45</v>
      </c>
      <c r="I210" s="321">
        <v>329000</v>
      </c>
      <c r="J210" s="321">
        <v>8428350</v>
      </c>
      <c r="K210" s="320">
        <v>212</v>
      </c>
      <c r="L210" s="320">
        <v>25.45</v>
      </c>
      <c r="M210" s="320">
        <v>1</v>
      </c>
      <c r="N210" s="320">
        <v>25.5</v>
      </c>
      <c r="O210" s="320">
        <v>8</v>
      </c>
      <c r="P210" s="321">
        <v>92920896</v>
      </c>
      <c r="Q210" s="320">
        <v>28.05</v>
      </c>
      <c r="R210" s="320">
        <v>22.95</v>
      </c>
    </row>
    <row r="211" spans="2:18">
      <c r="B211" s="319">
        <v>3252</v>
      </c>
      <c r="C211" s="319" t="s">
        <v>651</v>
      </c>
      <c r="D211" s="320">
        <v>16.75</v>
      </c>
      <c r="E211" s="320">
        <v>0</v>
      </c>
      <c r="F211" s="320">
        <v>16.75</v>
      </c>
      <c r="G211" s="320">
        <v>16.75</v>
      </c>
      <c r="H211" s="320">
        <v>16.600000000000001</v>
      </c>
      <c r="I211" s="321">
        <v>144000</v>
      </c>
      <c r="J211" s="321">
        <v>2404300</v>
      </c>
      <c r="K211" s="320">
        <v>19</v>
      </c>
      <c r="L211" s="320">
        <v>16.7</v>
      </c>
      <c r="M211" s="320">
        <v>1</v>
      </c>
      <c r="N211" s="320">
        <v>16.8</v>
      </c>
      <c r="O211" s="320">
        <v>9</v>
      </c>
      <c r="P211" s="321">
        <v>50195754</v>
      </c>
      <c r="Q211" s="320">
        <v>18.399999999999999</v>
      </c>
      <c r="R211" s="320">
        <v>15.1</v>
      </c>
    </row>
    <row r="212" spans="2:18">
      <c r="B212" s="319">
        <v>3259</v>
      </c>
      <c r="C212" s="319" t="s">
        <v>652</v>
      </c>
      <c r="D212" s="320">
        <v>31.9</v>
      </c>
      <c r="E212" s="320">
        <v>-0.35</v>
      </c>
      <c r="F212" s="320">
        <v>32.9</v>
      </c>
      <c r="G212" s="320">
        <v>32.950000000000003</v>
      </c>
      <c r="H212" s="320">
        <v>31.9</v>
      </c>
      <c r="I212" s="321">
        <v>194000</v>
      </c>
      <c r="J212" s="321">
        <v>6285150</v>
      </c>
      <c r="K212" s="320">
        <v>150</v>
      </c>
      <c r="L212" s="320">
        <v>31.85</v>
      </c>
      <c r="M212" s="320">
        <v>1</v>
      </c>
      <c r="N212" s="320">
        <v>32.15</v>
      </c>
      <c r="O212" s="320">
        <v>3</v>
      </c>
      <c r="P212" s="321">
        <v>74687642</v>
      </c>
      <c r="Q212" s="320">
        <v>35.049999999999997</v>
      </c>
      <c r="R212" s="320">
        <v>28.75</v>
      </c>
    </row>
    <row r="213" spans="2:18">
      <c r="B213" s="319">
        <v>3260</v>
      </c>
      <c r="C213" s="319" t="s">
        <v>653</v>
      </c>
      <c r="D213" s="320">
        <v>90.8</v>
      </c>
      <c r="E213" s="320">
        <v>-0.6</v>
      </c>
      <c r="F213" s="320">
        <v>91.8</v>
      </c>
      <c r="G213" s="320">
        <v>92.1</v>
      </c>
      <c r="H213" s="320">
        <v>90.8</v>
      </c>
      <c r="I213" s="321">
        <v>2978000</v>
      </c>
      <c r="J213" s="321">
        <v>271912600</v>
      </c>
      <c r="K213" s="321">
        <v>1832</v>
      </c>
      <c r="L213" s="320">
        <v>90.8</v>
      </c>
      <c r="M213" s="320">
        <v>22</v>
      </c>
      <c r="N213" s="320">
        <v>90.9</v>
      </c>
      <c r="O213" s="320">
        <v>11</v>
      </c>
      <c r="P213" s="321">
        <v>261144282</v>
      </c>
      <c r="Q213" s="320">
        <v>99.8</v>
      </c>
      <c r="R213" s="320">
        <v>81.8</v>
      </c>
    </row>
    <row r="214" spans="2:18">
      <c r="B214" s="319">
        <v>3264</v>
      </c>
      <c r="C214" s="319" t="s">
        <v>654</v>
      </c>
      <c r="D214" s="320">
        <v>55.2</v>
      </c>
      <c r="E214" s="320">
        <v>-0.1</v>
      </c>
      <c r="F214" s="320">
        <v>55.5</v>
      </c>
      <c r="G214" s="320">
        <v>55.7</v>
      </c>
      <c r="H214" s="320">
        <v>55.2</v>
      </c>
      <c r="I214" s="321">
        <v>2380000</v>
      </c>
      <c r="J214" s="321">
        <v>131998500</v>
      </c>
      <c r="K214" s="321">
        <v>1164</v>
      </c>
      <c r="L214" s="320">
        <v>55.2</v>
      </c>
      <c r="M214" s="320">
        <v>45</v>
      </c>
      <c r="N214" s="320">
        <v>55.3</v>
      </c>
      <c r="O214" s="320">
        <v>49</v>
      </c>
      <c r="P214" s="321">
        <v>490170076</v>
      </c>
      <c r="Q214" s="320">
        <v>60.7</v>
      </c>
      <c r="R214" s="320">
        <v>49.7</v>
      </c>
    </row>
    <row r="215" spans="2:18">
      <c r="B215" s="319">
        <v>3265</v>
      </c>
      <c r="C215" s="319" t="s">
        <v>655</v>
      </c>
      <c r="D215" s="320">
        <v>32</v>
      </c>
      <c r="E215" s="320">
        <v>0.05</v>
      </c>
      <c r="F215" s="320">
        <v>32.1</v>
      </c>
      <c r="G215" s="320">
        <v>32.200000000000003</v>
      </c>
      <c r="H215" s="320">
        <v>31.85</v>
      </c>
      <c r="I215" s="321">
        <v>326000</v>
      </c>
      <c r="J215" s="321">
        <v>10436350</v>
      </c>
      <c r="K215" s="320">
        <v>156</v>
      </c>
      <c r="L215" s="320">
        <v>31.95</v>
      </c>
      <c r="M215" s="320">
        <v>4</v>
      </c>
      <c r="N215" s="320">
        <v>32</v>
      </c>
      <c r="O215" s="320">
        <v>3</v>
      </c>
      <c r="P215" s="321">
        <v>136261659</v>
      </c>
      <c r="Q215" s="320">
        <v>35.200000000000003</v>
      </c>
      <c r="R215" s="320">
        <v>28.8</v>
      </c>
    </row>
    <row r="216" spans="2:18">
      <c r="B216" s="319">
        <v>3268</v>
      </c>
      <c r="C216" s="319" t="s">
        <v>656</v>
      </c>
      <c r="D216" s="320">
        <v>29.5</v>
      </c>
      <c r="E216" s="320">
        <v>0.2</v>
      </c>
      <c r="F216" s="320">
        <v>29.55</v>
      </c>
      <c r="G216" s="320">
        <v>30.45</v>
      </c>
      <c r="H216" s="320">
        <v>29.4</v>
      </c>
      <c r="I216" s="321">
        <v>152000</v>
      </c>
      <c r="J216" s="321">
        <v>4513550</v>
      </c>
      <c r="K216" s="320">
        <v>129</v>
      </c>
      <c r="L216" s="320">
        <v>29.5</v>
      </c>
      <c r="M216" s="320">
        <v>1</v>
      </c>
      <c r="N216" s="320">
        <v>29.6</v>
      </c>
      <c r="O216" s="320">
        <v>3</v>
      </c>
      <c r="P216" s="321">
        <v>33426272</v>
      </c>
      <c r="Q216" s="320">
        <v>32.450000000000003</v>
      </c>
      <c r="R216" s="320">
        <v>26.55</v>
      </c>
    </row>
    <row r="217" spans="2:18">
      <c r="B217" s="319">
        <v>3272</v>
      </c>
      <c r="C217" s="319" t="s">
        <v>657</v>
      </c>
      <c r="D217" s="320">
        <v>41.05</v>
      </c>
      <c r="E217" s="320">
        <v>-0.05</v>
      </c>
      <c r="F217" s="320">
        <v>40.950000000000003</v>
      </c>
      <c r="G217" s="320">
        <v>41.5</v>
      </c>
      <c r="H217" s="320">
        <v>40.950000000000003</v>
      </c>
      <c r="I217" s="321">
        <v>76000</v>
      </c>
      <c r="J217" s="321">
        <v>3124500</v>
      </c>
      <c r="K217" s="320">
        <v>64</v>
      </c>
      <c r="L217" s="320">
        <v>41.05</v>
      </c>
      <c r="M217" s="320">
        <v>1</v>
      </c>
      <c r="N217" s="320">
        <v>41.1</v>
      </c>
      <c r="O217" s="320">
        <v>1</v>
      </c>
      <c r="P217" s="321">
        <v>54614302</v>
      </c>
      <c r="Q217" s="320">
        <v>45.15</v>
      </c>
      <c r="R217" s="320">
        <v>36.950000000000003</v>
      </c>
    </row>
    <row r="218" spans="2:18">
      <c r="B218" s="319">
        <v>3276</v>
      </c>
      <c r="C218" s="319" t="s">
        <v>658</v>
      </c>
      <c r="D218" s="320">
        <v>20.350000000000001</v>
      </c>
      <c r="E218" s="320">
        <v>0.2</v>
      </c>
      <c r="F218" s="320">
        <v>20.9</v>
      </c>
      <c r="G218" s="320">
        <v>22</v>
      </c>
      <c r="H218" s="320">
        <v>20.25</v>
      </c>
      <c r="I218" s="321">
        <v>3887000</v>
      </c>
      <c r="J218" s="321">
        <v>81603800</v>
      </c>
      <c r="K218" s="321">
        <v>1792</v>
      </c>
      <c r="L218" s="320">
        <v>20.350000000000001</v>
      </c>
      <c r="M218" s="320">
        <v>3</v>
      </c>
      <c r="N218" s="320">
        <v>20.45</v>
      </c>
      <c r="O218" s="320">
        <v>2</v>
      </c>
      <c r="P218" s="321">
        <v>69712666</v>
      </c>
      <c r="Q218" s="320">
        <v>22.35</v>
      </c>
      <c r="R218" s="320">
        <v>18.350000000000001</v>
      </c>
    </row>
    <row r="219" spans="2:18">
      <c r="B219" s="319">
        <v>3284</v>
      </c>
      <c r="C219" s="319" t="s">
        <v>659</v>
      </c>
      <c r="D219" s="320">
        <v>12.4</v>
      </c>
      <c r="E219" s="320">
        <v>-0.05</v>
      </c>
      <c r="F219" s="320">
        <v>12.45</v>
      </c>
      <c r="G219" s="320">
        <v>12.45</v>
      </c>
      <c r="H219" s="320">
        <v>12.3</v>
      </c>
      <c r="I219" s="321">
        <v>42000</v>
      </c>
      <c r="J219" s="321">
        <v>518150</v>
      </c>
      <c r="K219" s="320">
        <v>25</v>
      </c>
      <c r="L219" s="320">
        <v>12.3</v>
      </c>
      <c r="M219" s="320">
        <v>45</v>
      </c>
      <c r="N219" s="320">
        <v>12.45</v>
      </c>
      <c r="O219" s="320">
        <v>1</v>
      </c>
      <c r="P219" s="321">
        <v>68961790</v>
      </c>
      <c r="Q219" s="320">
        <v>13.6</v>
      </c>
      <c r="R219" s="320">
        <v>11.2</v>
      </c>
    </row>
    <row r="220" spans="2:18">
      <c r="B220" s="319">
        <v>3285</v>
      </c>
      <c r="C220" s="319" t="s">
        <v>660</v>
      </c>
      <c r="D220" s="320">
        <v>20.9</v>
      </c>
      <c r="E220" s="320">
        <v>0.05</v>
      </c>
      <c r="F220" s="320">
        <v>20.9</v>
      </c>
      <c r="G220" s="320">
        <v>21.5</v>
      </c>
      <c r="H220" s="320">
        <v>20.85</v>
      </c>
      <c r="I220" s="321">
        <v>40000</v>
      </c>
      <c r="J220" s="321">
        <v>843350</v>
      </c>
      <c r="K220" s="320">
        <v>28</v>
      </c>
      <c r="L220" s="320">
        <v>20.9</v>
      </c>
      <c r="M220" s="320">
        <v>1</v>
      </c>
      <c r="N220" s="320">
        <v>20.95</v>
      </c>
      <c r="O220" s="320">
        <v>2</v>
      </c>
      <c r="P220" s="321">
        <v>42735324</v>
      </c>
      <c r="Q220" s="320">
        <v>22.95</v>
      </c>
      <c r="R220" s="320">
        <v>18.850000000000001</v>
      </c>
    </row>
    <row r="221" spans="2:18">
      <c r="B221" s="319">
        <v>3287</v>
      </c>
      <c r="C221" s="319" t="s">
        <v>661</v>
      </c>
      <c r="D221" s="320">
        <v>18.600000000000001</v>
      </c>
      <c r="E221" s="320">
        <v>0</v>
      </c>
      <c r="F221" s="320">
        <v>18.55</v>
      </c>
      <c r="G221" s="320">
        <v>18.8</v>
      </c>
      <c r="H221" s="320">
        <v>18.55</v>
      </c>
      <c r="I221" s="321">
        <v>36000</v>
      </c>
      <c r="J221" s="321">
        <v>670850</v>
      </c>
      <c r="K221" s="320">
        <v>29</v>
      </c>
      <c r="L221" s="320">
        <v>18.600000000000001</v>
      </c>
      <c r="M221" s="320">
        <v>1</v>
      </c>
      <c r="N221" s="320">
        <v>18.649999999999999</v>
      </c>
      <c r="O221" s="320">
        <v>2</v>
      </c>
      <c r="P221" s="321">
        <v>43970483</v>
      </c>
      <c r="Q221" s="320">
        <v>20.45</v>
      </c>
      <c r="R221" s="320">
        <v>16.75</v>
      </c>
    </row>
    <row r="222" spans="2:18">
      <c r="B222" s="319">
        <v>3288</v>
      </c>
      <c r="C222" s="319" t="s">
        <v>662</v>
      </c>
      <c r="D222" s="320">
        <v>17.5</v>
      </c>
      <c r="E222" s="320">
        <v>-0.1</v>
      </c>
      <c r="F222" s="320">
        <v>17.350000000000001</v>
      </c>
      <c r="G222" s="320">
        <v>17.5</v>
      </c>
      <c r="H222" s="320">
        <v>17.25</v>
      </c>
      <c r="I222" s="321">
        <v>39000</v>
      </c>
      <c r="J222" s="321">
        <v>676300</v>
      </c>
      <c r="K222" s="320">
        <v>26</v>
      </c>
      <c r="L222" s="320">
        <v>17.5</v>
      </c>
      <c r="M222" s="320">
        <v>4</v>
      </c>
      <c r="N222" s="320">
        <v>17.600000000000001</v>
      </c>
      <c r="O222" s="320">
        <v>3</v>
      </c>
      <c r="P222" s="321">
        <v>22660060</v>
      </c>
      <c r="Q222" s="320">
        <v>19.25</v>
      </c>
      <c r="R222" s="320">
        <v>15.75</v>
      </c>
    </row>
    <row r="223" spans="2:18">
      <c r="B223" s="319">
        <v>3289</v>
      </c>
      <c r="C223" s="319" t="s">
        <v>663</v>
      </c>
      <c r="D223" s="320">
        <v>51.9</v>
      </c>
      <c r="E223" s="320">
        <v>0</v>
      </c>
      <c r="F223" s="320">
        <v>52.1</v>
      </c>
      <c r="G223" s="320">
        <v>52.2</v>
      </c>
      <c r="H223" s="320">
        <v>51.7</v>
      </c>
      <c r="I223" s="321">
        <v>157000</v>
      </c>
      <c r="J223" s="321">
        <v>8155500</v>
      </c>
      <c r="K223" s="320">
        <v>119</v>
      </c>
      <c r="L223" s="320">
        <v>51.9</v>
      </c>
      <c r="M223" s="320">
        <v>23</v>
      </c>
      <c r="N223" s="320">
        <v>52</v>
      </c>
      <c r="O223" s="320">
        <v>1</v>
      </c>
      <c r="P223" s="321">
        <v>84575121</v>
      </c>
      <c r="Q223" s="320">
        <v>57</v>
      </c>
      <c r="R223" s="320">
        <v>46.75</v>
      </c>
    </row>
    <row r="224" spans="2:18">
      <c r="B224" s="319">
        <v>3290</v>
      </c>
      <c r="C224" s="319" t="s">
        <v>664</v>
      </c>
      <c r="D224" s="320">
        <v>24.95</v>
      </c>
      <c r="E224" s="320">
        <v>2.25</v>
      </c>
      <c r="F224" s="320">
        <v>22.75</v>
      </c>
      <c r="G224" s="320">
        <v>24.95</v>
      </c>
      <c r="H224" s="320">
        <v>22.7</v>
      </c>
      <c r="I224" s="321">
        <v>9171000</v>
      </c>
      <c r="J224" s="321">
        <v>221602900</v>
      </c>
      <c r="K224" s="321">
        <v>3475</v>
      </c>
      <c r="L224" s="320">
        <v>24.95</v>
      </c>
      <c r="M224" s="321">
        <v>6337</v>
      </c>
      <c r="N224" s="320">
        <v>0</v>
      </c>
      <c r="O224" s="320">
        <v>0</v>
      </c>
      <c r="P224" s="321">
        <v>99548926</v>
      </c>
      <c r="Q224" s="320">
        <v>27.4</v>
      </c>
      <c r="R224" s="320">
        <v>22.5</v>
      </c>
    </row>
    <row r="225" spans="2:18">
      <c r="B225" s="319">
        <v>3293</v>
      </c>
      <c r="C225" s="319" t="s">
        <v>665</v>
      </c>
      <c r="D225" s="320">
        <v>793</v>
      </c>
      <c r="E225" s="320">
        <v>-3</v>
      </c>
      <c r="F225" s="320">
        <v>801</v>
      </c>
      <c r="G225" s="320">
        <v>804</v>
      </c>
      <c r="H225" s="320">
        <v>792</v>
      </c>
      <c r="I225" s="321">
        <v>176000</v>
      </c>
      <c r="J225" s="321">
        <v>139979000</v>
      </c>
      <c r="K225" s="320">
        <v>170</v>
      </c>
      <c r="L225" s="320">
        <v>793</v>
      </c>
      <c r="M225" s="320">
        <v>5</v>
      </c>
      <c r="N225" s="320">
        <v>796</v>
      </c>
      <c r="O225" s="320">
        <v>57</v>
      </c>
      <c r="P225" s="321">
        <v>70450390</v>
      </c>
      <c r="Q225" s="320">
        <v>872</v>
      </c>
      <c r="R225" s="320">
        <v>714</v>
      </c>
    </row>
    <row r="226" spans="2:18">
      <c r="B226" s="319">
        <v>3294</v>
      </c>
      <c r="C226" s="319" t="s">
        <v>666</v>
      </c>
      <c r="D226" s="320">
        <v>32.4</v>
      </c>
      <c r="E226" s="320">
        <v>0.75</v>
      </c>
      <c r="F226" s="320">
        <v>31.7</v>
      </c>
      <c r="G226" s="320">
        <v>33.200000000000003</v>
      </c>
      <c r="H226" s="320">
        <v>31.55</v>
      </c>
      <c r="I226" s="321">
        <v>5097000</v>
      </c>
      <c r="J226" s="321">
        <v>164842650</v>
      </c>
      <c r="K226" s="321">
        <v>2532</v>
      </c>
      <c r="L226" s="320">
        <v>32.200000000000003</v>
      </c>
      <c r="M226" s="320">
        <v>1</v>
      </c>
      <c r="N226" s="320">
        <v>32.4</v>
      </c>
      <c r="O226" s="320">
        <v>23</v>
      </c>
      <c r="P226" s="321">
        <v>132015919</v>
      </c>
      <c r="Q226" s="320">
        <v>35.6</v>
      </c>
      <c r="R226" s="320">
        <v>29.2</v>
      </c>
    </row>
    <row r="227" spans="2:18">
      <c r="B227" s="319">
        <v>3297</v>
      </c>
      <c r="C227" s="319" t="s">
        <v>667</v>
      </c>
      <c r="D227" s="320">
        <v>21.3</v>
      </c>
      <c r="E227" s="320">
        <v>1.55</v>
      </c>
      <c r="F227" s="320">
        <v>19.8</v>
      </c>
      <c r="G227" s="320">
        <v>21.3</v>
      </c>
      <c r="H227" s="320">
        <v>19.3</v>
      </c>
      <c r="I227" s="321">
        <v>1849000</v>
      </c>
      <c r="J227" s="321">
        <v>38227150</v>
      </c>
      <c r="K227" s="320">
        <v>779</v>
      </c>
      <c r="L227" s="320">
        <v>21.25</v>
      </c>
      <c r="M227" s="320">
        <v>20</v>
      </c>
      <c r="N227" s="320">
        <v>21.3</v>
      </c>
      <c r="O227" s="320">
        <v>66</v>
      </c>
      <c r="P227" s="321">
        <v>36049445</v>
      </c>
      <c r="Q227" s="320">
        <v>23.4</v>
      </c>
      <c r="R227" s="320">
        <v>19.2</v>
      </c>
    </row>
    <row r="228" spans="2:18">
      <c r="B228" s="319">
        <v>3303</v>
      </c>
      <c r="C228" s="319" t="s">
        <v>668</v>
      </c>
      <c r="D228" s="320">
        <v>25.1</v>
      </c>
      <c r="E228" s="320">
        <v>-0.05</v>
      </c>
      <c r="F228" s="320">
        <v>25.15</v>
      </c>
      <c r="G228" s="320">
        <v>25.15</v>
      </c>
      <c r="H228" s="320">
        <v>25</v>
      </c>
      <c r="I228" s="321">
        <v>95000</v>
      </c>
      <c r="J228" s="321">
        <v>2383100</v>
      </c>
      <c r="K228" s="320">
        <v>49</v>
      </c>
      <c r="L228" s="320">
        <v>25.05</v>
      </c>
      <c r="M228" s="320">
        <v>2</v>
      </c>
      <c r="N228" s="320">
        <v>25.1</v>
      </c>
      <c r="O228" s="320">
        <v>6</v>
      </c>
      <c r="P228" s="321">
        <v>96089607</v>
      </c>
      <c r="Q228" s="320">
        <v>27.6</v>
      </c>
      <c r="R228" s="320">
        <v>22.6</v>
      </c>
    </row>
    <row r="229" spans="2:18">
      <c r="B229" s="319">
        <v>3306</v>
      </c>
      <c r="C229" s="319" t="s">
        <v>669</v>
      </c>
      <c r="D229" s="320">
        <v>33.200000000000003</v>
      </c>
      <c r="E229" s="320">
        <v>-0.6</v>
      </c>
      <c r="F229" s="320">
        <v>34</v>
      </c>
      <c r="G229" s="320">
        <v>34.1</v>
      </c>
      <c r="H229" s="320">
        <v>33.049999999999997</v>
      </c>
      <c r="I229" s="321">
        <v>653000</v>
      </c>
      <c r="J229" s="321">
        <v>21905450</v>
      </c>
      <c r="K229" s="320">
        <v>418</v>
      </c>
      <c r="L229" s="320">
        <v>33.200000000000003</v>
      </c>
      <c r="M229" s="320">
        <v>16</v>
      </c>
      <c r="N229" s="320">
        <v>33.450000000000003</v>
      </c>
      <c r="O229" s="320">
        <v>1</v>
      </c>
      <c r="P229" s="321">
        <v>50607702</v>
      </c>
      <c r="Q229" s="320">
        <v>36.5</v>
      </c>
      <c r="R229" s="320">
        <v>29.9</v>
      </c>
    </row>
    <row r="230" spans="2:18">
      <c r="B230" s="319">
        <v>3310</v>
      </c>
      <c r="C230" s="319" t="s">
        <v>670</v>
      </c>
      <c r="D230" s="320">
        <v>36.5</v>
      </c>
      <c r="E230" s="320">
        <v>-0.4</v>
      </c>
      <c r="F230" s="320">
        <v>39.299999999999997</v>
      </c>
      <c r="G230" s="320">
        <v>39.450000000000003</v>
      </c>
      <c r="H230" s="320">
        <v>36.200000000000003</v>
      </c>
      <c r="I230" s="321">
        <v>1605000</v>
      </c>
      <c r="J230" s="321">
        <v>60066350</v>
      </c>
      <c r="K230" s="321">
        <v>1048</v>
      </c>
      <c r="L230" s="320">
        <v>36.5</v>
      </c>
      <c r="M230" s="320">
        <v>11</v>
      </c>
      <c r="N230" s="320">
        <v>36.75</v>
      </c>
      <c r="O230" s="320">
        <v>1</v>
      </c>
      <c r="P230" s="321">
        <v>50260467</v>
      </c>
      <c r="Q230" s="320">
        <v>40.15</v>
      </c>
      <c r="R230" s="320">
        <v>32.85</v>
      </c>
    </row>
    <row r="231" spans="2:18">
      <c r="B231" s="319">
        <v>3313</v>
      </c>
      <c r="C231" s="319" t="s">
        <v>671</v>
      </c>
      <c r="D231" s="320">
        <v>11.8</v>
      </c>
      <c r="E231" s="320">
        <v>0</v>
      </c>
      <c r="F231" s="320">
        <v>11.8</v>
      </c>
      <c r="G231" s="320">
        <v>11.85</v>
      </c>
      <c r="H231" s="320">
        <v>11.75</v>
      </c>
      <c r="I231" s="321">
        <v>90000</v>
      </c>
      <c r="J231" s="321">
        <v>1062450</v>
      </c>
      <c r="K231" s="320">
        <v>30</v>
      </c>
      <c r="L231" s="320">
        <v>11.8</v>
      </c>
      <c r="M231" s="320">
        <v>1</v>
      </c>
      <c r="N231" s="320">
        <v>11.85</v>
      </c>
      <c r="O231" s="320">
        <v>14</v>
      </c>
      <c r="P231" s="321">
        <v>98770776</v>
      </c>
      <c r="Q231" s="320">
        <v>12.95</v>
      </c>
      <c r="R231" s="320">
        <v>10.65</v>
      </c>
    </row>
    <row r="232" spans="2:18">
      <c r="B232" s="319">
        <v>3317</v>
      </c>
      <c r="C232" s="319" t="s">
        <v>672</v>
      </c>
      <c r="D232" s="320">
        <v>80</v>
      </c>
      <c r="E232" s="320">
        <v>1.8</v>
      </c>
      <c r="F232" s="320">
        <v>78.8</v>
      </c>
      <c r="G232" s="320">
        <v>80.2</v>
      </c>
      <c r="H232" s="320">
        <v>78.7</v>
      </c>
      <c r="I232" s="321">
        <v>1263000</v>
      </c>
      <c r="J232" s="321">
        <v>100378100</v>
      </c>
      <c r="K232" s="320">
        <v>963</v>
      </c>
      <c r="L232" s="320">
        <v>79.900000000000006</v>
      </c>
      <c r="M232" s="320">
        <v>1</v>
      </c>
      <c r="N232" s="320">
        <v>80</v>
      </c>
      <c r="O232" s="320">
        <v>84</v>
      </c>
      <c r="P232" s="321">
        <v>61251550</v>
      </c>
      <c r="Q232" s="320">
        <v>88</v>
      </c>
      <c r="R232" s="320">
        <v>72</v>
      </c>
    </row>
    <row r="233" spans="2:18">
      <c r="B233" s="319">
        <v>3322</v>
      </c>
      <c r="C233" s="319" t="s">
        <v>673</v>
      </c>
      <c r="D233" s="320">
        <v>29.2</v>
      </c>
      <c r="E233" s="320">
        <v>-0.2</v>
      </c>
      <c r="F233" s="320">
        <v>29.4</v>
      </c>
      <c r="G233" s="320">
        <v>29.9</v>
      </c>
      <c r="H233" s="320">
        <v>28.4</v>
      </c>
      <c r="I233" s="321">
        <v>22051000</v>
      </c>
      <c r="J233" s="321">
        <v>643467050</v>
      </c>
      <c r="K233" s="321">
        <v>10137</v>
      </c>
      <c r="L233" s="320">
        <v>29.2</v>
      </c>
      <c r="M233" s="320">
        <v>62</v>
      </c>
      <c r="N233" s="320">
        <v>29.25</v>
      </c>
      <c r="O233" s="320">
        <v>3</v>
      </c>
      <c r="P233" s="321">
        <v>96651520</v>
      </c>
      <c r="Q233" s="320">
        <v>32.1</v>
      </c>
      <c r="R233" s="320">
        <v>26.3</v>
      </c>
    </row>
    <row r="234" spans="2:18">
      <c r="B234" s="319">
        <v>3323</v>
      </c>
      <c r="C234" s="319" t="s">
        <v>674</v>
      </c>
      <c r="D234" s="320">
        <v>42.25</v>
      </c>
      <c r="E234" s="320">
        <v>-0.15</v>
      </c>
      <c r="F234" s="320">
        <v>42.55</v>
      </c>
      <c r="G234" s="320">
        <v>42.55</v>
      </c>
      <c r="H234" s="320">
        <v>42.25</v>
      </c>
      <c r="I234" s="321">
        <v>175000</v>
      </c>
      <c r="J234" s="321">
        <v>7418300</v>
      </c>
      <c r="K234" s="320">
        <v>120</v>
      </c>
      <c r="L234" s="320">
        <v>42.25</v>
      </c>
      <c r="M234" s="320">
        <v>7</v>
      </c>
      <c r="N234" s="320">
        <v>42.3</v>
      </c>
      <c r="O234" s="320">
        <v>4</v>
      </c>
      <c r="P234" s="321">
        <v>80305914</v>
      </c>
      <c r="Q234" s="320">
        <v>46.45</v>
      </c>
      <c r="R234" s="320">
        <v>38.049999999999997</v>
      </c>
    </row>
    <row r="235" spans="2:18">
      <c r="B235" s="319">
        <v>3324</v>
      </c>
      <c r="C235" s="319" t="s">
        <v>675</v>
      </c>
      <c r="D235" s="320">
        <v>198</v>
      </c>
      <c r="E235" s="320">
        <v>-4</v>
      </c>
      <c r="F235" s="320">
        <v>204.5</v>
      </c>
      <c r="G235" s="320">
        <v>204.5</v>
      </c>
      <c r="H235" s="320">
        <v>197.5</v>
      </c>
      <c r="I235" s="321">
        <v>1274000</v>
      </c>
      <c r="J235" s="321">
        <v>254129500</v>
      </c>
      <c r="K235" s="320">
        <v>988</v>
      </c>
      <c r="L235" s="320">
        <v>198</v>
      </c>
      <c r="M235" s="320">
        <v>20</v>
      </c>
      <c r="N235" s="320">
        <v>198.5</v>
      </c>
      <c r="O235" s="320">
        <v>6</v>
      </c>
      <c r="P235" s="321">
        <v>88394092</v>
      </c>
      <c r="Q235" s="320">
        <v>217.5</v>
      </c>
      <c r="R235" s="320">
        <v>178.5</v>
      </c>
    </row>
    <row r="236" spans="2:18">
      <c r="B236" s="319">
        <v>3325</v>
      </c>
      <c r="C236" s="319" t="s">
        <v>676</v>
      </c>
      <c r="D236" s="320">
        <v>18.25</v>
      </c>
      <c r="E236" s="320">
        <v>-0.2</v>
      </c>
      <c r="F236" s="320">
        <v>18.7</v>
      </c>
      <c r="G236" s="320">
        <v>18.7</v>
      </c>
      <c r="H236" s="320">
        <v>18.25</v>
      </c>
      <c r="I236" s="321">
        <v>330000</v>
      </c>
      <c r="J236" s="321">
        <v>6077850</v>
      </c>
      <c r="K236" s="320">
        <v>207</v>
      </c>
      <c r="L236" s="320">
        <v>18.25</v>
      </c>
      <c r="M236" s="320">
        <v>15</v>
      </c>
      <c r="N236" s="320">
        <v>18.3</v>
      </c>
      <c r="O236" s="320">
        <v>1</v>
      </c>
      <c r="P236" s="321">
        <v>84634579</v>
      </c>
      <c r="Q236" s="320">
        <v>20.05</v>
      </c>
      <c r="R236" s="320">
        <v>16.45</v>
      </c>
    </row>
    <row r="237" spans="2:18">
      <c r="B237" s="319">
        <v>3332</v>
      </c>
      <c r="C237" s="319" t="s">
        <v>677</v>
      </c>
      <c r="D237" s="320">
        <v>40.85</v>
      </c>
      <c r="E237" s="320">
        <v>-0.65</v>
      </c>
      <c r="F237" s="320">
        <v>40.9</v>
      </c>
      <c r="G237" s="320">
        <v>40.9</v>
      </c>
      <c r="H237" s="320">
        <v>40.85</v>
      </c>
      <c r="I237" s="321">
        <v>3000</v>
      </c>
      <c r="J237" s="321">
        <v>122600</v>
      </c>
      <c r="K237" s="320">
        <v>2</v>
      </c>
      <c r="L237" s="320">
        <v>41.45</v>
      </c>
      <c r="M237" s="320">
        <v>1</v>
      </c>
      <c r="N237" s="320">
        <v>41.95</v>
      </c>
      <c r="O237" s="320">
        <v>3</v>
      </c>
      <c r="P237" s="321">
        <v>48104246</v>
      </c>
      <c r="Q237" s="320">
        <v>44.9</v>
      </c>
      <c r="R237" s="320">
        <v>36.799999999999997</v>
      </c>
    </row>
    <row r="238" spans="2:18">
      <c r="B238" s="319">
        <v>3339</v>
      </c>
      <c r="C238" s="319" t="s">
        <v>678</v>
      </c>
      <c r="D238" s="320">
        <v>22.2</v>
      </c>
      <c r="E238" s="320">
        <v>-0.65</v>
      </c>
      <c r="F238" s="320">
        <v>23</v>
      </c>
      <c r="G238" s="320">
        <v>23.05</v>
      </c>
      <c r="H238" s="320">
        <v>22</v>
      </c>
      <c r="I238" s="321">
        <v>1208000</v>
      </c>
      <c r="J238" s="321">
        <v>27155900</v>
      </c>
      <c r="K238" s="320">
        <v>620</v>
      </c>
      <c r="L238" s="320">
        <v>22.2</v>
      </c>
      <c r="M238" s="320">
        <v>17</v>
      </c>
      <c r="N238" s="320">
        <v>22.25</v>
      </c>
      <c r="O238" s="320">
        <v>4</v>
      </c>
      <c r="P238" s="321">
        <v>50861649</v>
      </c>
      <c r="Q238" s="320">
        <v>24.4</v>
      </c>
      <c r="R238" s="320">
        <v>20</v>
      </c>
    </row>
    <row r="239" spans="2:18">
      <c r="B239" s="319">
        <v>3354</v>
      </c>
      <c r="C239" s="319" t="s">
        <v>679</v>
      </c>
      <c r="D239" s="320">
        <v>19.100000000000001</v>
      </c>
      <c r="E239" s="320">
        <v>-0.55000000000000004</v>
      </c>
      <c r="F239" s="320">
        <v>19.850000000000001</v>
      </c>
      <c r="G239" s="320">
        <v>19.850000000000001</v>
      </c>
      <c r="H239" s="320">
        <v>19.100000000000001</v>
      </c>
      <c r="I239" s="321">
        <v>446000</v>
      </c>
      <c r="J239" s="321">
        <v>8628050</v>
      </c>
      <c r="K239" s="320">
        <v>272</v>
      </c>
      <c r="L239" s="320">
        <v>19.100000000000001</v>
      </c>
      <c r="M239" s="320">
        <v>31</v>
      </c>
      <c r="N239" s="320">
        <v>19.149999999999999</v>
      </c>
      <c r="O239" s="320">
        <v>5</v>
      </c>
      <c r="P239" s="321">
        <v>70112426</v>
      </c>
      <c r="Q239" s="320">
        <v>21</v>
      </c>
      <c r="R239" s="320">
        <v>17.2</v>
      </c>
    </row>
    <row r="240" spans="2:18">
      <c r="B240" s="319">
        <v>3357</v>
      </c>
      <c r="C240" s="319" t="s">
        <v>680</v>
      </c>
      <c r="D240" s="320">
        <v>128.5</v>
      </c>
      <c r="E240" s="320">
        <v>0.5</v>
      </c>
      <c r="F240" s="320">
        <v>129.5</v>
      </c>
      <c r="G240" s="320">
        <v>129.5</v>
      </c>
      <c r="H240" s="320">
        <v>128</v>
      </c>
      <c r="I240" s="321">
        <v>98000</v>
      </c>
      <c r="J240" s="321">
        <v>12596000</v>
      </c>
      <c r="K240" s="320">
        <v>79</v>
      </c>
      <c r="L240" s="320">
        <v>128</v>
      </c>
      <c r="M240" s="320">
        <v>15</v>
      </c>
      <c r="N240" s="320">
        <v>128.5</v>
      </c>
      <c r="O240" s="320">
        <v>4</v>
      </c>
      <c r="P240" s="321">
        <v>103134000</v>
      </c>
      <c r="Q240" s="320">
        <v>141</v>
      </c>
      <c r="R240" s="320">
        <v>116</v>
      </c>
    </row>
    <row r="241" spans="2:18">
      <c r="B241" s="319">
        <v>3360</v>
      </c>
      <c r="C241" s="319" t="s">
        <v>681</v>
      </c>
      <c r="D241" s="320">
        <v>16.399999999999999</v>
      </c>
      <c r="E241" s="320">
        <v>0.5</v>
      </c>
      <c r="F241" s="320">
        <v>16.100000000000001</v>
      </c>
      <c r="G241" s="320">
        <v>16.7</v>
      </c>
      <c r="H241" s="320">
        <v>15.9</v>
      </c>
      <c r="I241" s="321">
        <v>1388000</v>
      </c>
      <c r="J241" s="321">
        <v>22756500</v>
      </c>
      <c r="K241" s="320">
        <v>443</v>
      </c>
      <c r="L241" s="320">
        <v>16.350000000000001</v>
      </c>
      <c r="M241" s="320">
        <v>12</v>
      </c>
      <c r="N241" s="320">
        <v>16.399999999999999</v>
      </c>
      <c r="O241" s="320">
        <v>25</v>
      </c>
      <c r="P241" s="321">
        <v>68707054</v>
      </c>
      <c r="Q241" s="320">
        <v>18</v>
      </c>
      <c r="R241" s="320">
        <v>14.8</v>
      </c>
    </row>
    <row r="242" spans="2:18">
      <c r="B242" s="319">
        <v>3362</v>
      </c>
      <c r="C242" s="319" t="s">
        <v>682</v>
      </c>
      <c r="D242" s="320">
        <v>81.599999999999994</v>
      </c>
      <c r="E242" s="320">
        <v>1.4</v>
      </c>
      <c r="F242" s="320">
        <v>81.400000000000006</v>
      </c>
      <c r="G242" s="320">
        <v>83.9</v>
      </c>
      <c r="H242" s="320">
        <v>81.3</v>
      </c>
      <c r="I242" s="321">
        <v>2880000</v>
      </c>
      <c r="J242" s="321">
        <v>237306100</v>
      </c>
      <c r="K242" s="321">
        <v>1978</v>
      </c>
      <c r="L242" s="320">
        <v>81.5</v>
      </c>
      <c r="M242" s="320">
        <v>53</v>
      </c>
      <c r="N242" s="320">
        <v>81.599999999999994</v>
      </c>
      <c r="O242" s="320">
        <v>6</v>
      </c>
      <c r="P242" s="321">
        <v>131545880</v>
      </c>
      <c r="Q242" s="320">
        <v>89.7</v>
      </c>
      <c r="R242" s="320">
        <v>73.5</v>
      </c>
    </row>
    <row r="243" spans="2:18">
      <c r="B243" s="319">
        <v>3363</v>
      </c>
      <c r="C243" s="319" t="s">
        <v>683</v>
      </c>
      <c r="D243" s="320">
        <v>33.4</v>
      </c>
      <c r="E243" s="320">
        <v>-0.3</v>
      </c>
      <c r="F243" s="320">
        <v>34.15</v>
      </c>
      <c r="G243" s="320">
        <v>34.15</v>
      </c>
      <c r="H243" s="320">
        <v>33.35</v>
      </c>
      <c r="I243" s="321">
        <v>607000</v>
      </c>
      <c r="J243" s="321">
        <v>20424050</v>
      </c>
      <c r="K243" s="320">
        <v>352</v>
      </c>
      <c r="L243" s="320">
        <v>33.4</v>
      </c>
      <c r="M243" s="320">
        <v>33</v>
      </c>
      <c r="N243" s="320">
        <v>33.5</v>
      </c>
      <c r="O243" s="320">
        <v>3</v>
      </c>
      <c r="P243" s="321">
        <v>87692183</v>
      </c>
      <c r="Q243" s="320">
        <v>36.700000000000003</v>
      </c>
      <c r="R243" s="320">
        <v>30.1</v>
      </c>
    </row>
    <row r="244" spans="2:18">
      <c r="B244" s="319">
        <v>3372</v>
      </c>
      <c r="C244" s="319" t="s">
        <v>684</v>
      </c>
      <c r="D244" s="320">
        <v>24.15</v>
      </c>
      <c r="E244" s="320">
        <v>-0.15</v>
      </c>
      <c r="F244" s="320">
        <v>24.55</v>
      </c>
      <c r="G244" s="320">
        <v>24.7</v>
      </c>
      <c r="H244" s="320">
        <v>24.1</v>
      </c>
      <c r="I244" s="321">
        <v>613000</v>
      </c>
      <c r="J244" s="321">
        <v>14896150</v>
      </c>
      <c r="K244" s="320">
        <v>354</v>
      </c>
      <c r="L244" s="320">
        <v>24.15</v>
      </c>
      <c r="M244" s="320">
        <v>19</v>
      </c>
      <c r="N244" s="320">
        <v>24.2</v>
      </c>
      <c r="O244" s="320">
        <v>3</v>
      </c>
      <c r="P244" s="321">
        <v>172100000</v>
      </c>
      <c r="Q244" s="320">
        <v>26.55</v>
      </c>
      <c r="R244" s="320">
        <v>21.75</v>
      </c>
    </row>
    <row r="245" spans="2:18">
      <c r="B245" s="319">
        <v>3373</v>
      </c>
      <c r="C245" s="319" t="s">
        <v>685</v>
      </c>
      <c r="D245" s="320">
        <v>36.799999999999997</v>
      </c>
      <c r="E245" s="320">
        <v>0.1</v>
      </c>
      <c r="F245" s="320">
        <v>37.049999999999997</v>
      </c>
      <c r="G245" s="320">
        <v>37.049999999999997</v>
      </c>
      <c r="H245" s="320">
        <v>36.700000000000003</v>
      </c>
      <c r="I245" s="321">
        <v>77000</v>
      </c>
      <c r="J245" s="321">
        <v>2834300</v>
      </c>
      <c r="K245" s="320">
        <v>57</v>
      </c>
      <c r="L245" s="320">
        <v>36.75</v>
      </c>
      <c r="M245" s="320">
        <v>3</v>
      </c>
      <c r="N245" s="320">
        <v>36.799999999999997</v>
      </c>
      <c r="O245" s="320">
        <v>4</v>
      </c>
      <c r="P245" s="321">
        <v>43289801</v>
      </c>
      <c r="Q245" s="320">
        <v>40.450000000000003</v>
      </c>
      <c r="R245" s="320">
        <v>33.15</v>
      </c>
    </row>
    <row r="246" spans="2:18">
      <c r="B246" s="319">
        <v>3374</v>
      </c>
      <c r="C246" s="319" t="s">
        <v>686</v>
      </c>
      <c r="D246" s="320">
        <v>143</v>
      </c>
      <c r="E246" s="320">
        <v>6</v>
      </c>
      <c r="F246" s="320">
        <v>138.5</v>
      </c>
      <c r="G246" s="320">
        <v>145.5</v>
      </c>
      <c r="H246" s="320">
        <v>138</v>
      </c>
      <c r="I246" s="321">
        <v>7160000</v>
      </c>
      <c r="J246" s="321">
        <v>1026274000</v>
      </c>
      <c r="K246" s="321">
        <v>4923</v>
      </c>
      <c r="L246" s="320">
        <v>143</v>
      </c>
      <c r="M246" s="320">
        <v>33</v>
      </c>
      <c r="N246" s="320">
        <v>143.5</v>
      </c>
      <c r="O246" s="320">
        <v>25</v>
      </c>
      <c r="P246" s="321">
        <v>271364316</v>
      </c>
      <c r="Q246" s="320">
        <v>157</v>
      </c>
      <c r="R246" s="320">
        <v>129</v>
      </c>
    </row>
    <row r="247" spans="2:18">
      <c r="B247" s="319">
        <v>3379</v>
      </c>
      <c r="C247" s="319" t="s">
        <v>687</v>
      </c>
      <c r="D247" s="320">
        <v>12.6</v>
      </c>
      <c r="E247" s="320">
        <v>-0.15</v>
      </c>
      <c r="F247" s="320">
        <v>12.7</v>
      </c>
      <c r="G247" s="320">
        <v>12.85</v>
      </c>
      <c r="H247" s="320">
        <v>12.6</v>
      </c>
      <c r="I247" s="321">
        <v>123000</v>
      </c>
      <c r="J247" s="321">
        <v>1562950</v>
      </c>
      <c r="K247" s="320">
        <v>63</v>
      </c>
      <c r="L247" s="320">
        <v>12.6</v>
      </c>
      <c r="M247" s="320">
        <v>1</v>
      </c>
      <c r="N247" s="320">
        <v>12.65</v>
      </c>
      <c r="O247" s="320">
        <v>2</v>
      </c>
      <c r="P247" s="321">
        <v>38041748</v>
      </c>
      <c r="Q247" s="320">
        <v>13.85</v>
      </c>
      <c r="R247" s="320">
        <v>11.35</v>
      </c>
    </row>
    <row r="248" spans="2:18">
      <c r="B248" s="319">
        <v>3388</v>
      </c>
      <c r="C248" s="319" t="s">
        <v>688</v>
      </c>
      <c r="D248" s="320">
        <v>84.7</v>
      </c>
      <c r="E248" s="320">
        <v>0.4</v>
      </c>
      <c r="F248" s="320">
        <v>84.3</v>
      </c>
      <c r="G248" s="320">
        <v>84.7</v>
      </c>
      <c r="H248" s="320">
        <v>84.3</v>
      </c>
      <c r="I248" s="321">
        <v>99000</v>
      </c>
      <c r="J248" s="321">
        <v>8362900</v>
      </c>
      <c r="K248" s="320">
        <v>61</v>
      </c>
      <c r="L248" s="320">
        <v>84.7</v>
      </c>
      <c r="M248" s="320">
        <v>3</v>
      </c>
      <c r="N248" s="320">
        <v>84.8</v>
      </c>
      <c r="O248" s="320">
        <v>5</v>
      </c>
      <c r="P248" s="321">
        <v>74061000</v>
      </c>
      <c r="Q248" s="320">
        <v>93.1</v>
      </c>
      <c r="R248" s="320">
        <v>76.3</v>
      </c>
    </row>
    <row r="249" spans="2:18">
      <c r="B249" s="319">
        <v>3390</v>
      </c>
      <c r="C249" s="319" t="s">
        <v>689</v>
      </c>
      <c r="D249" s="320">
        <v>27.7</v>
      </c>
      <c r="E249" s="320">
        <v>-1.1000000000000001</v>
      </c>
      <c r="F249" s="320">
        <v>29.1</v>
      </c>
      <c r="G249" s="320">
        <v>29.4</v>
      </c>
      <c r="H249" s="320">
        <v>27.55</v>
      </c>
      <c r="I249" s="321">
        <v>5001000</v>
      </c>
      <c r="J249" s="321">
        <v>141500200</v>
      </c>
      <c r="K249" s="321">
        <v>2787</v>
      </c>
      <c r="L249" s="320">
        <v>27.7</v>
      </c>
      <c r="M249" s="320">
        <v>27</v>
      </c>
      <c r="N249" s="320">
        <v>27.75</v>
      </c>
      <c r="O249" s="320">
        <v>5</v>
      </c>
      <c r="P249" s="321">
        <v>67505059</v>
      </c>
      <c r="Q249" s="320">
        <v>30.45</v>
      </c>
      <c r="R249" s="320">
        <v>24.95</v>
      </c>
    </row>
    <row r="250" spans="2:18">
      <c r="B250" s="319">
        <v>3402</v>
      </c>
      <c r="C250" s="319" t="s">
        <v>690</v>
      </c>
      <c r="D250" s="320">
        <v>49.45</v>
      </c>
      <c r="E250" s="320">
        <v>0</v>
      </c>
      <c r="F250" s="320">
        <v>49.95</v>
      </c>
      <c r="G250" s="320">
        <v>50.3</v>
      </c>
      <c r="H250" s="320">
        <v>49</v>
      </c>
      <c r="I250" s="321">
        <v>824000</v>
      </c>
      <c r="J250" s="321">
        <v>40892350</v>
      </c>
      <c r="K250" s="320">
        <v>533</v>
      </c>
      <c r="L250" s="320">
        <v>49.4</v>
      </c>
      <c r="M250" s="320">
        <v>16</v>
      </c>
      <c r="N250" s="320">
        <v>49.45</v>
      </c>
      <c r="O250" s="320">
        <v>15</v>
      </c>
      <c r="P250" s="321">
        <v>73047692</v>
      </c>
      <c r="Q250" s="320">
        <v>54.3</v>
      </c>
      <c r="R250" s="320">
        <v>44.55</v>
      </c>
    </row>
    <row r="251" spans="2:18">
      <c r="B251" s="319">
        <v>3426</v>
      </c>
      <c r="C251" s="319" t="s">
        <v>691</v>
      </c>
      <c r="D251" s="320">
        <v>38.700000000000003</v>
      </c>
      <c r="E251" s="320">
        <v>0</v>
      </c>
      <c r="F251" s="320">
        <v>38.700000000000003</v>
      </c>
      <c r="G251" s="320">
        <v>38.85</v>
      </c>
      <c r="H251" s="320">
        <v>38.700000000000003</v>
      </c>
      <c r="I251" s="321">
        <v>10000</v>
      </c>
      <c r="J251" s="321">
        <v>387650</v>
      </c>
      <c r="K251" s="320">
        <v>9</v>
      </c>
      <c r="L251" s="320">
        <v>38.700000000000003</v>
      </c>
      <c r="M251" s="320">
        <v>2</v>
      </c>
      <c r="N251" s="320">
        <v>39</v>
      </c>
      <c r="O251" s="320">
        <v>1</v>
      </c>
      <c r="P251" s="321">
        <v>26400000</v>
      </c>
      <c r="Q251" s="320">
        <v>42.55</v>
      </c>
      <c r="R251" s="320">
        <v>34.85</v>
      </c>
    </row>
    <row r="252" spans="2:18">
      <c r="B252" s="319">
        <v>3434</v>
      </c>
      <c r="C252" s="319" t="s">
        <v>692</v>
      </c>
      <c r="D252" s="320">
        <v>17.899999999999999</v>
      </c>
      <c r="E252" s="320">
        <v>0</v>
      </c>
      <c r="F252" s="320">
        <v>18.2</v>
      </c>
      <c r="G252" s="320">
        <v>18.600000000000001</v>
      </c>
      <c r="H252" s="320">
        <v>17.899999999999999</v>
      </c>
      <c r="I252" s="321">
        <v>720000</v>
      </c>
      <c r="J252" s="321">
        <v>13139800</v>
      </c>
      <c r="K252" s="320">
        <v>240</v>
      </c>
      <c r="L252" s="320">
        <v>17.899999999999999</v>
      </c>
      <c r="M252" s="320">
        <v>11</v>
      </c>
      <c r="N252" s="320">
        <v>18.2</v>
      </c>
      <c r="O252" s="320">
        <v>2</v>
      </c>
      <c r="P252" s="321">
        <v>22700000</v>
      </c>
      <c r="Q252" s="320">
        <v>19.649999999999999</v>
      </c>
      <c r="R252" s="320">
        <v>16.149999999999999</v>
      </c>
    </row>
    <row r="253" spans="2:18">
      <c r="B253" s="319">
        <v>3438</v>
      </c>
      <c r="C253" s="319" t="s">
        <v>693</v>
      </c>
      <c r="D253" s="320">
        <v>92</v>
      </c>
      <c r="E253" s="320">
        <v>1.8</v>
      </c>
      <c r="F253" s="320">
        <v>92</v>
      </c>
      <c r="G253" s="320">
        <v>94.5</v>
      </c>
      <c r="H253" s="320">
        <v>91.8</v>
      </c>
      <c r="I253" s="321">
        <v>2209000</v>
      </c>
      <c r="J253" s="321">
        <v>205491600</v>
      </c>
      <c r="K253" s="321">
        <v>1708</v>
      </c>
      <c r="L253" s="320">
        <v>92</v>
      </c>
      <c r="M253" s="320">
        <v>46</v>
      </c>
      <c r="N253" s="320">
        <v>92.1</v>
      </c>
      <c r="O253" s="320">
        <v>10</v>
      </c>
      <c r="P253" s="321">
        <v>47165815</v>
      </c>
      <c r="Q253" s="320">
        <v>101</v>
      </c>
      <c r="R253" s="320">
        <v>82.8</v>
      </c>
    </row>
    <row r="254" spans="2:18">
      <c r="B254" s="319">
        <v>3441</v>
      </c>
      <c r="C254" s="319" t="s">
        <v>694</v>
      </c>
      <c r="D254" s="320">
        <v>38.65</v>
      </c>
      <c r="E254" s="320">
        <v>-0.55000000000000004</v>
      </c>
      <c r="F254" s="320">
        <v>39.200000000000003</v>
      </c>
      <c r="G254" s="320">
        <v>39.4</v>
      </c>
      <c r="H254" s="320">
        <v>38.549999999999997</v>
      </c>
      <c r="I254" s="321">
        <v>104000</v>
      </c>
      <c r="J254" s="321">
        <v>4056200</v>
      </c>
      <c r="K254" s="320">
        <v>89</v>
      </c>
      <c r="L254" s="320">
        <v>38.65</v>
      </c>
      <c r="M254" s="320">
        <v>3</v>
      </c>
      <c r="N254" s="320">
        <v>38.799999999999997</v>
      </c>
      <c r="O254" s="320">
        <v>2</v>
      </c>
      <c r="P254" s="321">
        <v>40039920</v>
      </c>
      <c r="Q254" s="320">
        <v>42.5</v>
      </c>
      <c r="R254" s="320">
        <v>34.799999999999997</v>
      </c>
    </row>
    <row r="255" spans="2:18">
      <c r="B255" s="319">
        <v>3444</v>
      </c>
      <c r="C255" s="319" t="s">
        <v>695</v>
      </c>
      <c r="D255" s="320">
        <v>61.9</v>
      </c>
      <c r="E255" s="320">
        <v>-0.3</v>
      </c>
      <c r="F255" s="320">
        <v>63.4</v>
      </c>
      <c r="G255" s="320">
        <v>63.4</v>
      </c>
      <c r="H255" s="320">
        <v>61.6</v>
      </c>
      <c r="I255" s="321">
        <v>504000</v>
      </c>
      <c r="J255" s="321">
        <v>31336800</v>
      </c>
      <c r="K255" s="320">
        <v>358</v>
      </c>
      <c r="L255" s="320">
        <v>61.9</v>
      </c>
      <c r="M255" s="320">
        <v>1</v>
      </c>
      <c r="N255" s="320">
        <v>62</v>
      </c>
      <c r="O255" s="320">
        <v>4</v>
      </c>
      <c r="P255" s="321">
        <v>39114586</v>
      </c>
      <c r="Q255" s="320">
        <v>68</v>
      </c>
      <c r="R255" s="320">
        <v>55.8</v>
      </c>
    </row>
    <row r="256" spans="2:18">
      <c r="B256" s="319">
        <v>3455</v>
      </c>
      <c r="C256" s="319" t="s">
        <v>696</v>
      </c>
      <c r="D256" s="320">
        <v>76</v>
      </c>
      <c r="E256" s="320">
        <v>0.2</v>
      </c>
      <c r="F256" s="320">
        <v>76.400000000000006</v>
      </c>
      <c r="G256" s="320">
        <v>77.3</v>
      </c>
      <c r="H256" s="320">
        <v>75.900000000000006</v>
      </c>
      <c r="I256" s="321">
        <v>731000</v>
      </c>
      <c r="J256" s="321">
        <v>55966600</v>
      </c>
      <c r="K256" s="320">
        <v>551</v>
      </c>
      <c r="L256" s="320">
        <v>76</v>
      </c>
      <c r="M256" s="320">
        <v>7</v>
      </c>
      <c r="N256" s="320">
        <v>76.099999999999994</v>
      </c>
      <c r="O256" s="320">
        <v>4</v>
      </c>
      <c r="P256" s="321">
        <v>59850750</v>
      </c>
      <c r="Q256" s="320">
        <v>83.6</v>
      </c>
      <c r="R256" s="320">
        <v>68.400000000000006</v>
      </c>
    </row>
    <row r="257" spans="2:18">
      <c r="B257" s="319">
        <v>3465</v>
      </c>
      <c r="C257" s="319" t="s">
        <v>697</v>
      </c>
      <c r="D257" s="320">
        <v>222.5</v>
      </c>
      <c r="E257" s="320">
        <v>-0.5</v>
      </c>
      <c r="F257" s="320">
        <v>222</v>
      </c>
      <c r="G257" s="320">
        <v>224.5</v>
      </c>
      <c r="H257" s="320">
        <v>222</v>
      </c>
      <c r="I257" s="321">
        <v>34000</v>
      </c>
      <c r="J257" s="321">
        <v>7594000</v>
      </c>
      <c r="K257" s="320">
        <v>31</v>
      </c>
      <c r="L257" s="320">
        <v>222.5</v>
      </c>
      <c r="M257" s="320">
        <v>1</v>
      </c>
      <c r="N257" s="320">
        <v>223</v>
      </c>
      <c r="O257" s="320">
        <v>2</v>
      </c>
      <c r="P257" s="321">
        <v>32160335</v>
      </c>
      <c r="Q257" s="320">
        <v>244.5</v>
      </c>
      <c r="R257" s="320">
        <v>200.5</v>
      </c>
    </row>
    <row r="258" spans="2:18">
      <c r="B258" s="319">
        <v>3466</v>
      </c>
      <c r="C258" s="319" t="s">
        <v>698</v>
      </c>
      <c r="D258" s="320">
        <v>18.899999999999999</v>
      </c>
      <c r="E258" s="320">
        <v>-0.7</v>
      </c>
      <c r="F258" s="320">
        <v>19.600000000000001</v>
      </c>
      <c r="G258" s="320">
        <v>19.8</v>
      </c>
      <c r="H258" s="320">
        <v>18.899999999999999</v>
      </c>
      <c r="I258" s="321">
        <v>689000</v>
      </c>
      <c r="J258" s="321">
        <v>13202850</v>
      </c>
      <c r="K258" s="320">
        <v>403</v>
      </c>
      <c r="L258" s="320">
        <v>18.899999999999999</v>
      </c>
      <c r="M258" s="320">
        <v>6</v>
      </c>
      <c r="N258" s="320">
        <v>18.95</v>
      </c>
      <c r="O258" s="320">
        <v>6</v>
      </c>
      <c r="P258" s="321">
        <v>60887573</v>
      </c>
      <c r="Q258" s="320">
        <v>20.75</v>
      </c>
      <c r="R258" s="320">
        <v>17.05</v>
      </c>
    </row>
    <row r="259" spans="2:18">
      <c r="B259" s="319">
        <v>3479</v>
      </c>
      <c r="C259" s="319" t="s">
        <v>699</v>
      </c>
      <c r="D259" s="320">
        <v>56.3</v>
      </c>
      <c r="E259" s="320">
        <v>-0.4</v>
      </c>
      <c r="F259" s="320">
        <v>57</v>
      </c>
      <c r="G259" s="320">
        <v>57</v>
      </c>
      <c r="H259" s="320">
        <v>55.5</v>
      </c>
      <c r="I259" s="321">
        <v>188000</v>
      </c>
      <c r="J259" s="321">
        <v>10504500</v>
      </c>
      <c r="K259" s="320">
        <v>118</v>
      </c>
      <c r="L259" s="320">
        <v>56</v>
      </c>
      <c r="M259" s="320">
        <v>1</v>
      </c>
      <c r="N259" s="320">
        <v>56.3</v>
      </c>
      <c r="O259" s="320">
        <v>2</v>
      </c>
      <c r="P259" s="321">
        <v>70525164</v>
      </c>
      <c r="Q259" s="320">
        <v>61.9</v>
      </c>
      <c r="R259" s="320">
        <v>50.7</v>
      </c>
    </row>
    <row r="260" spans="2:18">
      <c r="B260" s="319">
        <v>3483</v>
      </c>
      <c r="C260" s="319" t="s">
        <v>700</v>
      </c>
      <c r="D260" s="320">
        <v>90.2</v>
      </c>
      <c r="E260" s="320">
        <v>-0.5</v>
      </c>
      <c r="F260" s="320">
        <v>91.2</v>
      </c>
      <c r="G260" s="320">
        <v>91.6</v>
      </c>
      <c r="H260" s="320">
        <v>90.1</v>
      </c>
      <c r="I260" s="321">
        <v>687000</v>
      </c>
      <c r="J260" s="321">
        <v>62327200</v>
      </c>
      <c r="K260" s="320">
        <v>523</v>
      </c>
      <c r="L260" s="320">
        <v>90.2</v>
      </c>
      <c r="M260" s="320">
        <v>15</v>
      </c>
      <c r="N260" s="320">
        <v>90.3</v>
      </c>
      <c r="O260" s="320">
        <v>2</v>
      </c>
      <c r="P260" s="321">
        <v>77761985</v>
      </c>
      <c r="Q260" s="320">
        <v>99.2</v>
      </c>
      <c r="R260" s="320">
        <v>81.2</v>
      </c>
    </row>
    <row r="261" spans="2:18">
      <c r="B261" s="319">
        <v>3484</v>
      </c>
      <c r="C261" s="319" t="s">
        <v>701</v>
      </c>
      <c r="D261" s="320">
        <v>91.8</v>
      </c>
      <c r="E261" s="320">
        <v>-3.5</v>
      </c>
      <c r="F261" s="320">
        <v>94.5</v>
      </c>
      <c r="G261" s="320">
        <v>94.8</v>
      </c>
      <c r="H261" s="320">
        <v>91</v>
      </c>
      <c r="I261" s="321">
        <v>5102000</v>
      </c>
      <c r="J261" s="321">
        <v>473596500</v>
      </c>
      <c r="K261" s="321">
        <v>3436</v>
      </c>
      <c r="L261" s="320">
        <v>91.7</v>
      </c>
      <c r="M261" s="320">
        <v>23</v>
      </c>
      <c r="N261" s="320">
        <v>91.9</v>
      </c>
      <c r="O261" s="320">
        <v>3</v>
      </c>
      <c r="P261" s="321">
        <v>69736557</v>
      </c>
      <c r="Q261" s="320">
        <v>100.5</v>
      </c>
      <c r="R261" s="320">
        <v>82.7</v>
      </c>
    </row>
    <row r="262" spans="2:18">
      <c r="B262" s="319">
        <v>3489</v>
      </c>
      <c r="C262" s="319" t="s">
        <v>702</v>
      </c>
      <c r="D262" s="320">
        <v>12.3</v>
      </c>
      <c r="E262" s="320">
        <v>0.05</v>
      </c>
      <c r="F262" s="320">
        <v>12.5</v>
      </c>
      <c r="G262" s="320">
        <v>12.5</v>
      </c>
      <c r="H262" s="320">
        <v>12.3</v>
      </c>
      <c r="I262" s="321">
        <v>288000</v>
      </c>
      <c r="J262" s="321">
        <v>3570400</v>
      </c>
      <c r="K262" s="320">
        <v>146</v>
      </c>
      <c r="L262" s="320">
        <v>12.25</v>
      </c>
      <c r="M262" s="320">
        <v>23</v>
      </c>
      <c r="N262" s="320">
        <v>12.3</v>
      </c>
      <c r="O262" s="320">
        <v>2</v>
      </c>
      <c r="P262" s="321">
        <v>83130670</v>
      </c>
      <c r="Q262" s="320">
        <v>13.5</v>
      </c>
      <c r="R262" s="320">
        <v>11.1</v>
      </c>
    </row>
    <row r="263" spans="2:18">
      <c r="B263" s="319">
        <v>3490</v>
      </c>
      <c r="C263" s="319" t="s">
        <v>703</v>
      </c>
      <c r="D263" s="320">
        <v>34.25</v>
      </c>
      <c r="E263" s="320">
        <v>0.45</v>
      </c>
      <c r="F263" s="320">
        <v>34.200000000000003</v>
      </c>
      <c r="G263" s="320">
        <v>34.549999999999997</v>
      </c>
      <c r="H263" s="320">
        <v>33.65</v>
      </c>
      <c r="I263" s="321">
        <v>923000</v>
      </c>
      <c r="J263" s="321">
        <v>31461350</v>
      </c>
      <c r="K263" s="320">
        <v>595</v>
      </c>
      <c r="L263" s="320">
        <v>34.25</v>
      </c>
      <c r="M263" s="320">
        <v>5</v>
      </c>
      <c r="N263" s="320">
        <v>34.299999999999997</v>
      </c>
      <c r="O263" s="320">
        <v>9</v>
      </c>
      <c r="P263" s="321">
        <v>57006435</v>
      </c>
      <c r="Q263" s="320">
        <v>37.65</v>
      </c>
      <c r="R263" s="320">
        <v>30.85</v>
      </c>
    </row>
    <row r="264" spans="2:18">
      <c r="B264" s="319">
        <v>3491</v>
      </c>
      <c r="C264" s="319" t="s">
        <v>704</v>
      </c>
      <c r="D264" s="320">
        <v>211</v>
      </c>
      <c r="E264" s="320">
        <v>-4</v>
      </c>
      <c r="F264" s="320">
        <v>217</v>
      </c>
      <c r="G264" s="320">
        <v>217</v>
      </c>
      <c r="H264" s="320">
        <v>211</v>
      </c>
      <c r="I264" s="321">
        <v>1056000</v>
      </c>
      <c r="J264" s="321">
        <v>224304000</v>
      </c>
      <c r="K264" s="320">
        <v>817</v>
      </c>
      <c r="L264" s="320">
        <v>211</v>
      </c>
      <c r="M264" s="320">
        <v>19</v>
      </c>
      <c r="N264" s="320">
        <v>211.5</v>
      </c>
      <c r="O264" s="320">
        <v>3</v>
      </c>
      <c r="P264" s="321">
        <v>62158662</v>
      </c>
      <c r="Q264" s="320">
        <v>232</v>
      </c>
      <c r="R264" s="320">
        <v>190</v>
      </c>
    </row>
    <row r="265" spans="2:18">
      <c r="B265" s="319">
        <v>3492</v>
      </c>
      <c r="C265" s="319" t="s">
        <v>705</v>
      </c>
      <c r="D265" s="320">
        <v>18.850000000000001</v>
      </c>
      <c r="E265" s="320">
        <v>-0.1</v>
      </c>
      <c r="F265" s="320">
        <v>18.850000000000001</v>
      </c>
      <c r="G265" s="320">
        <v>18.95</v>
      </c>
      <c r="H265" s="320">
        <v>18.850000000000001</v>
      </c>
      <c r="I265" s="321">
        <v>32000</v>
      </c>
      <c r="J265" s="321">
        <v>604550</v>
      </c>
      <c r="K265" s="320">
        <v>14</v>
      </c>
      <c r="L265" s="320">
        <v>18.850000000000001</v>
      </c>
      <c r="M265" s="320">
        <v>2</v>
      </c>
      <c r="N265" s="320">
        <v>18.899999999999999</v>
      </c>
      <c r="O265" s="320">
        <v>2</v>
      </c>
      <c r="P265" s="321">
        <v>35531600</v>
      </c>
      <c r="Q265" s="320">
        <v>20.7</v>
      </c>
      <c r="R265" s="320">
        <v>17</v>
      </c>
    </row>
    <row r="266" spans="2:18">
      <c r="B266" s="319">
        <v>3498</v>
      </c>
      <c r="C266" s="319" t="s">
        <v>706</v>
      </c>
      <c r="D266" s="320">
        <v>32.75</v>
      </c>
      <c r="E266" s="320">
        <v>0.1</v>
      </c>
      <c r="F266" s="320">
        <v>32.700000000000003</v>
      </c>
      <c r="G266" s="320">
        <v>33</v>
      </c>
      <c r="H266" s="320">
        <v>32.700000000000003</v>
      </c>
      <c r="I266" s="321">
        <v>54000</v>
      </c>
      <c r="J266" s="321">
        <v>1771000</v>
      </c>
      <c r="K266" s="320">
        <v>28</v>
      </c>
      <c r="L266" s="320">
        <v>32.75</v>
      </c>
      <c r="M266" s="320">
        <v>3</v>
      </c>
      <c r="N266" s="320">
        <v>32.799999999999997</v>
      </c>
      <c r="O266" s="320">
        <v>1</v>
      </c>
      <c r="P266" s="321">
        <v>63473008</v>
      </c>
      <c r="Q266" s="320">
        <v>36</v>
      </c>
      <c r="R266" s="320">
        <v>29.5</v>
      </c>
    </row>
    <row r="267" spans="2:18">
      <c r="B267" s="319">
        <v>3499</v>
      </c>
      <c r="C267" s="319" t="s">
        <v>707</v>
      </c>
      <c r="D267" s="320">
        <v>25.35</v>
      </c>
      <c r="E267" s="320">
        <v>-0.45</v>
      </c>
      <c r="F267" s="320">
        <v>26.1</v>
      </c>
      <c r="G267" s="320">
        <v>26.45</v>
      </c>
      <c r="H267" s="320">
        <v>25.25</v>
      </c>
      <c r="I267" s="321">
        <v>2397000</v>
      </c>
      <c r="J267" s="321">
        <v>62054800</v>
      </c>
      <c r="K267" s="321">
        <v>1317</v>
      </c>
      <c r="L267" s="320">
        <v>25.35</v>
      </c>
      <c r="M267" s="320">
        <v>26</v>
      </c>
      <c r="N267" s="320">
        <v>25.4</v>
      </c>
      <c r="O267" s="320">
        <v>3</v>
      </c>
      <c r="P267" s="321">
        <v>54970596</v>
      </c>
      <c r="Q267" s="320">
        <v>27.85</v>
      </c>
      <c r="R267" s="320">
        <v>22.85</v>
      </c>
    </row>
    <row r="268" spans="2:18">
      <c r="B268" s="319">
        <v>3508</v>
      </c>
      <c r="C268" s="319" t="s">
        <v>708</v>
      </c>
      <c r="D268" s="320">
        <v>69.5</v>
      </c>
      <c r="E268" s="320">
        <v>0</v>
      </c>
      <c r="F268" s="320">
        <v>70.8</v>
      </c>
      <c r="G268" s="320">
        <v>70.8</v>
      </c>
      <c r="H268" s="320">
        <v>69.400000000000006</v>
      </c>
      <c r="I268" s="321">
        <v>1488000</v>
      </c>
      <c r="J268" s="321">
        <v>103605100</v>
      </c>
      <c r="K268" s="320">
        <v>609</v>
      </c>
      <c r="L268" s="320">
        <v>69.5</v>
      </c>
      <c r="M268" s="320">
        <v>394</v>
      </c>
      <c r="N268" s="320">
        <v>69.599999999999994</v>
      </c>
      <c r="O268" s="320">
        <v>55</v>
      </c>
      <c r="P268" s="321">
        <v>102141737</v>
      </c>
      <c r="Q268" s="320">
        <v>76.400000000000006</v>
      </c>
      <c r="R268" s="320">
        <v>62.6</v>
      </c>
    </row>
    <row r="269" spans="2:18">
      <c r="B269" s="319">
        <v>3511</v>
      </c>
      <c r="C269" s="319" t="s">
        <v>709</v>
      </c>
      <c r="D269" s="320">
        <v>41.4</v>
      </c>
      <c r="E269" s="320">
        <v>-0.2</v>
      </c>
      <c r="F269" s="320">
        <v>42.2</v>
      </c>
      <c r="G269" s="320">
        <v>42.2</v>
      </c>
      <c r="H269" s="320">
        <v>40.799999999999997</v>
      </c>
      <c r="I269" s="321">
        <v>570000</v>
      </c>
      <c r="J269" s="321">
        <v>23545750</v>
      </c>
      <c r="K269" s="320">
        <v>393</v>
      </c>
      <c r="L269" s="320">
        <v>41.3</v>
      </c>
      <c r="M269" s="320">
        <v>5</v>
      </c>
      <c r="N269" s="320">
        <v>41.4</v>
      </c>
      <c r="O269" s="320">
        <v>4</v>
      </c>
      <c r="P269" s="321">
        <v>79972945</v>
      </c>
      <c r="Q269" s="320">
        <v>45.5</v>
      </c>
      <c r="R269" s="320">
        <v>37.299999999999997</v>
      </c>
    </row>
    <row r="270" spans="2:18">
      <c r="B270" s="319">
        <v>3512</v>
      </c>
      <c r="C270" s="319" t="s">
        <v>710</v>
      </c>
      <c r="D270" s="320">
        <v>33.4</v>
      </c>
      <c r="E270" s="320">
        <v>-0.1</v>
      </c>
      <c r="F270" s="320">
        <v>33.5</v>
      </c>
      <c r="G270" s="320">
        <v>33.6</v>
      </c>
      <c r="H270" s="320">
        <v>33.299999999999997</v>
      </c>
      <c r="I270" s="321">
        <v>46000</v>
      </c>
      <c r="J270" s="321">
        <v>1540100</v>
      </c>
      <c r="K270" s="320">
        <v>31</v>
      </c>
      <c r="L270" s="320">
        <v>33.299999999999997</v>
      </c>
      <c r="M270" s="320">
        <v>2</v>
      </c>
      <c r="N270" s="320">
        <v>33.450000000000003</v>
      </c>
      <c r="O270" s="320">
        <v>1</v>
      </c>
      <c r="P270" s="321">
        <v>84000000</v>
      </c>
      <c r="Q270" s="320">
        <v>36.700000000000003</v>
      </c>
      <c r="R270" s="320">
        <v>30.1</v>
      </c>
    </row>
    <row r="271" spans="2:18">
      <c r="B271" s="319">
        <v>3516</v>
      </c>
      <c r="C271" s="319" t="s">
        <v>711</v>
      </c>
      <c r="D271" s="320">
        <v>17.7</v>
      </c>
      <c r="E271" s="320">
        <v>0.2</v>
      </c>
      <c r="F271" s="320">
        <v>17.55</v>
      </c>
      <c r="G271" s="320">
        <v>18.2</v>
      </c>
      <c r="H271" s="320">
        <v>17.55</v>
      </c>
      <c r="I271" s="321">
        <v>171000</v>
      </c>
      <c r="J271" s="321">
        <v>3058750</v>
      </c>
      <c r="K271" s="320">
        <v>72</v>
      </c>
      <c r="L271" s="320">
        <v>17.7</v>
      </c>
      <c r="M271" s="320">
        <v>1</v>
      </c>
      <c r="N271" s="320">
        <v>17.8</v>
      </c>
      <c r="O271" s="320">
        <v>1</v>
      </c>
      <c r="P271" s="321">
        <v>50590216</v>
      </c>
      <c r="Q271" s="320">
        <v>19.45</v>
      </c>
      <c r="R271" s="320">
        <v>15.95</v>
      </c>
    </row>
    <row r="272" spans="2:18">
      <c r="B272" s="319">
        <v>3520</v>
      </c>
      <c r="C272" s="319" t="s">
        <v>712</v>
      </c>
      <c r="D272" s="320">
        <v>15.85</v>
      </c>
      <c r="E272" s="320">
        <v>0.05</v>
      </c>
      <c r="F272" s="320">
        <v>16.2</v>
      </c>
      <c r="G272" s="320">
        <v>16.600000000000001</v>
      </c>
      <c r="H272" s="320">
        <v>15.85</v>
      </c>
      <c r="I272" s="321">
        <v>684000</v>
      </c>
      <c r="J272" s="321">
        <v>11045100</v>
      </c>
      <c r="K272" s="320">
        <v>390</v>
      </c>
      <c r="L272" s="320">
        <v>15.85</v>
      </c>
      <c r="M272" s="320">
        <v>9</v>
      </c>
      <c r="N272" s="320">
        <v>15.9</v>
      </c>
      <c r="O272" s="320">
        <v>5</v>
      </c>
      <c r="P272" s="321">
        <v>68846778</v>
      </c>
      <c r="Q272" s="320">
        <v>17.399999999999999</v>
      </c>
      <c r="R272" s="320">
        <v>14.3</v>
      </c>
    </row>
    <row r="273" spans="2:18">
      <c r="B273" s="319">
        <v>3521</v>
      </c>
      <c r="C273" s="319" t="s">
        <v>713</v>
      </c>
      <c r="D273" s="320">
        <v>13.9</v>
      </c>
      <c r="E273" s="320">
        <v>-0.05</v>
      </c>
      <c r="F273" s="320">
        <v>14</v>
      </c>
      <c r="G273" s="320">
        <v>14.05</v>
      </c>
      <c r="H273" s="320">
        <v>13.7</v>
      </c>
      <c r="I273" s="321">
        <v>62000</v>
      </c>
      <c r="J273" s="321">
        <v>858450</v>
      </c>
      <c r="K273" s="320">
        <v>47</v>
      </c>
      <c r="L273" s="320">
        <v>13.9</v>
      </c>
      <c r="M273" s="320">
        <v>1</v>
      </c>
      <c r="N273" s="320">
        <v>13.95</v>
      </c>
      <c r="O273" s="320">
        <v>4</v>
      </c>
      <c r="P273" s="321">
        <v>47263907</v>
      </c>
      <c r="Q273" s="320">
        <v>15.25</v>
      </c>
      <c r="R273" s="320">
        <v>12.55</v>
      </c>
    </row>
    <row r="274" spans="2:18">
      <c r="B274" s="319">
        <v>3522</v>
      </c>
      <c r="C274" s="319" t="s">
        <v>714</v>
      </c>
      <c r="D274" s="320">
        <v>10.1</v>
      </c>
      <c r="E274" s="320">
        <v>0</v>
      </c>
      <c r="F274" s="320">
        <v>10.15</v>
      </c>
      <c r="G274" s="320">
        <v>10.15</v>
      </c>
      <c r="H274" s="320">
        <v>10</v>
      </c>
      <c r="I274" s="321">
        <v>205000</v>
      </c>
      <c r="J274" s="321">
        <v>2059250</v>
      </c>
      <c r="K274" s="320">
        <v>99</v>
      </c>
      <c r="L274" s="320">
        <v>10.050000000000001</v>
      </c>
      <c r="M274" s="320">
        <v>7</v>
      </c>
      <c r="N274" s="320">
        <v>10.1</v>
      </c>
      <c r="O274" s="320">
        <v>5</v>
      </c>
      <c r="P274" s="321">
        <v>72600000</v>
      </c>
      <c r="Q274" s="320">
        <v>11.1</v>
      </c>
      <c r="R274" s="320">
        <v>9.09</v>
      </c>
    </row>
    <row r="275" spans="2:18">
      <c r="B275" s="319">
        <v>3523</v>
      </c>
      <c r="C275" s="319" t="s">
        <v>3079</v>
      </c>
      <c r="D275" s="320">
        <v>12</v>
      </c>
      <c r="E275" s="320">
        <v>0</v>
      </c>
      <c r="F275" s="320">
        <v>12</v>
      </c>
      <c r="G275" s="320">
        <v>12</v>
      </c>
      <c r="H275" s="320">
        <v>12</v>
      </c>
      <c r="I275" s="321">
        <v>2000</v>
      </c>
      <c r="J275" s="321">
        <v>24000</v>
      </c>
      <c r="K275" s="320">
        <v>2</v>
      </c>
      <c r="L275" s="320">
        <v>12</v>
      </c>
      <c r="M275" s="320">
        <v>3</v>
      </c>
      <c r="N275" s="320">
        <v>12.05</v>
      </c>
      <c r="O275" s="320">
        <v>3</v>
      </c>
      <c r="P275" s="321">
        <v>61829868</v>
      </c>
      <c r="Q275" s="320">
        <v>13.2</v>
      </c>
      <c r="R275" s="320">
        <v>10.8</v>
      </c>
    </row>
    <row r="276" spans="2:18">
      <c r="B276" s="319">
        <v>3526</v>
      </c>
      <c r="C276" s="319" t="s">
        <v>715</v>
      </c>
      <c r="D276" s="320">
        <v>184</v>
      </c>
      <c r="E276" s="320">
        <v>2.5</v>
      </c>
      <c r="F276" s="320">
        <v>179.5</v>
      </c>
      <c r="G276" s="320">
        <v>185</v>
      </c>
      <c r="H276" s="320">
        <v>179.5</v>
      </c>
      <c r="I276" s="321">
        <v>1241000</v>
      </c>
      <c r="J276" s="321">
        <v>226329500</v>
      </c>
      <c r="K276" s="320">
        <v>924</v>
      </c>
      <c r="L276" s="320">
        <v>183.5</v>
      </c>
      <c r="M276" s="320">
        <v>37</v>
      </c>
      <c r="N276" s="320">
        <v>184</v>
      </c>
      <c r="O276" s="320">
        <v>1</v>
      </c>
      <c r="P276" s="321">
        <v>58233080</v>
      </c>
      <c r="Q276" s="320">
        <v>202</v>
      </c>
      <c r="R276" s="320">
        <v>166</v>
      </c>
    </row>
    <row r="277" spans="2:18">
      <c r="B277" s="319">
        <v>3527</v>
      </c>
      <c r="C277" s="319" t="s">
        <v>716</v>
      </c>
      <c r="D277" s="320">
        <v>178.5</v>
      </c>
      <c r="E277" s="320">
        <v>-3</v>
      </c>
      <c r="F277" s="320">
        <v>182.5</v>
      </c>
      <c r="G277" s="320">
        <v>183.5</v>
      </c>
      <c r="H277" s="320">
        <v>175</v>
      </c>
      <c r="I277" s="321">
        <v>1059000</v>
      </c>
      <c r="J277" s="321">
        <v>188730000</v>
      </c>
      <c r="K277" s="320">
        <v>902</v>
      </c>
      <c r="L277" s="320">
        <v>178</v>
      </c>
      <c r="M277" s="320">
        <v>19</v>
      </c>
      <c r="N277" s="320">
        <v>178.5</v>
      </c>
      <c r="O277" s="320">
        <v>9</v>
      </c>
      <c r="P277" s="321">
        <v>44445125</v>
      </c>
      <c r="Q277" s="320">
        <v>196</v>
      </c>
      <c r="R277" s="320">
        <v>161</v>
      </c>
    </row>
    <row r="278" spans="2:18">
      <c r="B278" s="319">
        <v>3529</v>
      </c>
      <c r="C278" s="319" t="s">
        <v>717</v>
      </c>
      <c r="D278" s="322">
        <v>2105</v>
      </c>
      <c r="E278" s="320">
        <v>-25</v>
      </c>
      <c r="F278" s="322">
        <v>2160</v>
      </c>
      <c r="G278" s="322">
        <v>2220</v>
      </c>
      <c r="H278" s="322">
        <v>2105</v>
      </c>
      <c r="I278" s="321">
        <v>517000</v>
      </c>
      <c r="J278" s="321">
        <v>1117520000</v>
      </c>
      <c r="K278" s="320">
        <v>496</v>
      </c>
      <c r="L278" s="322">
        <v>2105</v>
      </c>
      <c r="M278" s="320">
        <v>10</v>
      </c>
      <c r="N278" s="322">
        <v>2130</v>
      </c>
      <c r="O278" s="320">
        <v>2</v>
      </c>
      <c r="P278" s="321">
        <v>76123442</v>
      </c>
      <c r="Q278" s="322">
        <v>2315</v>
      </c>
      <c r="R278" s="322">
        <v>1895</v>
      </c>
    </row>
    <row r="279" spans="2:18">
      <c r="B279" s="319">
        <v>3531</v>
      </c>
      <c r="C279" s="319" t="s">
        <v>718</v>
      </c>
      <c r="D279" s="320">
        <v>22</v>
      </c>
      <c r="E279" s="320">
        <v>-0.1</v>
      </c>
      <c r="F279" s="320">
        <v>22</v>
      </c>
      <c r="G279" s="320">
        <v>22</v>
      </c>
      <c r="H279" s="320">
        <v>22</v>
      </c>
      <c r="I279" s="321">
        <v>4000</v>
      </c>
      <c r="J279" s="321">
        <v>88000</v>
      </c>
      <c r="K279" s="320">
        <v>4</v>
      </c>
      <c r="L279" s="320">
        <v>22</v>
      </c>
      <c r="M279" s="320">
        <v>3</v>
      </c>
      <c r="N279" s="320">
        <v>22.5</v>
      </c>
      <c r="O279" s="320">
        <v>15</v>
      </c>
      <c r="P279" s="321">
        <v>61175011</v>
      </c>
      <c r="Q279" s="320">
        <v>24.2</v>
      </c>
      <c r="R279" s="320">
        <v>19.8</v>
      </c>
    </row>
    <row r="280" spans="2:18">
      <c r="B280" s="319">
        <v>3537</v>
      </c>
      <c r="C280" s="319" t="s">
        <v>719</v>
      </c>
      <c r="D280" s="320">
        <v>36.5</v>
      </c>
      <c r="E280" s="320">
        <v>0.35</v>
      </c>
      <c r="F280" s="320">
        <v>36.200000000000003</v>
      </c>
      <c r="G280" s="320">
        <v>36.700000000000003</v>
      </c>
      <c r="H280" s="320">
        <v>36.200000000000003</v>
      </c>
      <c r="I280" s="321">
        <v>205000</v>
      </c>
      <c r="J280" s="321">
        <v>7485050</v>
      </c>
      <c r="K280" s="320">
        <v>122</v>
      </c>
      <c r="L280" s="320">
        <v>36.5</v>
      </c>
      <c r="M280" s="320">
        <v>1</v>
      </c>
      <c r="N280" s="320">
        <v>36.6</v>
      </c>
      <c r="O280" s="320">
        <v>13</v>
      </c>
      <c r="P280" s="321">
        <v>53564742</v>
      </c>
      <c r="Q280" s="320">
        <v>40.15</v>
      </c>
      <c r="R280" s="320">
        <v>32.85</v>
      </c>
    </row>
    <row r="281" spans="2:18">
      <c r="B281" s="319">
        <v>3540</v>
      </c>
      <c r="C281" s="319" t="s">
        <v>720</v>
      </c>
      <c r="D281" s="320">
        <v>44.2</v>
      </c>
      <c r="E281" s="320">
        <v>-0.5</v>
      </c>
      <c r="F281" s="320">
        <v>45.2</v>
      </c>
      <c r="G281" s="320">
        <v>46</v>
      </c>
      <c r="H281" s="320">
        <v>43.45</v>
      </c>
      <c r="I281" s="321">
        <v>1615000</v>
      </c>
      <c r="J281" s="321">
        <v>72117750</v>
      </c>
      <c r="K281" s="321">
        <v>1216</v>
      </c>
      <c r="L281" s="320">
        <v>43.75</v>
      </c>
      <c r="M281" s="320">
        <v>4</v>
      </c>
      <c r="N281" s="320">
        <v>44.2</v>
      </c>
      <c r="O281" s="320">
        <v>5</v>
      </c>
      <c r="P281" s="321">
        <v>73066548</v>
      </c>
      <c r="Q281" s="320">
        <v>48.6</v>
      </c>
      <c r="R281" s="320">
        <v>39.799999999999997</v>
      </c>
    </row>
    <row r="282" spans="2:18">
      <c r="B282" s="319">
        <v>3541</v>
      </c>
      <c r="C282" s="319" t="s">
        <v>721</v>
      </c>
      <c r="D282" s="320">
        <v>64.400000000000006</v>
      </c>
      <c r="E282" s="320">
        <v>3</v>
      </c>
      <c r="F282" s="320">
        <v>61.6</v>
      </c>
      <c r="G282" s="320">
        <v>64.900000000000006</v>
      </c>
      <c r="H282" s="320">
        <v>61.6</v>
      </c>
      <c r="I282" s="321">
        <v>884000</v>
      </c>
      <c r="J282" s="321">
        <v>56358400</v>
      </c>
      <c r="K282" s="320">
        <v>687</v>
      </c>
      <c r="L282" s="320">
        <v>64.2</v>
      </c>
      <c r="M282" s="320">
        <v>2</v>
      </c>
      <c r="N282" s="320">
        <v>64.400000000000006</v>
      </c>
      <c r="O282" s="320">
        <v>5</v>
      </c>
      <c r="P282" s="321">
        <v>56787142</v>
      </c>
      <c r="Q282" s="320">
        <v>70.8</v>
      </c>
      <c r="R282" s="320">
        <v>58</v>
      </c>
    </row>
    <row r="283" spans="2:18">
      <c r="B283" s="319">
        <v>3546</v>
      </c>
      <c r="C283" s="319" t="s">
        <v>722</v>
      </c>
      <c r="D283" s="320">
        <v>91.6</v>
      </c>
      <c r="E283" s="320">
        <v>-1</v>
      </c>
      <c r="F283" s="320">
        <v>93.7</v>
      </c>
      <c r="G283" s="320">
        <v>94.1</v>
      </c>
      <c r="H283" s="320">
        <v>91.6</v>
      </c>
      <c r="I283" s="321">
        <v>942000</v>
      </c>
      <c r="J283" s="321">
        <v>87633300</v>
      </c>
      <c r="K283" s="320">
        <v>638</v>
      </c>
      <c r="L283" s="320">
        <v>91.6</v>
      </c>
      <c r="M283" s="320">
        <v>2</v>
      </c>
      <c r="N283" s="320">
        <v>92</v>
      </c>
      <c r="O283" s="320">
        <v>2</v>
      </c>
      <c r="P283" s="321">
        <v>48177548</v>
      </c>
      <c r="Q283" s="320">
        <v>100.5</v>
      </c>
      <c r="R283" s="320">
        <v>82.5</v>
      </c>
    </row>
    <row r="284" spans="2:18">
      <c r="B284" s="319">
        <v>3548</v>
      </c>
      <c r="C284" s="319" t="s">
        <v>723</v>
      </c>
      <c r="D284" s="320">
        <v>62.9</v>
      </c>
      <c r="E284" s="320">
        <v>-0.4</v>
      </c>
      <c r="F284" s="320">
        <v>63.3</v>
      </c>
      <c r="G284" s="320">
        <v>63.4</v>
      </c>
      <c r="H284" s="320">
        <v>62.9</v>
      </c>
      <c r="I284" s="321">
        <v>96000</v>
      </c>
      <c r="J284" s="321">
        <v>6061700</v>
      </c>
      <c r="K284" s="320">
        <v>56</v>
      </c>
      <c r="L284" s="320">
        <v>62.9</v>
      </c>
      <c r="M284" s="320">
        <v>1</v>
      </c>
      <c r="N284" s="320">
        <v>63</v>
      </c>
      <c r="O284" s="320">
        <v>2</v>
      </c>
      <c r="P284" s="321">
        <v>60121398</v>
      </c>
      <c r="Q284" s="320">
        <v>69.099999999999994</v>
      </c>
      <c r="R284" s="320">
        <v>56.7</v>
      </c>
    </row>
    <row r="285" spans="2:18">
      <c r="B285" s="319">
        <v>3551</v>
      </c>
      <c r="C285" s="319" t="s">
        <v>724</v>
      </c>
      <c r="D285" s="320">
        <v>72.8</v>
      </c>
      <c r="E285" s="320">
        <v>0.5</v>
      </c>
      <c r="F285" s="320">
        <v>72.8</v>
      </c>
      <c r="G285" s="320">
        <v>75</v>
      </c>
      <c r="H285" s="320">
        <v>72.7</v>
      </c>
      <c r="I285" s="321">
        <v>1341000</v>
      </c>
      <c r="J285" s="321">
        <v>98658300</v>
      </c>
      <c r="K285" s="320">
        <v>928</v>
      </c>
      <c r="L285" s="320">
        <v>72.8</v>
      </c>
      <c r="M285" s="320">
        <v>5</v>
      </c>
      <c r="N285" s="320">
        <v>73</v>
      </c>
      <c r="O285" s="320">
        <v>6</v>
      </c>
      <c r="P285" s="321">
        <v>56774890</v>
      </c>
      <c r="Q285" s="320">
        <v>80</v>
      </c>
      <c r="R285" s="320">
        <v>65.599999999999994</v>
      </c>
    </row>
    <row r="286" spans="2:18">
      <c r="B286" s="319">
        <v>3552</v>
      </c>
      <c r="C286" s="319" t="s">
        <v>725</v>
      </c>
      <c r="D286" s="320">
        <v>177</v>
      </c>
      <c r="E286" s="320">
        <v>-1</v>
      </c>
      <c r="F286" s="320">
        <v>180</v>
      </c>
      <c r="G286" s="320">
        <v>182.5</v>
      </c>
      <c r="H286" s="320">
        <v>176</v>
      </c>
      <c r="I286" s="321">
        <v>757000</v>
      </c>
      <c r="J286" s="321">
        <v>135075000</v>
      </c>
      <c r="K286" s="320">
        <v>606</v>
      </c>
      <c r="L286" s="320">
        <v>177</v>
      </c>
      <c r="M286" s="320">
        <v>14</v>
      </c>
      <c r="N286" s="320">
        <v>177.5</v>
      </c>
      <c r="O286" s="320">
        <v>7</v>
      </c>
      <c r="P286" s="321">
        <v>85592949</v>
      </c>
      <c r="Q286" s="320">
        <v>194.5</v>
      </c>
      <c r="R286" s="320">
        <v>159.5</v>
      </c>
    </row>
    <row r="287" spans="2:18">
      <c r="B287" s="319">
        <v>3555</v>
      </c>
      <c r="C287" s="319" t="s">
        <v>2812</v>
      </c>
      <c r="D287" s="320">
        <v>39.9</v>
      </c>
      <c r="E287" s="320">
        <v>0.8</v>
      </c>
      <c r="F287" s="320">
        <v>39.1</v>
      </c>
      <c r="G287" s="320">
        <v>40.299999999999997</v>
      </c>
      <c r="H287" s="320">
        <v>38.950000000000003</v>
      </c>
      <c r="I287" s="321">
        <v>8000</v>
      </c>
      <c r="J287" s="321">
        <v>316000</v>
      </c>
      <c r="K287" s="320">
        <v>8</v>
      </c>
      <c r="L287" s="320">
        <v>38.299999999999997</v>
      </c>
      <c r="M287" s="320">
        <v>1</v>
      </c>
      <c r="N287" s="320">
        <v>39.9</v>
      </c>
      <c r="O287" s="320">
        <v>1</v>
      </c>
      <c r="P287" s="321">
        <v>25762797</v>
      </c>
      <c r="Q287" s="320">
        <v>43.85</v>
      </c>
      <c r="R287" s="320">
        <v>35.950000000000003</v>
      </c>
    </row>
    <row r="288" spans="2:18">
      <c r="B288" s="319">
        <v>3556</v>
      </c>
      <c r="C288" s="319" t="s">
        <v>726</v>
      </c>
      <c r="D288" s="320">
        <v>75.7</v>
      </c>
      <c r="E288" s="320">
        <v>-0.8</v>
      </c>
      <c r="F288" s="320">
        <v>76.5</v>
      </c>
      <c r="G288" s="320">
        <v>76.7</v>
      </c>
      <c r="H288" s="320">
        <v>75.7</v>
      </c>
      <c r="I288" s="321">
        <v>349000</v>
      </c>
      <c r="J288" s="321">
        <v>26528400</v>
      </c>
      <c r="K288" s="320">
        <v>244</v>
      </c>
      <c r="L288" s="320">
        <v>75.7</v>
      </c>
      <c r="M288" s="320">
        <v>41</v>
      </c>
      <c r="N288" s="320">
        <v>75.8</v>
      </c>
      <c r="O288" s="320">
        <v>1</v>
      </c>
      <c r="P288" s="321">
        <v>61252735</v>
      </c>
      <c r="Q288" s="320">
        <v>83.2</v>
      </c>
      <c r="R288" s="320">
        <v>68.2</v>
      </c>
    </row>
    <row r="289" spans="2:18">
      <c r="B289" s="319">
        <v>3558</v>
      </c>
      <c r="C289" s="319" t="s">
        <v>727</v>
      </c>
      <c r="D289" s="320">
        <v>101</v>
      </c>
      <c r="E289" s="320">
        <v>1.2</v>
      </c>
      <c r="F289" s="320">
        <v>99.8</v>
      </c>
      <c r="G289" s="320">
        <v>102.5</v>
      </c>
      <c r="H289" s="320">
        <v>99.8</v>
      </c>
      <c r="I289" s="321">
        <v>220000</v>
      </c>
      <c r="J289" s="321">
        <v>22328800</v>
      </c>
      <c r="K289" s="320">
        <v>179</v>
      </c>
      <c r="L289" s="320">
        <v>101</v>
      </c>
      <c r="M289" s="320">
        <v>1</v>
      </c>
      <c r="N289" s="320">
        <v>101.5</v>
      </c>
      <c r="O289" s="320">
        <v>11</v>
      </c>
      <c r="P289" s="321">
        <v>49060881</v>
      </c>
      <c r="Q289" s="320">
        <v>111</v>
      </c>
      <c r="R289" s="320">
        <v>90.9</v>
      </c>
    </row>
    <row r="290" spans="2:18">
      <c r="B290" s="319">
        <v>3564</v>
      </c>
      <c r="C290" s="319" t="s">
        <v>728</v>
      </c>
      <c r="D290" s="320">
        <v>30.4</v>
      </c>
      <c r="E290" s="320">
        <v>0</v>
      </c>
      <c r="F290" s="320">
        <v>30.45</v>
      </c>
      <c r="G290" s="320">
        <v>30.8</v>
      </c>
      <c r="H290" s="320">
        <v>30.1</v>
      </c>
      <c r="I290" s="321">
        <v>156000</v>
      </c>
      <c r="J290" s="321">
        <v>4742000</v>
      </c>
      <c r="K290" s="320">
        <v>107</v>
      </c>
      <c r="L290" s="320">
        <v>30.4</v>
      </c>
      <c r="M290" s="320">
        <v>6</v>
      </c>
      <c r="N290" s="320">
        <v>30.55</v>
      </c>
      <c r="O290" s="320">
        <v>1</v>
      </c>
      <c r="P290" s="321">
        <v>59123100</v>
      </c>
      <c r="Q290" s="320">
        <v>33.4</v>
      </c>
      <c r="R290" s="320">
        <v>27.4</v>
      </c>
    </row>
    <row r="291" spans="2:18">
      <c r="B291" s="319">
        <v>3567</v>
      </c>
      <c r="C291" s="319" t="s">
        <v>729</v>
      </c>
      <c r="D291" s="320">
        <v>36.6</v>
      </c>
      <c r="E291" s="320">
        <v>0</v>
      </c>
      <c r="F291" s="320">
        <v>36.75</v>
      </c>
      <c r="G291" s="320">
        <v>37</v>
      </c>
      <c r="H291" s="320">
        <v>36.299999999999997</v>
      </c>
      <c r="I291" s="321">
        <v>177000</v>
      </c>
      <c r="J291" s="321">
        <v>6490350</v>
      </c>
      <c r="K291" s="320">
        <v>122</v>
      </c>
      <c r="L291" s="320">
        <v>36.549999999999997</v>
      </c>
      <c r="M291" s="320">
        <v>1</v>
      </c>
      <c r="N291" s="320">
        <v>36.700000000000003</v>
      </c>
      <c r="O291" s="320">
        <v>1</v>
      </c>
      <c r="P291" s="321">
        <v>34127000</v>
      </c>
      <c r="Q291" s="320">
        <v>40.25</v>
      </c>
      <c r="R291" s="320">
        <v>32.950000000000003</v>
      </c>
    </row>
    <row r="292" spans="2:18">
      <c r="B292" s="319">
        <v>3570</v>
      </c>
      <c r="C292" s="319" t="s">
        <v>730</v>
      </c>
      <c r="D292" s="320">
        <v>78.8</v>
      </c>
      <c r="E292" s="320">
        <v>0.3</v>
      </c>
      <c r="F292" s="320">
        <v>78.599999999999994</v>
      </c>
      <c r="G292" s="320">
        <v>78.8</v>
      </c>
      <c r="H292" s="320">
        <v>78.5</v>
      </c>
      <c r="I292" s="321">
        <v>7000</v>
      </c>
      <c r="J292" s="321">
        <v>550200</v>
      </c>
      <c r="K292" s="320">
        <v>6</v>
      </c>
      <c r="L292" s="320">
        <v>78.599999999999994</v>
      </c>
      <c r="M292" s="320">
        <v>1</v>
      </c>
      <c r="N292" s="320">
        <v>78.900000000000006</v>
      </c>
      <c r="O292" s="320">
        <v>1</v>
      </c>
      <c r="P292" s="321">
        <v>17097000</v>
      </c>
      <c r="Q292" s="320">
        <v>86.6</v>
      </c>
      <c r="R292" s="320">
        <v>71</v>
      </c>
    </row>
    <row r="293" spans="2:18">
      <c r="B293" s="319">
        <v>3577</v>
      </c>
      <c r="C293" s="319" t="s">
        <v>731</v>
      </c>
      <c r="D293" s="320">
        <v>58.4</v>
      </c>
      <c r="E293" s="320">
        <v>-0.3</v>
      </c>
      <c r="F293" s="320">
        <v>59.5</v>
      </c>
      <c r="G293" s="320">
        <v>59.8</v>
      </c>
      <c r="H293" s="320">
        <v>58.3</v>
      </c>
      <c r="I293" s="321">
        <v>99000</v>
      </c>
      <c r="J293" s="321">
        <v>5808700</v>
      </c>
      <c r="K293" s="320">
        <v>77</v>
      </c>
      <c r="L293" s="320">
        <v>58.4</v>
      </c>
      <c r="M293" s="320">
        <v>3</v>
      </c>
      <c r="N293" s="320">
        <v>58.6</v>
      </c>
      <c r="O293" s="320">
        <v>5</v>
      </c>
      <c r="P293" s="321">
        <v>52864177</v>
      </c>
      <c r="Q293" s="320">
        <v>64.2</v>
      </c>
      <c r="R293" s="320">
        <v>52.6</v>
      </c>
    </row>
    <row r="294" spans="2:18">
      <c r="B294" s="319">
        <v>3580</v>
      </c>
      <c r="C294" s="319" t="s">
        <v>732</v>
      </c>
      <c r="D294" s="320">
        <v>58.7</v>
      </c>
      <c r="E294" s="320">
        <v>-0.4</v>
      </c>
      <c r="F294" s="320">
        <v>58.4</v>
      </c>
      <c r="G294" s="320">
        <v>59.4</v>
      </c>
      <c r="H294" s="320">
        <v>58.4</v>
      </c>
      <c r="I294" s="321">
        <v>98000</v>
      </c>
      <c r="J294" s="321">
        <v>5753700</v>
      </c>
      <c r="K294" s="320">
        <v>69</v>
      </c>
      <c r="L294" s="320">
        <v>58.7</v>
      </c>
      <c r="M294" s="320">
        <v>1</v>
      </c>
      <c r="N294" s="320">
        <v>59</v>
      </c>
      <c r="O294" s="320">
        <v>1</v>
      </c>
      <c r="P294" s="321">
        <v>39470657</v>
      </c>
      <c r="Q294" s="320">
        <v>64.5</v>
      </c>
      <c r="R294" s="320">
        <v>52.9</v>
      </c>
    </row>
    <row r="295" spans="2:18">
      <c r="B295" s="319">
        <v>3581</v>
      </c>
      <c r="C295" s="319" t="s">
        <v>733</v>
      </c>
      <c r="D295" s="320">
        <v>27.1</v>
      </c>
      <c r="E295" s="320">
        <v>-0.2</v>
      </c>
      <c r="F295" s="320">
        <v>27.4</v>
      </c>
      <c r="G295" s="320">
        <v>27.45</v>
      </c>
      <c r="H295" s="320">
        <v>27.05</v>
      </c>
      <c r="I295" s="321">
        <v>90000</v>
      </c>
      <c r="J295" s="321">
        <v>2450850</v>
      </c>
      <c r="K295" s="320">
        <v>64</v>
      </c>
      <c r="L295" s="320">
        <v>27.05</v>
      </c>
      <c r="M295" s="320">
        <v>9</v>
      </c>
      <c r="N295" s="320">
        <v>27.1</v>
      </c>
      <c r="O295" s="320">
        <v>1</v>
      </c>
      <c r="P295" s="321">
        <v>51006000</v>
      </c>
      <c r="Q295" s="320">
        <v>29.8</v>
      </c>
      <c r="R295" s="320">
        <v>24.4</v>
      </c>
    </row>
    <row r="296" spans="2:18">
      <c r="B296" s="319">
        <v>3587</v>
      </c>
      <c r="C296" s="319" t="s">
        <v>734</v>
      </c>
      <c r="D296" s="320">
        <v>154.5</v>
      </c>
      <c r="E296" s="320">
        <v>2.5</v>
      </c>
      <c r="F296" s="320">
        <v>152.5</v>
      </c>
      <c r="G296" s="320">
        <v>155</v>
      </c>
      <c r="H296" s="320">
        <v>152</v>
      </c>
      <c r="I296" s="321">
        <v>939000</v>
      </c>
      <c r="J296" s="321">
        <v>144382500</v>
      </c>
      <c r="K296" s="320">
        <v>587</v>
      </c>
      <c r="L296" s="320">
        <v>154</v>
      </c>
      <c r="M296" s="320">
        <v>227</v>
      </c>
      <c r="N296" s="320">
        <v>154.5</v>
      </c>
      <c r="O296" s="320">
        <v>8</v>
      </c>
      <c r="P296" s="321">
        <v>62313157</v>
      </c>
      <c r="Q296" s="320">
        <v>169.5</v>
      </c>
      <c r="R296" s="320">
        <v>139.5</v>
      </c>
    </row>
    <row r="297" spans="2:18">
      <c r="B297" s="319">
        <v>3594</v>
      </c>
      <c r="C297" s="319" t="s">
        <v>735</v>
      </c>
      <c r="D297" s="320">
        <v>21.65</v>
      </c>
      <c r="E297" s="320">
        <v>-0.1</v>
      </c>
      <c r="F297" s="320">
        <v>21.8</v>
      </c>
      <c r="G297" s="320">
        <v>21.85</v>
      </c>
      <c r="H297" s="320">
        <v>21.6</v>
      </c>
      <c r="I297" s="321">
        <v>229000</v>
      </c>
      <c r="J297" s="321">
        <v>4955450</v>
      </c>
      <c r="K297" s="320">
        <v>120</v>
      </c>
      <c r="L297" s="320">
        <v>21.6</v>
      </c>
      <c r="M297" s="320">
        <v>17</v>
      </c>
      <c r="N297" s="320">
        <v>21.65</v>
      </c>
      <c r="O297" s="320">
        <v>1</v>
      </c>
      <c r="P297" s="321">
        <v>74421771</v>
      </c>
      <c r="Q297" s="320">
        <v>23.8</v>
      </c>
      <c r="R297" s="320">
        <v>19.5</v>
      </c>
    </row>
    <row r="298" spans="2:18">
      <c r="B298" s="319">
        <v>3597</v>
      </c>
      <c r="C298" s="319" t="s">
        <v>736</v>
      </c>
      <c r="D298" s="320">
        <v>33.85</v>
      </c>
      <c r="E298" s="320">
        <v>0.35</v>
      </c>
      <c r="F298" s="320">
        <v>33.5</v>
      </c>
      <c r="G298" s="320">
        <v>34.75</v>
      </c>
      <c r="H298" s="320">
        <v>32.65</v>
      </c>
      <c r="I298" s="321">
        <v>1730000</v>
      </c>
      <c r="J298" s="321">
        <v>58159850</v>
      </c>
      <c r="K298" s="321">
        <v>1062</v>
      </c>
      <c r="L298" s="320">
        <v>33.75</v>
      </c>
      <c r="M298" s="320">
        <v>2</v>
      </c>
      <c r="N298" s="320">
        <v>33.85</v>
      </c>
      <c r="O298" s="320">
        <v>8</v>
      </c>
      <c r="P298" s="321">
        <v>39146150</v>
      </c>
      <c r="Q298" s="320">
        <v>37.200000000000003</v>
      </c>
      <c r="R298" s="320">
        <v>30.5</v>
      </c>
    </row>
    <row r="299" spans="2:18">
      <c r="B299" s="319">
        <v>3609</v>
      </c>
      <c r="C299" s="319" t="s">
        <v>2706</v>
      </c>
      <c r="D299" s="320">
        <v>54.3</v>
      </c>
      <c r="E299" s="320">
        <v>2.2999999999999998</v>
      </c>
      <c r="F299" s="320">
        <v>52.1</v>
      </c>
      <c r="G299" s="320">
        <v>54.5</v>
      </c>
      <c r="H299" s="320">
        <v>51.9</v>
      </c>
      <c r="I299" s="321">
        <v>484000</v>
      </c>
      <c r="J299" s="321">
        <v>25824700</v>
      </c>
      <c r="K299" s="320">
        <v>272</v>
      </c>
      <c r="L299" s="320">
        <v>54.2</v>
      </c>
      <c r="M299" s="320">
        <v>7</v>
      </c>
      <c r="N299" s="320">
        <v>54.3</v>
      </c>
      <c r="O299" s="320">
        <v>6</v>
      </c>
      <c r="P299" s="321">
        <v>30679387</v>
      </c>
      <c r="Q299" s="320">
        <v>59.7</v>
      </c>
      <c r="R299" s="320">
        <v>48.9</v>
      </c>
    </row>
    <row r="300" spans="2:18">
      <c r="B300" s="319">
        <v>3611</v>
      </c>
      <c r="C300" s="319" t="s">
        <v>737</v>
      </c>
      <c r="D300" s="320">
        <v>200.5</v>
      </c>
      <c r="E300" s="320">
        <v>0.5</v>
      </c>
      <c r="F300" s="320">
        <v>200</v>
      </c>
      <c r="G300" s="320">
        <v>202</v>
      </c>
      <c r="H300" s="320">
        <v>200</v>
      </c>
      <c r="I300" s="321">
        <v>28000</v>
      </c>
      <c r="J300" s="321">
        <v>5614000</v>
      </c>
      <c r="K300" s="320">
        <v>25</v>
      </c>
      <c r="L300" s="320">
        <v>200.5</v>
      </c>
      <c r="M300" s="320">
        <v>1</v>
      </c>
      <c r="N300" s="320">
        <v>201</v>
      </c>
      <c r="O300" s="320">
        <v>2</v>
      </c>
      <c r="P300" s="321">
        <v>42476940</v>
      </c>
      <c r="Q300" s="320">
        <v>220.5</v>
      </c>
      <c r="R300" s="320">
        <v>180.5</v>
      </c>
    </row>
    <row r="301" spans="2:18">
      <c r="B301" s="319">
        <v>3615</v>
      </c>
      <c r="C301" s="319" t="s">
        <v>738</v>
      </c>
      <c r="D301" s="320">
        <v>24</v>
      </c>
      <c r="E301" s="320">
        <v>-0.3</v>
      </c>
      <c r="F301" s="320">
        <v>24.45</v>
      </c>
      <c r="G301" s="320">
        <v>24.8</v>
      </c>
      <c r="H301" s="320">
        <v>24</v>
      </c>
      <c r="I301" s="321">
        <v>718000</v>
      </c>
      <c r="J301" s="321">
        <v>17432750</v>
      </c>
      <c r="K301" s="320">
        <v>345</v>
      </c>
      <c r="L301" s="320">
        <v>24</v>
      </c>
      <c r="M301" s="320">
        <v>19</v>
      </c>
      <c r="N301" s="320">
        <v>24.05</v>
      </c>
      <c r="O301" s="320">
        <v>6</v>
      </c>
      <c r="P301" s="321">
        <v>68466976</v>
      </c>
      <c r="Q301" s="320">
        <v>26.4</v>
      </c>
      <c r="R301" s="320">
        <v>21.6</v>
      </c>
    </row>
    <row r="302" spans="2:18">
      <c r="B302" s="319">
        <v>3623</v>
      </c>
      <c r="C302" s="319" t="s">
        <v>739</v>
      </c>
      <c r="D302" s="320">
        <v>16.649999999999999</v>
      </c>
      <c r="E302" s="320">
        <v>0.05</v>
      </c>
      <c r="F302" s="320">
        <v>16.8</v>
      </c>
      <c r="G302" s="320">
        <v>16.95</v>
      </c>
      <c r="H302" s="320">
        <v>16.350000000000001</v>
      </c>
      <c r="I302" s="321">
        <v>121000</v>
      </c>
      <c r="J302" s="321">
        <v>2022350</v>
      </c>
      <c r="K302" s="320">
        <v>80</v>
      </c>
      <c r="L302" s="320">
        <v>16.55</v>
      </c>
      <c r="M302" s="320">
        <v>1</v>
      </c>
      <c r="N302" s="320">
        <v>16.7</v>
      </c>
      <c r="O302" s="320">
        <v>5</v>
      </c>
      <c r="P302" s="321">
        <v>29185946</v>
      </c>
      <c r="Q302" s="320">
        <v>18.3</v>
      </c>
      <c r="R302" s="320">
        <v>15</v>
      </c>
    </row>
    <row r="303" spans="2:18">
      <c r="B303" s="319">
        <v>3624</v>
      </c>
      <c r="C303" s="319" t="s">
        <v>740</v>
      </c>
      <c r="D303" s="320">
        <v>71.7</v>
      </c>
      <c r="E303" s="320">
        <v>-1.6</v>
      </c>
      <c r="F303" s="320">
        <v>74.3</v>
      </c>
      <c r="G303" s="320">
        <v>76.5</v>
      </c>
      <c r="H303" s="320">
        <v>70.2</v>
      </c>
      <c r="I303" s="321">
        <v>45064000</v>
      </c>
      <c r="J303" s="321">
        <v>3289927000</v>
      </c>
      <c r="K303" s="321">
        <v>25066</v>
      </c>
      <c r="L303" s="320">
        <v>71.7</v>
      </c>
      <c r="M303" s="320">
        <v>51</v>
      </c>
      <c r="N303" s="320">
        <v>71.8</v>
      </c>
      <c r="O303" s="320">
        <v>45</v>
      </c>
      <c r="P303" s="321">
        <v>117340842</v>
      </c>
      <c r="Q303" s="320">
        <v>78.8</v>
      </c>
      <c r="R303" s="320">
        <v>64.599999999999994</v>
      </c>
    </row>
    <row r="304" spans="2:18">
      <c r="B304" s="319">
        <v>3625</v>
      </c>
      <c r="C304" s="319" t="s">
        <v>741</v>
      </c>
      <c r="D304" s="320">
        <v>25.7</v>
      </c>
      <c r="E304" s="320">
        <v>-0.45</v>
      </c>
      <c r="F304" s="320">
        <v>26.3</v>
      </c>
      <c r="G304" s="320">
        <v>26.3</v>
      </c>
      <c r="H304" s="320">
        <v>25.7</v>
      </c>
      <c r="I304" s="321">
        <v>1036000</v>
      </c>
      <c r="J304" s="321">
        <v>26790450</v>
      </c>
      <c r="K304" s="320">
        <v>652</v>
      </c>
      <c r="L304" s="320">
        <v>25.7</v>
      </c>
      <c r="M304" s="320">
        <v>37</v>
      </c>
      <c r="N304" s="320">
        <v>25.75</v>
      </c>
      <c r="O304" s="320">
        <v>9</v>
      </c>
      <c r="P304" s="321">
        <v>98077037</v>
      </c>
      <c r="Q304" s="320">
        <v>28.25</v>
      </c>
      <c r="R304" s="320">
        <v>23.15</v>
      </c>
    </row>
    <row r="305" spans="2:18">
      <c r="B305" s="319">
        <v>3628</v>
      </c>
      <c r="C305" s="319" t="s">
        <v>742</v>
      </c>
      <c r="D305" s="320">
        <v>39.299999999999997</v>
      </c>
      <c r="E305" s="320">
        <v>-0.75</v>
      </c>
      <c r="F305" s="320">
        <v>40.9</v>
      </c>
      <c r="G305" s="320">
        <v>40.9</v>
      </c>
      <c r="H305" s="320">
        <v>39.049999999999997</v>
      </c>
      <c r="I305" s="321">
        <v>39000</v>
      </c>
      <c r="J305" s="321">
        <v>1552100</v>
      </c>
      <c r="K305" s="320">
        <v>36</v>
      </c>
      <c r="L305" s="320">
        <v>39.299999999999997</v>
      </c>
      <c r="M305" s="320">
        <v>2</v>
      </c>
      <c r="N305" s="320">
        <v>39.700000000000003</v>
      </c>
      <c r="O305" s="320">
        <v>2</v>
      </c>
      <c r="P305" s="321">
        <v>45000000</v>
      </c>
      <c r="Q305" s="320">
        <v>43.2</v>
      </c>
      <c r="R305" s="320">
        <v>35.4</v>
      </c>
    </row>
    <row r="306" spans="2:18">
      <c r="B306" s="319">
        <v>3629</v>
      </c>
      <c r="C306" s="319" t="s">
        <v>743</v>
      </c>
      <c r="D306" s="320">
        <v>50.8</v>
      </c>
      <c r="E306" s="320">
        <v>1.8</v>
      </c>
      <c r="F306" s="320">
        <v>49.5</v>
      </c>
      <c r="G306" s="320">
        <v>50.8</v>
      </c>
      <c r="H306" s="320">
        <v>49.5</v>
      </c>
      <c r="I306" s="321">
        <v>5000</v>
      </c>
      <c r="J306" s="321">
        <v>251400</v>
      </c>
      <c r="K306" s="320">
        <v>4</v>
      </c>
      <c r="L306" s="320">
        <v>48.05</v>
      </c>
      <c r="M306" s="320">
        <v>1</v>
      </c>
      <c r="N306" s="320">
        <v>50.8</v>
      </c>
      <c r="O306" s="320">
        <v>1</v>
      </c>
      <c r="P306" s="321">
        <v>32202455</v>
      </c>
      <c r="Q306" s="320">
        <v>55.8</v>
      </c>
      <c r="R306" s="320">
        <v>45.75</v>
      </c>
    </row>
    <row r="307" spans="2:18">
      <c r="B307" s="319">
        <v>3630</v>
      </c>
      <c r="C307" s="319" t="s">
        <v>744</v>
      </c>
      <c r="D307" s="320">
        <v>38.85</v>
      </c>
      <c r="E307" s="320">
        <v>-0.45</v>
      </c>
      <c r="F307" s="320">
        <v>39.35</v>
      </c>
      <c r="G307" s="320">
        <v>39.700000000000003</v>
      </c>
      <c r="H307" s="320">
        <v>38.700000000000003</v>
      </c>
      <c r="I307" s="321">
        <v>336000</v>
      </c>
      <c r="J307" s="321">
        <v>13111700</v>
      </c>
      <c r="K307" s="320">
        <v>234</v>
      </c>
      <c r="L307" s="320">
        <v>38.85</v>
      </c>
      <c r="M307" s="320">
        <v>1</v>
      </c>
      <c r="N307" s="320">
        <v>38.9</v>
      </c>
      <c r="O307" s="320">
        <v>1</v>
      </c>
      <c r="P307" s="321">
        <v>184191848</v>
      </c>
      <c r="Q307" s="320">
        <v>42.7</v>
      </c>
      <c r="R307" s="320">
        <v>35</v>
      </c>
    </row>
    <row r="308" spans="2:18">
      <c r="B308" s="319">
        <v>3631</v>
      </c>
      <c r="C308" s="319" t="s">
        <v>745</v>
      </c>
      <c r="D308" s="320">
        <v>47.25</v>
      </c>
      <c r="E308" s="320">
        <v>-0.35</v>
      </c>
      <c r="F308" s="320">
        <v>47.35</v>
      </c>
      <c r="G308" s="320">
        <v>47.5</v>
      </c>
      <c r="H308" s="320">
        <v>47.2</v>
      </c>
      <c r="I308" s="321">
        <v>16000</v>
      </c>
      <c r="J308" s="321">
        <v>757400</v>
      </c>
      <c r="K308" s="320">
        <v>16</v>
      </c>
      <c r="L308" s="320">
        <v>47.2</v>
      </c>
      <c r="M308" s="320">
        <v>1</v>
      </c>
      <c r="N308" s="320">
        <v>47.5</v>
      </c>
      <c r="O308" s="320">
        <v>1</v>
      </c>
      <c r="P308" s="321">
        <v>81820909</v>
      </c>
      <c r="Q308" s="320">
        <v>51.9</v>
      </c>
      <c r="R308" s="320">
        <v>42.55</v>
      </c>
    </row>
    <row r="309" spans="2:18">
      <c r="B309" s="319">
        <v>3632</v>
      </c>
      <c r="C309" s="319" t="s">
        <v>746</v>
      </c>
      <c r="D309" s="320">
        <v>9.48</v>
      </c>
      <c r="E309" s="320">
        <v>0.13</v>
      </c>
      <c r="F309" s="320">
        <v>9.3000000000000007</v>
      </c>
      <c r="G309" s="320">
        <v>9.48</v>
      </c>
      <c r="H309" s="320">
        <v>9.3000000000000007</v>
      </c>
      <c r="I309" s="321">
        <v>34000</v>
      </c>
      <c r="J309" s="321">
        <v>317750</v>
      </c>
      <c r="K309" s="320">
        <v>29</v>
      </c>
      <c r="L309" s="320">
        <v>9.48</v>
      </c>
      <c r="M309" s="320">
        <v>2</v>
      </c>
      <c r="N309" s="320">
        <v>9.49</v>
      </c>
      <c r="O309" s="320">
        <v>3</v>
      </c>
      <c r="P309" s="321">
        <v>40889738</v>
      </c>
      <c r="Q309" s="320">
        <v>10.4</v>
      </c>
      <c r="R309" s="320">
        <v>8.5399999999999991</v>
      </c>
    </row>
    <row r="310" spans="2:18">
      <c r="B310" s="319">
        <v>3642</v>
      </c>
      <c r="C310" s="319" t="s">
        <v>747</v>
      </c>
      <c r="D310" s="320">
        <v>9.06</v>
      </c>
      <c r="E310" s="320">
        <v>-0.48</v>
      </c>
      <c r="F310" s="320">
        <v>9.5</v>
      </c>
      <c r="G310" s="320">
        <v>9.5</v>
      </c>
      <c r="H310" s="320">
        <v>9.06</v>
      </c>
      <c r="I310" s="321">
        <v>66000</v>
      </c>
      <c r="J310" s="321">
        <v>606010</v>
      </c>
      <c r="K310" s="320">
        <v>32</v>
      </c>
      <c r="L310" s="320">
        <v>9</v>
      </c>
      <c r="M310" s="320">
        <v>1</v>
      </c>
      <c r="N310" s="320">
        <v>9.06</v>
      </c>
      <c r="O310" s="320">
        <v>3</v>
      </c>
      <c r="P310" s="321">
        <v>40368642</v>
      </c>
      <c r="Q310" s="320">
        <v>9.9600000000000009</v>
      </c>
      <c r="R310" s="320">
        <v>8.16</v>
      </c>
    </row>
    <row r="311" spans="2:18">
      <c r="B311" s="319">
        <v>3646</v>
      </c>
      <c r="C311" s="319" t="s">
        <v>748</v>
      </c>
      <c r="D311" s="320">
        <v>28.05</v>
      </c>
      <c r="E311" s="320">
        <v>0.05</v>
      </c>
      <c r="F311" s="320">
        <v>28.2</v>
      </c>
      <c r="G311" s="320">
        <v>28.5</v>
      </c>
      <c r="H311" s="320">
        <v>27.9</v>
      </c>
      <c r="I311" s="321">
        <v>215000</v>
      </c>
      <c r="J311" s="321">
        <v>6039150</v>
      </c>
      <c r="K311" s="320">
        <v>124</v>
      </c>
      <c r="L311" s="320">
        <v>28</v>
      </c>
      <c r="M311" s="320">
        <v>13</v>
      </c>
      <c r="N311" s="320">
        <v>28.05</v>
      </c>
      <c r="O311" s="320">
        <v>3</v>
      </c>
      <c r="P311" s="321">
        <v>39297371</v>
      </c>
      <c r="Q311" s="320">
        <v>30.85</v>
      </c>
      <c r="R311" s="320">
        <v>25.25</v>
      </c>
    </row>
    <row r="312" spans="2:18">
      <c r="B312" s="319">
        <v>3652</v>
      </c>
      <c r="C312" s="319" t="s">
        <v>749</v>
      </c>
      <c r="D312" s="320">
        <v>22.25</v>
      </c>
      <c r="E312" s="320">
        <v>0</v>
      </c>
      <c r="F312" s="320">
        <v>22.25</v>
      </c>
      <c r="G312" s="320">
        <v>22.35</v>
      </c>
      <c r="H312" s="320">
        <v>22.25</v>
      </c>
      <c r="I312" s="321">
        <v>88000</v>
      </c>
      <c r="J312" s="321">
        <v>1960750</v>
      </c>
      <c r="K312" s="320">
        <v>64</v>
      </c>
      <c r="L312" s="320">
        <v>22.25</v>
      </c>
      <c r="M312" s="320">
        <v>1</v>
      </c>
      <c r="N312" s="320">
        <v>22.3</v>
      </c>
      <c r="O312" s="320">
        <v>8</v>
      </c>
      <c r="P312" s="321">
        <v>75097500</v>
      </c>
      <c r="Q312" s="320">
        <v>24.45</v>
      </c>
      <c r="R312" s="320">
        <v>20.05</v>
      </c>
    </row>
    <row r="313" spans="2:18">
      <c r="B313" s="319">
        <v>3663</v>
      </c>
      <c r="C313" s="319" t="s">
        <v>750</v>
      </c>
      <c r="D313" s="320">
        <v>33.85</v>
      </c>
      <c r="E313" s="320">
        <v>0</v>
      </c>
      <c r="F313" s="320">
        <v>33.85</v>
      </c>
      <c r="G313" s="320">
        <v>34.35</v>
      </c>
      <c r="H313" s="320">
        <v>33.5</v>
      </c>
      <c r="I313" s="321">
        <v>197000</v>
      </c>
      <c r="J313" s="321">
        <v>6663750</v>
      </c>
      <c r="K313" s="320">
        <v>138</v>
      </c>
      <c r="L313" s="320">
        <v>33.85</v>
      </c>
      <c r="M313" s="320">
        <v>2</v>
      </c>
      <c r="N313" s="320">
        <v>33.9</v>
      </c>
      <c r="O313" s="320">
        <v>2</v>
      </c>
      <c r="P313" s="321">
        <v>73498057</v>
      </c>
      <c r="Q313" s="320">
        <v>37.200000000000003</v>
      </c>
      <c r="R313" s="320">
        <v>30.5</v>
      </c>
    </row>
    <row r="314" spans="2:18">
      <c r="B314" s="319">
        <v>3664</v>
      </c>
      <c r="C314" s="319" t="s">
        <v>751</v>
      </c>
      <c r="D314" s="320">
        <v>9.16</v>
      </c>
      <c r="E314" s="320">
        <v>0</v>
      </c>
      <c r="F314" s="320">
        <v>9.25</v>
      </c>
      <c r="G314" s="320">
        <v>9.25</v>
      </c>
      <c r="H314" s="320">
        <v>9.0500000000000007</v>
      </c>
      <c r="I314" s="321">
        <v>21000</v>
      </c>
      <c r="J314" s="321">
        <v>191440</v>
      </c>
      <c r="K314" s="320">
        <v>13</v>
      </c>
      <c r="L314" s="320">
        <v>9.1</v>
      </c>
      <c r="M314" s="320">
        <v>2</v>
      </c>
      <c r="N314" s="320">
        <v>9.16</v>
      </c>
      <c r="O314" s="320">
        <v>2</v>
      </c>
      <c r="P314" s="321">
        <v>51111294</v>
      </c>
      <c r="Q314" s="320">
        <v>10.050000000000001</v>
      </c>
      <c r="R314" s="320">
        <v>8.25</v>
      </c>
    </row>
    <row r="315" spans="2:18">
      <c r="B315" s="319">
        <v>3666</v>
      </c>
      <c r="C315" s="319" t="s">
        <v>752</v>
      </c>
      <c r="D315" s="320">
        <v>33.950000000000003</v>
      </c>
      <c r="E315" s="320">
        <v>-0.85</v>
      </c>
      <c r="F315" s="320">
        <v>34.9</v>
      </c>
      <c r="G315" s="320">
        <v>34.9</v>
      </c>
      <c r="H315" s="320">
        <v>33.85</v>
      </c>
      <c r="I315" s="321">
        <v>248000</v>
      </c>
      <c r="J315" s="321">
        <v>8467100</v>
      </c>
      <c r="K315" s="320">
        <v>173</v>
      </c>
      <c r="L315" s="320">
        <v>33.950000000000003</v>
      </c>
      <c r="M315" s="320">
        <v>6</v>
      </c>
      <c r="N315" s="320">
        <v>34</v>
      </c>
      <c r="O315" s="320">
        <v>1</v>
      </c>
      <c r="P315" s="321">
        <v>58653100</v>
      </c>
      <c r="Q315" s="320">
        <v>37.299999999999997</v>
      </c>
      <c r="R315" s="320">
        <v>30.6</v>
      </c>
    </row>
    <row r="316" spans="2:18">
      <c r="B316" s="319">
        <v>3672</v>
      </c>
      <c r="C316" s="319" t="s">
        <v>753</v>
      </c>
      <c r="D316" s="320">
        <v>44.9</v>
      </c>
      <c r="E316" s="320">
        <v>-0.55000000000000004</v>
      </c>
      <c r="F316" s="320">
        <v>45.3</v>
      </c>
      <c r="G316" s="320">
        <v>45.95</v>
      </c>
      <c r="H316" s="320">
        <v>44.5</v>
      </c>
      <c r="I316" s="321">
        <v>737000</v>
      </c>
      <c r="J316" s="321">
        <v>33194550</v>
      </c>
      <c r="K316" s="320">
        <v>457</v>
      </c>
      <c r="L316" s="320">
        <v>44.9</v>
      </c>
      <c r="M316" s="320">
        <v>10</v>
      </c>
      <c r="N316" s="320">
        <v>45.05</v>
      </c>
      <c r="O316" s="320">
        <v>5</v>
      </c>
      <c r="P316" s="321">
        <v>32268375</v>
      </c>
      <c r="Q316" s="320">
        <v>49.35</v>
      </c>
      <c r="R316" s="320">
        <v>40.450000000000003</v>
      </c>
    </row>
    <row r="317" spans="2:18">
      <c r="B317" s="319">
        <v>3675</v>
      </c>
      <c r="C317" s="319" t="s">
        <v>754</v>
      </c>
      <c r="D317" s="320">
        <v>271</v>
      </c>
      <c r="E317" s="320">
        <v>1</v>
      </c>
      <c r="F317" s="320">
        <v>273</v>
      </c>
      <c r="G317" s="320">
        <v>275</v>
      </c>
      <c r="H317" s="320">
        <v>267.5</v>
      </c>
      <c r="I317" s="321">
        <v>1048000</v>
      </c>
      <c r="J317" s="321">
        <v>284172500</v>
      </c>
      <c r="K317" s="320">
        <v>919</v>
      </c>
      <c r="L317" s="320">
        <v>271</v>
      </c>
      <c r="M317" s="320">
        <v>1</v>
      </c>
      <c r="N317" s="320">
        <v>271.5</v>
      </c>
      <c r="O317" s="320">
        <v>14</v>
      </c>
      <c r="P317" s="321">
        <v>44428250</v>
      </c>
      <c r="Q317" s="320">
        <v>298</v>
      </c>
      <c r="R317" s="320">
        <v>244</v>
      </c>
    </row>
    <row r="318" spans="2:18">
      <c r="B318" s="319">
        <v>3680</v>
      </c>
      <c r="C318" s="319" t="s">
        <v>755</v>
      </c>
      <c r="D318" s="320">
        <v>315.5</v>
      </c>
      <c r="E318" s="320">
        <v>-1.5</v>
      </c>
      <c r="F318" s="320">
        <v>319</v>
      </c>
      <c r="G318" s="320">
        <v>322.5</v>
      </c>
      <c r="H318" s="320">
        <v>315</v>
      </c>
      <c r="I318" s="321">
        <v>842000</v>
      </c>
      <c r="J318" s="321">
        <v>267705500</v>
      </c>
      <c r="K318" s="320">
        <v>605</v>
      </c>
      <c r="L318" s="320">
        <v>315</v>
      </c>
      <c r="M318" s="320">
        <v>42</v>
      </c>
      <c r="N318" s="320">
        <v>316</v>
      </c>
      <c r="O318" s="320">
        <v>4</v>
      </c>
      <c r="P318" s="321">
        <v>84097270</v>
      </c>
      <c r="Q318" s="320">
        <v>347</v>
      </c>
      <c r="R318" s="320">
        <v>284</v>
      </c>
    </row>
    <row r="319" spans="2:18">
      <c r="B319" s="319">
        <v>3684</v>
      </c>
      <c r="C319" s="319" t="s">
        <v>756</v>
      </c>
      <c r="D319" s="320">
        <v>52</v>
      </c>
      <c r="E319" s="320">
        <v>0</v>
      </c>
      <c r="F319" s="320">
        <v>52</v>
      </c>
      <c r="G319" s="320">
        <v>52</v>
      </c>
      <c r="H319" s="320">
        <v>51.2</v>
      </c>
      <c r="I319" s="321">
        <v>35000</v>
      </c>
      <c r="J319" s="321">
        <v>1809500</v>
      </c>
      <c r="K319" s="320">
        <v>33</v>
      </c>
      <c r="L319" s="320">
        <v>51.7</v>
      </c>
      <c r="M319" s="320">
        <v>2</v>
      </c>
      <c r="N319" s="320">
        <v>52.3</v>
      </c>
      <c r="O319" s="320">
        <v>5</v>
      </c>
      <c r="P319" s="321">
        <v>24591536</v>
      </c>
      <c r="Q319" s="320">
        <v>57.2</v>
      </c>
      <c r="R319" s="320">
        <v>46.8</v>
      </c>
    </row>
    <row r="320" spans="2:18">
      <c r="B320" s="319">
        <v>3685</v>
      </c>
      <c r="C320" s="319" t="s">
        <v>757</v>
      </c>
      <c r="D320" s="320">
        <v>36.85</v>
      </c>
      <c r="E320" s="320">
        <v>0.15</v>
      </c>
      <c r="F320" s="320">
        <v>36.6</v>
      </c>
      <c r="G320" s="320">
        <v>37.4</v>
      </c>
      <c r="H320" s="320">
        <v>36.6</v>
      </c>
      <c r="I320" s="321">
        <v>91000</v>
      </c>
      <c r="J320" s="321">
        <v>3360250</v>
      </c>
      <c r="K320" s="320">
        <v>67</v>
      </c>
      <c r="L320" s="320">
        <v>36.85</v>
      </c>
      <c r="M320" s="320">
        <v>8</v>
      </c>
      <c r="N320" s="320">
        <v>37</v>
      </c>
      <c r="O320" s="320">
        <v>1</v>
      </c>
      <c r="P320" s="321">
        <v>79990000</v>
      </c>
      <c r="Q320" s="320">
        <v>40.5</v>
      </c>
      <c r="R320" s="320">
        <v>33.200000000000003</v>
      </c>
    </row>
    <row r="321" spans="2:18">
      <c r="B321" s="319">
        <v>3687</v>
      </c>
      <c r="C321" s="319" t="s">
        <v>758</v>
      </c>
      <c r="D321" s="320">
        <v>190</v>
      </c>
      <c r="E321" s="320">
        <v>-6.5</v>
      </c>
      <c r="F321" s="320">
        <v>199</v>
      </c>
      <c r="G321" s="320">
        <v>199</v>
      </c>
      <c r="H321" s="320">
        <v>187</v>
      </c>
      <c r="I321" s="321">
        <v>868000</v>
      </c>
      <c r="J321" s="321">
        <v>166302500</v>
      </c>
      <c r="K321" s="320">
        <v>502</v>
      </c>
      <c r="L321" s="320">
        <v>190</v>
      </c>
      <c r="M321" s="320">
        <v>9</v>
      </c>
      <c r="N321" s="320">
        <v>190.5</v>
      </c>
      <c r="O321" s="320">
        <v>3</v>
      </c>
      <c r="P321" s="321">
        <v>30059572</v>
      </c>
      <c r="Q321" s="320">
        <v>209</v>
      </c>
      <c r="R321" s="320">
        <v>171</v>
      </c>
    </row>
    <row r="322" spans="2:18">
      <c r="B322" s="319">
        <v>3689</v>
      </c>
      <c r="C322" s="319" t="s">
        <v>759</v>
      </c>
      <c r="D322" s="320">
        <v>48.5</v>
      </c>
      <c r="E322" s="320">
        <v>-2</v>
      </c>
      <c r="F322" s="320">
        <v>50.2</v>
      </c>
      <c r="G322" s="320">
        <v>50.6</v>
      </c>
      <c r="H322" s="320">
        <v>48.5</v>
      </c>
      <c r="I322" s="321">
        <v>6233000</v>
      </c>
      <c r="J322" s="321">
        <v>305875250</v>
      </c>
      <c r="K322" s="321">
        <v>3648</v>
      </c>
      <c r="L322" s="320">
        <v>48.5</v>
      </c>
      <c r="M322" s="320">
        <v>121</v>
      </c>
      <c r="N322" s="320">
        <v>48.55</v>
      </c>
      <c r="O322" s="320">
        <v>5</v>
      </c>
      <c r="P322" s="321">
        <v>74766724</v>
      </c>
      <c r="Q322" s="320">
        <v>53.3</v>
      </c>
      <c r="R322" s="320">
        <v>43.65</v>
      </c>
    </row>
    <row r="323" spans="2:18">
      <c r="B323" s="319">
        <v>3691</v>
      </c>
      <c r="C323" s="319" t="s">
        <v>760</v>
      </c>
      <c r="D323" s="320">
        <v>202</v>
      </c>
      <c r="E323" s="320">
        <v>-5</v>
      </c>
      <c r="F323" s="320">
        <v>207</v>
      </c>
      <c r="G323" s="320">
        <v>208</v>
      </c>
      <c r="H323" s="320">
        <v>202</v>
      </c>
      <c r="I323" s="321">
        <v>823000</v>
      </c>
      <c r="J323" s="321">
        <v>168261500</v>
      </c>
      <c r="K323" s="320">
        <v>666</v>
      </c>
      <c r="L323" s="320">
        <v>201.5</v>
      </c>
      <c r="M323" s="320">
        <v>20</v>
      </c>
      <c r="N323" s="320">
        <v>202</v>
      </c>
      <c r="O323" s="320">
        <v>13</v>
      </c>
      <c r="P323" s="321">
        <v>75883420</v>
      </c>
      <c r="Q323" s="320">
        <v>222</v>
      </c>
      <c r="R323" s="320">
        <v>182</v>
      </c>
    </row>
    <row r="324" spans="2:18">
      <c r="B324" s="319">
        <v>3693</v>
      </c>
      <c r="C324" s="319" t="s">
        <v>761</v>
      </c>
      <c r="D324" s="320">
        <v>55.3</v>
      </c>
      <c r="E324" s="320">
        <v>-1.3</v>
      </c>
      <c r="F324" s="320">
        <v>56.4</v>
      </c>
      <c r="G324" s="320">
        <v>58</v>
      </c>
      <c r="H324" s="320">
        <v>54.8</v>
      </c>
      <c r="I324" s="321">
        <v>466000</v>
      </c>
      <c r="J324" s="321">
        <v>26147000</v>
      </c>
      <c r="K324" s="320">
        <v>365</v>
      </c>
      <c r="L324" s="320">
        <v>55.3</v>
      </c>
      <c r="M324" s="320">
        <v>1</v>
      </c>
      <c r="N324" s="320">
        <v>55.5</v>
      </c>
      <c r="O324" s="320">
        <v>2</v>
      </c>
      <c r="P324" s="321">
        <v>38490694</v>
      </c>
      <c r="Q324" s="320">
        <v>60.8</v>
      </c>
      <c r="R324" s="320">
        <v>49.8</v>
      </c>
    </row>
    <row r="325" spans="2:18">
      <c r="B325" s="319">
        <v>3707</v>
      </c>
      <c r="C325" s="319" t="s">
        <v>762</v>
      </c>
      <c r="D325" s="320">
        <v>145.5</v>
      </c>
      <c r="E325" s="320">
        <v>1</v>
      </c>
      <c r="F325" s="320">
        <v>146.5</v>
      </c>
      <c r="G325" s="320">
        <v>149.5</v>
      </c>
      <c r="H325" s="320">
        <v>144</v>
      </c>
      <c r="I325" s="321">
        <v>23419000</v>
      </c>
      <c r="J325" s="321">
        <v>3428561500</v>
      </c>
      <c r="K325" s="321">
        <v>14603</v>
      </c>
      <c r="L325" s="320">
        <v>145.5</v>
      </c>
      <c r="M325" s="320">
        <v>55</v>
      </c>
      <c r="N325" s="320">
        <v>146</v>
      </c>
      <c r="O325" s="320">
        <v>248</v>
      </c>
      <c r="P325" s="321">
        <v>327294186</v>
      </c>
      <c r="Q325" s="320">
        <v>160</v>
      </c>
      <c r="R325" s="320">
        <v>131</v>
      </c>
    </row>
    <row r="326" spans="2:18">
      <c r="B326" s="319">
        <v>3709</v>
      </c>
      <c r="C326" s="319" t="s">
        <v>763</v>
      </c>
      <c r="D326" s="320">
        <v>37.5</v>
      </c>
      <c r="E326" s="320">
        <v>-0.35</v>
      </c>
      <c r="F326" s="320">
        <v>38</v>
      </c>
      <c r="G326" s="320">
        <v>38</v>
      </c>
      <c r="H326" s="320">
        <v>37.5</v>
      </c>
      <c r="I326" s="321">
        <v>171000</v>
      </c>
      <c r="J326" s="321">
        <v>6470850</v>
      </c>
      <c r="K326" s="320">
        <v>97</v>
      </c>
      <c r="L326" s="320">
        <v>37.5</v>
      </c>
      <c r="M326" s="320">
        <v>8</v>
      </c>
      <c r="N326" s="320">
        <v>37.75</v>
      </c>
      <c r="O326" s="320">
        <v>6</v>
      </c>
      <c r="P326" s="321">
        <v>100569450</v>
      </c>
      <c r="Q326" s="320">
        <v>41.25</v>
      </c>
      <c r="R326" s="320">
        <v>33.75</v>
      </c>
    </row>
    <row r="327" spans="2:18">
      <c r="B327" s="319">
        <v>3710</v>
      </c>
      <c r="C327" s="319" t="s">
        <v>764</v>
      </c>
      <c r="D327" s="320">
        <v>9.91</v>
      </c>
      <c r="E327" s="320">
        <v>0.1</v>
      </c>
      <c r="F327" s="320">
        <v>9.9</v>
      </c>
      <c r="G327" s="320">
        <v>9.99</v>
      </c>
      <c r="H327" s="320">
        <v>9.8800000000000008</v>
      </c>
      <c r="I327" s="321">
        <v>905000</v>
      </c>
      <c r="J327" s="321">
        <v>8991520</v>
      </c>
      <c r="K327" s="320">
        <v>330</v>
      </c>
      <c r="L327" s="320">
        <v>9.91</v>
      </c>
      <c r="M327" s="320">
        <v>2</v>
      </c>
      <c r="N327" s="320">
        <v>9.92</v>
      </c>
      <c r="O327" s="320">
        <v>5</v>
      </c>
      <c r="P327" s="321">
        <v>212035972</v>
      </c>
      <c r="Q327" s="320">
        <v>10.9</v>
      </c>
      <c r="R327" s="320">
        <v>8.92</v>
      </c>
    </row>
    <row r="328" spans="2:18">
      <c r="B328" s="319">
        <v>3713</v>
      </c>
      <c r="C328" s="319" t="s">
        <v>765</v>
      </c>
      <c r="D328" s="320">
        <v>36.25</v>
      </c>
      <c r="E328" s="320">
        <v>-0.25</v>
      </c>
      <c r="F328" s="320">
        <v>36.5</v>
      </c>
      <c r="G328" s="320">
        <v>36.5</v>
      </c>
      <c r="H328" s="320">
        <v>35.65</v>
      </c>
      <c r="I328" s="321">
        <v>63000</v>
      </c>
      <c r="J328" s="321">
        <v>2277200</v>
      </c>
      <c r="K328" s="320">
        <v>50</v>
      </c>
      <c r="L328" s="320">
        <v>35.950000000000003</v>
      </c>
      <c r="M328" s="320">
        <v>1</v>
      </c>
      <c r="N328" s="320">
        <v>36.25</v>
      </c>
      <c r="O328" s="320">
        <v>2</v>
      </c>
      <c r="P328" s="321">
        <v>78090000</v>
      </c>
      <c r="Q328" s="320">
        <v>39.85</v>
      </c>
      <c r="R328" s="320">
        <v>32.65</v>
      </c>
    </row>
    <row r="329" spans="2:18">
      <c r="B329" s="319">
        <v>4102</v>
      </c>
      <c r="C329" s="319" t="s">
        <v>766</v>
      </c>
      <c r="D329" s="320">
        <v>19.8</v>
      </c>
      <c r="E329" s="320">
        <v>0.05</v>
      </c>
      <c r="F329" s="320">
        <v>19.75</v>
      </c>
      <c r="G329" s="320">
        <v>19.850000000000001</v>
      </c>
      <c r="H329" s="320">
        <v>19.55</v>
      </c>
      <c r="I329" s="321">
        <v>27000</v>
      </c>
      <c r="J329" s="321">
        <v>531700</v>
      </c>
      <c r="K329" s="320">
        <v>22</v>
      </c>
      <c r="L329" s="320">
        <v>19.600000000000001</v>
      </c>
      <c r="M329" s="320">
        <v>2</v>
      </c>
      <c r="N329" s="320">
        <v>19.8</v>
      </c>
      <c r="O329" s="320">
        <v>9</v>
      </c>
      <c r="P329" s="321">
        <v>42373443</v>
      </c>
      <c r="Q329" s="320">
        <v>21.75</v>
      </c>
      <c r="R329" s="320">
        <v>17.850000000000001</v>
      </c>
    </row>
    <row r="330" spans="2:18">
      <c r="B330" s="319">
        <v>4105</v>
      </c>
      <c r="C330" s="319" t="s">
        <v>767</v>
      </c>
      <c r="D330" s="320">
        <v>68.3</v>
      </c>
      <c r="E330" s="320">
        <v>0.1</v>
      </c>
      <c r="F330" s="320">
        <v>68.3</v>
      </c>
      <c r="G330" s="320">
        <v>68.5</v>
      </c>
      <c r="H330" s="320">
        <v>68.2</v>
      </c>
      <c r="I330" s="321">
        <v>363000</v>
      </c>
      <c r="J330" s="321">
        <v>24790200</v>
      </c>
      <c r="K330" s="320">
        <v>283</v>
      </c>
      <c r="L330" s="320">
        <v>68.3</v>
      </c>
      <c r="M330" s="320">
        <v>2</v>
      </c>
      <c r="N330" s="320">
        <v>68.400000000000006</v>
      </c>
      <c r="O330" s="320">
        <v>74</v>
      </c>
      <c r="P330" s="321">
        <v>248649959</v>
      </c>
      <c r="Q330" s="320">
        <v>75.099999999999994</v>
      </c>
      <c r="R330" s="320">
        <v>61.5</v>
      </c>
    </row>
    <row r="331" spans="2:18">
      <c r="B331" s="319">
        <v>4107</v>
      </c>
      <c r="C331" s="319" t="s">
        <v>768</v>
      </c>
      <c r="D331" s="320">
        <v>115</v>
      </c>
      <c r="E331" s="320">
        <v>2.5</v>
      </c>
      <c r="F331" s="320">
        <v>113</v>
      </c>
      <c r="G331" s="320">
        <v>115.5</v>
      </c>
      <c r="H331" s="320">
        <v>112</v>
      </c>
      <c r="I331" s="321">
        <v>190000</v>
      </c>
      <c r="J331" s="321">
        <v>21592500</v>
      </c>
      <c r="K331" s="320">
        <v>117</v>
      </c>
      <c r="L331" s="320">
        <v>115</v>
      </c>
      <c r="M331" s="320">
        <v>35</v>
      </c>
      <c r="N331" s="320">
        <v>115.5</v>
      </c>
      <c r="O331" s="320">
        <v>16</v>
      </c>
      <c r="P331" s="321">
        <v>69298336</v>
      </c>
      <c r="Q331" s="320">
        <v>126.5</v>
      </c>
      <c r="R331" s="320">
        <v>103.5</v>
      </c>
    </row>
    <row r="332" spans="2:18">
      <c r="B332" s="319">
        <v>4109</v>
      </c>
      <c r="C332" s="319" t="s">
        <v>769</v>
      </c>
      <c r="D332" s="320">
        <v>13.35</v>
      </c>
      <c r="E332" s="320">
        <v>-0.05</v>
      </c>
      <c r="F332" s="320">
        <v>13.45</v>
      </c>
      <c r="G332" s="320">
        <v>13.45</v>
      </c>
      <c r="H332" s="320">
        <v>13.3</v>
      </c>
      <c r="I332" s="321">
        <v>60000</v>
      </c>
      <c r="J332" s="321">
        <v>799700</v>
      </c>
      <c r="K332" s="320">
        <v>31</v>
      </c>
      <c r="L332" s="320">
        <v>13.3</v>
      </c>
      <c r="M332" s="320">
        <v>3</v>
      </c>
      <c r="N332" s="320">
        <v>13.35</v>
      </c>
      <c r="O332" s="320">
        <v>3</v>
      </c>
      <c r="P332" s="321">
        <v>88936681</v>
      </c>
      <c r="Q332" s="320">
        <v>14.65</v>
      </c>
      <c r="R332" s="320">
        <v>12.05</v>
      </c>
    </row>
    <row r="333" spans="2:18">
      <c r="B333" s="319">
        <v>4111</v>
      </c>
      <c r="C333" s="319" t="s">
        <v>770</v>
      </c>
      <c r="D333" s="320">
        <v>23.05</v>
      </c>
      <c r="E333" s="320">
        <v>0</v>
      </c>
      <c r="F333" s="320">
        <v>23.25</v>
      </c>
      <c r="G333" s="320">
        <v>23.25</v>
      </c>
      <c r="H333" s="320">
        <v>23</v>
      </c>
      <c r="I333" s="321">
        <v>26000</v>
      </c>
      <c r="J333" s="321">
        <v>599800</v>
      </c>
      <c r="K333" s="320">
        <v>22</v>
      </c>
      <c r="L333" s="320">
        <v>23.05</v>
      </c>
      <c r="M333" s="320">
        <v>1</v>
      </c>
      <c r="N333" s="320">
        <v>23.1</v>
      </c>
      <c r="O333" s="320">
        <v>6</v>
      </c>
      <c r="P333" s="321">
        <v>56982985</v>
      </c>
      <c r="Q333" s="320">
        <v>25.35</v>
      </c>
      <c r="R333" s="320">
        <v>20.75</v>
      </c>
    </row>
    <row r="334" spans="2:18">
      <c r="B334" s="319">
        <v>4113</v>
      </c>
      <c r="C334" s="319" t="s">
        <v>771</v>
      </c>
      <c r="D334" s="320">
        <v>14.6</v>
      </c>
      <c r="E334" s="320">
        <v>-0.05</v>
      </c>
      <c r="F334" s="320">
        <v>14.65</v>
      </c>
      <c r="G334" s="320">
        <v>14.65</v>
      </c>
      <c r="H334" s="320">
        <v>14.55</v>
      </c>
      <c r="I334" s="321">
        <v>217000</v>
      </c>
      <c r="J334" s="321">
        <v>3165600</v>
      </c>
      <c r="K334" s="320">
        <v>67</v>
      </c>
      <c r="L334" s="320">
        <v>14.55</v>
      </c>
      <c r="M334" s="320">
        <v>9</v>
      </c>
      <c r="N334" s="320">
        <v>14.6</v>
      </c>
      <c r="O334" s="320">
        <v>39</v>
      </c>
      <c r="P334" s="321">
        <v>211138137</v>
      </c>
      <c r="Q334" s="320">
        <v>16.05</v>
      </c>
      <c r="R334" s="320">
        <v>13.15</v>
      </c>
    </row>
    <row r="335" spans="2:18">
      <c r="B335" s="319">
        <v>4114</v>
      </c>
      <c r="C335" s="319" t="s">
        <v>772</v>
      </c>
      <c r="D335" s="320">
        <v>23.55</v>
      </c>
      <c r="E335" s="320">
        <v>-0.05</v>
      </c>
      <c r="F335" s="320">
        <v>23.65</v>
      </c>
      <c r="G335" s="320">
        <v>23.65</v>
      </c>
      <c r="H335" s="320">
        <v>23.5</v>
      </c>
      <c r="I335" s="321">
        <v>371000</v>
      </c>
      <c r="J335" s="321">
        <v>8739200</v>
      </c>
      <c r="K335" s="320">
        <v>177</v>
      </c>
      <c r="L335" s="320">
        <v>23.55</v>
      </c>
      <c r="M335" s="320">
        <v>2</v>
      </c>
      <c r="N335" s="320">
        <v>23.6</v>
      </c>
      <c r="O335" s="320">
        <v>18</v>
      </c>
      <c r="P335" s="321">
        <v>313134204</v>
      </c>
      <c r="Q335" s="320">
        <v>25.9</v>
      </c>
      <c r="R335" s="320">
        <v>21.2</v>
      </c>
    </row>
    <row r="336" spans="2:18">
      <c r="B336" s="319">
        <v>4116</v>
      </c>
      <c r="C336" s="319" t="s">
        <v>773</v>
      </c>
      <c r="D336" s="320">
        <v>30.55</v>
      </c>
      <c r="E336" s="320">
        <v>2.75</v>
      </c>
      <c r="F336" s="320">
        <v>28.65</v>
      </c>
      <c r="G336" s="320">
        <v>30.55</v>
      </c>
      <c r="H336" s="320">
        <v>28.6</v>
      </c>
      <c r="I336" s="321">
        <v>294000</v>
      </c>
      <c r="J336" s="321">
        <v>8941100</v>
      </c>
      <c r="K336" s="320">
        <v>120</v>
      </c>
      <c r="L336" s="320">
        <v>30.55</v>
      </c>
      <c r="M336" s="320">
        <v>850</v>
      </c>
      <c r="N336" s="320">
        <v>0</v>
      </c>
      <c r="O336" s="320">
        <v>0</v>
      </c>
      <c r="P336" s="321">
        <v>44566000</v>
      </c>
      <c r="Q336" s="320">
        <v>33.6</v>
      </c>
      <c r="R336" s="320">
        <v>27.5</v>
      </c>
    </row>
    <row r="337" spans="2:18">
      <c r="B337" s="319">
        <v>4120</v>
      </c>
      <c r="C337" s="319" t="s">
        <v>30</v>
      </c>
      <c r="D337" s="320">
        <v>36.5</v>
      </c>
      <c r="E337" s="320">
        <v>0.05</v>
      </c>
      <c r="F337" s="320">
        <v>36.950000000000003</v>
      </c>
      <c r="G337" s="320">
        <v>36.950000000000003</v>
      </c>
      <c r="H337" s="320">
        <v>36.1</v>
      </c>
      <c r="I337" s="321">
        <v>112000</v>
      </c>
      <c r="J337" s="321">
        <v>4074250</v>
      </c>
      <c r="K337" s="320">
        <v>80</v>
      </c>
      <c r="L337" s="320">
        <v>36.450000000000003</v>
      </c>
      <c r="M337" s="320">
        <v>1</v>
      </c>
      <c r="N337" s="320">
        <v>36.5</v>
      </c>
      <c r="O337" s="320">
        <v>6</v>
      </c>
      <c r="P337" s="321">
        <v>86747119</v>
      </c>
      <c r="Q337" s="320">
        <v>40.15</v>
      </c>
      <c r="R337" s="320">
        <v>32.85</v>
      </c>
    </row>
    <row r="338" spans="2:18">
      <c r="B338" s="319">
        <v>4121</v>
      </c>
      <c r="C338" s="319" t="s">
        <v>774</v>
      </c>
      <c r="D338" s="320">
        <v>20.65</v>
      </c>
      <c r="E338" s="320">
        <v>0</v>
      </c>
      <c r="F338" s="320">
        <v>20.7</v>
      </c>
      <c r="G338" s="320">
        <v>20.75</v>
      </c>
      <c r="H338" s="320">
        <v>20.6</v>
      </c>
      <c r="I338" s="321">
        <v>332000</v>
      </c>
      <c r="J338" s="321">
        <v>6858700</v>
      </c>
      <c r="K338" s="320">
        <v>108</v>
      </c>
      <c r="L338" s="320">
        <v>20.6</v>
      </c>
      <c r="M338" s="320">
        <v>122</v>
      </c>
      <c r="N338" s="320">
        <v>20.65</v>
      </c>
      <c r="O338" s="320">
        <v>11</v>
      </c>
      <c r="P338" s="321">
        <v>84322770</v>
      </c>
      <c r="Q338" s="320">
        <v>22.7</v>
      </c>
      <c r="R338" s="320">
        <v>18.600000000000001</v>
      </c>
    </row>
    <row r="339" spans="2:18">
      <c r="B339" s="319">
        <v>4123</v>
      </c>
      <c r="C339" s="319" t="s">
        <v>775</v>
      </c>
      <c r="D339" s="320">
        <v>61</v>
      </c>
      <c r="E339" s="320">
        <v>0.1</v>
      </c>
      <c r="F339" s="320">
        <v>61.2</v>
      </c>
      <c r="G339" s="320">
        <v>61.2</v>
      </c>
      <c r="H339" s="320">
        <v>60.7</v>
      </c>
      <c r="I339" s="321">
        <v>698000</v>
      </c>
      <c r="J339" s="321">
        <v>42507700</v>
      </c>
      <c r="K339" s="320">
        <v>397</v>
      </c>
      <c r="L339" s="320">
        <v>60.9</v>
      </c>
      <c r="M339" s="320">
        <v>1</v>
      </c>
      <c r="N339" s="320">
        <v>61</v>
      </c>
      <c r="O339" s="320">
        <v>4</v>
      </c>
      <c r="P339" s="321">
        <v>505048747</v>
      </c>
      <c r="Q339" s="320">
        <v>67.099999999999994</v>
      </c>
      <c r="R339" s="320">
        <v>54.9</v>
      </c>
    </row>
    <row r="340" spans="2:18">
      <c r="B340" s="319">
        <v>4126</v>
      </c>
      <c r="C340" s="319" t="s">
        <v>776</v>
      </c>
      <c r="D340" s="320">
        <v>75</v>
      </c>
      <c r="E340" s="320">
        <v>0.9</v>
      </c>
      <c r="F340" s="320">
        <v>74.3</v>
      </c>
      <c r="G340" s="320">
        <v>75</v>
      </c>
      <c r="H340" s="320">
        <v>74.099999999999994</v>
      </c>
      <c r="I340" s="321">
        <v>290000</v>
      </c>
      <c r="J340" s="321">
        <v>21700300</v>
      </c>
      <c r="K340" s="320">
        <v>153</v>
      </c>
      <c r="L340" s="320">
        <v>75</v>
      </c>
      <c r="M340" s="320">
        <v>53</v>
      </c>
      <c r="N340" s="320">
        <v>75.099999999999994</v>
      </c>
      <c r="O340" s="320">
        <v>5</v>
      </c>
      <c r="P340" s="321">
        <v>72600000</v>
      </c>
      <c r="Q340" s="320">
        <v>82.5</v>
      </c>
      <c r="R340" s="320">
        <v>67.5</v>
      </c>
    </row>
    <row r="341" spans="2:18">
      <c r="B341" s="319">
        <v>4127</v>
      </c>
      <c r="C341" s="319" t="s">
        <v>777</v>
      </c>
      <c r="D341" s="320">
        <v>14.9</v>
      </c>
      <c r="E341" s="320">
        <v>0.15</v>
      </c>
      <c r="F341" s="320">
        <v>14.75</v>
      </c>
      <c r="G341" s="320">
        <v>15</v>
      </c>
      <c r="H341" s="320">
        <v>14.7</v>
      </c>
      <c r="I341" s="321">
        <v>254000</v>
      </c>
      <c r="J341" s="321">
        <v>3770400</v>
      </c>
      <c r="K341" s="320">
        <v>152</v>
      </c>
      <c r="L341" s="320">
        <v>14.9</v>
      </c>
      <c r="M341" s="320">
        <v>3</v>
      </c>
      <c r="N341" s="320">
        <v>14.95</v>
      </c>
      <c r="O341" s="320">
        <v>15</v>
      </c>
      <c r="P341" s="321">
        <v>45760000</v>
      </c>
      <c r="Q341" s="320">
        <v>16.350000000000001</v>
      </c>
      <c r="R341" s="320">
        <v>13.45</v>
      </c>
    </row>
    <row r="342" spans="2:18">
      <c r="B342" s="319">
        <v>4128</v>
      </c>
      <c r="C342" s="319" t="s">
        <v>778</v>
      </c>
      <c r="D342" s="320">
        <v>69</v>
      </c>
      <c r="E342" s="320">
        <v>1.3</v>
      </c>
      <c r="F342" s="320">
        <v>68.2</v>
      </c>
      <c r="G342" s="320">
        <v>69.7</v>
      </c>
      <c r="H342" s="320">
        <v>68</v>
      </c>
      <c r="I342" s="321">
        <v>2430000</v>
      </c>
      <c r="J342" s="321">
        <v>167493300</v>
      </c>
      <c r="K342" s="321">
        <v>1554</v>
      </c>
      <c r="L342" s="320">
        <v>69</v>
      </c>
      <c r="M342" s="320">
        <v>23</v>
      </c>
      <c r="N342" s="320">
        <v>69.2</v>
      </c>
      <c r="O342" s="320">
        <v>24</v>
      </c>
      <c r="P342" s="321">
        <v>466329515</v>
      </c>
      <c r="Q342" s="320">
        <v>75.900000000000006</v>
      </c>
      <c r="R342" s="320">
        <v>62.1</v>
      </c>
    </row>
    <row r="343" spans="2:18">
      <c r="B343" s="319">
        <v>4129</v>
      </c>
      <c r="C343" s="319" t="s">
        <v>779</v>
      </c>
      <c r="D343" s="320">
        <v>31.2</v>
      </c>
      <c r="E343" s="320">
        <v>0.35</v>
      </c>
      <c r="F343" s="320">
        <v>30.95</v>
      </c>
      <c r="G343" s="320">
        <v>31.25</v>
      </c>
      <c r="H343" s="320">
        <v>30.85</v>
      </c>
      <c r="I343" s="321">
        <v>195000</v>
      </c>
      <c r="J343" s="321">
        <v>6068650</v>
      </c>
      <c r="K343" s="320">
        <v>114</v>
      </c>
      <c r="L343" s="320">
        <v>31.2</v>
      </c>
      <c r="M343" s="320">
        <v>6</v>
      </c>
      <c r="N343" s="320">
        <v>31.25</v>
      </c>
      <c r="O343" s="320">
        <v>1</v>
      </c>
      <c r="P343" s="321">
        <v>78111600</v>
      </c>
      <c r="Q343" s="320">
        <v>34.299999999999997</v>
      </c>
      <c r="R343" s="320">
        <v>28.1</v>
      </c>
    </row>
    <row r="344" spans="2:18">
      <c r="B344" s="319" t="s">
        <v>780</v>
      </c>
      <c r="C344" s="319" t="s">
        <v>781</v>
      </c>
      <c r="D344" s="320">
        <v>46.15</v>
      </c>
      <c r="E344" s="320">
        <v>0</v>
      </c>
      <c r="F344" s="320">
        <v>46.15</v>
      </c>
      <c r="G344" s="320">
        <v>46.15</v>
      </c>
      <c r="H344" s="320">
        <v>46.15</v>
      </c>
      <c r="I344" s="321">
        <v>4000</v>
      </c>
      <c r="J344" s="321">
        <v>184600</v>
      </c>
      <c r="K344" s="320">
        <v>3</v>
      </c>
      <c r="L344" s="320">
        <v>45.95</v>
      </c>
      <c r="M344" s="320">
        <v>5</v>
      </c>
      <c r="N344" s="320">
        <v>46.2</v>
      </c>
      <c r="O344" s="320">
        <v>2</v>
      </c>
      <c r="P344" s="321">
        <v>10000000</v>
      </c>
      <c r="Q344" s="320">
        <v>50.7</v>
      </c>
      <c r="R344" s="320">
        <v>41.55</v>
      </c>
    </row>
    <row r="345" spans="2:18">
      <c r="B345" s="319">
        <v>4130</v>
      </c>
      <c r="C345" s="319" t="s">
        <v>782</v>
      </c>
      <c r="D345" s="320">
        <v>25</v>
      </c>
      <c r="E345" s="320">
        <v>0.25</v>
      </c>
      <c r="F345" s="320">
        <v>24.85</v>
      </c>
      <c r="G345" s="320">
        <v>25.1</v>
      </c>
      <c r="H345" s="320">
        <v>24.75</v>
      </c>
      <c r="I345" s="321">
        <v>310000</v>
      </c>
      <c r="J345" s="321">
        <v>7734550</v>
      </c>
      <c r="K345" s="320">
        <v>181</v>
      </c>
      <c r="L345" s="320">
        <v>25</v>
      </c>
      <c r="M345" s="320">
        <v>36</v>
      </c>
      <c r="N345" s="320">
        <v>25.05</v>
      </c>
      <c r="O345" s="320">
        <v>14</v>
      </c>
      <c r="P345" s="321">
        <v>110003851</v>
      </c>
      <c r="Q345" s="320">
        <v>27.5</v>
      </c>
      <c r="R345" s="320">
        <v>22.5</v>
      </c>
    </row>
    <row r="346" spans="2:18">
      <c r="B346" s="319">
        <v>4131</v>
      </c>
      <c r="C346" s="319" t="s">
        <v>783</v>
      </c>
      <c r="D346" s="320">
        <v>6.5</v>
      </c>
      <c r="E346" s="320">
        <v>0.09</v>
      </c>
      <c r="F346" s="320">
        <v>6.73</v>
      </c>
      <c r="G346" s="320">
        <v>6.73</v>
      </c>
      <c r="H346" s="320">
        <v>6.41</v>
      </c>
      <c r="I346" s="321">
        <v>42000</v>
      </c>
      <c r="J346" s="321">
        <v>271150</v>
      </c>
      <c r="K346" s="320">
        <v>21</v>
      </c>
      <c r="L346" s="320">
        <v>6.5</v>
      </c>
      <c r="M346" s="320">
        <v>9</v>
      </c>
      <c r="N346" s="320">
        <v>6.67</v>
      </c>
      <c r="O346" s="320">
        <v>6</v>
      </c>
      <c r="P346" s="321">
        <v>48291934</v>
      </c>
      <c r="Q346" s="320">
        <v>7.15</v>
      </c>
      <c r="R346" s="320">
        <v>5.85</v>
      </c>
    </row>
    <row r="347" spans="2:18">
      <c r="B347" s="319">
        <v>4138</v>
      </c>
      <c r="C347" s="319" t="s">
        <v>784</v>
      </c>
      <c r="D347" s="320">
        <v>53.6</v>
      </c>
      <c r="E347" s="320">
        <v>0.1</v>
      </c>
      <c r="F347" s="320">
        <v>53.6</v>
      </c>
      <c r="G347" s="320">
        <v>53.6</v>
      </c>
      <c r="H347" s="320">
        <v>53.5</v>
      </c>
      <c r="I347" s="321">
        <v>23000</v>
      </c>
      <c r="J347" s="321">
        <v>1232000</v>
      </c>
      <c r="K347" s="320">
        <v>19</v>
      </c>
      <c r="L347" s="320">
        <v>53.6</v>
      </c>
      <c r="M347" s="320">
        <v>4</v>
      </c>
      <c r="N347" s="320">
        <v>53.8</v>
      </c>
      <c r="O347" s="320">
        <v>1</v>
      </c>
      <c r="P347" s="321">
        <v>30000000</v>
      </c>
      <c r="Q347" s="320">
        <v>58.9</v>
      </c>
      <c r="R347" s="320">
        <v>48.25</v>
      </c>
    </row>
    <row r="348" spans="2:18">
      <c r="B348" s="319">
        <v>4139</v>
      </c>
      <c r="C348" s="319" t="s">
        <v>785</v>
      </c>
      <c r="D348" s="320">
        <v>43.9</v>
      </c>
      <c r="E348" s="320">
        <v>-0.05</v>
      </c>
      <c r="F348" s="320">
        <v>43.5</v>
      </c>
      <c r="G348" s="320">
        <v>43.9</v>
      </c>
      <c r="H348" s="320">
        <v>43.45</v>
      </c>
      <c r="I348" s="321">
        <v>5000</v>
      </c>
      <c r="J348" s="321">
        <v>218650</v>
      </c>
      <c r="K348" s="320">
        <v>5</v>
      </c>
      <c r="L348" s="320">
        <v>43.3</v>
      </c>
      <c r="M348" s="320">
        <v>2</v>
      </c>
      <c r="N348" s="320">
        <v>43.9</v>
      </c>
      <c r="O348" s="320">
        <v>1</v>
      </c>
      <c r="P348" s="321">
        <v>42549911</v>
      </c>
      <c r="Q348" s="320">
        <v>48.25</v>
      </c>
      <c r="R348" s="320">
        <v>39.549999999999997</v>
      </c>
    </row>
    <row r="349" spans="2:18">
      <c r="B349" s="319">
        <v>4147</v>
      </c>
      <c r="C349" s="319" t="s">
        <v>786</v>
      </c>
      <c r="D349" s="320">
        <v>70.2</v>
      </c>
      <c r="E349" s="320">
        <v>0.1</v>
      </c>
      <c r="F349" s="320">
        <v>70.8</v>
      </c>
      <c r="G349" s="320">
        <v>70.8</v>
      </c>
      <c r="H349" s="320">
        <v>69.7</v>
      </c>
      <c r="I349" s="321">
        <v>404000</v>
      </c>
      <c r="J349" s="321">
        <v>28330900</v>
      </c>
      <c r="K349" s="320">
        <v>266</v>
      </c>
      <c r="L349" s="320">
        <v>70.099999999999994</v>
      </c>
      <c r="M349" s="320">
        <v>6</v>
      </c>
      <c r="N349" s="320">
        <v>70.2</v>
      </c>
      <c r="O349" s="320">
        <v>4</v>
      </c>
      <c r="P349" s="321">
        <v>252312000</v>
      </c>
      <c r="Q349" s="320">
        <v>77.2</v>
      </c>
      <c r="R349" s="320">
        <v>63.2</v>
      </c>
    </row>
    <row r="350" spans="2:18">
      <c r="B350" s="319">
        <v>4153</v>
      </c>
      <c r="C350" s="319" t="s">
        <v>787</v>
      </c>
      <c r="D350" s="320">
        <v>27.5</v>
      </c>
      <c r="E350" s="320">
        <v>0.15</v>
      </c>
      <c r="F350" s="320">
        <v>27.3</v>
      </c>
      <c r="G350" s="320">
        <v>28.6</v>
      </c>
      <c r="H350" s="320">
        <v>27.3</v>
      </c>
      <c r="I350" s="321">
        <v>169000</v>
      </c>
      <c r="J350" s="321">
        <v>4705800</v>
      </c>
      <c r="K350" s="320">
        <v>120</v>
      </c>
      <c r="L350" s="320">
        <v>27.5</v>
      </c>
      <c r="M350" s="320">
        <v>2</v>
      </c>
      <c r="N350" s="320">
        <v>27.55</v>
      </c>
      <c r="O350" s="320">
        <v>1</v>
      </c>
      <c r="P350" s="321">
        <v>61759089</v>
      </c>
      <c r="Q350" s="320">
        <v>30.25</v>
      </c>
      <c r="R350" s="320">
        <v>24.75</v>
      </c>
    </row>
    <row r="351" spans="2:18">
      <c r="B351" s="319">
        <v>4154</v>
      </c>
      <c r="C351" s="319" t="s">
        <v>3061</v>
      </c>
      <c r="D351" s="320">
        <v>52.8</v>
      </c>
      <c r="E351" s="320">
        <v>-0.2</v>
      </c>
      <c r="F351" s="320">
        <v>53</v>
      </c>
      <c r="G351" s="320">
        <v>53.3</v>
      </c>
      <c r="H351" s="320">
        <v>51.5</v>
      </c>
      <c r="I351" s="321">
        <v>6000</v>
      </c>
      <c r="J351" s="321">
        <v>316600</v>
      </c>
      <c r="K351" s="320">
        <v>6</v>
      </c>
      <c r="L351" s="320">
        <v>51.8</v>
      </c>
      <c r="M351" s="320">
        <v>6</v>
      </c>
      <c r="N351" s="320">
        <v>53</v>
      </c>
      <c r="O351" s="320">
        <v>5</v>
      </c>
      <c r="P351" s="321">
        <v>35720000</v>
      </c>
      <c r="Q351" s="320">
        <v>58</v>
      </c>
      <c r="R351" s="320">
        <v>47.55</v>
      </c>
    </row>
    <row r="352" spans="2:18">
      <c r="B352" s="319">
        <v>4157</v>
      </c>
      <c r="C352" s="319" t="s">
        <v>788</v>
      </c>
      <c r="D352" s="320">
        <v>15.15</v>
      </c>
      <c r="E352" s="320">
        <v>-0.25</v>
      </c>
      <c r="F352" s="320">
        <v>15.4</v>
      </c>
      <c r="G352" s="320">
        <v>15.4</v>
      </c>
      <c r="H352" s="320">
        <v>15.1</v>
      </c>
      <c r="I352" s="321">
        <v>761000</v>
      </c>
      <c r="J352" s="321">
        <v>11591550</v>
      </c>
      <c r="K352" s="320">
        <v>382</v>
      </c>
      <c r="L352" s="320">
        <v>15.15</v>
      </c>
      <c r="M352" s="320">
        <v>14</v>
      </c>
      <c r="N352" s="320">
        <v>15.2</v>
      </c>
      <c r="O352" s="320">
        <v>9</v>
      </c>
      <c r="P352" s="321">
        <v>716844175</v>
      </c>
      <c r="Q352" s="320">
        <v>16.649999999999999</v>
      </c>
      <c r="R352" s="320">
        <v>13.65</v>
      </c>
    </row>
    <row r="353" spans="2:18">
      <c r="B353" s="319">
        <v>4160</v>
      </c>
      <c r="C353" s="319" t="s">
        <v>789</v>
      </c>
      <c r="D353" s="320">
        <v>24.9</v>
      </c>
      <c r="E353" s="320">
        <v>0.2</v>
      </c>
      <c r="F353" s="320">
        <v>24.75</v>
      </c>
      <c r="G353" s="320">
        <v>24.95</v>
      </c>
      <c r="H353" s="320">
        <v>24.75</v>
      </c>
      <c r="I353" s="321">
        <v>8000</v>
      </c>
      <c r="J353" s="321">
        <v>198800</v>
      </c>
      <c r="K353" s="320">
        <v>8</v>
      </c>
      <c r="L353" s="320">
        <v>24.75</v>
      </c>
      <c r="M353" s="320">
        <v>1</v>
      </c>
      <c r="N353" s="320">
        <v>24.8</v>
      </c>
      <c r="O353" s="320">
        <v>1</v>
      </c>
      <c r="P353" s="321">
        <v>24247016</v>
      </c>
      <c r="Q353" s="320">
        <v>27.35</v>
      </c>
      <c r="R353" s="320">
        <v>22.45</v>
      </c>
    </row>
    <row r="354" spans="2:18">
      <c r="B354" s="319">
        <v>4161</v>
      </c>
      <c r="C354" s="319" t="s">
        <v>790</v>
      </c>
      <c r="D354" s="320">
        <v>28</v>
      </c>
      <c r="E354" s="320">
        <v>0.3</v>
      </c>
      <c r="F354" s="320">
        <v>28.1</v>
      </c>
      <c r="G354" s="320">
        <v>28.4</v>
      </c>
      <c r="H354" s="320">
        <v>27.8</v>
      </c>
      <c r="I354" s="321">
        <v>77000</v>
      </c>
      <c r="J354" s="321">
        <v>2161250</v>
      </c>
      <c r="K354" s="320">
        <v>48</v>
      </c>
      <c r="L354" s="320">
        <v>27.95</v>
      </c>
      <c r="M354" s="320">
        <v>1</v>
      </c>
      <c r="N354" s="320">
        <v>28</v>
      </c>
      <c r="O354" s="320">
        <v>1</v>
      </c>
      <c r="P354" s="321">
        <v>52659736</v>
      </c>
      <c r="Q354" s="320">
        <v>30.8</v>
      </c>
      <c r="R354" s="320">
        <v>25.2</v>
      </c>
    </row>
    <row r="355" spans="2:18">
      <c r="B355" s="319">
        <v>4162</v>
      </c>
      <c r="C355" s="319" t="s">
        <v>791</v>
      </c>
      <c r="D355" s="320">
        <v>65</v>
      </c>
      <c r="E355" s="320">
        <v>0.6</v>
      </c>
      <c r="F355" s="320">
        <v>65</v>
      </c>
      <c r="G355" s="320">
        <v>65</v>
      </c>
      <c r="H355" s="320">
        <v>64</v>
      </c>
      <c r="I355" s="321">
        <v>469000</v>
      </c>
      <c r="J355" s="321">
        <v>30274200</v>
      </c>
      <c r="K355" s="320">
        <v>299</v>
      </c>
      <c r="L355" s="320">
        <v>64.900000000000006</v>
      </c>
      <c r="M355" s="320">
        <v>4</v>
      </c>
      <c r="N355" s="320">
        <v>65</v>
      </c>
      <c r="O355" s="320">
        <v>9</v>
      </c>
      <c r="P355" s="321">
        <v>146596840</v>
      </c>
      <c r="Q355" s="320">
        <v>71.5</v>
      </c>
      <c r="R355" s="320">
        <v>58.5</v>
      </c>
    </row>
    <row r="356" spans="2:18">
      <c r="B356" s="319">
        <v>4163</v>
      </c>
      <c r="C356" s="319" t="s">
        <v>792</v>
      </c>
      <c r="D356" s="320">
        <v>86</v>
      </c>
      <c r="E356" s="320">
        <v>0.3</v>
      </c>
      <c r="F356" s="320">
        <v>85.8</v>
      </c>
      <c r="G356" s="320">
        <v>86</v>
      </c>
      <c r="H356" s="320">
        <v>85.7</v>
      </c>
      <c r="I356" s="321">
        <v>17000</v>
      </c>
      <c r="J356" s="321">
        <v>1459100</v>
      </c>
      <c r="K356" s="320">
        <v>17</v>
      </c>
      <c r="L356" s="320">
        <v>85.9</v>
      </c>
      <c r="M356" s="320">
        <v>1</v>
      </c>
      <c r="N356" s="320">
        <v>86</v>
      </c>
      <c r="O356" s="320">
        <v>7</v>
      </c>
      <c r="P356" s="321">
        <v>48290143</v>
      </c>
      <c r="Q356" s="320">
        <v>94.6</v>
      </c>
      <c r="R356" s="320">
        <v>77.400000000000006</v>
      </c>
    </row>
    <row r="357" spans="2:18">
      <c r="B357" s="319">
        <v>4167</v>
      </c>
      <c r="C357" s="319" t="s">
        <v>793</v>
      </c>
      <c r="D357" s="320">
        <v>18.899999999999999</v>
      </c>
      <c r="E357" s="320">
        <v>0.3</v>
      </c>
      <c r="F357" s="320">
        <v>18.600000000000001</v>
      </c>
      <c r="G357" s="320">
        <v>18.899999999999999</v>
      </c>
      <c r="H357" s="320">
        <v>18.600000000000001</v>
      </c>
      <c r="I357" s="321">
        <v>458000</v>
      </c>
      <c r="J357" s="321">
        <v>8612700</v>
      </c>
      <c r="K357" s="320">
        <v>231</v>
      </c>
      <c r="L357" s="320">
        <v>18.850000000000001</v>
      </c>
      <c r="M357" s="320">
        <v>2</v>
      </c>
      <c r="N357" s="320">
        <v>18.899999999999999</v>
      </c>
      <c r="O357" s="320">
        <v>8</v>
      </c>
      <c r="P357" s="321">
        <v>316975107</v>
      </c>
      <c r="Q357" s="320">
        <v>20.75</v>
      </c>
      <c r="R357" s="320">
        <v>17.05</v>
      </c>
    </row>
    <row r="358" spans="2:18">
      <c r="B358" s="319">
        <v>4168</v>
      </c>
      <c r="C358" s="319" t="s">
        <v>794</v>
      </c>
      <c r="D358" s="320">
        <v>29.6</v>
      </c>
      <c r="E358" s="320">
        <v>-0.3</v>
      </c>
      <c r="F358" s="320">
        <v>29.95</v>
      </c>
      <c r="G358" s="320">
        <v>29.95</v>
      </c>
      <c r="H358" s="320">
        <v>29.45</v>
      </c>
      <c r="I358" s="321">
        <v>289000</v>
      </c>
      <c r="J358" s="321">
        <v>8568700</v>
      </c>
      <c r="K358" s="320">
        <v>181</v>
      </c>
      <c r="L358" s="320">
        <v>29.6</v>
      </c>
      <c r="M358" s="320">
        <v>3</v>
      </c>
      <c r="N358" s="320">
        <v>29.65</v>
      </c>
      <c r="O358" s="320">
        <v>1</v>
      </c>
      <c r="P358" s="321">
        <v>97481810</v>
      </c>
      <c r="Q358" s="320">
        <v>32.549999999999997</v>
      </c>
      <c r="R358" s="320">
        <v>26.65</v>
      </c>
    </row>
    <row r="359" spans="2:18">
      <c r="B359" s="319">
        <v>4171</v>
      </c>
      <c r="C359" s="319" t="s">
        <v>795</v>
      </c>
      <c r="D359" s="320">
        <v>85.2</v>
      </c>
      <c r="E359" s="320">
        <v>-0.8</v>
      </c>
      <c r="F359" s="320">
        <v>86.1</v>
      </c>
      <c r="G359" s="320">
        <v>86.1</v>
      </c>
      <c r="H359" s="320">
        <v>85.2</v>
      </c>
      <c r="I359" s="321">
        <v>112000</v>
      </c>
      <c r="J359" s="321">
        <v>9590500</v>
      </c>
      <c r="K359" s="320">
        <v>103</v>
      </c>
      <c r="L359" s="320">
        <v>85.2</v>
      </c>
      <c r="M359" s="320">
        <v>3</v>
      </c>
      <c r="N359" s="320">
        <v>85.4</v>
      </c>
      <c r="O359" s="320">
        <v>1</v>
      </c>
      <c r="P359" s="321">
        <v>41787250</v>
      </c>
      <c r="Q359" s="320">
        <v>93.7</v>
      </c>
      <c r="R359" s="320">
        <v>76.7</v>
      </c>
    </row>
    <row r="360" spans="2:18">
      <c r="B360" s="319">
        <v>4173</v>
      </c>
      <c r="C360" s="319" t="s">
        <v>796</v>
      </c>
      <c r="D360" s="320">
        <v>18</v>
      </c>
      <c r="E360" s="320">
        <v>0</v>
      </c>
      <c r="F360" s="320">
        <v>18.05</v>
      </c>
      <c r="G360" s="320">
        <v>18.149999999999999</v>
      </c>
      <c r="H360" s="320">
        <v>18</v>
      </c>
      <c r="I360" s="321">
        <v>53000</v>
      </c>
      <c r="J360" s="321">
        <v>958100</v>
      </c>
      <c r="K360" s="320">
        <v>44</v>
      </c>
      <c r="L360" s="320">
        <v>18</v>
      </c>
      <c r="M360" s="320">
        <v>13</v>
      </c>
      <c r="N360" s="320">
        <v>18.100000000000001</v>
      </c>
      <c r="O360" s="320">
        <v>13</v>
      </c>
      <c r="P360" s="321">
        <v>74574355</v>
      </c>
      <c r="Q360" s="320">
        <v>19.8</v>
      </c>
      <c r="R360" s="320">
        <v>16.2</v>
      </c>
    </row>
    <row r="361" spans="2:18">
      <c r="B361" s="319">
        <v>4174</v>
      </c>
      <c r="C361" s="319" t="s">
        <v>797</v>
      </c>
      <c r="D361" s="320">
        <v>114</v>
      </c>
      <c r="E361" s="320">
        <v>1.5</v>
      </c>
      <c r="F361" s="320">
        <v>113.5</v>
      </c>
      <c r="G361" s="320">
        <v>115.5</v>
      </c>
      <c r="H361" s="320">
        <v>113</v>
      </c>
      <c r="I361" s="321">
        <v>384000</v>
      </c>
      <c r="J361" s="321">
        <v>43786000</v>
      </c>
      <c r="K361" s="320">
        <v>288</v>
      </c>
      <c r="L361" s="320">
        <v>114</v>
      </c>
      <c r="M361" s="320">
        <v>57</v>
      </c>
      <c r="N361" s="320">
        <v>114.5</v>
      </c>
      <c r="O361" s="320">
        <v>11</v>
      </c>
      <c r="P361" s="321">
        <v>199279374</v>
      </c>
      <c r="Q361" s="320">
        <v>125</v>
      </c>
      <c r="R361" s="320">
        <v>103</v>
      </c>
    </row>
    <row r="362" spans="2:18">
      <c r="B362" s="319">
        <v>4175</v>
      </c>
      <c r="C362" s="319" t="s">
        <v>798</v>
      </c>
      <c r="D362" s="320">
        <v>69.599999999999994</v>
      </c>
      <c r="E362" s="320">
        <v>0.3</v>
      </c>
      <c r="F362" s="320">
        <v>69.3</v>
      </c>
      <c r="G362" s="320">
        <v>69.599999999999994</v>
      </c>
      <c r="H362" s="320">
        <v>69.3</v>
      </c>
      <c r="I362" s="321">
        <v>4000</v>
      </c>
      <c r="J362" s="321">
        <v>277600</v>
      </c>
      <c r="K362" s="320">
        <v>4</v>
      </c>
      <c r="L362" s="320">
        <v>69.5</v>
      </c>
      <c r="M362" s="320">
        <v>1</v>
      </c>
      <c r="N362" s="320">
        <v>69.900000000000006</v>
      </c>
      <c r="O362" s="320">
        <v>2</v>
      </c>
      <c r="P362" s="321">
        <v>35232364</v>
      </c>
      <c r="Q362" s="320">
        <v>76.5</v>
      </c>
      <c r="R362" s="320">
        <v>62.7</v>
      </c>
    </row>
    <row r="363" spans="2:18">
      <c r="B363" s="319">
        <v>4183</v>
      </c>
      <c r="C363" s="319" t="s">
        <v>799</v>
      </c>
      <c r="D363" s="320">
        <v>18.350000000000001</v>
      </c>
      <c r="E363" s="320">
        <v>-0.1</v>
      </c>
      <c r="F363" s="320">
        <v>18.55</v>
      </c>
      <c r="G363" s="320">
        <v>18.55</v>
      </c>
      <c r="H363" s="320">
        <v>18.350000000000001</v>
      </c>
      <c r="I363" s="321">
        <v>3000</v>
      </c>
      <c r="J363" s="321">
        <v>55250</v>
      </c>
      <c r="K363" s="320">
        <v>3</v>
      </c>
      <c r="L363" s="320">
        <v>18.350000000000001</v>
      </c>
      <c r="M363" s="320">
        <v>2</v>
      </c>
      <c r="N363" s="320">
        <v>18.399999999999999</v>
      </c>
      <c r="O363" s="320">
        <v>1</v>
      </c>
      <c r="P363" s="321">
        <v>23800000</v>
      </c>
      <c r="Q363" s="320">
        <v>20.149999999999999</v>
      </c>
      <c r="R363" s="320">
        <v>16.55</v>
      </c>
    </row>
    <row r="364" spans="2:18">
      <c r="B364" s="319">
        <v>4188</v>
      </c>
      <c r="C364" s="319" t="s">
        <v>800</v>
      </c>
      <c r="D364" s="320">
        <v>19.55</v>
      </c>
      <c r="E364" s="320">
        <v>-0.35</v>
      </c>
      <c r="F364" s="320">
        <v>19.600000000000001</v>
      </c>
      <c r="G364" s="320">
        <v>19.899999999999999</v>
      </c>
      <c r="H364" s="320">
        <v>19.5</v>
      </c>
      <c r="I364" s="321">
        <v>115000</v>
      </c>
      <c r="J364" s="321">
        <v>2255500</v>
      </c>
      <c r="K364" s="320">
        <v>58</v>
      </c>
      <c r="L364" s="320">
        <v>19.5</v>
      </c>
      <c r="M364" s="320">
        <v>9</v>
      </c>
      <c r="N364" s="320">
        <v>19.600000000000001</v>
      </c>
      <c r="O364" s="320">
        <v>17</v>
      </c>
      <c r="P364" s="321">
        <v>53221400</v>
      </c>
      <c r="Q364" s="320">
        <v>21.5</v>
      </c>
      <c r="R364" s="320">
        <v>17.600000000000001</v>
      </c>
    </row>
    <row r="365" spans="2:18">
      <c r="B365" s="319">
        <v>4192</v>
      </c>
      <c r="C365" s="319" t="s">
        <v>801</v>
      </c>
      <c r="D365" s="320">
        <v>31.8</v>
      </c>
      <c r="E365" s="320">
        <v>0.25</v>
      </c>
      <c r="F365" s="320">
        <v>32</v>
      </c>
      <c r="G365" s="320">
        <v>32.1</v>
      </c>
      <c r="H365" s="320">
        <v>31.65</v>
      </c>
      <c r="I365" s="321">
        <v>104000</v>
      </c>
      <c r="J365" s="321">
        <v>3319400</v>
      </c>
      <c r="K365" s="320">
        <v>65</v>
      </c>
      <c r="L365" s="320">
        <v>31.8</v>
      </c>
      <c r="M365" s="320">
        <v>3</v>
      </c>
      <c r="N365" s="320">
        <v>32.049999999999997</v>
      </c>
      <c r="O365" s="320">
        <v>1</v>
      </c>
      <c r="P365" s="321">
        <v>115077000</v>
      </c>
      <c r="Q365" s="320">
        <v>34.950000000000003</v>
      </c>
      <c r="R365" s="320">
        <v>28.65</v>
      </c>
    </row>
    <row r="366" spans="2:18">
      <c r="B366" s="319">
        <v>4198</v>
      </c>
      <c r="C366" s="319" t="s">
        <v>802</v>
      </c>
      <c r="D366" s="320">
        <v>6.1</v>
      </c>
      <c r="E366" s="320">
        <v>0.05</v>
      </c>
      <c r="F366" s="320">
        <v>6.05</v>
      </c>
      <c r="G366" s="320">
        <v>6.1</v>
      </c>
      <c r="H366" s="320">
        <v>6.05</v>
      </c>
      <c r="I366" s="321">
        <v>3000</v>
      </c>
      <c r="J366" s="321">
        <v>18200</v>
      </c>
      <c r="K366" s="320">
        <v>2</v>
      </c>
      <c r="L366" s="320">
        <v>6.05</v>
      </c>
      <c r="M366" s="320">
        <v>4</v>
      </c>
      <c r="N366" s="320">
        <v>6.21</v>
      </c>
      <c r="O366" s="320">
        <v>2</v>
      </c>
      <c r="P366" s="321">
        <v>80540000</v>
      </c>
      <c r="Q366" s="320">
        <v>6.71</v>
      </c>
      <c r="R366" s="320">
        <v>5.49</v>
      </c>
    </row>
    <row r="367" spans="2:18">
      <c r="B367" s="319">
        <v>4205</v>
      </c>
      <c r="C367" s="319" t="s">
        <v>803</v>
      </c>
      <c r="D367" s="320">
        <v>130.5</v>
      </c>
      <c r="E367" s="320">
        <v>0</v>
      </c>
      <c r="F367" s="320">
        <v>130.5</v>
      </c>
      <c r="G367" s="320">
        <v>130.5</v>
      </c>
      <c r="H367" s="320">
        <v>130</v>
      </c>
      <c r="I367" s="321">
        <v>14000</v>
      </c>
      <c r="J367" s="321">
        <v>1825500</v>
      </c>
      <c r="K367" s="320">
        <v>14</v>
      </c>
      <c r="L367" s="320">
        <v>130</v>
      </c>
      <c r="M367" s="320">
        <v>12</v>
      </c>
      <c r="N367" s="320">
        <v>131</v>
      </c>
      <c r="O367" s="320">
        <v>5</v>
      </c>
      <c r="P367" s="321">
        <v>88772026</v>
      </c>
      <c r="Q367" s="320">
        <v>143.5</v>
      </c>
      <c r="R367" s="320">
        <v>117.5</v>
      </c>
    </row>
    <row r="368" spans="2:18">
      <c r="B368" s="319">
        <v>4207</v>
      </c>
      <c r="C368" s="319" t="s">
        <v>804</v>
      </c>
      <c r="D368" s="320">
        <v>13.8</v>
      </c>
      <c r="E368" s="320">
        <v>0.1</v>
      </c>
      <c r="F368" s="320">
        <v>13.7</v>
      </c>
      <c r="G368" s="320">
        <v>13.8</v>
      </c>
      <c r="H368" s="320">
        <v>13.65</v>
      </c>
      <c r="I368" s="321">
        <v>104000</v>
      </c>
      <c r="J368" s="321">
        <v>1431600</v>
      </c>
      <c r="K368" s="320">
        <v>44</v>
      </c>
      <c r="L368" s="320">
        <v>13.75</v>
      </c>
      <c r="M368" s="320">
        <v>11</v>
      </c>
      <c r="N368" s="320">
        <v>13.8</v>
      </c>
      <c r="O368" s="320">
        <v>13</v>
      </c>
      <c r="P368" s="321">
        <v>162090832</v>
      </c>
      <c r="Q368" s="320">
        <v>15.15</v>
      </c>
      <c r="R368" s="320">
        <v>12.45</v>
      </c>
    </row>
    <row r="369" spans="2:18">
      <c r="B369" s="319">
        <v>4303</v>
      </c>
      <c r="C369" s="319" t="s">
        <v>805</v>
      </c>
      <c r="D369" s="320">
        <v>26.5</v>
      </c>
      <c r="E369" s="320">
        <v>-0.35</v>
      </c>
      <c r="F369" s="320">
        <v>26.9</v>
      </c>
      <c r="G369" s="320">
        <v>26.9</v>
      </c>
      <c r="H369" s="320">
        <v>26.5</v>
      </c>
      <c r="I369" s="321">
        <v>222000</v>
      </c>
      <c r="J369" s="321">
        <v>5914150</v>
      </c>
      <c r="K369" s="320">
        <v>133</v>
      </c>
      <c r="L369" s="320">
        <v>26.5</v>
      </c>
      <c r="M369" s="320">
        <v>4</v>
      </c>
      <c r="N369" s="320">
        <v>26.55</v>
      </c>
      <c r="O369" s="320">
        <v>10</v>
      </c>
      <c r="P369" s="321">
        <v>70000000</v>
      </c>
      <c r="Q369" s="320">
        <v>29.15</v>
      </c>
      <c r="R369" s="320">
        <v>23.85</v>
      </c>
    </row>
    <row r="370" spans="2:18">
      <c r="B370" s="319">
        <v>4304</v>
      </c>
      <c r="C370" s="319" t="s">
        <v>806</v>
      </c>
      <c r="D370" s="320">
        <v>8.6999999999999993</v>
      </c>
      <c r="E370" s="320">
        <v>0.24</v>
      </c>
      <c r="F370" s="320">
        <v>8.5</v>
      </c>
      <c r="G370" s="320">
        <v>8.75</v>
      </c>
      <c r="H370" s="320">
        <v>8.5</v>
      </c>
      <c r="I370" s="321">
        <v>81000</v>
      </c>
      <c r="J370" s="321">
        <v>698750</v>
      </c>
      <c r="K370" s="320">
        <v>24</v>
      </c>
      <c r="L370" s="320">
        <v>8.6999999999999993</v>
      </c>
      <c r="M370" s="320">
        <v>11</v>
      </c>
      <c r="N370" s="320">
        <v>8.75</v>
      </c>
      <c r="O370" s="320">
        <v>7</v>
      </c>
      <c r="P370" s="321">
        <v>36038065</v>
      </c>
      <c r="Q370" s="320">
        <v>9.57</v>
      </c>
      <c r="R370" s="320">
        <v>7.83</v>
      </c>
    </row>
    <row r="371" spans="2:18">
      <c r="B371" s="319">
        <v>4305</v>
      </c>
      <c r="C371" s="319" t="s">
        <v>807</v>
      </c>
      <c r="D371" s="320">
        <v>32.1</v>
      </c>
      <c r="E371" s="320">
        <v>0</v>
      </c>
      <c r="F371" s="320">
        <v>32.1</v>
      </c>
      <c r="G371" s="320">
        <v>32.1</v>
      </c>
      <c r="H371" s="320">
        <v>32.1</v>
      </c>
      <c r="I371" s="321">
        <v>4000</v>
      </c>
      <c r="J371" s="321">
        <v>128400</v>
      </c>
      <c r="K371" s="320">
        <v>4</v>
      </c>
      <c r="L371" s="320">
        <v>32.1</v>
      </c>
      <c r="M371" s="320">
        <v>1</v>
      </c>
      <c r="N371" s="320">
        <v>32.299999999999997</v>
      </c>
      <c r="O371" s="320">
        <v>1</v>
      </c>
      <c r="P371" s="321">
        <v>55014000</v>
      </c>
      <c r="Q371" s="320">
        <v>35.299999999999997</v>
      </c>
      <c r="R371" s="320">
        <v>28.9</v>
      </c>
    </row>
    <row r="372" spans="2:18">
      <c r="B372" s="319">
        <v>4401</v>
      </c>
      <c r="C372" s="319" t="s">
        <v>808</v>
      </c>
      <c r="D372" s="320">
        <v>35.549999999999997</v>
      </c>
      <c r="E372" s="320">
        <v>-0.3</v>
      </c>
      <c r="F372" s="320">
        <v>35.85</v>
      </c>
      <c r="G372" s="320">
        <v>35.85</v>
      </c>
      <c r="H372" s="320">
        <v>35.15</v>
      </c>
      <c r="I372" s="321">
        <v>87000</v>
      </c>
      <c r="J372" s="321">
        <v>3084850</v>
      </c>
      <c r="K372" s="320">
        <v>53</v>
      </c>
      <c r="L372" s="320">
        <v>35.450000000000003</v>
      </c>
      <c r="M372" s="320">
        <v>1</v>
      </c>
      <c r="N372" s="320">
        <v>35.549999999999997</v>
      </c>
      <c r="O372" s="320">
        <v>1</v>
      </c>
      <c r="P372" s="321">
        <v>120286286</v>
      </c>
      <c r="Q372" s="320">
        <v>39.1</v>
      </c>
      <c r="R372" s="320">
        <v>32</v>
      </c>
    </row>
    <row r="373" spans="2:18">
      <c r="B373" s="319">
        <v>4402</v>
      </c>
      <c r="C373" s="319" t="s">
        <v>809</v>
      </c>
      <c r="D373" s="320">
        <v>6.83</v>
      </c>
      <c r="E373" s="320">
        <v>0.12</v>
      </c>
      <c r="F373" s="320">
        <v>6.72</v>
      </c>
      <c r="G373" s="320">
        <v>6.83</v>
      </c>
      <c r="H373" s="320">
        <v>6.63</v>
      </c>
      <c r="I373" s="321">
        <v>407000</v>
      </c>
      <c r="J373" s="321">
        <v>2723660</v>
      </c>
      <c r="K373" s="320">
        <v>104</v>
      </c>
      <c r="L373" s="320">
        <v>6.72</v>
      </c>
      <c r="M373" s="320">
        <v>6</v>
      </c>
      <c r="N373" s="320">
        <v>6.83</v>
      </c>
      <c r="O373" s="320">
        <v>10</v>
      </c>
      <c r="P373" s="321">
        <v>45991830</v>
      </c>
      <c r="Q373" s="320">
        <v>7.51</v>
      </c>
      <c r="R373" s="320">
        <v>6.15</v>
      </c>
    </row>
    <row r="374" spans="2:18">
      <c r="B374" s="319">
        <v>4406</v>
      </c>
      <c r="C374" s="319" t="s">
        <v>810</v>
      </c>
      <c r="D374" s="320">
        <v>11.7</v>
      </c>
      <c r="E374" s="320">
        <v>0</v>
      </c>
      <c r="F374" s="320">
        <v>11.75</v>
      </c>
      <c r="G374" s="320">
        <v>11.8</v>
      </c>
      <c r="H374" s="320">
        <v>11.7</v>
      </c>
      <c r="I374" s="321">
        <v>124000</v>
      </c>
      <c r="J374" s="321">
        <v>1456700</v>
      </c>
      <c r="K374" s="320">
        <v>54</v>
      </c>
      <c r="L374" s="320">
        <v>11.7</v>
      </c>
      <c r="M374" s="320">
        <v>39</v>
      </c>
      <c r="N374" s="320">
        <v>11.75</v>
      </c>
      <c r="O374" s="320">
        <v>5</v>
      </c>
      <c r="P374" s="321">
        <v>51912000</v>
      </c>
      <c r="Q374" s="320">
        <v>12.85</v>
      </c>
      <c r="R374" s="320">
        <v>10.55</v>
      </c>
    </row>
    <row r="375" spans="2:18">
      <c r="B375" s="319">
        <v>4413</v>
      </c>
      <c r="C375" s="319" t="s">
        <v>811</v>
      </c>
      <c r="D375" s="320">
        <v>11.65</v>
      </c>
      <c r="E375" s="320">
        <v>-0.05</v>
      </c>
      <c r="F375" s="320">
        <v>11.75</v>
      </c>
      <c r="G375" s="320">
        <v>11.75</v>
      </c>
      <c r="H375" s="320">
        <v>11.45</v>
      </c>
      <c r="I375" s="321">
        <v>18000</v>
      </c>
      <c r="J375" s="321">
        <v>207700</v>
      </c>
      <c r="K375" s="320">
        <v>14</v>
      </c>
      <c r="L375" s="320">
        <v>11.45</v>
      </c>
      <c r="M375" s="320">
        <v>10</v>
      </c>
      <c r="N375" s="320">
        <v>11.65</v>
      </c>
      <c r="O375" s="320">
        <v>3</v>
      </c>
      <c r="P375" s="321">
        <v>31314689</v>
      </c>
      <c r="Q375" s="320">
        <v>12.8</v>
      </c>
      <c r="R375" s="320">
        <v>10.5</v>
      </c>
    </row>
    <row r="376" spans="2:18">
      <c r="B376" s="319">
        <v>4416</v>
      </c>
      <c r="C376" s="319" t="s">
        <v>812</v>
      </c>
      <c r="D376" s="320">
        <v>114.5</v>
      </c>
      <c r="E376" s="320">
        <v>0.5</v>
      </c>
      <c r="F376" s="320">
        <v>113.5</v>
      </c>
      <c r="G376" s="320">
        <v>114.5</v>
      </c>
      <c r="H376" s="320">
        <v>113.5</v>
      </c>
      <c r="I376" s="321">
        <v>5000</v>
      </c>
      <c r="J376" s="321">
        <v>569500</v>
      </c>
      <c r="K376" s="320">
        <v>4</v>
      </c>
      <c r="L376" s="320">
        <v>113.5</v>
      </c>
      <c r="M376" s="320">
        <v>2</v>
      </c>
      <c r="N376" s="320">
        <v>114</v>
      </c>
      <c r="O376" s="320">
        <v>1</v>
      </c>
      <c r="P376" s="321">
        <v>61131703</v>
      </c>
      <c r="Q376" s="320">
        <v>125.5</v>
      </c>
      <c r="R376" s="320">
        <v>103.5</v>
      </c>
    </row>
    <row r="377" spans="2:18">
      <c r="B377" s="319">
        <v>4417</v>
      </c>
      <c r="C377" s="319" t="s">
        <v>813</v>
      </c>
      <c r="D377" s="320">
        <v>34.65</v>
      </c>
      <c r="E377" s="320">
        <v>-0.05</v>
      </c>
      <c r="F377" s="320">
        <v>34.9</v>
      </c>
      <c r="G377" s="320">
        <v>34.9</v>
      </c>
      <c r="H377" s="320">
        <v>34.6</v>
      </c>
      <c r="I377" s="321">
        <v>41000</v>
      </c>
      <c r="J377" s="321">
        <v>1426550</v>
      </c>
      <c r="K377" s="320">
        <v>32</v>
      </c>
      <c r="L377" s="320">
        <v>34.65</v>
      </c>
      <c r="M377" s="320">
        <v>10</v>
      </c>
      <c r="N377" s="320">
        <v>34.700000000000003</v>
      </c>
      <c r="O377" s="320">
        <v>5</v>
      </c>
      <c r="P377" s="321">
        <v>83971399</v>
      </c>
      <c r="Q377" s="320">
        <v>38.1</v>
      </c>
      <c r="R377" s="320">
        <v>31.2</v>
      </c>
    </row>
    <row r="378" spans="2:18">
      <c r="B378" s="319">
        <v>4419</v>
      </c>
      <c r="C378" s="319" t="s">
        <v>814</v>
      </c>
      <c r="D378" s="320">
        <v>10.5</v>
      </c>
      <c r="E378" s="320">
        <v>0.5</v>
      </c>
      <c r="F378" s="320">
        <v>9.85</v>
      </c>
      <c r="G378" s="320">
        <v>10.5</v>
      </c>
      <c r="H378" s="320">
        <v>9.85</v>
      </c>
      <c r="I378" s="321">
        <v>5000</v>
      </c>
      <c r="J378" s="321">
        <v>50950</v>
      </c>
      <c r="K378" s="320">
        <v>5</v>
      </c>
      <c r="L378" s="320">
        <v>10.199999999999999</v>
      </c>
      <c r="M378" s="320">
        <v>1</v>
      </c>
      <c r="N378" s="320">
        <v>11</v>
      </c>
      <c r="O378" s="320">
        <v>1</v>
      </c>
      <c r="P378" s="321">
        <v>46578917</v>
      </c>
      <c r="Q378" s="320">
        <v>11.55</v>
      </c>
      <c r="R378" s="320">
        <v>9.4499999999999993</v>
      </c>
    </row>
    <row r="379" spans="2:18">
      <c r="B379" s="319">
        <v>4420</v>
      </c>
      <c r="C379" s="319" t="s">
        <v>815</v>
      </c>
      <c r="D379" s="320">
        <v>33.1</v>
      </c>
      <c r="E379" s="320">
        <v>-0.1</v>
      </c>
      <c r="F379" s="320">
        <v>33.5</v>
      </c>
      <c r="G379" s="320">
        <v>33.950000000000003</v>
      </c>
      <c r="H379" s="320">
        <v>33.1</v>
      </c>
      <c r="I379" s="321">
        <v>77000</v>
      </c>
      <c r="J379" s="321">
        <v>2574450</v>
      </c>
      <c r="K379" s="320">
        <v>29</v>
      </c>
      <c r="L379" s="320">
        <v>33.1</v>
      </c>
      <c r="M379" s="320">
        <v>8</v>
      </c>
      <c r="N379" s="320">
        <v>33.200000000000003</v>
      </c>
      <c r="O379" s="320">
        <v>1</v>
      </c>
      <c r="P379" s="321">
        <v>40455000</v>
      </c>
      <c r="Q379" s="320">
        <v>36.4</v>
      </c>
      <c r="R379" s="320">
        <v>29.8</v>
      </c>
    </row>
    <row r="380" spans="2:18">
      <c r="B380" s="319">
        <v>4429</v>
      </c>
      <c r="C380" s="319" t="s">
        <v>816</v>
      </c>
      <c r="D380" s="320">
        <v>40.799999999999997</v>
      </c>
      <c r="E380" s="320">
        <v>0</v>
      </c>
      <c r="F380" s="320">
        <v>40.5</v>
      </c>
      <c r="G380" s="320">
        <v>40.799999999999997</v>
      </c>
      <c r="H380" s="320">
        <v>40.5</v>
      </c>
      <c r="I380" s="321">
        <v>7000</v>
      </c>
      <c r="J380" s="321">
        <v>284400</v>
      </c>
      <c r="K380" s="320">
        <v>6</v>
      </c>
      <c r="L380" s="320">
        <v>40.049999999999997</v>
      </c>
      <c r="M380" s="320">
        <v>2</v>
      </c>
      <c r="N380" s="320">
        <v>40.799999999999997</v>
      </c>
      <c r="O380" s="320">
        <v>2</v>
      </c>
      <c r="P380" s="321">
        <v>34350000</v>
      </c>
      <c r="Q380" s="320">
        <v>44.85</v>
      </c>
      <c r="R380" s="320">
        <v>36.75</v>
      </c>
    </row>
    <row r="381" spans="2:18">
      <c r="B381" s="319">
        <v>4430</v>
      </c>
      <c r="C381" s="319" t="s">
        <v>817</v>
      </c>
      <c r="D381" s="320">
        <v>24.75</v>
      </c>
      <c r="E381" s="320">
        <v>0</v>
      </c>
      <c r="F381" s="320">
        <v>24.9</v>
      </c>
      <c r="G381" s="320">
        <v>24.9</v>
      </c>
      <c r="H381" s="320">
        <v>24.7</v>
      </c>
      <c r="I381" s="321">
        <v>25000</v>
      </c>
      <c r="J381" s="321">
        <v>620800</v>
      </c>
      <c r="K381" s="320">
        <v>15</v>
      </c>
      <c r="L381" s="320">
        <v>24.7</v>
      </c>
      <c r="M381" s="320">
        <v>3</v>
      </c>
      <c r="N381" s="320">
        <v>24.85</v>
      </c>
      <c r="O381" s="320">
        <v>1</v>
      </c>
      <c r="P381" s="321">
        <v>56273609</v>
      </c>
      <c r="Q381" s="320">
        <v>27.2</v>
      </c>
      <c r="R381" s="320">
        <v>22.3</v>
      </c>
    </row>
    <row r="382" spans="2:18">
      <c r="B382" s="319">
        <v>4432</v>
      </c>
      <c r="C382" s="319" t="s">
        <v>818</v>
      </c>
      <c r="D382" s="320">
        <v>14.8</v>
      </c>
      <c r="E382" s="320">
        <v>0.45</v>
      </c>
      <c r="F382" s="320">
        <v>14.6</v>
      </c>
      <c r="G382" s="320">
        <v>14.95</v>
      </c>
      <c r="H382" s="320">
        <v>14.4</v>
      </c>
      <c r="I382" s="321">
        <v>127000</v>
      </c>
      <c r="J382" s="321">
        <v>1861900</v>
      </c>
      <c r="K382" s="320">
        <v>67</v>
      </c>
      <c r="L382" s="320">
        <v>14.75</v>
      </c>
      <c r="M382" s="320">
        <v>1</v>
      </c>
      <c r="N382" s="320">
        <v>14.8</v>
      </c>
      <c r="O382" s="320">
        <v>16</v>
      </c>
      <c r="P382" s="321">
        <v>50589000</v>
      </c>
      <c r="Q382" s="320">
        <v>16.25</v>
      </c>
      <c r="R382" s="320">
        <v>13.35</v>
      </c>
    </row>
    <row r="383" spans="2:18">
      <c r="B383" s="319">
        <v>4433</v>
      </c>
      <c r="C383" s="319" t="s">
        <v>819</v>
      </c>
      <c r="D383" s="320">
        <v>31.2</v>
      </c>
      <c r="E383" s="320">
        <v>0.15</v>
      </c>
      <c r="F383" s="320">
        <v>30.9</v>
      </c>
      <c r="G383" s="320">
        <v>31.2</v>
      </c>
      <c r="H383" s="320">
        <v>30.9</v>
      </c>
      <c r="I383" s="321">
        <v>59000</v>
      </c>
      <c r="J383" s="321">
        <v>1831300</v>
      </c>
      <c r="K383" s="320">
        <v>37</v>
      </c>
      <c r="L383" s="320">
        <v>31.05</v>
      </c>
      <c r="M383" s="320">
        <v>1</v>
      </c>
      <c r="N383" s="320">
        <v>31.2</v>
      </c>
      <c r="O383" s="320">
        <v>25</v>
      </c>
      <c r="P383" s="321">
        <v>46805164</v>
      </c>
      <c r="Q383" s="320">
        <v>34.299999999999997</v>
      </c>
      <c r="R383" s="320">
        <v>28.1</v>
      </c>
    </row>
    <row r="384" spans="2:18">
      <c r="B384" s="319">
        <v>4502</v>
      </c>
      <c r="C384" s="319" t="s">
        <v>820</v>
      </c>
      <c r="D384" s="320">
        <v>39.799999999999997</v>
      </c>
      <c r="E384" s="320">
        <v>0.4</v>
      </c>
      <c r="F384" s="320">
        <v>39.200000000000003</v>
      </c>
      <c r="G384" s="320">
        <v>39.799999999999997</v>
      </c>
      <c r="H384" s="320">
        <v>39.200000000000003</v>
      </c>
      <c r="I384" s="321">
        <v>10000</v>
      </c>
      <c r="J384" s="321">
        <v>394700</v>
      </c>
      <c r="K384" s="320">
        <v>8</v>
      </c>
      <c r="L384" s="320">
        <v>39.25</v>
      </c>
      <c r="M384" s="320">
        <v>4</v>
      </c>
      <c r="N384" s="320">
        <v>39.9</v>
      </c>
      <c r="O384" s="320">
        <v>1</v>
      </c>
      <c r="P384" s="321">
        <v>50750686</v>
      </c>
      <c r="Q384" s="320">
        <v>43.75</v>
      </c>
      <c r="R384" s="320">
        <v>35.85</v>
      </c>
    </row>
    <row r="385" spans="2:18">
      <c r="B385" s="319">
        <v>4503</v>
      </c>
      <c r="C385" s="319" t="s">
        <v>821</v>
      </c>
      <c r="D385" s="320">
        <v>31.25</v>
      </c>
      <c r="E385" s="320">
        <v>0.15</v>
      </c>
      <c r="F385" s="320">
        <v>31.65</v>
      </c>
      <c r="G385" s="320">
        <v>31.7</v>
      </c>
      <c r="H385" s="320">
        <v>31.2</v>
      </c>
      <c r="I385" s="321">
        <v>142000</v>
      </c>
      <c r="J385" s="321">
        <v>4471850</v>
      </c>
      <c r="K385" s="320">
        <v>98</v>
      </c>
      <c r="L385" s="320">
        <v>31.25</v>
      </c>
      <c r="M385" s="320">
        <v>5</v>
      </c>
      <c r="N385" s="320">
        <v>31.45</v>
      </c>
      <c r="O385" s="320">
        <v>1</v>
      </c>
      <c r="P385" s="321">
        <v>39263326</v>
      </c>
      <c r="Q385" s="320">
        <v>34.35</v>
      </c>
      <c r="R385" s="320">
        <v>28.15</v>
      </c>
    </row>
    <row r="386" spans="2:18">
      <c r="B386" s="319">
        <v>4506</v>
      </c>
      <c r="C386" s="319" t="s">
        <v>822</v>
      </c>
      <c r="D386" s="320">
        <v>65.599999999999994</v>
      </c>
      <c r="E386" s="320">
        <v>0</v>
      </c>
      <c r="F386" s="320">
        <v>65.3</v>
      </c>
      <c r="G386" s="320">
        <v>65.7</v>
      </c>
      <c r="H386" s="320">
        <v>65.3</v>
      </c>
      <c r="I386" s="321">
        <v>27000</v>
      </c>
      <c r="J386" s="321">
        <v>1768500</v>
      </c>
      <c r="K386" s="320">
        <v>24</v>
      </c>
      <c r="L386" s="320">
        <v>65.599999999999994</v>
      </c>
      <c r="M386" s="320">
        <v>1</v>
      </c>
      <c r="N386" s="320">
        <v>65.7</v>
      </c>
      <c r="O386" s="320">
        <v>6</v>
      </c>
      <c r="P386" s="321">
        <v>177012000</v>
      </c>
      <c r="Q386" s="320">
        <v>72.099999999999994</v>
      </c>
      <c r="R386" s="320">
        <v>59.1</v>
      </c>
    </row>
    <row r="387" spans="2:18">
      <c r="B387" s="319">
        <v>4510</v>
      </c>
      <c r="C387" s="319" t="s">
        <v>823</v>
      </c>
      <c r="D387" s="320">
        <v>11.9</v>
      </c>
      <c r="E387" s="320">
        <v>-0.05</v>
      </c>
      <c r="F387" s="320">
        <v>12.1</v>
      </c>
      <c r="G387" s="320">
        <v>12.1</v>
      </c>
      <c r="H387" s="320">
        <v>11.9</v>
      </c>
      <c r="I387" s="321">
        <v>68000</v>
      </c>
      <c r="J387" s="321">
        <v>812450</v>
      </c>
      <c r="K387" s="320">
        <v>35</v>
      </c>
      <c r="L387" s="320">
        <v>11.9</v>
      </c>
      <c r="M387" s="320">
        <v>14</v>
      </c>
      <c r="N387" s="320">
        <v>11.95</v>
      </c>
      <c r="O387" s="320">
        <v>10</v>
      </c>
      <c r="P387" s="321">
        <v>108010689</v>
      </c>
      <c r="Q387" s="320">
        <v>13.05</v>
      </c>
      <c r="R387" s="320">
        <v>10.75</v>
      </c>
    </row>
    <row r="388" spans="2:18">
      <c r="B388" s="319">
        <v>4513</v>
      </c>
      <c r="C388" s="319" t="s">
        <v>824</v>
      </c>
      <c r="D388" s="320">
        <v>16.7</v>
      </c>
      <c r="E388" s="320">
        <v>0.4</v>
      </c>
      <c r="F388" s="320">
        <v>16.350000000000001</v>
      </c>
      <c r="G388" s="320">
        <v>17.7</v>
      </c>
      <c r="H388" s="320">
        <v>16.350000000000001</v>
      </c>
      <c r="I388" s="321">
        <v>3572000</v>
      </c>
      <c r="J388" s="321">
        <v>60995100</v>
      </c>
      <c r="K388" s="321">
        <v>1381</v>
      </c>
      <c r="L388" s="320">
        <v>16.7</v>
      </c>
      <c r="M388" s="320">
        <v>51</v>
      </c>
      <c r="N388" s="320">
        <v>16.75</v>
      </c>
      <c r="O388" s="320">
        <v>1</v>
      </c>
      <c r="P388" s="321">
        <v>76880300</v>
      </c>
      <c r="Q388" s="320">
        <v>18.350000000000001</v>
      </c>
      <c r="R388" s="320">
        <v>15.05</v>
      </c>
    </row>
    <row r="389" spans="2:18">
      <c r="B389" s="319">
        <v>4523</v>
      </c>
      <c r="C389" s="319" t="s">
        <v>825</v>
      </c>
      <c r="D389" s="320">
        <v>28.4</v>
      </c>
      <c r="E389" s="320">
        <v>-0.05</v>
      </c>
      <c r="F389" s="320">
        <v>27.9</v>
      </c>
      <c r="G389" s="320">
        <v>28.4</v>
      </c>
      <c r="H389" s="320">
        <v>27.9</v>
      </c>
      <c r="I389" s="321">
        <v>3000</v>
      </c>
      <c r="J389" s="321">
        <v>84650</v>
      </c>
      <c r="K389" s="320">
        <v>3</v>
      </c>
      <c r="L389" s="320">
        <v>27.95</v>
      </c>
      <c r="M389" s="320">
        <v>1</v>
      </c>
      <c r="N389" s="320">
        <v>28.2</v>
      </c>
      <c r="O389" s="320">
        <v>1</v>
      </c>
      <c r="P389" s="321">
        <v>64000000</v>
      </c>
      <c r="Q389" s="320">
        <v>31.2</v>
      </c>
      <c r="R389" s="320">
        <v>25.6</v>
      </c>
    </row>
    <row r="390" spans="2:18">
      <c r="B390" s="319">
        <v>4527</v>
      </c>
      <c r="C390" s="319" t="s">
        <v>826</v>
      </c>
      <c r="D390" s="320">
        <v>27.35</v>
      </c>
      <c r="E390" s="320">
        <v>0.05</v>
      </c>
      <c r="F390" s="320">
        <v>27.4</v>
      </c>
      <c r="G390" s="320">
        <v>27.4</v>
      </c>
      <c r="H390" s="320">
        <v>27.35</v>
      </c>
      <c r="I390" s="321">
        <v>30000</v>
      </c>
      <c r="J390" s="321">
        <v>821800</v>
      </c>
      <c r="K390" s="320">
        <v>14</v>
      </c>
      <c r="L390" s="320">
        <v>27.35</v>
      </c>
      <c r="M390" s="320">
        <v>2</v>
      </c>
      <c r="N390" s="320">
        <v>27.4</v>
      </c>
      <c r="O390" s="320">
        <v>1</v>
      </c>
      <c r="P390" s="321">
        <v>76152370</v>
      </c>
      <c r="Q390" s="320">
        <v>30.05</v>
      </c>
      <c r="R390" s="320">
        <v>24.65</v>
      </c>
    </row>
    <row r="391" spans="2:18">
      <c r="B391" s="319">
        <v>4528</v>
      </c>
      <c r="C391" s="319" t="s">
        <v>827</v>
      </c>
      <c r="D391" s="320">
        <v>42</v>
      </c>
      <c r="E391" s="320">
        <v>0.3</v>
      </c>
      <c r="F391" s="320">
        <v>41.75</v>
      </c>
      <c r="G391" s="320">
        <v>42.2</v>
      </c>
      <c r="H391" s="320">
        <v>41.5</v>
      </c>
      <c r="I391" s="321">
        <v>28000</v>
      </c>
      <c r="J391" s="321">
        <v>1171400</v>
      </c>
      <c r="K391" s="320">
        <v>23</v>
      </c>
      <c r="L391" s="320">
        <v>41.8</v>
      </c>
      <c r="M391" s="320">
        <v>10</v>
      </c>
      <c r="N391" s="320">
        <v>42</v>
      </c>
      <c r="O391" s="320">
        <v>16</v>
      </c>
      <c r="P391" s="321">
        <v>76514268</v>
      </c>
      <c r="Q391" s="320">
        <v>46.2</v>
      </c>
      <c r="R391" s="320">
        <v>37.799999999999997</v>
      </c>
    </row>
    <row r="392" spans="2:18">
      <c r="B392" s="319">
        <v>4529</v>
      </c>
      <c r="C392" s="319" t="s">
        <v>828</v>
      </c>
      <c r="D392" s="320">
        <v>12.8</v>
      </c>
      <c r="E392" s="320">
        <v>0.2</v>
      </c>
      <c r="F392" s="320">
        <v>12.85</v>
      </c>
      <c r="G392" s="320">
        <v>13.5</v>
      </c>
      <c r="H392" s="320">
        <v>12.8</v>
      </c>
      <c r="I392" s="321">
        <v>375000</v>
      </c>
      <c r="J392" s="321">
        <v>4892850</v>
      </c>
      <c r="K392" s="320">
        <v>198</v>
      </c>
      <c r="L392" s="320">
        <v>12.8</v>
      </c>
      <c r="M392" s="320">
        <v>2</v>
      </c>
      <c r="N392" s="320">
        <v>12.9</v>
      </c>
      <c r="O392" s="320">
        <v>2</v>
      </c>
      <c r="P392" s="321">
        <v>84593396</v>
      </c>
      <c r="Q392" s="320">
        <v>14.05</v>
      </c>
      <c r="R392" s="320">
        <v>11.55</v>
      </c>
    </row>
    <row r="393" spans="2:18">
      <c r="B393" s="319">
        <v>4530</v>
      </c>
      <c r="C393" s="319" t="s">
        <v>829</v>
      </c>
      <c r="D393" s="320">
        <v>10</v>
      </c>
      <c r="E393" s="320">
        <v>0</v>
      </c>
      <c r="F393" s="320">
        <v>10</v>
      </c>
      <c r="G393" s="320">
        <v>10.050000000000001</v>
      </c>
      <c r="H393" s="320">
        <v>10</v>
      </c>
      <c r="I393" s="321">
        <v>50000</v>
      </c>
      <c r="J393" s="321">
        <v>501550</v>
      </c>
      <c r="K393" s="320">
        <v>24</v>
      </c>
      <c r="L393" s="320">
        <v>10</v>
      </c>
      <c r="M393" s="320">
        <v>2</v>
      </c>
      <c r="N393" s="320">
        <v>10.1</v>
      </c>
      <c r="O393" s="320">
        <v>15</v>
      </c>
      <c r="P393" s="321">
        <v>46172276</v>
      </c>
      <c r="Q393" s="320">
        <v>11</v>
      </c>
      <c r="R393" s="320">
        <v>9</v>
      </c>
    </row>
    <row r="394" spans="2:18">
      <c r="B394" s="319">
        <v>4533</v>
      </c>
      <c r="C394" s="319" t="s">
        <v>830</v>
      </c>
      <c r="D394" s="320">
        <v>12.55</v>
      </c>
      <c r="E394" s="320">
        <v>0.1</v>
      </c>
      <c r="F394" s="320">
        <v>12.8</v>
      </c>
      <c r="G394" s="320">
        <v>12.8</v>
      </c>
      <c r="H394" s="320">
        <v>12.45</v>
      </c>
      <c r="I394" s="321">
        <v>216000</v>
      </c>
      <c r="J394" s="321">
        <v>2714650</v>
      </c>
      <c r="K394" s="320">
        <v>89</v>
      </c>
      <c r="L394" s="320">
        <v>12.55</v>
      </c>
      <c r="M394" s="320">
        <v>5</v>
      </c>
      <c r="N394" s="320">
        <v>12.6</v>
      </c>
      <c r="O394" s="320">
        <v>25</v>
      </c>
      <c r="P394" s="321">
        <v>158434110</v>
      </c>
      <c r="Q394" s="320">
        <v>13.8</v>
      </c>
      <c r="R394" s="320">
        <v>11.3</v>
      </c>
    </row>
    <row r="395" spans="2:18">
      <c r="B395" s="319">
        <v>4534</v>
      </c>
      <c r="C395" s="319" t="s">
        <v>831</v>
      </c>
      <c r="D395" s="320">
        <v>12.9</v>
      </c>
      <c r="E395" s="320">
        <v>0.3</v>
      </c>
      <c r="F395" s="320">
        <v>12.65</v>
      </c>
      <c r="G395" s="320">
        <v>13</v>
      </c>
      <c r="H395" s="320">
        <v>12.65</v>
      </c>
      <c r="I395" s="321">
        <v>382000</v>
      </c>
      <c r="J395" s="321">
        <v>4910200</v>
      </c>
      <c r="K395" s="320">
        <v>146</v>
      </c>
      <c r="L395" s="320">
        <v>12.85</v>
      </c>
      <c r="M395" s="320">
        <v>7</v>
      </c>
      <c r="N395" s="320">
        <v>12.9</v>
      </c>
      <c r="O395" s="320">
        <v>22</v>
      </c>
      <c r="P395" s="321">
        <v>86788948</v>
      </c>
      <c r="Q395" s="320">
        <v>14.15</v>
      </c>
      <c r="R395" s="320">
        <v>11.65</v>
      </c>
    </row>
    <row r="396" spans="2:18">
      <c r="B396" s="319">
        <v>4535</v>
      </c>
      <c r="C396" s="319" t="s">
        <v>832</v>
      </c>
      <c r="D396" s="320">
        <v>33.700000000000003</v>
      </c>
      <c r="E396" s="320">
        <v>0.2</v>
      </c>
      <c r="F396" s="320">
        <v>33.5</v>
      </c>
      <c r="G396" s="320">
        <v>33.700000000000003</v>
      </c>
      <c r="H396" s="320">
        <v>33.5</v>
      </c>
      <c r="I396" s="321">
        <v>21000</v>
      </c>
      <c r="J396" s="321">
        <v>703700</v>
      </c>
      <c r="K396" s="320">
        <v>8</v>
      </c>
      <c r="L396" s="320">
        <v>33.6</v>
      </c>
      <c r="M396" s="320">
        <v>1</v>
      </c>
      <c r="N396" s="320">
        <v>33.65</v>
      </c>
      <c r="O396" s="320">
        <v>2</v>
      </c>
      <c r="P396" s="321">
        <v>75661740</v>
      </c>
      <c r="Q396" s="320">
        <v>37.049999999999997</v>
      </c>
      <c r="R396" s="320">
        <v>30.35</v>
      </c>
    </row>
    <row r="397" spans="2:18">
      <c r="B397" s="319">
        <v>4538</v>
      </c>
      <c r="C397" s="319" t="s">
        <v>833</v>
      </c>
      <c r="D397" s="320">
        <v>20.7</v>
      </c>
      <c r="E397" s="320">
        <v>0.1</v>
      </c>
      <c r="F397" s="320">
        <v>20.7</v>
      </c>
      <c r="G397" s="320">
        <v>20.8</v>
      </c>
      <c r="H397" s="320">
        <v>20.7</v>
      </c>
      <c r="I397" s="321">
        <v>21000</v>
      </c>
      <c r="J397" s="321">
        <v>436000</v>
      </c>
      <c r="K397" s="320">
        <v>9</v>
      </c>
      <c r="L397" s="320">
        <v>20.65</v>
      </c>
      <c r="M397" s="320">
        <v>1</v>
      </c>
      <c r="N397" s="320">
        <v>20.8</v>
      </c>
      <c r="O397" s="320">
        <v>3</v>
      </c>
      <c r="P397" s="321">
        <v>50456000</v>
      </c>
      <c r="Q397" s="320">
        <v>22.75</v>
      </c>
      <c r="R397" s="320">
        <v>18.649999999999999</v>
      </c>
    </row>
    <row r="398" spans="2:18">
      <c r="B398" s="319">
        <v>4541</v>
      </c>
      <c r="C398" s="319" t="s">
        <v>834</v>
      </c>
      <c r="D398" s="320">
        <v>23.95</v>
      </c>
      <c r="E398" s="320">
        <v>0.05</v>
      </c>
      <c r="F398" s="320">
        <v>23.9</v>
      </c>
      <c r="G398" s="320">
        <v>24.05</v>
      </c>
      <c r="H398" s="320">
        <v>23.9</v>
      </c>
      <c r="I398" s="321">
        <v>54000</v>
      </c>
      <c r="J398" s="321">
        <v>1294500</v>
      </c>
      <c r="K398" s="320">
        <v>32</v>
      </c>
      <c r="L398" s="320">
        <v>23.9</v>
      </c>
      <c r="M398" s="320">
        <v>6</v>
      </c>
      <c r="N398" s="320">
        <v>24</v>
      </c>
      <c r="O398" s="320">
        <v>2</v>
      </c>
      <c r="P398" s="321">
        <v>67647068</v>
      </c>
      <c r="Q398" s="320">
        <v>26.3</v>
      </c>
      <c r="R398" s="320">
        <v>21.6</v>
      </c>
    </row>
    <row r="399" spans="2:18">
      <c r="B399" s="319">
        <v>4542</v>
      </c>
      <c r="C399" s="319" t="s">
        <v>835</v>
      </c>
      <c r="D399" s="320">
        <v>27.7</v>
      </c>
      <c r="E399" s="320">
        <v>-0.8</v>
      </c>
      <c r="F399" s="320">
        <v>28.5</v>
      </c>
      <c r="G399" s="320">
        <v>28.5</v>
      </c>
      <c r="H399" s="320">
        <v>27.6</v>
      </c>
      <c r="I399" s="321">
        <v>5000</v>
      </c>
      <c r="J399" s="321">
        <v>139100</v>
      </c>
      <c r="K399" s="320">
        <v>5</v>
      </c>
      <c r="L399" s="320">
        <v>27.75</v>
      </c>
      <c r="M399" s="320">
        <v>1</v>
      </c>
      <c r="N399" s="320">
        <v>28</v>
      </c>
      <c r="O399" s="320">
        <v>2</v>
      </c>
      <c r="P399" s="321">
        <v>32285400</v>
      </c>
      <c r="Q399" s="320">
        <v>30.45</v>
      </c>
      <c r="R399" s="320">
        <v>24.95</v>
      </c>
    </row>
    <row r="400" spans="2:18">
      <c r="B400" s="319">
        <v>4543</v>
      </c>
      <c r="C400" s="319" t="s">
        <v>836</v>
      </c>
      <c r="D400" s="320">
        <v>18.95</v>
      </c>
      <c r="E400" s="320">
        <v>0</v>
      </c>
      <c r="F400" s="320">
        <v>18.95</v>
      </c>
      <c r="G400" s="320">
        <v>18.95</v>
      </c>
      <c r="H400" s="320">
        <v>18.7</v>
      </c>
      <c r="I400" s="321">
        <v>67000</v>
      </c>
      <c r="J400" s="321">
        <v>1260250</v>
      </c>
      <c r="K400" s="320">
        <v>39</v>
      </c>
      <c r="L400" s="320">
        <v>18.8</v>
      </c>
      <c r="M400" s="320">
        <v>3</v>
      </c>
      <c r="N400" s="320">
        <v>18.95</v>
      </c>
      <c r="O400" s="320">
        <v>12</v>
      </c>
      <c r="P400" s="321">
        <v>56970000</v>
      </c>
      <c r="Q400" s="320">
        <v>20.8</v>
      </c>
      <c r="R400" s="320">
        <v>17.100000000000001</v>
      </c>
    </row>
    <row r="401" spans="2:18">
      <c r="B401" s="319">
        <v>4549</v>
      </c>
      <c r="C401" s="319" t="s">
        <v>837</v>
      </c>
      <c r="D401" s="320">
        <v>88.4</v>
      </c>
      <c r="E401" s="320">
        <v>0.4</v>
      </c>
      <c r="F401" s="320">
        <v>88</v>
      </c>
      <c r="G401" s="320">
        <v>88.4</v>
      </c>
      <c r="H401" s="320">
        <v>87.8</v>
      </c>
      <c r="I401" s="321">
        <v>17000</v>
      </c>
      <c r="J401" s="321">
        <v>1495900</v>
      </c>
      <c r="K401" s="320">
        <v>17</v>
      </c>
      <c r="L401" s="320">
        <v>88.2</v>
      </c>
      <c r="M401" s="320">
        <v>1</v>
      </c>
      <c r="N401" s="320">
        <v>88.4</v>
      </c>
      <c r="O401" s="320">
        <v>4</v>
      </c>
      <c r="P401" s="321">
        <v>44477869</v>
      </c>
      <c r="Q401" s="320">
        <v>97.2</v>
      </c>
      <c r="R401" s="320">
        <v>79.599999999999994</v>
      </c>
    </row>
    <row r="402" spans="2:18">
      <c r="B402" s="319">
        <v>4550</v>
      </c>
      <c r="C402" s="319" t="s">
        <v>838</v>
      </c>
      <c r="D402" s="320">
        <v>22.9</v>
      </c>
      <c r="E402" s="320">
        <v>-0.05</v>
      </c>
      <c r="F402" s="320">
        <v>22.95</v>
      </c>
      <c r="G402" s="320">
        <v>23</v>
      </c>
      <c r="H402" s="320">
        <v>22.9</v>
      </c>
      <c r="I402" s="321">
        <v>8000</v>
      </c>
      <c r="J402" s="321">
        <v>183500</v>
      </c>
      <c r="K402" s="320">
        <v>7</v>
      </c>
      <c r="L402" s="320">
        <v>22.95</v>
      </c>
      <c r="M402" s="320">
        <v>1</v>
      </c>
      <c r="N402" s="320">
        <v>23</v>
      </c>
      <c r="O402" s="320">
        <v>2</v>
      </c>
      <c r="P402" s="321">
        <v>37838783</v>
      </c>
      <c r="Q402" s="320">
        <v>25.15</v>
      </c>
      <c r="R402" s="320">
        <v>20.65</v>
      </c>
    </row>
    <row r="403" spans="2:18">
      <c r="B403" s="319">
        <v>4554</v>
      </c>
      <c r="C403" s="319" t="s">
        <v>839</v>
      </c>
      <c r="D403" s="320">
        <v>37.049999999999997</v>
      </c>
      <c r="E403" s="320">
        <v>-0.55000000000000004</v>
      </c>
      <c r="F403" s="320">
        <v>37.9</v>
      </c>
      <c r="G403" s="320">
        <v>38.1</v>
      </c>
      <c r="H403" s="320">
        <v>36.75</v>
      </c>
      <c r="I403" s="321">
        <v>84000</v>
      </c>
      <c r="J403" s="321">
        <v>3132150</v>
      </c>
      <c r="K403" s="320">
        <v>75</v>
      </c>
      <c r="L403" s="320">
        <v>37.049999999999997</v>
      </c>
      <c r="M403" s="320">
        <v>1</v>
      </c>
      <c r="N403" s="320">
        <v>37.5</v>
      </c>
      <c r="O403" s="320">
        <v>1</v>
      </c>
      <c r="P403" s="321">
        <v>21374900</v>
      </c>
      <c r="Q403" s="320">
        <v>40.75</v>
      </c>
      <c r="R403" s="320">
        <v>33.35</v>
      </c>
    </row>
    <row r="404" spans="2:18">
      <c r="B404" s="319">
        <v>4556</v>
      </c>
      <c r="C404" s="319" t="s">
        <v>840</v>
      </c>
      <c r="D404" s="320">
        <v>31.65</v>
      </c>
      <c r="E404" s="320">
        <v>-0.05</v>
      </c>
      <c r="F404" s="320">
        <v>31.2</v>
      </c>
      <c r="G404" s="320">
        <v>31.65</v>
      </c>
      <c r="H404" s="320">
        <v>30.9</v>
      </c>
      <c r="I404" s="321">
        <v>6000</v>
      </c>
      <c r="J404" s="321">
        <v>187550</v>
      </c>
      <c r="K404" s="320">
        <v>5</v>
      </c>
      <c r="L404" s="320">
        <v>30.95</v>
      </c>
      <c r="M404" s="320">
        <v>1</v>
      </c>
      <c r="N404" s="320">
        <v>31.65</v>
      </c>
      <c r="O404" s="320">
        <v>2</v>
      </c>
      <c r="P404" s="321">
        <v>41884000</v>
      </c>
      <c r="Q404" s="320">
        <v>34.799999999999997</v>
      </c>
      <c r="R404" s="320">
        <v>28.5</v>
      </c>
    </row>
    <row r="405" spans="2:18">
      <c r="B405" s="319">
        <v>4561</v>
      </c>
      <c r="C405" s="319" t="s">
        <v>841</v>
      </c>
      <c r="D405" s="320">
        <v>28.7</v>
      </c>
      <c r="E405" s="320">
        <v>0.4</v>
      </c>
      <c r="F405" s="320">
        <v>28.3</v>
      </c>
      <c r="G405" s="320">
        <v>28.7</v>
      </c>
      <c r="H405" s="320">
        <v>28.25</v>
      </c>
      <c r="I405" s="321">
        <v>70000</v>
      </c>
      <c r="J405" s="321">
        <v>1994650</v>
      </c>
      <c r="K405" s="320">
        <v>43</v>
      </c>
      <c r="L405" s="320">
        <v>28.45</v>
      </c>
      <c r="M405" s="320">
        <v>1</v>
      </c>
      <c r="N405" s="320">
        <v>28.7</v>
      </c>
      <c r="O405" s="320">
        <v>2</v>
      </c>
      <c r="P405" s="321">
        <v>58521619</v>
      </c>
      <c r="Q405" s="320">
        <v>31.55</v>
      </c>
      <c r="R405" s="320">
        <v>25.85</v>
      </c>
    </row>
    <row r="406" spans="2:18">
      <c r="B406" s="319">
        <v>4563</v>
      </c>
      <c r="C406" s="319" t="s">
        <v>842</v>
      </c>
      <c r="D406" s="320">
        <v>30.3</v>
      </c>
      <c r="E406" s="320">
        <v>-0.4</v>
      </c>
      <c r="F406" s="320">
        <v>30.7</v>
      </c>
      <c r="G406" s="320">
        <v>30.7</v>
      </c>
      <c r="H406" s="320">
        <v>30.3</v>
      </c>
      <c r="I406" s="321">
        <v>18000</v>
      </c>
      <c r="J406" s="321">
        <v>550800</v>
      </c>
      <c r="K406" s="320">
        <v>12</v>
      </c>
      <c r="L406" s="320">
        <v>30.65</v>
      </c>
      <c r="M406" s="320">
        <v>1</v>
      </c>
      <c r="N406" s="320">
        <v>30.9</v>
      </c>
      <c r="O406" s="320">
        <v>2</v>
      </c>
      <c r="P406" s="321">
        <v>54950000</v>
      </c>
      <c r="Q406" s="320">
        <v>33.299999999999997</v>
      </c>
      <c r="R406" s="320">
        <v>27.3</v>
      </c>
    </row>
    <row r="407" spans="2:18">
      <c r="B407" s="319">
        <v>4568</v>
      </c>
      <c r="C407" s="319" t="s">
        <v>843</v>
      </c>
      <c r="D407" s="320">
        <v>66.400000000000006</v>
      </c>
      <c r="E407" s="320">
        <v>-0.4</v>
      </c>
      <c r="F407" s="320">
        <v>66.5</v>
      </c>
      <c r="G407" s="320">
        <v>66.5</v>
      </c>
      <c r="H407" s="320">
        <v>66</v>
      </c>
      <c r="I407" s="321">
        <v>4000</v>
      </c>
      <c r="J407" s="321">
        <v>264900</v>
      </c>
      <c r="K407" s="320">
        <v>4</v>
      </c>
      <c r="L407" s="320">
        <v>65.8</v>
      </c>
      <c r="M407" s="320">
        <v>1</v>
      </c>
      <c r="N407" s="320">
        <v>66.599999999999994</v>
      </c>
      <c r="O407" s="320">
        <v>1</v>
      </c>
      <c r="P407" s="321">
        <v>30276500</v>
      </c>
      <c r="Q407" s="320">
        <v>73</v>
      </c>
      <c r="R407" s="320">
        <v>59.8</v>
      </c>
    </row>
    <row r="408" spans="2:18">
      <c r="B408" s="319">
        <v>4580</v>
      </c>
      <c r="C408" s="319" t="s">
        <v>844</v>
      </c>
      <c r="D408" s="320">
        <v>89.9</v>
      </c>
      <c r="E408" s="320">
        <v>0.2</v>
      </c>
      <c r="F408" s="320">
        <v>89.1</v>
      </c>
      <c r="G408" s="320">
        <v>89.9</v>
      </c>
      <c r="H408" s="320">
        <v>89.1</v>
      </c>
      <c r="I408" s="321">
        <v>27000</v>
      </c>
      <c r="J408" s="321">
        <v>2421000</v>
      </c>
      <c r="K408" s="320">
        <v>21</v>
      </c>
      <c r="L408" s="320">
        <v>89.9</v>
      </c>
      <c r="M408" s="320">
        <v>1</v>
      </c>
      <c r="N408" s="320">
        <v>90</v>
      </c>
      <c r="O408" s="320">
        <v>8</v>
      </c>
      <c r="P408" s="321">
        <v>39132000</v>
      </c>
      <c r="Q408" s="320">
        <v>98.8</v>
      </c>
      <c r="R408" s="320">
        <v>81</v>
      </c>
    </row>
    <row r="409" spans="2:18">
      <c r="B409" s="319">
        <v>4609</v>
      </c>
      <c r="C409" s="319" t="s">
        <v>845</v>
      </c>
      <c r="D409" s="320">
        <v>9</v>
      </c>
      <c r="E409" s="320">
        <v>0.03</v>
      </c>
      <c r="F409" s="320">
        <v>9</v>
      </c>
      <c r="G409" s="320">
        <v>9</v>
      </c>
      <c r="H409" s="320">
        <v>9</v>
      </c>
      <c r="I409" s="321">
        <v>1000</v>
      </c>
      <c r="J409" s="321">
        <v>9000</v>
      </c>
      <c r="K409" s="320">
        <v>1</v>
      </c>
      <c r="L409" s="320">
        <v>8.7799999999999994</v>
      </c>
      <c r="M409" s="320">
        <v>1</v>
      </c>
      <c r="N409" s="320">
        <v>9</v>
      </c>
      <c r="O409" s="320">
        <v>4</v>
      </c>
      <c r="P409" s="321">
        <v>47946820</v>
      </c>
      <c r="Q409" s="320">
        <v>9.9</v>
      </c>
      <c r="R409" s="320">
        <v>8.1</v>
      </c>
    </row>
    <row r="410" spans="2:18">
      <c r="B410" s="319">
        <v>4702</v>
      </c>
      <c r="C410" s="319" t="s">
        <v>846</v>
      </c>
      <c r="D410" s="320">
        <v>14.1</v>
      </c>
      <c r="E410" s="320">
        <v>-0.1</v>
      </c>
      <c r="F410" s="320">
        <v>14.25</v>
      </c>
      <c r="G410" s="320">
        <v>14.3</v>
      </c>
      <c r="H410" s="320">
        <v>14</v>
      </c>
      <c r="I410" s="321">
        <v>193000</v>
      </c>
      <c r="J410" s="321">
        <v>2729100</v>
      </c>
      <c r="K410" s="320">
        <v>107</v>
      </c>
      <c r="L410" s="320">
        <v>14.05</v>
      </c>
      <c r="M410" s="320">
        <v>11</v>
      </c>
      <c r="N410" s="320">
        <v>14.1</v>
      </c>
      <c r="O410" s="320">
        <v>1</v>
      </c>
      <c r="P410" s="321">
        <v>72333200</v>
      </c>
      <c r="Q410" s="320">
        <v>15.5</v>
      </c>
      <c r="R410" s="320">
        <v>12.7</v>
      </c>
    </row>
    <row r="411" spans="2:18">
      <c r="B411" s="319">
        <v>4706</v>
      </c>
      <c r="C411" s="319" t="s">
        <v>847</v>
      </c>
      <c r="D411" s="320">
        <v>19.899999999999999</v>
      </c>
      <c r="E411" s="320">
        <v>0.35</v>
      </c>
      <c r="F411" s="320">
        <v>19.7</v>
      </c>
      <c r="G411" s="320">
        <v>20.350000000000001</v>
      </c>
      <c r="H411" s="320">
        <v>19.7</v>
      </c>
      <c r="I411" s="321">
        <v>200000</v>
      </c>
      <c r="J411" s="321">
        <v>4011850</v>
      </c>
      <c r="K411" s="320">
        <v>160</v>
      </c>
      <c r="L411" s="320">
        <v>19.850000000000001</v>
      </c>
      <c r="M411" s="320">
        <v>4</v>
      </c>
      <c r="N411" s="320">
        <v>19.899999999999999</v>
      </c>
      <c r="O411" s="320">
        <v>3</v>
      </c>
      <c r="P411" s="321">
        <v>79030093</v>
      </c>
      <c r="Q411" s="320">
        <v>21.85</v>
      </c>
      <c r="R411" s="320">
        <v>17.95</v>
      </c>
    </row>
    <row r="412" spans="2:18">
      <c r="B412" s="319">
        <v>4707</v>
      </c>
      <c r="C412" s="319" t="s">
        <v>848</v>
      </c>
      <c r="D412" s="320">
        <v>12.65</v>
      </c>
      <c r="E412" s="320">
        <v>0</v>
      </c>
      <c r="F412" s="320">
        <v>12.65</v>
      </c>
      <c r="G412" s="320">
        <v>12.7</v>
      </c>
      <c r="H412" s="320">
        <v>12.55</v>
      </c>
      <c r="I412" s="321">
        <v>599000</v>
      </c>
      <c r="J412" s="321">
        <v>7560600</v>
      </c>
      <c r="K412" s="320">
        <v>185</v>
      </c>
      <c r="L412" s="320">
        <v>12.6</v>
      </c>
      <c r="M412" s="320">
        <v>91</v>
      </c>
      <c r="N412" s="320">
        <v>12.65</v>
      </c>
      <c r="O412" s="320">
        <v>45</v>
      </c>
      <c r="P412" s="321">
        <v>328026282</v>
      </c>
      <c r="Q412" s="320">
        <v>13.9</v>
      </c>
      <c r="R412" s="320">
        <v>11.4</v>
      </c>
    </row>
    <row r="413" spans="2:18">
      <c r="B413" s="319">
        <v>4711</v>
      </c>
      <c r="C413" s="319" t="s">
        <v>849</v>
      </c>
      <c r="D413" s="320">
        <v>19</v>
      </c>
      <c r="E413" s="320">
        <v>0.1</v>
      </c>
      <c r="F413" s="320">
        <v>19.05</v>
      </c>
      <c r="G413" s="320">
        <v>19.7</v>
      </c>
      <c r="H413" s="320">
        <v>19</v>
      </c>
      <c r="I413" s="321">
        <v>542000</v>
      </c>
      <c r="J413" s="321">
        <v>10495000</v>
      </c>
      <c r="K413" s="320">
        <v>308</v>
      </c>
      <c r="L413" s="320">
        <v>19</v>
      </c>
      <c r="M413" s="320">
        <v>8</v>
      </c>
      <c r="N413" s="320">
        <v>19.149999999999999</v>
      </c>
      <c r="O413" s="320">
        <v>2</v>
      </c>
      <c r="P413" s="321">
        <v>61056000</v>
      </c>
      <c r="Q413" s="320">
        <v>20.9</v>
      </c>
      <c r="R413" s="320">
        <v>17.100000000000001</v>
      </c>
    </row>
    <row r="414" spans="2:18">
      <c r="B414" s="319">
        <v>4714</v>
      </c>
      <c r="C414" s="319" t="s">
        <v>850</v>
      </c>
      <c r="D414" s="320">
        <v>14.55</v>
      </c>
      <c r="E414" s="320">
        <v>-0.15</v>
      </c>
      <c r="F414" s="320">
        <v>14.85</v>
      </c>
      <c r="G414" s="320">
        <v>14.85</v>
      </c>
      <c r="H414" s="320">
        <v>14.55</v>
      </c>
      <c r="I414" s="321">
        <v>1098000</v>
      </c>
      <c r="J414" s="321">
        <v>16092650</v>
      </c>
      <c r="K414" s="320">
        <v>512</v>
      </c>
      <c r="L414" s="320">
        <v>14.55</v>
      </c>
      <c r="M414" s="320">
        <v>44</v>
      </c>
      <c r="N414" s="320">
        <v>14.6</v>
      </c>
      <c r="O414" s="320">
        <v>11</v>
      </c>
      <c r="P414" s="321">
        <v>139463818</v>
      </c>
      <c r="Q414" s="320">
        <v>16</v>
      </c>
      <c r="R414" s="320">
        <v>13.1</v>
      </c>
    </row>
    <row r="415" spans="2:18">
      <c r="B415" s="319">
        <v>4716</v>
      </c>
      <c r="C415" s="319" t="s">
        <v>851</v>
      </c>
      <c r="D415" s="320">
        <v>15.05</v>
      </c>
      <c r="E415" s="320">
        <v>-0.25</v>
      </c>
      <c r="F415" s="320">
        <v>15.3</v>
      </c>
      <c r="G415" s="320">
        <v>15.4</v>
      </c>
      <c r="H415" s="320">
        <v>15</v>
      </c>
      <c r="I415" s="321">
        <v>603000</v>
      </c>
      <c r="J415" s="321">
        <v>9135150</v>
      </c>
      <c r="K415" s="320">
        <v>228</v>
      </c>
      <c r="L415" s="320">
        <v>15</v>
      </c>
      <c r="M415" s="320">
        <v>40</v>
      </c>
      <c r="N415" s="320">
        <v>15.05</v>
      </c>
      <c r="O415" s="320">
        <v>7</v>
      </c>
      <c r="P415" s="321">
        <v>75171561</v>
      </c>
      <c r="Q415" s="320">
        <v>16.55</v>
      </c>
      <c r="R415" s="320">
        <v>13.55</v>
      </c>
    </row>
    <row r="416" spans="2:18">
      <c r="B416" s="319">
        <v>4721</v>
      </c>
      <c r="C416" s="319" t="s">
        <v>852</v>
      </c>
      <c r="D416" s="320">
        <v>154.5</v>
      </c>
      <c r="E416" s="320">
        <v>-1.5</v>
      </c>
      <c r="F416" s="320">
        <v>157.5</v>
      </c>
      <c r="G416" s="320">
        <v>158</v>
      </c>
      <c r="H416" s="320">
        <v>154.5</v>
      </c>
      <c r="I416" s="321">
        <v>1710000</v>
      </c>
      <c r="J416" s="321">
        <v>267027000</v>
      </c>
      <c r="K416" s="321">
        <v>1251</v>
      </c>
      <c r="L416" s="320">
        <v>154.5</v>
      </c>
      <c r="M416" s="320">
        <v>31</v>
      </c>
      <c r="N416" s="320">
        <v>155</v>
      </c>
      <c r="O416" s="320">
        <v>8</v>
      </c>
      <c r="P416" s="321">
        <v>74986304</v>
      </c>
      <c r="Q416" s="320">
        <v>169.5</v>
      </c>
      <c r="R416" s="320">
        <v>139.5</v>
      </c>
    </row>
    <row r="417" spans="2:18">
      <c r="B417" s="319">
        <v>4726</v>
      </c>
      <c r="C417" s="319" t="s">
        <v>853</v>
      </c>
      <c r="D417" s="320">
        <v>37.6</v>
      </c>
      <c r="E417" s="320">
        <v>-0.25</v>
      </c>
      <c r="F417" s="320">
        <v>38.049999999999997</v>
      </c>
      <c r="G417" s="320">
        <v>38.1</v>
      </c>
      <c r="H417" s="320">
        <v>37.549999999999997</v>
      </c>
      <c r="I417" s="321">
        <v>367000</v>
      </c>
      <c r="J417" s="321">
        <v>13869350</v>
      </c>
      <c r="K417" s="320">
        <v>176</v>
      </c>
      <c r="L417" s="320">
        <v>37.6</v>
      </c>
      <c r="M417" s="320">
        <v>21</v>
      </c>
      <c r="N417" s="320">
        <v>37.799999999999997</v>
      </c>
      <c r="O417" s="320">
        <v>1</v>
      </c>
      <c r="P417" s="321">
        <v>153333700</v>
      </c>
      <c r="Q417" s="320">
        <v>41.35</v>
      </c>
      <c r="R417" s="320">
        <v>33.85</v>
      </c>
    </row>
    <row r="418" spans="2:18">
      <c r="B418" s="319">
        <v>4728</v>
      </c>
      <c r="C418" s="319" t="s">
        <v>854</v>
      </c>
      <c r="D418" s="320">
        <v>82</v>
      </c>
      <c r="E418" s="320">
        <v>0.6</v>
      </c>
      <c r="F418" s="320">
        <v>81.400000000000006</v>
      </c>
      <c r="G418" s="320">
        <v>82</v>
      </c>
      <c r="H418" s="320">
        <v>81.400000000000006</v>
      </c>
      <c r="I418" s="321">
        <v>31000</v>
      </c>
      <c r="J418" s="321">
        <v>2532700</v>
      </c>
      <c r="K418" s="320">
        <v>24</v>
      </c>
      <c r="L418" s="320">
        <v>81.599999999999994</v>
      </c>
      <c r="M418" s="320">
        <v>1</v>
      </c>
      <c r="N418" s="320">
        <v>82</v>
      </c>
      <c r="O418" s="320">
        <v>1</v>
      </c>
      <c r="P418" s="321">
        <v>54463000</v>
      </c>
      <c r="Q418" s="320">
        <v>90.2</v>
      </c>
      <c r="R418" s="320">
        <v>73.8</v>
      </c>
    </row>
    <row r="419" spans="2:18">
      <c r="B419" s="319">
        <v>4729</v>
      </c>
      <c r="C419" s="319" t="s">
        <v>855</v>
      </c>
      <c r="D419" s="320">
        <v>13.55</v>
      </c>
      <c r="E419" s="320">
        <v>-0.05</v>
      </c>
      <c r="F419" s="320">
        <v>13.7</v>
      </c>
      <c r="G419" s="320">
        <v>13.9</v>
      </c>
      <c r="H419" s="320">
        <v>13.55</v>
      </c>
      <c r="I419" s="321">
        <v>101000</v>
      </c>
      <c r="J419" s="321">
        <v>1383800</v>
      </c>
      <c r="K419" s="320">
        <v>67</v>
      </c>
      <c r="L419" s="320">
        <v>13.55</v>
      </c>
      <c r="M419" s="320">
        <v>27</v>
      </c>
      <c r="N419" s="320">
        <v>13.7</v>
      </c>
      <c r="O419" s="320">
        <v>7</v>
      </c>
      <c r="P419" s="321">
        <v>102206000</v>
      </c>
      <c r="Q419" s="320">
        <v>14.9</v>
      </c>
      <c r="R419" s="320">
        <v>12.2</v>
      </c>
    </row>
    <row r="420" spans="2:18">
      <c r="B420" s="319">
        <v>4735</v>
      </c>
      <c r="C420" s="319" t="s">
        <v>856</v>
      </c>
      <c r="D420" s="320">
        <v>57.4</v>
      </c>
      <c r="E420" s="320">
        <v>-0.1</v>
      </c>
      <c r="F420" s="320">
        <v>57.5</v>
      </c>
      <c r="G420" s="320">
        <v>57.5</v>
      </c>
      <c r="H420" s="320">
        <v>57.2</v>
      </c>
      <c r="I420" s="321">
        <v>64000</v>
      </c>
      <c r="J420" s="321">
        <v>3668100</v>
      </c>
      <c r="K420" s="320">
        <v>49</v>
      </c>
      <c r="L420" s="320">
        <v>57.4</v>
      </c>
      <c r="M420" s="320">
        <v>1</v>
      </c>
      <c r="N420" s="320">
        <v>57.5</v>
      </c>
      <c r="O420" s="320">
        <v>4</v>
      </c>
      <c r="P420" s="321">
        <v>36931758</v>
      </c>
      <c r="Q420" s="320">
        <v>63.1</v>
      </c>
      <c r="R420" s="320">
        <v>51.7</v>
      </c>
    </row>
    <row r="421" spans="2:18">
      <c r="B421" s="319">
        <v>4736</v>
      </c>
      <c r="C421" s="319" t="s">
        <v>857</v>
      </c>
      <c r="D421" s="320">
        <v>181</v>
      </c>
      <c r="E421" s="320">
        <v>3</v>
      </c>
      <c r="F421" s="320">
        <v>178</v>
      </c>
      <c r="G421" s="320">
        <v>181.5</v>
      </c>
      <c r="H421" s="320">
        <v>178</v>
      </c>
      <c r="I421" s="321">
        <v>541000</v>
      </c>
      <c r="J421" s="321">
        <v>97463000</v>
      </c>
      <c r="K421" s="320">
        <v>420</v>
      </c>
      <c r="L421" s="320">
        <v>181</v>
      </c>
      <c r="M421" s="320">
        <v>12</v>
      </c>
      <c r="N421" s="320">
        <v>181.5</v>
      </c>
      <c r="O421" s="320">
        <v>33</v>
      </c>
      <c r="P421" s="321">
        <v>92878685</v>
      </c>
      <c r="Q421" s="320">
        <v>199</v>
      </c>
      <c r="R421" s="320">
        <v>163</v>
      </c>
    </row>
    <row r="422" spans="2:18">
      <c r="B422" s="319">
        <v>4741</v>
      </c>
      <c r="C422" s="319" t="s">
        <v>858</v>
      </c>
      <c r="D422" s="320">
        <v>26.6</v>
      </c>
      <c r="E422" s="320">
        <v>0.1</v>
      </c>
      <c r="F422" s="320">
        <v>26.6</v>
      </c>
      <c r="G422" s="320">
        <v>26.6</v>
      </c>
      <c r="H422" s="320">
        <v>26.55</v>
      </c>
      <c r="I422" s="321">
        <v>18000</v>
      </c>
      <c r="J422" s="321">
        <v>478400</v>
      </c>
      <c r="K422" s="320">
        <v>16</v>
      </c>
      <c r="L422" s="320">
        <v>26.5</v>
      </c>
      <c r="M422" s="320">
        <v>2</v>
      </c>
      <c r="N422" s="320">
        <v>26.65</v>
      </c>
      <c r="O422" s="320">
        <v>4</v>
      </c>
      <c r="P422" s="321">
        <v>32841584</v>
      </c>
      <c r="Q422" s="320">
        <v>29.25</v>
      </c>
      <c r="R422" s="320">
        <v>23.95</v>
      </c>
    </row>
    <row r="423" spans="2:18">
      <c r="B423" s="319">
        <v>4743</v>
      </c>
      <c r="C423" s="319" t="s">
        <v>859</v>
      </c>
      <c r="D423" s="320">
        <v>287.5</v>
      </c>
      <c r="E423" s="320">
        <v>7</v>
      </c>
      <c r="F423" s="320">
        <v>282</v>
      </c>
      <c r="G423" s="320">
        <v>292</v>
      </c>
      <c r="H423" s="320">
        <v>282</v>
      </c>
      <c r="I423" s="321">
        <v>1985000</v>
      </c>
      <c r="J423" s="321">
        <v>571766500</v>
      </c>
      <c r="K423" s="321">
        <v>1572</v>
      </c>
      <c r="L423" s="320">
        <v>287.5</v>
      </c>
      <c r="M423" s="320">
        <v>5</v>
      </c>
      <c r="N423" s="320">
        <v>288</v>
      </c>
      <c r="O423" s="320">
        <v>14</v>
      </c>
      <c r="P423" s="321">
        <v>383338581</v>
      </c>
      <c r="Q423" s="320">
        <v>316</v>
      </c>
      <c r="R423" s="320">
        <v>259</v>
      </c>
    </row>
    <row r="424" spans="2:18">
      <c r="B424" s="319">
        <v>4744</v>
      </c>
      <c r="C424" s="319" t="s">
        <v>860</v>
      </c>
      <c r="D424" s="320">
        <v>39.299999999999997</v>
      </c>
      <c r="E424" s="320">
        <v>-0.8</v>
      </c>
      <c r="F424" s="320">
        <v>40.450000000000003</v>
      </c>
      <c r="G424" s="320">
        <v>41.35</v>
      </c>
      <c r="H424" s="320">
        <v>38.549999999999997</v>
      </c>
      <c r="I424" s="321">
        <v>3628000</v>
      </c>
      <c r="J424" s="321">
        <v>143677950</v>
      </c>
      <c r="K424" s="321">
        <v>2444</v>
      </c>
      <c r="L424" s="320">
        <v>39.299999999999997</v>
      </c>
      <c r="M424" s="320">
        <v>28</v>
      </c>
      <c r="N424" s="320">
        <v>39.35</v>
      </c>
      <c r="O424" s="320">
        <v>9</v>
      </c>
      <c r="P424" s="321">
        <v>47196897</v>
      </c>
      <c r="Q424" s="320">
        <v>43.2</v>
      </c>
      <c r="R424" s="320">
        <v>35.4</v>
      </c>
    </row>
    <row r="425" spans="2:18">
      <c r="B425" s="319">
        <v>4745</v>
      </c>
      <c r="C425" s="319" t="s">
        <v>861</v>
      </c>
      <c r="D425" s="320">
        <v>26.45</v>
      </c>
      <c r="E425" s="320">
        <v>-0.1</v>
      </c>
      <c r="F425" s="320">
        <v>26.35</v>
      </c>
      <c r="G425" s="320">
        <v>26.55</v>
      </c>
      <c r="H425" s="320">
        <v>26.35</v>
      </c>
      <c r="I425" s="321">
        <v>7000</v>
      </c>
      <c r="J425" s="321">
        <v>185250</v>
      </c>
      <c r="K425" s="320">
        <v>6</v>
      </c>
      <c r="L425" s="320">
        <v>26.4</v>
      </c>
      <c r="M425" s="320">
        <v>11</v>
      </c>
      <c r="N425" s="320">
        <v>26.45</v>
      </c>
      <c r="O425" s="320">
        <v>1</v>
      </c>
      <c r="P425" s="321">
        <v>77449547</v>
      </c>
      <c r="Q425" s="320">
        <v>29.05</v>
      </c>
      <c r="R425" s="320">
        <v>23.85</v>
      </c>
    </row>
    <row r="426" spans="2:18">
      <c r="B426" s="319">
        <v>4747</v>
      </c>
      <c r="C426" s="319" t="s">
        <v>862</v>
      </c>
      <c r="D426" s="320">
        <v>35.299999999999997</v>
      </c>
      <c r="E426" s="320">
        <v>0.25</v>
      </c>
      <c r="F426" s="320">
        <v>35.6</v>
      </c>
      <c r="G426" s="320">
        <v>35.65</v>
      </c>
      <c r="H426" s="320">
        <v>35.299999999999997</v>
      </c>
      <c r="I426" s="321">
        <v>4000</v>
      </c>
      <c r="J426" s="321">
        <v>142200</v>
      </c>
      <c r="K426" s="320">
        <v>4</v>
      </c>
      <c r="L426" s="320">
        <v>35.049999999999997</v>
      </c>
      <c r="M426" s="320">
        <v>5</v>
      </c>
      <c r="N426" s="320">
        <v>35.299999999999997</v>
      </c>
      <c r="O426" s="320">
        <v>2</v>
      </c>
      <c r="P426" s="321">
        <v>30018750</v>
      </c>
      <c r="Q426" s="320">
        <v>38.799999999999997</v>
      </c>
      <c r="R426" s="320">
        <v>31.8</v>
      </c>
    </row>
    <row r="427" spans="2:18">
      <c r="B427" s="319">
        <v>4754</v>
      </c>
      <c r="C427" s="319" t="s">
        <v>863</v>
      </c>
      <c r="D427" s="320">
        <v>37.549999999999997</v>
      </c>
      <c r="E427" s="320">
        <v>-0.1</v>
      </c>
      <c r="F427" s="320">
        <v>37.65</v>
      </c>
      <c r="G427" s="320">
        <v>37.700000000000003</v>
      </c>
      <c r="H427" s="320">
        <v>37.4</v>
      </c>
      <c r="I427" s="321">
        <v>14000</v>
      </c>
      <c r="J427" s="321">
        <v>524750</v>
      </c>
      <c r="K427" s="320">
        <v>13</v>
      </c>
      <c r="L427" s="320">
        <v>37.450000000000003</v>
      </c>
      <c r="M427" s="320">
        <v>1</v>
      </c>
      <c r="N427" s="320">
        <v>37.6</v>
      </c>
      <c r="O427" s="320">
        <v>5</v>
      </c>
      <c r="P427" s="321">
        <v>25027451</v>
      </c>
      <c r="Q427" s="320">
        <v>41.3</v>
      </c>
      <c r="R427" s="320">
        <v>33.799999999999997</v>
      </c>
    </row>
    <row r="428" spans="2:18">
      <c r="B428" s="319">
        <v>4760</v>
      </c>
      <c r="C428" s="319" t="s">
        <v>864</v>
      </c>
      <c r="D428" s="320">
        <v>93.3</v>
      </c>
      <c r="E428" s="320">
        <v>-0.2</v>
      </c>
      <c r="F428" s="320">
        <v>93.6</v>
      </c>
      <c r="G428" s="320">
        <v>94</v>
      </c>
      <c r="H428" s="320">
        <v>93.3</v>
      </c>
      <c r="I428" s="321">
        <v>41000</v>
      </c>
      <c r="J428" s="321">
        <v>3835500</v>
      </c>
      <c r="K428" s="320">
        <v>40</v>
      </c>
      <c r="L428" s="320">
        <v>93.3</v>
      </c>
      <c r="M428" s="320">
        <v>2</v>
      </c>
      <c r="N428" s="320">
        <v>93.4</v>
      </c>
      <c r="O428" s="320">
        <v>2</v>
      </c>
      <c r="P428" s="321">
        <v>32303994</v>
      </c>
      <c r="Q428" s="320">
        <v>102.5</v>
      </c>
      <c r="R428" s="320">
        <v>84</v>
      </c>
    </row>
    <row r="429" spans="2:18">
      <c r="B429" s="319">
        <v>4767</v>
      </c>
      <c r="C429" s="319" t="s">
        <v>865</v>
      </c>
      <c r="D429" s="320">
        <v>29</v>
      </c>
      <c r="E429" s="320">
        <v>0</v>
      </c>
      <c r="F429" s="320">
        <v>29</v>
      </c>
      <c r="G429" s="320">
        <v>29</v>
      </c>
      <c r="H429" s="320">
        <v>29</v>
      </c>
      <c r="I429" s="321">
        <v>1000</v>
      </c>
      <c r="J429" s="321">
        <v>29000</v>
      </c>
      <c r="K429" s="320">
        <v>1</v>
      </c>
      <c r="L429" s="320">
        <v>28.9</v>
      </c>
      <c r="M429" s="320">
        <v>3</v>
      </c>
      <c r="N429" s="320">
        <v>29.3</v>
      </c>
      <c r="O429" s="320">
        <v>2</v>
      </c>
      <c r="P429" s="321">
        <v>31415000</v>
      </c>
      <c r="Q429" s="320">
        <v>31.9</v>
      </c>
      <c r="R429" s="320">
        <v>26.1</v>
      </c>
    </row>
    <row r="430" spans="2:18">
      <c r="B430" s="319">
        <v>4804</v>
      </c>
      <c r="C430" s="319" t="s">
        <v>866</v>
      </c>
      <c r="D430" s="320">
        <v>8.1199999999999992</v>
      </c>
      <c r="E430" s="320">
        <v>-0.09</v>
      </c>
      <c r="F430" s="320">
        <v>8.2100000000000009</v>
      </c>
      <c r="G430" s="320">
        <v>8.2100000000000009</v>
      </c>
      <c r="H430" s="320">
        <v>8.0500000000000007</v>
      </c>
      <c r="I430" s="321">
        <v>125000</v>
      </c>
      <c r="J430" s="321">
        <v>1011700</v>
      </c>
      <c r="K430" s="320">
        <v>56</v>
      </c>
      <c r="L430" s="320">
        <v>8.1</v>
      </c>
      <c r="M430" s="320">
        <v>2</v>
      </c>
      <c r="N430" s="320">
        <v>8.1199999999999992</v>
      </c>
      <c r="O430" s="320">
        <v>5</v>
      </c>
      <c r="P430" s="321">
        <v>45347920</v>
      </c>
      <c r="Q430" s="320">
        <v>8.93</v>
      </c>
      <c r="R430" s="320">
        <v>7.31</v>
      </c>
    </row>
    <row r="431" spans="2:18">
      <c r="B431" s="319">
        <v>4806</v>
      </c>
      <c r="C431" s="319" t="s">
        <v>867</v>
      </c>
      <c r="D431" s="320">
        <v>9.7799999999999994</v>
      </c>
      <c r="E431" s="320">
        <v>-0.56999999999999995</v>
      </c>
      <c r="F431" s="320">
        <v>9.9</v>
      </c>
      <c r="G431" s="320">
        <v>9.9</v>
      </c>
      <c r="H431" s="320">
        <v>9.35</v>
      </c>
      <c r="I431" s="321">
        <v>65000</v>
      </c>
      <c r="J431" s="321">
        <v>618590</v>
      </c>
      <c r="K431" s="320">
        <v>23</v>
      </c>
      <c r="L431" s="320">
        <v>9.51</v>
      </c>
      <c r="M431" s="320">
        <v>3</v>
      </c>
      <c r="N431" s="320">
        <v>9.6999999999999993</v>
      </c>
      <c r="O431" s="320">
        <v>11</v>
      </c>
      <c r="P431" s="321">
        <v>45194185</v>
      </c>
      <c r="Q431" s="320">
        <v>10.75</v>
      </c>
      <c r="R431" s="320">
        <v>8.81</v>
      </c>
    </row>
    <row r="432" spans="2:18">
      <c r="B432" s="319">
        <v>4903</v>
      </c>
      <c r="C432" s="319" t="s">
        <v>868</v>
      </c>
      <c r="D432" s="320">
        <v>14.95</v>
      </c>
      <c r="E432" s="320">
        <v>0.75</v>
      </c>
      <c r="F432" s="320">
        <v>14.2</v>
      </c>
      <c r="G432" s="320">
        <v>15</v>
      </c>
      <c r="H432" s="320">
        <v>14.2</v>
      </c>
      <c r="I432" s="321">
        <v>847000</v>
      </c>
      <c r="J432" s="321">
        <v>12475050</v>
      </c>
      <c r="K432" s="320">
        <v>391</v>
      </c>
      <c r="L432" s="320">
        <v>14.95</v>
      </c>
      <c r="M432" s="320">
        <v>8</v>
      </c>
      <c r="N432" s="320">
        <v>15</v>
      </c>
      <c r="O432" s="320">
        <v>83</v>
      </c>
      <c r="P432" s="321">
        <v>90279327</v>
      </c>
      <c r="Q432" s="320">
        <v>16.399999999999999</v>
      </c>
      <c r="R432" s="320">
        <v>13.5</v>
      </c>
    </row>
    <row r="433" spans="2:18">
      <c r="B433" s="319">
        <v>4905</v>
      </c>
      <c r="C433" s="319" t="s">
        <v>3088</v>
      </c>
      <c r="D433" s="320">
        <v>53.5</v>
      </c>
      <c r="E433" s="320">
        <v>0</v>
      </c>
      <c r="F433" s="320">
        <v>53.5</v>
      </c>
      <c r="G433" s="320">
        <v>53.5</v>
      </c>
      <c r="H433" s="320">
        <v>53.5</v>
      </c>
      <c r="I433" s="321">
        <v>2000</v>
      </c>
      <c r="J433" s="321">
        <v>107000</v>
      </c>
      <c r="K433" s="320">
        <v>2</v>
      </c>
      <c r="L433" s="320">
        <v>53.5</v>
      </c>
      <c r="M433" s="320">
        <v>3</v>
      </c>
      <c r="N433" s="320">
        <v>53.7</v>
      </c>
      <c r="O433" s="320">
        <v>1</v>
      </c>
      <c r="P433" s="321">
        <v>30029044</v>
      </c>
      <c r="Q433" s="320">
        <v>58.8</v>
      </c>
      <c r="R433" s="320">
        <v>48.15</v>
      </c>
    </row>
    <row r="434" spans="2:18">
      <c r="B434" s="319">
        <v>4907</v>
      </c>
      <c r="C434" s="319" t="s">
        <v>869</v>
      </c>
      <c r="D434" s="320">
        <v>24.6</v>
      </c>
      <c r="E434" s="320">
        <v>0</v>
      </c>
      <c r="F434" s="320">
        <v>24.6</v>
      </c>
      <c r="G434" s="320">
        <v>24.7</v>
      </c>
      <c r="H434" s="320">
        <v>24.6</v>
      </c>
      <c r="I434" s="321">
        <v>18000</v>
      </c>
      <c r="J434" s="321">
        <v>443250</v>
      </c>
      <c r="K434" s="320">
        <v>15</v>
      </c>
      <c r="L434" s="320">
        <v>24.6</v>
      </c>
      <c r="M434" s="320">
        <v>1</v>
      </c>
      <c r="N434" s="320">
        <v>24.65</v>
      </c>
      <c r="O434" s="320">
        <v>3</v>
      </c>
      <c r="P434" s="321">
        <v>118145778</v>
      </c>
      <c r="Q434" s="320">
        <v>27.05</v>
      </c>
      <c r="R434" s="320">
        <v>22.15</v>
      </c>
    </row>
    <row r="435" spans="2:18">
      <c r="B435" s="319">
        <v>4908</v>
      </c>
      <c r="C435" s="319" t="s">
        <v>870</v>
      </c>
      <c r="D435" s="320">
        <v>31.85</v>
      </c>
      <c r="E435" s="320">
        <v>0.55000000000000004</v>
      </c>
      <c r="F435" s="320">
        <v>31.45</v>
      </c>
      <c r="G435" s="320">
        <v>32.25</v>
      </c>
      <c r="H435" s="320">
        <v>31.45</v>
      </c>
      <c r="I435" s="321">
        <v>209000</v>
      </c>
      <c r="J435" s="321">
        <v>6648850</v>
      </c>
      <c r="K435" s="320">
        <v>149</v>
      </c>
      <c r="L435" s="320">
        <v>31.75</v>
      </c>
      <c r="M435" s="320">
        <v>2</v>
      </c>
      <c r="N435" s="320">
        <v>31.9</v>
      </c>
      <c r="O435" s="320">
        <v>10</v>
      </c>
      <c r="P435" s="321">
        <v>78216907</v>
      </c>
      <c r="Q435" s="320">
        <v>35</v>
      </c>
      <c r="R435" s="320">
        <v>28.7</v>
      </c>
    </row>
    <row r="436" spans="2:18">
      <c r="B436" s="319">
        <v>4909</v>
      </c>
      <c r="C436" s="319" t="s">
        <v>871</v>
      </c>
      <c r="D436" s="320">
        <v>22.9</v>
      </c>
      <c r="E436" s="320">
        <v>-0.3</v>
      </c>
      <c r="F436" s="320">
        <v>23.2</v>
      </c>
      <c r="G436" s="320">
        <v>23.2</v>
      </c>
      <c r="H436" s="320">
        <v>22.8</v>
      </c>
      <c r="I436" s="321">
        <v>122000</v>
      </c>
      <c r="J436" s="321">
        <v>2795900</v>
      </c>
      <c r="K436" s="320">
        <v>91</v>
      </c>
      <c r="L436" s="320">
        <v>22.9</v>
      </c>
      <c r="M436" s="320">
        <v>3</v>
      </c>
      <c r="N436" s="320">
        <v>22.95</v>
      </c>
      <c r="O436" s="320">
        <v>1</v>
      </c>
      <c r="P436" s="321">
        <v>93356864</v>
      </c>
      <c r="Q436" s="320">
        <v>25.15</v>
      </c>
      <c r="R436" s="320">
        <v>20.65</v>
      </c>
    </row>
    <row r="437" spans="2:18">
      <c r="B437" s="319">
        <v>4911</v>
      </c>
      <c r="C437" s="319" t="s">
        <v>872</v>
      </c>
      <c r="D437" s="320">
        <v>28.1</v>
      </c>
      <c r="E437" s="320">
        <v>-0.15</v>
      </c>
      <c r="F437" s="320">
        <v>29</v>
      </c>
      <c r="G437" s="320">
        <v>29</v>
      </c>
      <c r="H437" s="320">
        <v>28</v>
      </c>
      <c r="I437" s="321">
        <v>37000</v>
      </c>
      <c r="J437" s="321">
        <v>1046300</v>
      </c>
      <c r="K437" s="320">
        <v>27</v>
      </c>
      <c r="L437" s="320">
        <v>28</v>
      </c>
      <c r="M437" s="320">
        <v>3</v>
      </c>
      <c r="N437" s="320">
        <v>28.25</v>
      </c>
      <c r="O437" s="320">
        <v>3</v>
      </c>
      <c r="P437" s="321">
        <v>55660000</v>
      </c>
      <c r="Q437" s="320">
        <v>30.9</v>
      </c>
      <c r="R437" s="320">
        <v>25.3</v>
      </c>
    </row>
    <row r="438" spans="2:18">
      <c r="B438" s="319">
        <v>4924</v>
      </c>
      <c r="C438" s="319" t="s">
        <v>873</v>
      </c>
      <c r="D438" s="320">
        <v>16.25</v>
      </c>
      <c r="E438" s="320">
        <v>1.45</v>
      </c>
      <c r="F438" s="320">
        <v>14.8</v>
      </c>
      <c r="G438" s="320">
        <v>16.25</v>
      </c>
      <c r="H438" s="320">
        <v>14.8</v>
      </c>
      <c r="I438" s="321">
        <v>127000</v>
      </c>
      <c r="J438" s="321">
        <v>2015950</v>
      </c>
      <c r="K438" s="320">
        <v>88</v>
      </c>
      <c r="L438" s="320">
        <v>16.25</v>
      </c>
      <c r="M438" s="320">
        <v>1</v>
      </c>
      <c r="N438" s="320">
        <v>0</v>
      </c>
      <c r="O438" s="320">
        <v>0</v>
      </c>
      <c r="P438" s="321">
        <v>37164409</v>
      </c>
      <c r="Q438" s="320">
        <v>17.850000000000001</v>
      </c>
      <c r="R438" s="320">
        <v>14.65</v>
      </c>
    </row>
    <row r="439" spans="2:18">
      <c r="B439" s="319">
        <v>4931</v>
      </c>
      <c r="C439" s="319" t="s">
        <v>874</v>
      </c>
      <c r="D439" s="320">
        <v>21.5</v>
      </c>
      <c r="E439" s="320">
        <v>0.3</v>
      </c>
      <c r="F439" s="320">
        <v>21.25</v>
      </c>
      <c r="G439" s="320">
        <v>21.6</v>
      </c>
      <c r="H439" s="320">
        <v>21.25</v>
      </c>
      <c r="I439" s="321">
        <v>176000</v>
      </c>
      <c r="J439" s="321">
        <v>3770750</v>
      </c>
      <c r="K439" s="320">
        <v>95</v>
      </c>
      <c r="L439" s="320">
        <v>21.35</v>
      </c>
      <c r="M439" s="320">
        <v>3</v>
      </c>
      <c r="N439" s="320">
        <v>21.4</v>
      </c>
      <c r="O439" s="320">
        <v>2</v>
      </c>
      <c r="P439" s="321">
        <v>63645261</v>
      </c>
      <c r="Q439" s="320">
        <v>23.65</v>
      </c>
      <c r="R439" s="320">
        <v>19.350000000000001</v>
      </c>
    </row>
    <row r="440" spans="2:18">
      <c r="B440" s="319">
        <v>4933</v>
      </c>
      <c r="C440" s="319" t="s">
        <v>875</v>
      </c>
      <c r="D440" s="320">
        <v>38</v>
      </c>
      <c r="E440" s="320">
        <v>-0.1</v>
      </c>
      <c r="F440" s="320">
        <v>38.25</v>
      </c>
      <c r="G440" s="320">
        <v>38.299999999999997</v>
      </c>
      <c r="H440" s="320">
        <v>37.9</v>
      </c>
      <c r="I440" s="321">
        <v>15000</v>
      </c>
      <c r="J440" s="321">
        <v>570500</v>
      </c>
      <c r="K440" s="320">
        <v>12</v>
      </c>
      <c r="L440" s="320">
        <v>38</v>
      </c>
      <c r="M440" s="320">
        <v>3</v>
      </c>
      <c r="N440" s="320">
        <v>38.1</v>
      </c>
      <c r="O440" s="320">
        <v>2</v>
      </c>
      <c r="P440" s="321">
        <v>79944675</v>
      </c>
      <c r="Q440" s="320">
        <v>41.8</v>
      </c>
      <c r="R440" s="320">
        <v>34.200000000000003</v>
      </c>
    </row>
    <row r="441" spans="2:18">
      <c r="B441" s="319">
        <v>4939</v>
      </c>
      <c r="C441" s="319" t="s">
        <v>876</v>
      </c>
      <c r="D441" s="320">
        <v>22</v>
      </c>
      <c r="E441" s="320">
        <v>0</v>
      </c>
      <c r="F441" s="320">
        <v>22.15</v>
      </c>
      <c r="G441" s="320">
        <v>22.4</v>
      </c>
      <c r="H441" s="320">
        <v>21.9</v>
      </c>
      <c r="I441" s="321">
        <v>1100000</v>
      </c>
      <c r="J441" s="321">
        <v>24367100</v>
      </c>
      <c r="K441" s="320">
        <v>469</v>
      </c>
      <c r="L441" s="320">
        <v>21.95</v>
      </c>
      <c r="M441" s="320">
        <v>15</v>
      </c>
      <c r="N441" s="320">
        <v>22</v>
      </c>
      <c r="O441" s="320">
        <v>3</v>
      </c>
      <c r="P441" s="321">
        <v>98200868</v>
      </c>
      <c r="Q441" s="320">
        <v>24.2</v>
      </c>
      <c r="R441" s="320">
        <v>19.8</v>
      </c>
    </row>
    <row r="442" spans="2:18">
      <c r="B442" s="319">
        <v>4944</v>
      </c>
      <c r="C442" s="319" t="s">
        <v>877</v>
      </c>
      <c r="D442" s="320">
        <v>29.6</v>
      </c>
      <c r="E442" s="320">
        <v>0.05</v>
      </c>
      <c r="F442" s="320">
        <v>30</v>
      </c>
      <c r="G442" s="320">
        <v>31.25</v>
      </c>
      <c r="H442" s="320">
        <v>29.5</v>
      </c>
      <c r="I442" s="321">
        <v>336000</v>
      </c>
      <c r="J442" s="321">
        <v>10136900</v>
      </c>
      <c r="K442" s="320">
        <v>201</v>
      </c>
      <c r="L442" s="320">
        <v>29.6</v>
      </c>
      <c r="M442" s="320">
        <v>2</v>
      </c>
      <c r="N442" s="320">
        <v>29.95</v>
      </c>
      <c r="O442" s="320">
        <v>1</v>
      </c>
      <c r="P442" s="321">
        <v>88089296</v>
      </c>
      <c r="Q442" s="320">
        <v>32.549999999999997</v>
      </c>
      <c r="R442" s="320">
        <v>26.65</v>
      </c>
    </row>
    <row r="443" spans="2:18">
      <c r="B443" s="319">
        <v>4945</v>
      </c>
      <c r="C443" s="319" t="s">
        <v>878</v>
      </c>
      <c r="D443" s="320">
        <v>80.599999999999994</v>
      </c>
      <c r="E443" s="320">
        <v>-1.5</v>
      </c>
      <c r="F443" s="320">
        <v>82.2</v>
      </c>
      <c r="G443" s="320">
        <v>85.5</v>
      </c>
      <c r="H443" s="320">
        <v>80.3</v>
      </c>
      <c r="I443" s="321">
        <v>1010000</v>
      </c>
      <c r="J443" s="321">
        <v>83498300</v>
      </c>
      <c r="K443" s="320">
        <v>689</v>
      </c>
      <c r="L443" s="320">
        <v>80.599999999999994</v>
      </c>
      <c r="M443" s="320">
        <v>14</v>
      </c>
      <c r="N443" s="320">
        <v>80.7</v>
      </c>
      <c r="O443" s="320">
        <v>4</v>
      </c>
      <c r="P443" s="321">
        <v>30056600</v>
      </c>
      <c r="Q443" s="320">
        <v>88.6</v>
      </c>
      <c r="R443" s="320">
        <v>72.599999999999994</v>
      </c>
    </row>
    <row r="444" spans="2:18">
      <c r="B444" s="319">
        <v>4946</v>
      </c>
      <c r="C444" s="319" t="s">
        <v>879</v>
      </c>
      <c r="D444" s="320">
        <v>55</v>
      </c>
      <c r="E444" s="320">
        <v>0.4</v>
      </c>
      <c r="F444" s="320">
        <v>54.6</v>
      </c>
      <c r="G444" s="320">
        <v>56</v>
      </c>
      <c r="H444" s="320">
        <v>54.6</v>
      </c>
      <c r="I444" s="321">
        <v>365000</v>
      </c>
      <c r="J444" s="321">
        <v>20084900</v>
      </c>
      <c r="K444" s="320">
        <v>252</v>
      </c>
      <c r="L444" s="320">
        <v>54.8</v>
      </c>
      <c r="M444" s="320">
        <v>7</v>
      </c>
      <c r="N444" s="320">
        <v>55</v>
      </c>
      <c r="O444" s="320">
        <v>7</v>
      </c>
      <c r="P444" s="321">
        <v>13660398</v>
      </c>
      <c r="Q444" s="320">
        <v>60.5</v>
      </c>
      <c r="R444" s="320">
        <v>49.5</v>
      </c>
    </row>
    <row r="445" spans="2:18">
      <c r="B445" s="319">
        <v>4950</v>
      </c>
      <c r="C445" s="319" t="s">
        <v>880</v>
      </c>
      <c r="D445" s="320">
        <v>19.3</v>
      </c>
      <c r="E445" s="320">
        <v>-0.2</v>
      </c>
      <c r="F445" s="320">
        <v>19.5</v>
      </c>
      <c r="G445" s="320">
        <v>19.55</v>
      </c>
      <c r="H445" s="320">
        <v>19.100000000000001</v>
      </c>
      <c r="I445" s="321">
        <v>281000</v>
      </c>
      <c r="J445" s="321">
        <v>5413700</v>
      </c>
      <c r="K445" s="320">
        <v>150</v>
      </c>
      <c r="L445" s="320">
        <v>19.100000000000001</v>
      </c>
      <c r="M445" s="320">
        <v>16</v>
      </c>
      <c r="N445" s="320">
        <v>19.3</v>
      </c>
      <c r="O445" s="320">
        <v>1</v>
      </c>
      <c r="P445" s="321">
        <v>46759750</v>
      </c>
      <c r="Q445" s="320">
        <v>21.2</v>
      </c>
      <c r="R445" s="320">
        <v>17.399999999999999</v>
      </c>
    </row>
    <row r="446" spans="2:18">
      <c r="B446" s="319">
        <v>4953</v>
      </c>
      <c r="C446" s="319" t="s">
        <v>881</v>
      </c>
      <c r="D446" s="320">
        <v>86.4</v>
      </c>
      <c r="E446" s="320">
        <v>0.5</v>
      </c>
      <c r="F446" s="320">
        <v>86.2</v>
      </c>
      <c r="G446" s="320">
        <v>87</v>
      </c>
      <c r="H446" s="320">
        <v>85.7</v>
      </c>
      <c r="I446" s="321">
        <v>152000</v>
      </c>
      <c r="J446" s="321">
        <v>13118200</v>
      </c>
      <c r="K446" s="320">
        <v>131</v>
      </c>
      <c r="L446" s="320">
        <v>86.2</v>
      </c>
      <c r="M446" s="320">
        <v>1</v>
      </c>
      <c r="N446" s="320">
        <v>86.4</v>
      </c>
      <c r="O446" s="320">
        <v>5</v>
      </c>
      <c r="P446" s="321">
        <v>66921088</v>
      </c>
      <c r="Q446" s="320">
        <v>95</v>
      </c>
      <c r="R446" s="320">
        <v>77.8</v>
      </c>
    </row>
    <row r="447" spans="2:18">
      <c r="B447" s="319">
        <v>4966</v>
      </c>
      <c r="C447" s="319" t="s">
        <v>882</v>
      </c>
      <c r="D447" s="322">
        <v>2100</v>
      </c>
      <c r="E447" s="320">
        <v>45</v>
      </c>
      <c r="F447" s="322">
        <v>2075</v>
      </c>
      <c r="G447" s="322">
        <v>2115</v>
      </c>
      <c r="H447" s="322">
        <v>2070</v>
      </c>
      <c r="I447" s="321">
        <v>175000</v>
      </c>
      <c r="J447" s="321">
        <v>367370000</v>
      </c>
      <c r="K447" s="320">
        <v>168</v>
      </c>
      <c r="L447" s="322">
        <v>2100</v>
      </c>
      <c r="M447" s="320">
        <v>77</v>
      </c>
      <c r="N447" s="322">
        <v>2105</v>
      </c>
      <c r="O447" s="320">
        <v>3</v>
      </c>
      <c r="P447" s="321">
        <v>80855850</v>
      </c>
      <c r="Q447" s="322">
        <v>2310</v>
      </c>
      <c r="R447" s="322">
        <v>1890</v>
      </c>
    </row>
    <row r="448" spans="2:18">
      <c r="B448" s="319">
        <v>4971</v>
      </c>
      <c r="C448" s="319" t="s">
        <v>883</v>
      </c>
      <c r="D448" s="320">
        <v>69.900000000000006</v>
      </c>
      <c r="E448" s="320">
        <v>1.3</v>
      </c>
      <c r="F448" s="320">
        <v>69.5</v>
      </c>
      <c r="G448" s="320">
        <v>70.7</v>
      </c>
      <c r="H448" s="320">
        <v>69.3</v>
      </c>
      <c r="I448" s="321">
        <v>299000</v>
      </c>
      <c r="J448" s="321">
        <v>20922500</v>
      </c>
      <c r="K448" s="320">
        <v>226</v>
      </c>
      <c r="L448" s="320">
        <v>69.900000000000006</v>
      </c>
      <c r="M448" s="320">
        <v>1</v>
      </c>
      <c r="N448" s="320">
        <v>70</v>
      </c>
      <c r="O448" s="320">
        <v>4</v>
      </c>
      <c r="P448" s="321">
        <v>36514543</v>
      </c>
      <c r="Q448" s="320">
        <v>76.8</v>
      </c>
      <c r="R448" s="320">
        <v>63</v>
      </c>
    </row>
    <row r="449" spans="2:18">
      <c r="B449" s="319">
        <v>4972</v>
      </c>
      <c r="C449" s="319" t="s">
        <v>884</v>
      </c>
      <c r="D449" s="320">
        <v>31.7</v>
      </c>
      <c r="E449" s="320">
        <v>-0.05</v>
      </c>
      <c r="F449" s="320">
        <v>31.8</v>
      </c>
      <c r="G449" s="320">
        <v>31.8</v>
      </c>
      <c r="H449" s="320">
        <v>31.7</v>
      </c>
      <c r="I449" s="321">
        <v>16000</v>
      </c>
      <c r="J449" s="321">
        <v>507950</v>
      </c>
      <c r="K449" s="320">
        <v>11</v>
      </c>
      <c r="L449" s="320">
        <v>31.7</v>
      </c>
      <c r="M449" s="320">
        <v>7</v>
      </c>
      <c r="N449" s="320">
        <v>31.8</v>
      </c>
      <c r="O449" s="320">
        <v>4</v>
      </c>
      <c r="P449" s="321">
        <v>40203053</v>
      </c>
      <c r="Q449" s="320">
        <v>34.85</v>
      </c>
      <c r="R449" s="320">
        <v>28.55</v>
      </c>
    </row>
    <row r="450" spans="2:18">
      <c r="B450" s="319">
        <v>4973</v>
      </c>
      <c r="C450" s="319" t="s">
        <v>885</v>
      </c>
      <c r="D450" s="320">
        <v>25.05</v>
      </c>
      <c r="E450" s="320">
        <v>0.2</v>
      </c>
      <c r="F450" s="320">
        <v>24.85</v>
      </c>
      <c r="G450" s="320">
        <v>25.15</v>
      </c>
      <c r="H450" s="320">
        <v>24.85</v>
      </c>
      <c r="I450" s="321">
        <v>153000</v>
      </c>
      <c r="J450" s="321">
        <v>3816850</v>
      </c>
      <c r="K450" s="320">
        <v>70</v>
      </c>
      <c r="L450" s="320">
        <v>25</v>
      </c>
      <c r="M450" s="320">
        <v>16</v>
      </c>
      <c r="N450" s="320">
        <v>25.05</v>
      </c>
      <c r="O450" s="320">
        <v>4</v>
      </c>
      <c r="P450" s="321">
        <v>63505833</v>
      </c>
      <c r="Q450" s="320">
        <v>27.55</v>
      </c>
      <c r="R450" s="320">
        <v>22.55</v>
      </c>
    </row>
    <row r="451" spans="2:18">
      <c r="B451" s="319">
        <v>4974</v>
      </c>
      <c r="C451" s="319" t="s">
        <v>886</v>
      </c>
      <c r="D451" s="320">
        <v>54</v>
      </c>
      <c r="E451" s="320">
        <v>0.1</v>
      </c>
      <c r="F451" s="320">
        <v>54.1</v>
      </c>
      <c r="G451" s="320">
        <v>54.3</v>
      </c>
      <c r="H451" s="320">
        <v>54</v>
      </c>
      <c r="I451" s="321">
        <v>104000</v>
      </c>
      <c r="J451" s="321">
        <v>5632300</v>
      </c>
      <c r="K451" s="320">
        <v>88</v>
      </c>
      <c r="L451" s="320">
        <v>54</v>
      </c>
      <c r="M451" s="320">
        <v>23</v>
      </c>
      <c r="N451" s="320">
        <v>54.2</v>
      </c>
      <c r="O451" s="320">
        <v>7</v>
      </c>
      <c r="P451" s="321">
        <v>72500104</v>
      </c>
      <c r="Q451" s="320">
        <v>59.4</v>
      </c>
      <c r="R451" s="320">
        <v>48.6</v>
      </c>
    </row>
    <row r="452" spans="2:18">
      <c r="B452" s="319">
        <v>4979</v>
      </c>
      <c r="C452" s="319" t="s">
        <v>887</v>
      </c>
      <c r="D452" s="320">
        <v>19.850000000000001</v>
      </c>
      <c r="E452" s="320">
        <v>1.05</v>
      </c>
      <c r="F452" s="320">
        <v>19.05</v>
      </c>
      <c r="G452" s="320">
        <v>20.25</v>
      </c>
      <c r="H452" s="320">
        <v>19.05</v>
      </c>
      <c r="I452" s="321">
        <v>4515000</v>
      </c>
      <c r="J452" s="321">
        <v>89761750</v>
      </c>
      <c r="K452" s="321">
        <v>2360</v>
      </c>
      <c r="L452" s="320">
        <v>19.850000000000001</v>
      </c>
      <c r="M452" s="320">
        <v>8</v>
      </c>
      <c r="N452" s="320">
        <v>19.899999999999999</v>
      </c>
      <c r="O452" s="320">
        <v>85</v>
      </c>
      <c r="P452" s="321">
        <v>132726279</v>
      </c>
      <c r="Q452" s="320">
        <v>21.8</v>
      </c>
      <c r="R452" s="320">
        <v>17.899999999999999</v>
      </c>
    </row>
    <row r="453" spans="2:18">
      <c r="B453" s="319">
        <v>4987</v>
      </c>
      <c r="C453" s="319" t="s">
        <v>888</v>
      </c>
      <c r="D453" s="320">
        <v>52</v>
      </c>
      <c r="E453" s="320">
        <v>-0.1</v>
      </c>
      <c r="F453" s="320">
        <v>52</v>
      </c>
      <c r="G453" s="320">
        <v>52.2</v>
      </c>
      <c r="H453" s="320">
        <v>51.9</v>
      </c>
      <c r="I453" s="321">
        <v>157000</v>
      </c>
      <c r="J453" s="321">
        <v>8172200</v>
      </c>
      <c r="K453" s="320">
        <v>50</v>
      </c>
      <c r="L453" s="320">
        <v>51.9</v>
      </c>
      <c r="M453" s="320">
        <v>5</v>
      </c>
      <c r="N453" s="320">
        <v>52.2</v>
      </c>
      <c r="O453" s="320">
        <v>1</v>
      </c>
      <c r="P453" s="321">
        <v>28980000</v>
      </c>
      <c r="Q453" s="320">
        <v>57.2</v>
      </c>
      <c r="R453" s="320">
        <v>46.8</v>
      </c>
    </row>
    <row r="454" spans="2:18">
      <c r="B454" s="319">
        <v>4991</v>
      </c>
      <c r="C454" s="319" t="s">
        <v>889</v>
      </c>
      <c r="D454" s="320">
        <v>48.85</v>
      </c>
      <c r="E454" s="320">
        <v>0</v>
      </c>
      <c r="F454" s="320">
        <v>48.7</v>
      </c>
      <c r="G454" s="320">
        <v>49</v>
      </c>
      <c r="H454" s="320">
        <v>48.55</v>
      </c>
      <c r="I454" s="321">
        <v>45000</v>
      </c>
      <c r="J454" s="321">
        <v>2192450</v>
      </c>
      <c r="K454" s="320">
        <v>37</v>
      </c>
      <c r="L454" s="320">
        <v>48.75</v>
      </c>
      <c r="M454" s="320">
        <v>2</v>
      </c>
      <c r="N454" s="320">
        <v>48.95</v>
      </c>
      <c r="O454" s="320">
        <v>1</v>
      </c>
      <c r="P454" s="321">
        <v>91726567</v>
      </c>
      <c r="Q454" s="320">
        <v>53.7</v>
      </c>
      <c r="R454" s="320">
        <v>44</v>
      </c>
    </row>
    <row r="455" spans="2:18">
      <c r="B455" s="319">
        <v>4995</v>
      </c>
      <c r="C455" s="319" t="s">
        <v>890</v>
      </c>
      <c r="D455" s="320">
        <v>37.5</v>
      </c>
      <c r="E455" s="320">
        <v>-0.2</v>
      </c>
      <c r="F455" s="320">
        <v>37.5</v>
      </c>
      <c r="G455" s="320">
        <v>37.6</v>
      </c>
      <c r="H455" s="320">
        <v>37.15</v>
      </c>
      <c r="I455" s="321">
        <v>51000</v>
      </c>
      <c r="J455" s="321">
        <v>1905350</v>
      </c>
      <c r="K455" s="320">
        <v>21</v>
      </c>
      <c r="L455" s="320">
        <v>37.299999999999997</v>
      </c>
      <c r="M455" s="320">
        <v>2</v>
      </c>
      <c r="N455" s="320">
        <v>37.700000000000003</v>
      </c>
      <c r="O455" s="320">
        <v>1</v>
      </c>
      <c r="P455" s="321">
        <v>41839036</v>
      </c>
      <c r="Q455" s="320">
        <v>41.25</v>
      </c>
      <c r="R455" s="320">
        <v>33.75</v>
      </c>
    </row>
    <row r="456" spans="2:18">
      <c r="B456" s="319">
        <v>5009</v>
      </c>
      <c r="C456" s="319" t="s">
        <v>891</v>
      </c>
      <c r="D456" s="320">
        <v>21.85</v>
      </c>
      <c r="E456" s="320">
        <v>-0.15</v>
      </c>
      <c r="F456" s="320">
        <v>22.05</v>
      </c>
      <c r="G456" s="320">
        <v>22.15</v>
      </c>
      <c r="H456" s="320">
        <v>21.85</v>
      </c>
      <c r="I456" s="321">
        <v>2071000</v>
      </c>
      <c r="J456" s="321">
        <v>45417800</v>
      </c>
      <c r="K456" s="320">
        <v>864</v>
      </c>
      <c r="L456" s="320">
        <v>21.85</v>
      </c>
      <c r="M456" s="320">
        <v>70</v>
      </c>
      <c r="N456" s="320">
        <v>21.9</v>
      </c>
      <c r="O456" s="320">
        <v>46</v>
      </c>
      <c r="P456" s="321">
        <v>456735991</v>
      </c>
      <c r="Q456" s="320">
        <v>24</v>
      </c>
      <c r="R456" s="320">
        <v>19.7</v>
      </c>
    </row>
    <row r="457" spans="2:18">
      <c r="B457" s="319">
        <v>5011</v>
      </c>
      <c r="C457" s="319" t="s">
        <v>892</v>
      </c>
      <c r="D457" s="320">
        <v>34.65</v>
      </c>
      <c r="E457" s="320">
        <v>0.55000000000000004</v>
      </c>
      <c r="F457" s="320">
        <v>34.799999999999997</v>
      </c>
      <c r="G457" s="320">
        <v>35.65</v>
      </c>
      <c r="H457" s="320">
        <v>34.5</v>
      </c>
      <c r="I457" s="321">
        <v>3443000</v>
      </c>
      <c r="J457" s="321">
        <v>120751850</v>
      </c>
      <c r="K457" s="321">
        <v>1690</v>
      </c>
      <c r="L457" s="320">
        <v>34.65</v>
      </c>
      <c r="M457" s="320">
        <v>16</v>
      </c>
      <c r="N457" s="320">
        <v>34.700000000000003</v>
      </c>
      <c r="O457" s="320">
        <v>5</v>
      </c>
      <c r="P457" s="321">
        <v>76021801</v>
      </c>
      <c r="Q457" s="320">
        <v>38.1</v>
      </c>
      <c r="R457" s="320">
        <v>31.2</v>
      </c>
    </row>
    <row r="458" spans="2:18">
      <c r="B458" s="319">
        <v>5013</v>
      </c>
      <c r="C458" s="319" t="s">
        <v>893</v>
      </c>
      <c r="D458" s="320">
        <v>38.6</v>
      </c>
      <c r="E458" s="320">
        <v>0.05</v>
      </c>
      <c r="F458" s="320">
        <v>38.5</v>
      </c>
      <c r="G458" s="320">
        <v>38.65</v>
      </c>
      <c r="H458" s="320">
        <v>38.5</v>
      </c>
      <c r="I458" s="321">
        <v>14000</v>
      </c>
      <c r="J458" s="321">
        <v>539950</v>
      </c>
      <c r="K458" s="320">
        <v>12</v>
      </c>
      <c r="L458" s="320">
        <v>38.549999999999997</v>
      </c>
      <c r="M458" s="320">
        <v>2</v>
      </c>
      <c r="N458" s="320">
        <v>38.65</v>
      </c>
      <c r="O458" s="320">
        <v>4</v>
      </c>
      <c r="P458" s="321">
        <v>133416000</v>
      </c>
      <c r="Q458" s="320">
        <v>42.45</v>
      </c>
      <c r="R458" s="320">
        <v>34.75</v>
      </c>
    </row>
    <row r="459" spans="2:18">
      <c r="B459" s="319">
        <v>5014</v>
      </c>
      <c r="C459" s="319" t="s">
        <v>894</v>
      </c>
      <c r="D459" s="320">
        <v>21.35</v>
      </c>
      <c r="E459" s="320">
        <v>0</v>
      </c>
      <c r="F459" s="320">
        <v>21.5</v>
      </c>
      <c r="G459" s="320">
        <v>21.55</v>
      </c>
      <c r="H459" s="320">
        <v>21.3</v>
      </c>
      <c r="I459" s="321">
        <v>1015000</v>
      </c>
      <c r="J459" s="321">
        <v>21720600</v>
      </c>
      <c r="K459" s="320">
        <v>451</v>
      </c>
      <c r="L459" s="320">
        <v>21.35</v>
      </c>
      <c r="M459" s="320">
        <v>35</v>
      </c>
      <c r="N459" s="320">
        <v>21.4</v>
      </c>
      <c r="O459" s="320">
        <v>10</v>
      </c>
      <c r="P459" s="321">
        <v>185333054</v>
      </c>
      <c r="Q459" s="320">
        <v>23.45</v>
      </c>
      <c r="R459" s="320">
        <v>19.25</v>
      </c>
    </row>
    <row r="460" spans="2:18">
      <c r="B460" s="319">
        <v>5015</v>
      </c>
      <c r="C460" s="319" t="s">
        <v>895</v>
      </c>
      <c r="D460" s="320">
        <v>36.5</v>
      </c>
      <c r="E460" s="320">
        <v>0</v>
      </c>
      <c r="F460" s="320">
        <v>36.5</v>
      </c>
      <c r="G460" s="320">
        <v>36.549999999999997</v>
      </c>
      <c r="H460" s="320">
        <v>36.5</v>
      </c>
      <c r="I460" s="321">
        <v>85000</v>
      </c>
      <c r="J460" s="321">
        <v>3105100</v>
      </c>
      <c r="K460" s="320">
        <v>40</v>
      </c>
      <c r="L460" s="320">
        <v>36.5</v>
      </c>
      <c r="M460" s="320">
        <v>20</v>
      </c>
      <c r="N460" s="320">
        <v>36.549999999999997</v>
      </c>
      <c r="O460" s="320">
        <v>1</v>
      </c>
      <c r="P460" s="321">
        <v>60639189</v>
      </c>
      <c r="Q460" s="320">
        <v>40.15</v>
      </c>
      <c r="R460" s="320">
        <v>32.85</v>
      </c>
    </row>
    <row r="461" spans="2:18">
      <c r="B461" s="319">
        <v>5016</v>
      </c>
      <c r="C461" s="319" t="s">
        <v>896</v>
      </c>
      <c r="D461" s="320">
        <v>38.1</v>
      </c>
      <c r="E461" s="320">
        <v>0.05</v>
      </c>
      <c r="F461" s="320">
        <v>38.25</v>
      </c>
      <c r="G461" s="320">
        <v>38.25</v>
      </c>
      <c r="H461" s="320">
        <v>37.950000000000003</v>
      </c>
      <c r="I461" s="321">
        <v>68000</v>
      </c>
      <c r="J461" s="321">
        <v>2592250</v>
      </c>
      <c r="K461" s="320">
        <v>36</v>
      </c>
      <c r="L461" s="320">
        <v>38.049999999999997</v>
      </c>
      <c r="M461" s="320">
        <v>5</v>
      </c>
      <c r="N461" s="320">
        <v>38.1</v>
      </c>
      <c r="O461" s="320">
        <v>1</v>
      </c>
      <c r="P461" s="321">
        <v>49622076</v>
      </c>
      <c r="Q461" s="320">
        <v>41.9</v>
      </c>
      <c r="R461" s="320">
        <v>34.299999999999997</v>
      </c>
    </row>
    <row r="462" spans="2:18">
      <c r="B462" s="319">
        <v>5102</v>
      </c>
      <c r="C462" s="319" t="s">
        <v>897</v>
      </c>
      <c r="D462" s="320">
        <v>19.95</v>
      </c>
      <c r="E462" s="320">
        <v>0.25</v>
      </c>
      <c r="F462" s="320">
        <v>19.75</v>
      </c>
      <c r="G462" s="320">
        <v>19.95</v>
      </c>
      <c r="H462" s="320">
        <v>19.75</v>
      </c>
      <c r="I462" s="321">
        <v>5000</v>
      </c>
      <c r="J462" s="321">
        <v>99150</v>
      </c>
      <c r="K462" s="320">
        <v>5</v>
      </c>
      <c r="L462" s="320">
        <v>19.75</v>
      </c>
      <c r="M462" s="320">
        <v>1</v>
      </c>
      <c r="N462" s="320">
        <v>19.899999999999999</v>
      </c>
      <c r="O462" s="320">
        <v>2</v>
      </c>
      <c r="P462" s="321">
        <v>64085067</v>
      </c>
      <c r="Q462" s="320">
        <v>21.9</v>
      </c>
      <c r="R462" s="320">
        <v>18</v>
      </c>
    </row>
    <row r="463" spans="2:18">
      <c r="B463" s="319">
        <v>5201</v>
      </c>
      <c r="C463" s="319" t="s">
        <v>898</v>
      </c>
      <c r="D463" s="320">
        <v>27.4</v>
      </c>
      <c r="E463" s="320">
        <v>-0.1</v>
      </c>
      <c r="F463" s="320">
        <v>27.7</v>
      </c>
      <c r="G463" s="320">
        <v>28</v>
      </c>
      <c r="H463" s="320">
        <v>27.05</v>
      </c>
      <c r="I463" s="321">
        <v>24000</v>
      </c>
      <c r="J463" s="321">
        <v>660550</v>
      </c>
      <c r="K463" s="320">
        <v>22</v>
      </c>
      <c r="L463" s="320">
        <v>27.25</v>
      </c>
      <c r="M463" s="320">
        <v>1</v>
      </c>
      <c r="N463" s="320">
        <v>27.4</v>
      </c>
      <c r="O463" s="320">
        <v>3</v>
      </c>
      <c r="P463" s="321">
        <v>30674600</v>
      </c>
      <c r="Q463" s="320">
        <v>30.1</v>
      </c>
      <c r="R463" s="320">
        <v>24.7</v>
      </c>
    </row>
    <row r="464" spans="2:18">
      <c r="B464" s="319">
        <v>5202</v>
      </c>
      <c r="C464" s="319" t="s">
        <v>899</v>
      </c>
      <c r="D464" s="320">
        <v>18.95</v>
      </c>
      <c r="E464" s="320">
        <v>0</v>
      </c>
      <c r="F464" s="320">
        <v>19.25</v>
      </c>
      <c r="G464" s="320">
        <v>19.25</v>
      </c>
      <c r="H464" s="320">
        <v>18.75</v>
      </c>
      <c r="I464" s="321">
        <v>39000</v>
      </c>
      <c r="J464" s="321">
        <v>738650</v>
      </c>
      <c r="K464" s="320">
        <v>28</v>
      </c>
      <c r="L464" s="320">
        <v>18.850000000000001</v>
      </c>
      <c r="M464" s="320">
        <v>2</v>
      </c>
      <c r="N464" s="320">
        <v>18.95</v>
      </c>
      <c r="O464" s="320">
        <v>2</v>
      </c>
      <c r="P464" s="321">
        <v>59094000</v>
      </c>
      <c r="Q464" s="320">
        <v>20.8</v>
      </c>
      <c r="R464" s="320">
        <v>17.100000000000001</v>
      </c>
    </row>
    <row r="465" spans="2:18">
      <c r="B465" s="319">
        <v>5205</v>
      </c>
      <c r="C465" s="319" t="s">
        <v>900</v>
      </c>
      <c r="D465" s="320" t="s">
        <v>478</v>
      </c>
      <c r="E465" s="320" t="s">
        <v>479</v>
      </c>
      <c r="F465" s="320" t="s">
        <v>478</v>
      </c>
      <c r="G465" s="320" t="s">
        <v>478</v>
      </c>
      <c r="H465" s="320" t="s">
        <v>478</v>
      </c>
      <c r="I465" s="320">
        <v>0</v>
      </c>
      <c r="J465" s="320">
        <v>0</v>
      </c>
      <c r="K465" s="320">
        <v>0</v>
      </c>
      <c r="L465" s="320">
        <v>10.7</v>
      </c>
      <c r="M465" s="320">
        <v>1</v>
      </c>
      <c r="N465" s="320">
        <v>11.2</v>
      </c>
      <c r="O465" s="320">
        <v>1</v>
      </c>
      <c r="P465" s="321">
        <v>8202080</v>
      </c>
      <c r="Q465" s="320">
        <v>12.3</v>
      </c>
      <c r="R465" s="320">
        <v>10.1</v>
      </c>
    </row>
    <row r="466" spans="2:18">
      <c r="B466" s="319">
        <v>5206</v>
      </c>
      <c r="C466" s="319" t="s">
        <v>901</v>
      </c>
      <c r="D466" s="320">
        <v>15.45</v>
      </c>
      <c r="E466" s="320">
        <v>-0.05</v>
      </c>
      <c r="F466" s="320">
        <v>15.5</v>
      </c>
      <c r="G466" s="320">
        <v>15.55</v>
      </c>
      <c r="H466" s="320">
        <v>15.45</v>
      </c>
      <c r="I466" s="321">
        <v>29000</v>
      </c>
      <c r="J466" s="321">
        <v>449400</v>
      </c>
      <c r="K466" s="320">
        <v>19</v>
      </c>
      <c r="L466" s="320">
        <v>15.45</v>
      </c>
      <c r="M466" s="320">
        <v>9</v>
      </c>
      <c r="N466" s="320">
        <v>15.5</v>
      </c>
      <c r="O466" s="320">
        <v>2</v>
      </c>
      <c r="P466" s="321">
        <v>155925000</v>
      </c>
      <c r="Q466" s="320">
        <v>16.95</v>
      </c>
      <c r="R466" s="320">
        <v>13.95</v>
      </c>
    </row>
    <row r="467" spans="2:18">
      <c r="B467" s="319">
        <v>5209</v>
      </c>
      <c r="C467" s="319" t="s">
        <v>902</v>
      </c>
      <c r="D467" s="320">
        <v>68.900000000000006</v>
      </c>
      <c r="E467" s="320">
        <v>-0.1</v>
      </c>
      <c r="F467" s="320">
        <v>68.8</v>
      </c>
      <c r="G467" s="320">
        <v>68.900000000000006</v>
      </c>
      <c r="H467" s="320">
        <v>68.5</v>
      </c>
      <c r="I467" s="321">
        <v>16000</v>
      </c>
      <c r="J467" s="321">
        <v>1099700</v>
      </c>
      <c r="K467" s="320">
        <v>12</v>
      </c>
      <c r="L467" s="320">
        <v>68.599999999999994</v>
      </c>
      <c r="M467" s="320">
        <v>3</v>
      </c>
      <c r="N467" s="320">
        <v>69</v>
      </c>
      <c r="O467" s="320">
        <v>14</v>
      </c>
      <c r="P467" s="321">
        <v>27365100</v>
      </c>
      <c r="Q467" s="320">
        <v>75.7</v>
      </c>
      <c r="R467" s="320">
        <v>62.1</v>
      </c>
    </row>
    <row r="468" spans="2:18">
      <c r="B468" s="319">
        <v>5210</v>
      </c>
      <c r="C468" s="319" t="s">
        <v>903</v>
      </c>
      <c r="D468" s="320">
        <v>16.8</v>
      </c>
      <c r="E468" s="320">
        <v>0</v>
      </c>
      <c r="F468" s="320">
        <v>16.7</v>
      </c>
      <c r="G468" s="320">
        <v>17.05</v>
      </c>
      <c r="H468" s="320">
        <v>16.7</v>
      </c>
      <c r="I468" s="321">
        <v>208000</v>
      </c>
      <c r="J468" s="321">
        <v>3512750</v>
      </c>
      <c r="K468" s="320">
        <v>95</v>
      </c>
      <c r="L468" s="320">
        <v>16.8</v>
      </c>
      <c r="M468" s="320">
        <v>17</v>
      </c>
      <c r="N468" s="320">
        <v>16.95</v>
      </c>
      <c r="O468" s="320">
        <v>29</v>
      </c>
      <c r="P468" s="321">
        <v>62177779</v>
      </c>
      <c r="Q468" s="320">
        <v>18.45</v>
      </c>
      <c r="R468" s="320">
        <v>15.15</v>
      </c>
    </row>
    <row r="469" spans="2:18">
      <c r="B469" s="319">
        <v>5211</v>
      </c>
      <c r="C469" s="319" t="s">
        <v>904</v>
      </c>
      <c r="D469" s="320">
        <v>20.7</v>
      </c>
      <c r="E469" s="320">
        <v>-0.5</v>
      </c>
      <c r="F469" s="320">
        <v>20.95</v>
      </c>
      <c r="G469" s="320">
        <v>21.15</v>
      </c>
      <c r="H469" s="320">
        <v>20.5</v>
      </c>
      <c r="I469" s="321">
        <v>242000</v>
      </c>
      <c r="J469" s="321">
        <v>5025850</v>
      </c>
      <c r="K469" s="320">
        <v>175</v>
      </c>
      <c r="L469" s="320">
        <v>20.7</v>
      </c>
      <c r="M469" s="320">
        <v>1</v>
      </c>
      <c r="N469" s="320">
        <v>20.8</v>
      </c>
      <c r="O469" s="320">
        <v>3</v>
      </c>
      <c r="P469" s="321">
        <v>32024727</v>
      </c>
      <c r="Q469" s="320">
        <v>22.75</v>
      </c>
      <c r="R469" s="320">
        <v>18.649999999999999</v>
      </c>
    </row>
    <row r="470" spans="2:18">
      <c r="B470" s="319">
        <v>5212</v>
      </c>
      <c r="C470" s="319" t="s">
        <v>905</v>
      </c>
      <c r="D470" s="320">
        <v>46.1</v>
      </c>
      <c r="E470" s="320">
        <v>0.2</v>
      </c>
      <c r="F470" s="320">
        <v>47</v>
      </c>
      <c r="G470" s="320">
        <v>47.4</v>
      </c>
      <c r="H470" s="320">
        <v>46.1</v>
      </c>
      <c r="I470" s="321">
        <v>43000</v>
      </c>
      <c r="J470" s="321">
        <v>2010500</v>
      </c>
      <c r="K470" s="320">
        <v>3</v>
      </c>
      <c r="L470" s="320">
        <v>46.1</v>
      </c>
      <c r="M470" s="320">
        <v>2</v>
      </c>
      <c r="N470" s="320">
        <v>46.8</v>
      </c>
      <c r="O470" s="320">
        <v>1</v>
      </c>
      <c r="P470" s="321">
        <v>34633000</v>
      </c>
      <c r="Q470" s="320">
        <v>50.7</v>
      </c>
      <c r="R470" s="320">
        <v>41.5</v>
      </c>
    </row>
    <row r="471" spans="2:18">
      <c r="B471" s="319">
        <v>5213</v>
      </c>
      <c r="C471" s="319" t="s">
        <v>906</v>
      </c>
      <c r="D471" s="320">
        <v>22.8</v>
      </c>
      <c r="E471" s="320">
        <v>-0.05</v>
      </c>
      <c r="F471" s="320">
        <v>22.85</v>
      </c>
      <c r="G471" s="320">
        <v>23</v>
      </c>
      <c r="H471" s="320">
        <v>22.7</v>
      </c>
      <c r="I471" s="321">
        <v>109000</v>
      </c>
      <c r="J471" s="321">
        <v>2488000</v>
      </c>
      <c r="K471" s="320">
        <v>64</v>
      </c>
      <c r="L471" s="320">
        <v>22.8</v>
      </c>
      <c r="M471" s="320">
        <v>5</v>
      </c>
      <c r="N471" s="320">
        <v>22.85</v>
      </c>
      <c r="O471" s="320">
        <v>9</v>
      </c>
      <c r="P471" s="321">
        <v>346959188</v>
      </c>
      <c r="Q471" s="320">
        <v>25.05</v>
      </c>
      <c r="R471" s="320">
        <v>20.55</v>
      </c>
    </row>
    <row r="472" spans="2:18">
      <c r="B472" s="319">
        <v>5220</v>
      </c>
      <c r="C472" s="319" t="s">
        <v>907</v>
      </c>
      <c r="D472" s="320">
        <v>35.4</v>
      </c>
      <c r="E472" s="320">
        <v>0.3</v>
      </c>
      <c r="F472" s="320">
        <v>35.15</v>
      </c>
      <c r="G472" s="320">
        <v>35.6</v>
      </c>
      <c r="H472" s="320">
        <v>35.15</v>
      </c>
      <c r="I472" s="321">
        <v>54000</v>
      </c>
      <c r="J472" s="321">
        <v>1910150</v>
      </c>
      <c r="K472" s="320">
        <v>43</v>
      </c>
      <c r="L472" s="320">
        <v>35.35</v>
      </c>
      <c r="M472" s="320">
        <v>1</v>
      </c>
      <c r="N472" s="320">
        <v>35.4</v>
      </c>
      <c r="O472" s="320">
        <v>1</v>
      </c>
      <c r="P472" s="321">
        <v>39667000</v>
      </c>
      <c r="Q472" s="320">
        <v>38.9</v>
      </c>
      <c r="R472" s="320">
        <v>31.9</v>
      </c>
    </row>
    <row r="473" spans="2:18">
      <c r="B473" s="319">
        <v>5223</v>
      </c>
      <c r="C473" s="319" t="s">
        <v>908</v>
      </c>
      <c r="D473" s="320">
        <v>60.7</v>
      </c>
      <c r="E473" s="320">
        <v>0.5</v>
      </c>
      <c r="F473" s="320">
        <v>61.5</v>
      </c>
      <c r="G473" s="320">
        <v>61.5</v>
      </c>
      <c r="H473" s="320">
        <v>60.5</v>
      </c>
      <c r="I473" s="321">
        <v>70000</v>
      </c>
      <c r="J473" s="321">
        <v>4269200</v>
      </c>
      <c r="K473" s="320">
        <v>50</v>
      </c>
      <c r="L473" s="320">
        <v>60.5</v>
      </c>
      <c r="M473" s="320">
        <v>6</v>
      </c>
      <c r="N473" s="320">
        <v>61</v>
      </c>
      <c r="O473" s="320">
        <v>1</v>
      </c>
      <c r="P473" s="321">
        <v>44549781</v>
      </c>
      <c r="Q473" s="320">
        <v>66.7</v>
      </c>
      <c r="R473" s="320">
        <v>54.7</v>
      </c>
    </row>
    <row r="474" spans="2:18">
      <c r="B474" s="319">
        <v>5227</v>
      </c>
      <c r="C474" s="319" t="s">
        <v>909</v>
      </c>
      <c r="D474" s="320">
        <v>100</v>
      </c>
      <c r="E474" s="320">
        <v>8.6999999999999993</v>
      </c>
      <c r="F474" s="320">
        <v>91.5</v>
      </c>
      <c r="G474" s="320">
        <v>100</v>
      </c>
      <c r="H474" s="320">
        <v>88.3</v>
      </c>
      <c r="I474" s="321">
        <v>6339000</v>
      </c>
      <c r="J474" s="321">
        <v>606682500</v>
      </c>
      <c r="K474" s="321">
        <v>4070</v>
      </c>
      <c r="L474" s="320">
        <v>99.9</v>
      </c>
      <c r="M474" s="320">
        <v>11</v>
      </c>
      <c r="N474" s="320">
        <v>100</v>
      </c>
      <c r="O474" s="320">
        <v>103</v>
      </c>
      <c r="P474" s="321">
        <v>60000000</v>
      </c>
      <c r="Q474" s="320">
        <v>110</v>
      </c>
      <c r="R474" s="320">
        <v>90</v>
      </c>
    </row>
    <row r="475" spans="2:18">
      <c r="B475" s="319">
        <v>5230</v>
      </c>
      <c r="C475" s="319" t="s">
        <v>910</v>
      </c>
      <c r="D475" s="320">
        <v>31.9</v>
      </c>
      <c r="E475" s="320">
        <v>-0.1</v>
      </c>
      <c r="F475" s="320">
        <v>32.200000000000003</v>
      </c>
      <c r="G475" s="320">
        <v>32.4</v>
      </c>
      <c r="H475" s="320">
        <v>31.6</v>
      </c>
      <c r="I475" s="321">
        <v>297000</v>
      </c>
      <c r="J475" s="321">
        <v>9461300</v>
      </c>
      <c r="K475" s="320">
        <v>177</v>
      </c>
      <c r="L475" s="320">
        <v>31.85</v>
      </c>
      <c r="M475" s="320">
        <v>7</v>
      </c>
      <c r="N475" s="320">
        <v>31.95</v>
      </c>
      <c r="O475" s="320">
        <v>7</v>
      </c>
      <c r="P475" s="321">
        <v>46955824</v>
      </c>
      <c r="Q475" s="320">
        <v>35.049999999999997</v>
      </c>
      <c r="R475" s="320">
        <v>28.75</v>
      </c>
    </row>
    <row r="476" spans="2:18">
      <c r="B476" s="319">
        <v>5236</v>
      </c>
      <c r="C476" s="319" t="s">
        <v>226</v>
      </c>
      <c r="D476" s="320">
        <v>148.5</v>
      </c>
      <c r="E476" s="320">
        <v>-1.5</v>
      </c>
      <c r="F476" s="320">
        <v>151</v>
      </c>
      <c r="G476" s="320">
        <v>152</v>
      </c>
      <c r="H476" s="320">
        <v>146.5</v>
      </c>
      <c r="I476" s="321">
        <v>407000</v>
      </c>
      <c r="J476" s="321">
        <v>60456000</v>
      </c>
      <c r="K476" s="320">
        <v>326</v>
      </c>
      <c r="L476" s="320">
        <v>148</v>
      </c>
      <c r="M476" s="320">
        <v>19</v>
      </c>
      <c r="N476" s="320">
        <v>148.5</v>
      </c>
      <c r="O476" s="320">
        <v>7</v>
      </c>
      <c r="P476" s="321">
        <v>58500094</v>
      </c>
      <c r="Q476" s="320">
        <v>163</v>
      </c>
      <c r="R476" s="320">
        <v>134</v>
      </c>
    </row>
    <row r="477" spans="2:18">
      <c r="B477" s="319">
        <v>5245</v>
      </c>
      <c r="C477" s="319" t="s">
        <v>911</v>
      </c>
      <c r="D477" s="320">
        <v>89.2</v>
      </c>
      <c r="E477" s="320">
        <v>-3.1</v>
      </c>
      <c r="F477" s="320">
        <v>90.1</v>
      </c>
      <c r="G477" s="320">
        <v>93</v>
      </c>
      <c r="H477" s="320">
        <v>86.6</v>
      </c>
      <c r="I477" s="321">
        <v>4218000</v>
      </c>
      <c r="J477" s="321">
        <v>377101400</v>
      </c>
      <c r="K477" s="321">
        <v>2939</v>
      </c>
      <c r="L477" s="320">
        <v>89.2</v>
      </c>
      <c r="M477" s="320">
        <v>2</v>
      </c>
      <c r="N477" s="320">
        <v>89.3</v>
      </c>
      <c r="O477" s="320">
        <v>1</v>
      </c>
      <c r="P477" s="321">
        <v>44990000</v>
      </c>
      <c r="Q477" s="320">
        <v>98.1</v>
      </c>
      <c r="R477" s="320">
        <v>80.3</v>
      </c>
    </row>
    <row r="478" spans="2:18">
      <c r="B478" s="319">
        <v>5251</v>
      </c>
      <c r="C478" s="319" t="s">
        <v>912</v>
      </c>
      <c r="D478" s="320">
        <v>18.55</v>
      </c>
      <c r="E478" s="320">
        <v>0.15</v>
      </c>
      <c r="F478" s="320">
        <v>18.45</v>
      </c>
      <c r="G478" s="320">
        <v>19.95</v>
      </c>
      <c r="H478" s="320">
        <v>18.45</v>
      </c>
      <c r="I478" s="321">
        <v>1340000</v>
      </c>
      <c r="J478" s="321">
        <v>25674750</v>
      </c>
      <c r="K478" s="320">
        <v>826</v>
      </c>
      <c r="L478" s="320">
        <v>18.55</v>
      </c>
      <c r="M478" s="320">
        <v>23</v>
      </c>
      <c r="N478" s="320">
        <v>18.600000000000001</v>
      </c>
      <c r="O478" s="320">
        <v>1</v>
      </c>
      <c r="P478" s="321">
        <v>35839377</v>
      </c>
      <c r="Q478" s="320">
        <v>20.399999999999999</v>
      </c>
      <c r="R478" s="320">
        <v>16.7</v>
      </c>
    </row>
    <row r="479" spans="2:18">
      <c r="B479" s="319">
        <v>5263</v>
      </c>
      <c r="C479" s="319" t="s">
        <v>913</v>
      </c>
      <c r="D479" s="320">
        <v>124.5</v>
      </c>
      <c r="E479" s="320">
        <v>1</v>
      </c>
      <c r="F479" s="320">
        <v>124</v>
      </c>
      <c r="G479" s="320">
        <v>126</v>
      </c>
      <c r="H479" s="320">
        <v>123</v>
      </c>
      <c r="I479" s="321">
        <v>294000</v>
      </c>
      <c r="J479" s="321">
        <v>36709000</v>
      </c>
      <c r="K479" s="320">
        <v>224</v>
      </c>
      <c r="L479" s="320">
        <v>124</v>
      </c>
      <c r="M479" s="320">
        <v>10</v>
      </c>
      <c r="N479" s="320">
        <v>125</v>
      </c>
      <c r="O479" s="320">
        <v>5</v>
      </c>
      <c r="P479" s="321">
        <v>57364075</v>
      </c>
      <c r="Q479" s="320">
        <v>136.5</v>
      </c>
      <c r="R479" s="320">
        <v>112.5</v>
      </c>
    </row>
    <row r="480" spans="2:18">
      <c r="B480" s="319">
        <v>5272</v>
      </c>
      <c r="C480" s="319" t="s">
        <v>914</v>
      </c>
      <c r="D480" s="320">
        <v>38.5</v>
      </c>
      <c r="E480" s="320">
        <v>-0.1</v>
      </c>
      <c r="F480" s="320">
        <v>39.25</v>
      </c>
      <c r="G480" s="320">
        <v>39.6</v>
      </c>
      <c r="H480" s="320">
        <v>38.450000000000003</v>
      </c>
      <c r="I480" s="321">
        <v>520000</v>
      </c>
      <c r="J480" s="321">
        <v>20235100</v>
      </c>
      <c r="K480" s="320">
        <v>358</v>
      </c>
      <c r="L480" s="320">
        <v>38.5</v>
      </c>
      <c r="M480" s="320">
        <v>14</v>
      </c>
      <c r="N480" s="320">
        <v>38.65</v>
      </c>
      <c r="O480" s="320">
        <v>5</v>
      </c>
      <c r="P480" s="321">
        <v>56424118</v>
      </c>
      <c r="Q480" s="320">
        <v>42.35</v>
      </c>
      <c r="R480" s="320">
        <v>34.65</v>
      </c>
    </row>
    <row r="481" spans="2:18">
      <c r="B481" s="319">
        <v>5274</v>
      </c>
      <c r="C481" s="319" t="s">
        <v>915</v>
      </c>
      <c r="D481" s="322">
        <v>3455</v>
      </c>
      <c r="E481" s="320">
        <v>30</v>
      </c>
      <c r="F481" s="322">
        <v>3465</v>
      </c>
      <c r="G481" s="322">
        <v>3495</v>
      </c>
      <c r="H481" s="322">
        <v>3445</v>
      </c>
      <c r="I481" s="321">
        <v>83000</v>
      </c>
      <c r="J481" s="321">
        <v>287580000</v>
      </c>
      <c r="K481" s="320">
        <v>83</v>
      </c>
      <c r="L481" s="322">
        <v>3455</v>
      </c>
      <c r="M481" s="320">
        <v>1</v>
      </c>
      <c r="N481" s="322">
        <v>3465</v>
      </c>
      <c r="O481" s="320">
        <v>1</v>
      </c>
      <c r="P481" s="321">
        <v>34369437</v>
      </c>
      <c r="Q481" s="322">
        <v>3800</v>
      </c>
      <c r="R481" s="322">
        <v>3110</v>
      </c>
    </row>
    <row r="482" spans="2:18">
      <c r="B482" s="319">
        <v>5276</v>
      </c>
      <c r="C482" s="319" t="s">
        <v>916</v>
      </c>
      <c r="D482" s="320">
        <v>16.350000000000001</v>
      </c>
      <c r="E482" s="320">
        <v>0.15</v>
      </c>
      <c r="F482" s="320">
        <v>16.100000000000001</v>
      </c>
      <c r="G482" s="320">
        <v>16.350000000000001</v>
      </c>
      <c r="H482" s="320">
        <v>15.05</v>
      </c>
      <c r="I482" s="321">
        <v>107000</v>
      </c>
      <c r="J482" s="321">
        <v>1643100</v>
      </c>
      <c r="K482" s="320">
        <v>57</v>
      </c>
      <c r="L482" s="320">
        <v>15.3</v>
      </c>
      <c r="M482" s="320">
        <v>1</v>
      </c>
      <c r="N482" s="320">
        <v>16.399999999999999</v>
      </c>
      <c r="O482" s="320">
        <v>15</v>
      </c>
      <c r="P482" s="321">
        <v>39500000</v>
      </c>
      <c r="Q482" s="320">
        <v>17.95</v>
      </c>
      <c r="R482" s="320">
        <v>14.75</v>
      </c>
    </row>
    <row r="483" spans="2:18">
      <c r="B483" s="319">
        <v>5278</v>
      </c>
      <c r="C483" s="319" t="s">
        <v>917</v>
      </c>
      <c r="D483" s="320">
        <v>219</v>
      </c>
      <c r="E483" s="320">
        <v>5.5</v>
      </c>
      <c r="F483" s="320">
        <v>213.5</v>
      </c>
      <c r="G483" s="320">
        <v>219</v>
      </c>
      <c r="H483" s="320">
        <v>208.5</v>
      </c>
      <c r="I483" s="321">
        <v>9000</v>
      </c>
      <c r="J483" s="321">
        <v>1922000</v>
      </c>
      <c r="K483" s="320">
        <v>9</v>
      </c>
      <c r="L483" s="320">
        <v>215.5</v>
      </c>
      <c r="M483" s="320">
        <v>1</v>
      </c>
      <c r="N483" s="320">
        <v>219</v>
      </c>
      <c r="O483" s="320">
        <v>1</v>
      </c>
      <c r="P483" s="321">
        <v>15239100</v>
      </c>
      <c r="Q483" s="320">
        <v>240.5</v>
      </c>
      <c r="R483" s="320">
        <v>197.5</v>
      </c>
    </row>
    <row r="484" spans="2:18">
      <c r="B484" s="319">
        <v>5281</v>
      </c>
      <c r="C484" s="319" t="s">
        <v>918</v>
      </c>
      <c r="D484" s="320">
        <v>22.85</v>
      </c>
      <c r="E484" s="320">
        <v>0</v>
      </c>
      <c r="F484" s="320">
        <v>23.15</v>
      </c>
      <c r="G484" s="320">
        <v>23.15</v>
      </c>
      <c r="H484" s="320">
        <v>22.85</v>
      </c>
      <c r="I484" s="321">
        <v>5000</v>
      </c>
      <c r="J484" s="321">
        <v>114850</v>
      </c>
      <c r="K484" s="320">
        <v>5</v>
      </c>
      <c r="L484" s="320">
        <v>22.85</v>
      </c>
      <c r="M484" s="320">
        <v>4</v>
      </c>
      <c r="N484" s="320">
        <v>22.9</v>
      </c>
      <c r="O484" s="320">
        <v>1</v>
      </c>
      <c r="P484" s="321">
        <v>37010000</v>
      </c>
      <c r="Q484" s="320">
        <v>25.1</v>
      </c>
      <c r="R484" s="320">
        <v>20.6</v>
      </c>
    </row>
    <row r="485" spans="2:18">
      <c r="B485" s="319">
        <v>5287</v>
      </c>
      <c r="C485" s="319" t="s">
        <v>919</v>
      </c>
      <c r="D485" s="320">
        <v>266.5</v>
      </c>
      <c r="E485" s="320">
        <v>-1</v>
      </c>
      <c r="F485" s="320">
        <v>268</v>
      </c>
      <c r="G485" s="320">
        <v>268.5</v>
      </c>
      <c r="H485" s="320">
        <v>266.5</v>
      </c>
      <c r="I485" s="321">
        <v>87000</v>
      </c>
      <c r="J485" s="321">
        <v>23299000</v>
      </c>
      <c r="K485" s="320">
        <v>66</v>
      </c>
      <c r="L485" s="320">
        <v>266</v>
      </c>
      <c r="M485" s="320">
        <v>2</v>
      </c>
      <c r="N485" s="320">
        <v>267.5</v>
      </c>
      <c r="O485" s="320">
        <v>3</v>
      </c>
      <c r="P485" s="321">
        <v>42937000</v>
      </c>
      <c r="Q485" s="320">
        <v>293</v>
      </c>
      <c r="R485" s="320">
        <v>240</v>
      </c>
    </row>
    <row r="486" spans="2:18">
      <c r="B486" s="319">
        <v>5289</v>
      </c>
      <c r="C486" s="319" t="s">
        <v>920</v>
      </c>
      <c r="D486" s="320">
        <v>201</v>
      </c>
      <c r="E486" s="320">
        <v>0.5</v>
      </c>
      <c r="F486" s="320">
        <v>201.5</v>
      </c>
      <c r="G486" s="320">
        <v>201.5</v>
      </c>
      <c r="H486" s="320">
        <v>200.5</v>
      </c>
      <c r="I486" s="321">
        <v>49000</v>
      </c>
      <c r="J486" s="321">
        <v>9841500</v>
      </c>
      <c r="K486" s="320">
        <v>44</v>
      </c>
      <c r="L486" s="320">
        <v>200.5</v>
      </c>
      <c r="M486" s="320">
        <v>11</v>
      </c>
      <c r="N486" s="320">
        <v>201.5</v>
      </c>
      <c r="O486" s="320">
        <v>4</v>
      </c>
      <c r="P486" s="321">
        <v>82664040</v>
      </c>
      <c r="Q486" s="320">
        <v>221</v>
      </c>
      <c r="R486" s="320">
        <v>181</v>
      </c>
    </row>
    <row r="487" spans="2:18">
      <c r="B487" s="319">
        <v>5291</v>
      </c>
      <c r="C487" s="319" t="s">
        <v>921</v>
      </c>
      <c r="D487" s="320">
        <v>36.450000000000003</v>
      </c>
      <c r="E487" s="320">
        <v>-0.1</v>
      </c>
      <c r="F487" s="320">
        <v>36.6</v>
      </c>
      <c r="G487" s="320">
        <v>36.65</v>
      </c>
      <c r="H487" s="320">
        <v>36.299999999999997</v>
      </c>
      <c r="I487" s="321">
        <v>116000</v>
      </c>
      <c r="J487" s="321">
        <v>4235550</v>
      </c>
      <c r="K487" s="320">
        <v>87</v>
      </c>
      <c r="L487" s="320">
        <v>36.450000000000003</v>
      </c>
      <c r="M487" s="320">
        <v>20</v>
      </c>
      <c r="N487" s="320">
        <v>36.6</v>
      </c>
      <c r="O487" s="320">
        <v>5</v>
      </c>
      <c r="P487" s="321">
        <v>39222906</v>
      </c>
      <c r="Q487" s="320">
        <v>40.049999999999997</v>
      </c>
      <c r="R487" s="320">
        <v>32.85</v>
      </c>
    </row>
    <row r="488" spans="2:18">
      <c r="B488" s="319">
        <v>5299</v>
      </c>
      <c r="C488" s="319" t="s">
        <v>922</v>
      </c>
      <c r="D488" s="320">
        <v>196</v>
      </c>
      <c r="E488" s="320">
        <v>3.5</v>
      </c>
      <c r="F488" s="320">
        <v>194.5</v>
      </c>
      <c r="G488" s="320">
        <v>196.5</v>
      </c>
      <c r="H488" s="320">
        <v>194</v>
      </c>
      <c r="I488" s="321">
        <v>272000</v>
      </c>
      <c r="J488" s="321">
        <v>53081000</v>
      </c>
      <c r="K488" s="320">
        <v>220</v>
      </c>
      <c r="L488" s="320">
        <v>195</v>
      </c>
      <c r="M488" s="320">
        <v>1</v>
      </c>
      <c r="N488" s="320">
        <v>196</v>
      </c>
      <c r="O488" s="320">
        <v>3</v>
      </c>
      <c r="P488" s="321">
        <v>35597901</v>
      </c>
      <c r="Q488" s="320">
        <v>215.5</v>
      </c>
      <c r="R488" s="320">
        <v>176.5</v>
      </c>
    </row>
    <row r="489" spans="2:18">
      <c r="B489" s="319">
        <v>5301</v>
      </c>
      <c r="C489" s="319" t="s">
        <v>923</v>
      </c>
      <c r="D489" s="320">
        <v>8.59</v>
      </c>
      <c r="E489" s="320">
        <v>-0.13</v>
      </c>
      <c r="F489" s="320">
        <v>8.6</v>
      </c>
      <c r="G489" s="320">
        <v>8.6</v>
      </c>
      <c r="H489" s="320">
        <v>8.59</v>
      </c>
      <c r="I489" s="321">
        <v>28000</v>
      </c>
      <c r="J489" s="321">
        <v>240730</v>
      </c>
      <c r="K489" s="320">
        <v>10</v>
      </c>
      <c r="L489" s="320">
        <v>8.6300000000000008</v>
      </c>
      <c r="M489" s="320">
        <v>2</v>
      </c>
      <c r="N489" s="320">
        <v>8.7100000000000009</v>
      </c>
      <c r="O489" s="320">
        <v>1</v>
      </c>
      <c r="P489" s="321">
        <v>104552571</v>
      </c>
      <c r="Q489" s="320">
        <v>9.44</v>
      </c>
      <c r="R489" s="320">
        <v>7.74</v>
      </c>
    </row>
    <row r="490" spans="2:18">
      <c r="B490" s="319">
        <v>5302</v>
      </c>
      <c r="C490" s="319" t="s">
        <v>924</v>
      </c>
      <c r="D490" s="320">
        <v>12.9</v>
      </c>
      <c r="E490" s="320">
        <v>-0.1</v>
      </c>
      <c r="F490" s="320">
        <v>13</v>
      </c>
      <c r="G490" s="320">
        <v>13.2</v>
      </c>
      <c r="H490" s="320">
        <v>12.9</v>
      </c>
      <c r="I490" s="321">
        <v>446000</v>
      </c>
      <c r="J490" s="321">
        <v>5821450</v>
      </c>
      <c r="K490" s="320">
        <v>172</v>
      </c>
      <c r="L490" s="320">
        <v>12.9</v>
      </c>
      <c r="M490" s="320">
        <v>17</v>
      </c>
      <c r="N490" s="320">
        <v>12.95</v>
      </c>
      <c r="O490" s="320">
        <v>2</v>
      </c>
      <c r="P490" s="321">
        <v>162377000</v>
      </c>
      <c r="Q490" s="320">
        <v>14.15</v>
      </c>
      <c r="R490" s="320">
        <v>11.65</v>
      </c>
    </row>
    <row r="491" spans="2:18">
      <c r="B491" s="319">
        <v>5306</v>
      </c>
      <c r="C491" s="319" t="s">
        <v>925</v>
      </c>
      <c r="D491" s="320">
        <v>196.5</v>
      </c>
      <c r="E491" s="320">
        <v>-1.5</v>
      </c>
      <c r="F491" s="320">
        <v>199.5</v>
      </c>
      <c r="G491" s="320">
        <v>200</v>
      </c>
      <c r="H491" s="320">
        <v>195</v>
      </c>
      <c r="I491" s="321">
        <v>202000</v>
      </c>
      <c r="J491" s="321">
        <v>39712000</v>
      </c>
      <c r="K491" s="320">
        <v>139</v>
      </c>
      <c r="L491" s="320">
        <v>196</v>
      </c>
      <c r="M491" s="320">
        <v>27</v>
      </c>
      <c r="N491" s="320">
        <v>196.5</v>
      </c>
      <c r="O491" s="320">
        <v>2</v>
      </c>
      <c r="P491" s="321">
        <v>126000000</v>
      </c>
      <c r="Q491" s="320">
        <v>216</v>
      </c>
      <c r="R491" s="320">
        <v>177</v>
      </c>
    </row>
    <row r="492" spans="2:18">
      <c r="B492" s="319">
        <v>5309</v>
      </c>
      <c r="C492" s="319" t="s">
        <v>926</v>
      </c>
      <c r="D492" s="320">
        <v>40.4</v>
      </c>
      <c r="E492" s="320">
        <v>0.1</v>
      </c>
      <c r="F492" s="320">
        <v>40.75</v>
      </c>
      <c r="G492" s="320">
        <v>41.4</v>
      </c>
      <c r="H492" s="320">
        <v>40.299999999999997</v>
      </c>
      <c r="I492" s="321">
        <v>2320000</v>
      </c>
      <c r="J492" s="321">
        <v>94518850</v>
      </c>
      <c r="K492" s="321">
        <v>1323</v>
      </c>
      <c r="L492" s="320">
        <v>40.4</v>
      </c>
      <c r="M492" s="320">
        <v>36</v>
      </c>
      <c r="N492" s="320">
        <v>40.450000000000003</v>
      </c>
      <c r="O492" s="320">
        <v>3</v>
      </c>
      <c r="P492" s="321">
        <v>155057766</v>
      </c>
      <c r="Q492" s="320">
        <v>44.4</v>
      </c>
      <c r="R492" s="320">
        <v>36.4</v>
      </c>
    </row>
    <row r="493" spans="2:18">
      <c r="B493" s="319">
        <v>5312</v>
      </c>
      <c r="C493" s="319" t="s">
        <v>927</v>
      </c>
      <c r="D493" s="320">
        <v>59.9</v>
      </c>
      <c r="E493" s="320">
        <v>-0.1</v>
      </c>
      <c r="F493" s="320">
        <v>60.1</v>
      </c>
      <c r="G493" s="320">
        <v>60.1</v>
      </c>
      <c r="H493" s="320">
        <v>59.9</v>
      </c>
      <c r="I493" s="321">
        <v>24000</v>
      </c>
      <c r="J493" s="321">
        <v>1439800</v>
      </c>
      <c r="K493" s="320">
        <v>19</v>
      </c>
      <c r="L493" s="320">
        <v>60</v>
      </c>
      <c r="M493" s="320">
        <v>1</v>
      </c>
      <c r="N493" s="320">
        <v>60.1</v>
      </c>
      <c r="O493" s="320">
        <v>1</v>
      </c>
      <c r="P493" s="321">
        <v>60059898</v>
      </c>
      <c r="Q493" s="320">
        <v>65.8</v>
      </c>
      <c r="R493" s="320">
        <v>54</v>
      </c>
    </row>
    <row r="494" spans="2:18">
      <c r="B494" s="319">
        <v>5314</v>
      </c>
      <c r="C494" s="319" t="s">
        <v>928</v>
      </c>
      <c r="D494" s="320">
        <v>5.9</v>
      </c>
      <c r="E494" s="320">
        <v>-0.2</v>
      </c>
      <c r="F494" s="320">
        <v>5.9</v>
      </c>
      <c r="G494" s="320">
        <v>5.9</v>
      </c>
      <c r="H494" s="320">
        <v>5.9</v>
      </c>
      <c r="I494" s="321">
        <v>2000</v>
      </c>
      <c r="J494" s="321">
        <v>11800</v>
      </c>
      <c r="K494" s="320">
        <v>2</v>
      </c>
      <c r="L494" s="320">
        <v>5.9</v>
      </c>
      <c r="M494" s="320">
        <v>1</v>
      </c>
      <c r="N494" s="320">
        <v>6.1</v>
      </c>
      <c r="O494" s="320">
        <v>1</v>
      </c>
      <c r="P494" s="321">
        <v>60000000</v>
      </c>
      <c r="Q494" s="320">
        <v>6.49</v>
      </c>
      <c r="R494" s="320">
        <v>5.31</v>
      </c>
    </row>
    <row r="495" spans="2:18">
      <c r="B495" s="319">
        <v>5315</v>
      </c>
      <c r="C495" s="319" t="s">
        <v>929</v>
      </c>
      <c r="D495" s="320">
        <v>18.649999999999999</v>
      </c>
      <c r="E495" s="320">
        <v>-0.25</v>
      </c>
      <c r="F495" s="320">
        <v>19.149999999999999</v>
      </c>
      <c r="G495" s="320">
        <v>19.2</v>
      </c>
      <c r="H495" s="320">
        <v>18.600000000000001</v>
      </c>
      <c r="I495" s="321">
        <v>526000</v>
      </c>
      <c r="J495" s="321">
        <v>9882600</v>
      </c>
      <c r="K495" s="320">
        <v>256</v>
      </c>
      <c r="L495" s="320">
        <v>18.649999999999999</v>
      </c>
      <c r="M495" s="320">
        <v>2</v>
      </c>
      <c r="N495" s="320">
        <v>18.7</v>
      </c>
      <c r="O495" s="320">
        <v>8</v>
      </c>
      <c r="P495" s="321">
        <v>106351832</v>
      </c>
      <c r="Q495" s="320">
        <v>20.5</v>
      </c>
      <c r="R495" s="320">
        <v>16.8</v>
      </c>
    </row>
    <row r="496" spans="2:18">
      <c r="B496" s="319">
        <v>5321</v>
      </c>
      <c r="C496" s="319" t="s">
        <v>2784</v>
      </c>
      <c r="D496" s="320">
        <v>109</v>
      </c>
      <c r="E496" s="320">
        <v>-6</v>
      </c>
      <c r="F496" s="320">
        <v>117.5</v>
      </c>
      <c r="G496" s="320">
        <v>117.5</v>
      </c>
      <c r="H496" s="320">
        <v>109</v>
      </c>
      <c r="I496" s="321">
        <v>1412000</v>
      </c>
      <c r="J496" s="321">
        <v>157647000</v>
      </c>
      <c r="K496" s="321">
        <v>1071</v>
      </c>
      <c r="L496" s="320">
        <v>109</v>
      </c>
      <c r="M496" s="320">
        <v>11</v>
      </c>
      <c r="N496" s="320">
        <v>109.5</v>
      </c>
      <c r="O496" s="320">
        <v>1</v>
      </c>
      <c r="P496" s="321">
        <v>34973195</v>
      </c>
      <c r="Q496" s="320">
        <v>119.5</v>
      </c>
      <c r="R496" s="320">
        <v>98.1</v>
      </c>
    </row>
    <row r="497" spans="2:18">
      <c r="B497" s="319">
        <v>5324</v>
      </c>
      <c r="C497" s="319" t="s">
        <v>930</v>
      </c>
      <c r="D497" s="320">
        <v>9.5500000000000007</v>
      </c>
      <c r="E497" s="320">
        <v>-0.03</v>
      </c>
      <c r="F497" s="320">
        <v>9.59</v>
      </c>
      <c r="G497" s="320">
        <v>9.6</v>
      </c>
      <c r="H497" s="320">
        <v>9.5500000000000007</v>
      </c>
      <c r="I497" s="321">
        <v>185000</v>
      </c>
      <c r="J497" s="321">
        <v>1771030</v>
      </c>
      <c r="K497" s="320">
        <v>56</v>
      </c>
      <c r="L497" s="320">
        <v>9.5399999999999991</v>
      </c>
      <c r="M497" s="320">
        <v>1</v>
      </c>
      <c r="N497" s="320">
        <v>9.5500000000000007</v>
      </c>
      <c r="O497" s="320">
        <v>1</v>
      </c>
      <c r="P497" s="321">
        <v>226379090</v>
      </c>
      <c r="Q497" s="320">
        <v>10.5</v>
      </c>
      <c r="R497" s="320">
        <v>8.6</v>
      </c>
    </row>
    <row r="498" spans="2:18">
      <c r="B498" s="319">
        <v>5328</v>
      </c>
      <c r="C498" s="319" t="s">
        <v>931</v>
      </c>
      <c r="D498" s="320">
        <v>14.85</v>
      </c>
      <c r="E498" s="320">
        <v>0.25</v>
      </c>
      <c r="F498" s="320">
        <v>14.6</v>
      </c>
      <c r="G498" s="320">
        <v>15.05</v>
      </c>
      <c r="H498" s="320">
        <v>14.6</v>
      </c>
      <c r="I498" s="321">
        <v>1619000</v>
      </c>
      <c r="J498" s="321">
        <v>24126750</v>
      </c>
      <c r="K498" s="320">
        <v>689</v>
      </c>
      <c r="L498" s="320">
        <v>14.8</v>
      </c>
      <c r="M498" s="320">
        <v>96</v>
      </c>
      <c r="N498" s="320">
        <v>14.85</v>
      </c>
      <c r="O498" s="320">
        <v>5</v>
      </c>
      <c r="P498" s="321">
        <v>172710724</v>
      </c>
      <c r="Q498" s="320">
        <v>16.3</v>
      </c>
      <c r="R498" s="320">
        <v>13.4</v>
      </c>
    </row>
    <row r="499" spans="2:18">
      <c r="B499" s="319">
        <v>5340</v>
      </c>
      <c r="C499" s="319" t="s">
        <v>932</v>
      </c>
      <c r="D499" s="320">
        <v>36.9</v>
      </c>
      <c r="E499" s="320">
        <v>-0.45</v>
      </c>
      <c r="F499" s="320">
        <v>37.65</v>
      </c>
      <c r="G499" s="320">
        <v>37.65</v>
      </c>
      <c r="H499" s="320">
        <v>36.6</v>
      </c>
      <c r="I499" s="321">
        <v>103000</v>
      </c>
      <c r="J499" s="321">
        <v>3815850</v>
      </c>
      <c r="K499" s="320">
        <v>67</v>
      </c>
      <c r="L499" s="320">
        <v>36.9</v>
      </c>
      <c r="M499" s="320">
        <v>11</v>
      </c>
      <c r="N499" s="320">
        <v>36.950000000000003</v>
      </c>
      <c r="O499" s="320">
        <v>1</v>
      </c>
      <c r="P499" s="321">
        <v>194893964</v>
      </c>
      <c r="Q499" s="320">
        <v>40.549999999999997</v>
      </c>
      <c r="R499" s="320">
        <v>33.25</v>
      </c>
    </row>
    <row r="500" spans="2:18">
      <c r="B500" s="319">
        <v>5344</v>
      </c>
      <c r="C500" s="319" t="s">
        <v>933</v>
      </c>
      <c r="D500" s="320">
        <v>36.15</v>
      </c>
      <c r="E500" s="320">
        <v>-2.35</v>
      </c>
      <c r="F500" s="320">
        <v>39.299999999999997</v>
      </c>
      <c r="G500" s="320">
        <v>39.299999999999997</v>
      </c>
      <c r="H500" s="320">
        <v>36</v>
      </c>
      <c r="I500" s="321">
        <v>1318000</v>
      </c>
      <c r="J500" s="321">
        <v>48332150</v>
      </c>
      <c r="K500" s="320">
        <v>904</v>
      </c>
      <c r="L500" s="320">
        <v>36.15</v>
      </c>
      <c r="M500" s="320">
        <v>10</v>
      </c>
      <c r="N500" s="320">
        <v>36.450000000000003</v>
      </c>
      <c r="O500" s="320">
        <v>3</v>
      </c>
      <c r="P500" s="321">
        <v>79447460</v>
      </c>
      <c r="Q500" s="320">
        <v>39.75</v>
      </c>
      <c r="R500" s="320">
        <v>32.549999999999997</v>
      </c>
    </row>
    <row r="501" spans="2:18">
      <c r="B501" s="319">
        <v>5345</v>
      </c>
      <c r="C501" s="319" t="s">
        <v>934</v>
      </c>
      <c r="D501" s="320">
        <v>5.52</v>
      </c>
      <c r="E501" s="320">
        <v>-0.08</v>
      </c>
      <c r="F501" s="320">
        <v>5.6</v>
      </c>
      <c r="G501" s="320">
        <v>5.65</v>
      </c>
      <c r="H501" s="320">
        <v>5.52</v>
      </c>
      <c r="I501" s="321">
        <v>4000</v>
      </c>
      <c r="J501" s="321">
        <v>22420</v>
      </c>
      <c r="K501" s="320">
        <v>4</v>
      </c>
      <c r="L501" s="320">
        <v>5.51</v>
      </c>
      <c r="M501" s="320">
        <v>1</v>
      </c>
      <c r="N501" s="320">
        <v>5.89</v>
      </c>
      <c r="O501" s="320">
        <v>1</v>
      </c>
      <c r="P501" s="321">
        <v>47500000</v>
      </c>
      <c r="Q501" s="320">
        <v>6.07</v>
      </c>
      <c r="R501" s="320">
        <v>4.97</v>
      </c>
    </row>
    <row r="502" spans="2:18">
      <c r="B502" s="319">
        <v>5347</v>
      </c>
      <c r="C502" s="319" t="s">
        <v>935</v>
      </c>
      <c r="D502" s="320">
        <v>160</v>
      </c>
      <c r="E502" s="320">
        <v>2.5</v>
      </c>
      <c r="F502" s="320">
        <v>158.5</v>
      </c>
      <c r="G502" s="320">
        <v>160</v>
      </c>
      <c r="H502" s="320">
        <v>158</v>
      </c>
      <c r="I502" s="321">
        <v>3416000</v>
      </c>
      <c r="J502" s="321">
        <v>545027000</v>
      </c>
      <c r="K502" s="321">
        <v>1846</v>
      </c>
      <c r="L502" s="320">
        <v>159.5</v>
      </c>
      <c r="M502" s="320">
        <v>19</v>
      </c>
      <c r="N502" s="320">
        <v>160</v>
      </c>
      <c r="O502" s="320">
        <v>784</v>
      </c>
      <c r="P502" s="321">
        <v>1638982267</v>
      </c>
      <c r="Q502" s="320">
        <v>176</v>
      </c>
      <c r="R502" s="320">
        <v>144</v>
      </c>
    </row>
    <row r="503" spans="2:18">
      <c r="B503" s="319">
        <v>5348</v>
      </c>
      <c r="C503" s="319" t="s">
        <v>936</v>
      </c>
      <c r="D503" s="320">
        <v>8.74</v>
      </c>
      <c r="E503" s="320">
        <v>7.0000000000000007E-2</v>
      </c>
      <c r="F503" s="320">
        <v>8.68</v>
      </c>
      <c r="G503" s="320">
        <v>8.74</v>
      </c>
      <c r="H503" s="320">
        <v>8.68</v>
      </c>
      <c r="I503" s="321">
        <v>6000</v>
      </c>
      <c r="J503" s="321">
        <v>52340</v>
      </c>
      <c r="K503" s="320">
        <v>5</v>
      </c>
      <c r="L503" s="320">
        <v>8.68</v>
      </c>
      <c r="M503" s="320">
        <v>1</v>
      </c>
      <c r="N503" s="320">
        <v>8.73</v>
      </c>
      <c r="O503" s="320">
        <v>5</v>
      </c>
      <c r="P503" s="321">
        <v>28950310</v>
      </c>
      <c r="Q503" s="320">
        <v>9.61</v>
      </c>
      <c r="R503" s="320">
        <v>7.87</v>
      </c>
    </row>
    <row r="504" spans="2:18">
      <c r="B504" s="319">
        <v>5351</v>
      </c>
      <c r="C504" s="319" t="s">
        <v>937</v>
      </c>
      <c r="D504" s="320">
        <v>90.6</v>
      </c>
      <c r="E504" s="320">
        <v>-1.5</v>
      </c>
      <c r="F504" s="320">
        <v>93</v>
      </c>
      <c r="G504" s="320">
        <v>93.6</v>
      </c>
      <c r="H504" s="320">
        <v>90.1</v>
      </c>
      <c r="I504" s="321">
        <v>20478000</v>
      </c>
      <c r="J504" s="321">
        <v>1872790900</v>
      </c>
      <c r="K504" s="321">
        <v>12101</v>
      </c>
      <c r="L504" s="320">
        <v>90.6</v>
      </c>
      <c r="M504" s="320">
        <v>129</v>
      </c>
      <c r="N504" s="320">
        <v>90.7</v>
      </c>
      <c r="O504" s="320">
        <v>12</v>
      </c>
      <c r="P504" s="321">
        <v>269869347</v>
      </c>
      <c r="Q504" s="320">
        <v>99.6</v>
      </c>
      <c r="R504" s="320">
        <v>81.599999999999994</v>
      </c>
    </row>
    <row r="505" spans="2:18">
      <c r="B505" s="319">
        <v>5353</v>
      </c>
      <c r="C505" s="319" t="s">
        <v>938</v>
      </c>
      <c r="D505" s="320">
        <v>21.6</v>
      </c>
      <c r="E505" s="320">
        <v>-0.7</v>
      </c>
      <c r="F505" s="320">
        <v>22.5</v>
      </c>
      <c r="G505" s="320">
        <v>22.75</v>
      </c>
      <c r="H505" s="320">
        <v>21.5</v>
      </c>
      <c r="I505" s="321">
        <v>496000</v>
      </c>
      <c r="J505" s="321">
        <v>10907800</v>
      </c>
      <c r="K505" s="320">
        <v>224</v>
      </c>
      <c r="L505" s="320">
        <v>21.55</v>
      </c>
      <c r="M505" s="320">
        <v>1</v>
      </c>
      <c r="N505" s="320">
        <v>21.6</v>
      </c>
      <c r="O505" s="320">
        <v>10</v>
      </c>
      <c r="P505" s="321">
        <v>75000000</v>
      </c>
      <c r="Q505" s="320">
        <v>23.75</v>
      </c>
      <c r="R505" s="320">
        <v>19.45</v>
      </c>
    </row>
    <row r="506" spans="2:18">
      <c r="B506" s="319">
        <v>5355</v>
      </c>
      <c r="C506" s="319" t="s">
        <v>939</v>
      </c>
      <c r="D506" s="320">
        <v>7.2</v>
      </c>
      <c r="E506" s="320">
        <v>0</v>
      </c>
      <c r="F506" s="320">
        <v>7.2</v>
      </c>
      <c r="G506" s="320">
        <v>7.21</v>
      </c>
      <c r="H506" s="320">
        <v>7.14</v>
      </c>
      <c r="I506" s="321">
        <v>193000</v>
      </c>
      <c r="J506" s="321">
        <v>1386460</v>
      </c>
      <c r="K506" s="320">
        <v>89</v>
      </c>
      <c r="L506" s="320">
        <v>7.2</v>
      </c>
      <c r="M506" s="320">
        <v>7</v>
      </c>
      <c r="N506" s="320">
        <v>7.21</v>
      </c>
      <c r="O506" s="320">
        <v>6</v>
      </c>
      <c r="P506" s="321">
        <v>166122792</v>
      </c>
      <c r="Q506" s="320">
        <v>7.92</v>
      </c>
      <c r="R506" s="320">
        <v>6.48</v>
      </c>
    </row>
    <row r="507" spans="2:18">
      <c r="B507" s="319">
        <v>5356</v>
      </c>
      <c r="C507" s="319" t="s">
        <v>940</v>
      </c>
      <c r="D507" s="320">
        <v>28.05</v>
      </c>
      <c r="E507" s="320">
        <v>-0.05</v>
      </c>
      <c r="F507" s="320">
        <v>28.3</v>
      </c>
      <c r="G507" s="320">
        <v>28.3</v>
      </c>
      <c r="H507" s="320">
        <v>28</v>
      </c>
      <c r="I507" s="321">
        <v>393000</v>
      </c>
      <c r="J507" s="321">
        <v>11044000</v>
      </c>
      <c r="K507" s="320">
        <v>219</v>
      </c>
      <c r="L507" s="320">
        <v>28.05</v>
      </c>
      <c r="M507" s="320">
        <v>15</v>
      </c>
      <c r="N507" s="320">
        <v>28.1</v>
      </c>
      <c r="O507" s="320">
        <v>38</v>
      </c>
      <c r="P507" s="321">
        <v>103040000</v>
      </c>
      <c r="Q507" s="320">
        <v>30.85</v>
      </c>
      <c r="R507" s="320">
        <v>25.25</v>
      </c>
    </row>
    <row r="508" spans="2:18">
      <c r="B508" s="319">
        <v>5364</v>
      </c>
      <c r="C508" s="319" t="s">
        <v>941</v>
      </c>
      <c r="D508" s="320">
        <v>19.7</v>
      </c>
      <c r="E508" s="320">
        <v>-0.95</v>
      </c>
      <c r="F508" s="320">
        <v>20.2</v>
      </c>
      <c r="G508" s="320">
        <v>20.2</v>
      </c>
      <c r="H508" s="320">
        <v>19.45</v>
      </c>
      <c r="I508" s="321">
        <v>12000</v>
      </c>
      <c r="J508" s="321">
        <v>235350</v>
      </c>
      <c r="K508" s="320">
        <v>8</v>
      </c>
      <c r="L508" s="320">
        <v>18.8</v>
      </c>
      <c r="M508" s="320">
        <v>2</v>
      </c>
      <c r="N508" s="320">
        <v>19.649999999999999</v>
      </c>
      <c r="O508" s="320">
        <v>3</v>
      </c>
      <c r="P508" s="321">
        <v>28849940</v>
      </c>
      <c r="Q508" s="320">
        <v>21.65</v>
      </c>
      <c r="R508" s="320">
        <v>17.75</v>
      </c>
    </row>
    <row r="509" spans="2:18">
      <c r="B509" s="319">
        <v>5371</v>
      </c>
      <c r="C509" s="319" t="s">
        <v>942</v>
      </c>
      <c r="D509" s="320">
        <v>85.9</v>
      </c>
      <c r="E509" s="320">
        <v>0.7</v>
      </c>
      <c r="F509" s="320">
        <v>86</v>
      </c>
      <c r="G509" s="320">
        <v>87</v>
      </c>
      <c r="H509" s="320">
        <v>84</v>
      </c>
      <c r="I509" s="321">
        <v>5237000</v>
      </c>
      <c r="J509" s="321">
        <v>449210700</v>
      </c>
      <c r="K509" s="321">
        <v>3258</v>
      </c>
      <c r="L509" s="320">
        <v>85.8</v>
      </c>
      <c r="M509" s="320">
        <v>30</v>
      </c>
      <c r="N509" s="320">
        <v>85.9</v>
      </c>
      <c r="O509" s="320">
        <v>49</v>
      </c>
      <c r="P509" s="321">
        <v>390981110</v>
      </c>
      <c r="Q509" s="320">
        <v>94.4</v>
      </c>
      <c r="R509" s="320">
        <v>77.400000000000006</v>
      </c>
    </row>
    <row r="510" spans="2:18">
      <c r="B510" s="319">
        <v>5381</v>
      </c>
      <c r="C510" s="319" t="s">
        <v>943</v>
      </c>
      <c r="D510" s="320">
        <v>6.05</v>
      </c>
      <c r="E510" s="320">
        <v>-0.02</v>
      </c>
      <c r="F510" s="320">
        <v>6.14</v>
      </c>
      <c r="G510" s="320">
        <v>6.19</v>
      </c>
      <c r="H510" s="320">
        <v>6.02</v>
      </c>
      <c r="I510" s="321">
        <v>135000</v>
      </c>
      <c r="J510" s="321">
        <v>820980</v>
      </c>
      <c r="K510" s="320">
        <v>40</v>
      </c>
      <c r="L510" s="320">
        <v>6.05</v>
      </c>
      <c r="M510" s="320">
        <v>7</v>
      </c>
      <c r="N510" s="320">
        <v>6.13</v>
      </c>
      <c r="O510" s="320">
        <v>1</v>
      </c>
      <c r="P510" s="321">
        <v>180156837</v>
      </c>
      <c r="Q510" s="320">
        <v>6.65</v>
      </c>
      <c r="R510" s="320">
        <v>5.45</v>
      </c>
    </row>
    <row r="511" spans="2:18">
      <c r="B511" s="319">
        <v>5383</v>
      </c>
      <c r="C511" s="319" t="s">
        <v>944</v>
      </c>
      <c r="D511" s="320">
        <v>46.75</v>
      </c>
      <c r="E511" s="320">
        <v>0.4</v>
      </c>
      <c r="F511" s="320">
        <v>47.4</v>
      </c>
      <c r="G511" s="320">
        <v>47.4</v>
      </c>
      <c r="H511" s="320">
        <v>46.5</v>
      </c>
      <c r="I511" s="321">
        <v>241000</v>
      </c>
      <c r="J511" s="321">
        <v>11281700</v>
      </c>
      <c r="K511" s="320">
        <v>154</v>
      </c>
      <c r="L511" s="320">
        <v>46.75</v>
      </c>
      <c r="M511" s="320">
        <v>6</v>
      </c>
      <c r="N511" s="320">
        <v>46.8</v>
      </c>
      <c r="O511" s="320">
        <v>1</v>
      </c>
      <c r="P511" s="321">
        <v>79400399</v>
      </c>
      <c r="Q511" s="320">
        <v>51.4</v>
      </c>
      <c r="R511" s="320">
        <v>42.1</v>
      </c>
    </row>
    <row r="512" spans="2:18">
      <c r="B512" s="319">
        <v>5386</v>
      </c>
      <c r="C512" s="319" t="s">
        <v>945</v>
      </c>
      <c r="D512" s="320">
        <v>51.8</v>
      </c>
      <c r="E512" s="320">
        <v>0.8</v>
      </c>
      <c r="F512" s="320">
        <v>51.7</v>
      </c>
      <c r="G512" s="320">
        <v>53.7</v>
      </c>
      <c r="H512" s="320">
        <v>51.5</v>
      </c>
      <c r="I512" s="321">
        <v>811000</v>
      </c>
      <c r="J512" s="321">
        <v>42474200</v>
      </c>
      <c r="K512" s="320">
        <v>607</v>
      </c>
      <c r="L512" s="320">
        <v>51.8</v>
      </c>
      <c r="M512" s="320">
        <v>3</v>
      </c>
      <c r="N512" s="320">
        <v>51.9</v>
      </c>
      <c r="O512" s="320">
        <v>7</v>
      </c>
      <c r="P512" s="321">
        <v>24778659</v>
      </c>
      <c r="Q512" s="320">
        <v>56.9</v>
      </c>
      <c r="R512" s="320">
        <v>46.65</v>
      </c>
    </row>
    <row r="513" spans="2:18">
      <c r="B513" s="319">
        <v>5392</v>
      </c>
      <c r="C513" s="319" t="s">
        <v>2704</v>
      </c>
      <c r="D513" s="320">
        <v>27.2</v>
      </c>
      <c r="E513" s="320">
        <v>0.5</v>
      </c>
      <c r="F513" s="320">
        <v>26.7</v>
      </c>
      <c r="G513" s="320">
        <v>27.5</v>
      </c>
      <c r="H513" s="320">
        <v>26.4</v>
      </c>
      <c r="I513" s="321">
        <v>1567000</v>
      </c>
      <c r="J513" s="321">
        <v>42291500</v>
      </c>
      <c r="K513" s="320">
        <v>752</v>
      </c>
      <c r="L513" s="320">
        <v>27.2</v>
      </c>
      <c r="M513" s="320">
        <v>9</v>
      </c>
      <c r="N513" s="320">
        <v>27.25</v>
      </c>
      <c r="O513" s="320">
        <v>2</v>
      </c>
      <c r="P513" s="321">
        <v>169963990</v>
      </c>
      <c r="Q513" s="320">
        <v>29.9</v>
      </c>
      <c r="R513" s="320">
        <v>24.5</v>
      </c>
    </row>
    <row r="514" spans="2:18">
      <c r="B514" s="319">
        <v>5398</v>
      </c>
      <c r="C514" s="319" t="s">
        <v>946</v>
      </c>
      <c r="D514" s="320">
        <v>20.149999999999999</v>
      </c>
      <c r="E514" s="320">
        <v>0.05</v>
      </c>
      <c r="F514" s="320">
        <v>20.2</v>
      </c>
      <c r="G514" s="320">
        <v>20.45</v>
      </c>
      <c r="H514" s="320">
        <v>20.100000000000001</v>
      </c>
      <c r="I514" s="321">
        <v>56000</v>
      </c>
      <c r="J514" s="321">
        <v>1132500</v>
      </c>
      <c r="K514" s="320">
        <v>24</v>
      </c>
      <c r="L514" s="320">
        <v>20.149999999999999</v>
      </c>
      <c r="M514" s="320">
        <v>2</v>
      </c>
      <c r="N514" s="320">
        <v>20.2</v>
      </c>
      <c r="O514" s="320">
        <v>2</v>
      </c>
      <c r="P514" s="321">
        <v>49950460</v>
      </c>
      <c r="Q514" s="320">
        <v>22.15</v>
      </c>
      <c r="R514" s="320">
        <v>18.149999999999999</v>
      </c>
    </row>
    <row r="515" spans="2:18">
      <c r="B515" s="319">
        <v>5403</v>
      </c>
      <c r="C515" s="319" t="s">
        <v>947</v>
      </c>
      <c r="D515" s="320">
        <v>68.900000000000006</v>
      </c>
      <c r="E515" s="320">
        <v>0.1</v>
      </c>
      <c r="F515" s="320">
        <v>68.8</v>
      </c>
      <c r="G515" s="320">
        <v>68.900000000000006</v>
      </c>
      <c r="H515" s="320">
        <v>68.599999999999994</v>
      </c>
      <c r="I515" s="321">
        <v>37000</v>
      </c>
      <c r="J515" s="321">
        <v>2543300</v>
      </c>
      <c r="K515" s="320">
        <v>25</v>
      </c>
      <c r="L515" s="320">
        <v>68.8</v>
      </c>
      <c r="M515" s="320">
        <v>5</v>
      </c>
      <c r="N515" s="320">
        <v>68.900000000000006</v>
      </c>
      <c r="O515" s="320">
        <v>11</v>
      </c>
      <c r="P515" s="321">
        <v>70893045</v>
      </c>
      <c r="Q515" s="320">
        <v>75.7</v>
      </c>
      <c r="R515" s="320">
        <v>62.1</v>
      </c>
    </row>
    <row r="516" spans="2:18">
      <c r="B516" s="319">
        <v>5410</v>
      </c>
      <c r="C516" s="319" t="s">
        <v>948</v>
      </c>
      <c r="D516" s="320">
        <v>25.45</v>
      </c>
      <c r="E516" s="320">
        <v>-0.1</v>
      </c>
      <c r="F516" s="320">
        <v>25.55</v>
      </c>
      <c r="G516" s="320">
        <v>25.6</v>
      </c>
      <c r="H516" s="320">
        <v>25.4</v>
      </c>
      <c r="I516" s="321">
        <v>343000</v>
      </c>
      <c r="J516" s="321">
        <v>8744950</v>
      </c>
      <c r="K516" s="320">
        <v>176</v>
      </c>
      <c r="L516" s="320">
        <v>25.45</v>
      </c>
      <c r="M516" s="320">
        <v>2</v>
      </c>
      <c r="N516" s="320">
        <v>25.55</v>
      </c>
      <c r="O516" s="320">
        <v>1</v>
      </c>
      <c r="P516" s="321">
        <v>87370123</v>
      </c>
      <c r="Q516" s="320">
        <v>27.95</v>
      </c>
      <c r="R516" s="320">
        <v>22.95</v>
      </c>
    </row>
    <row r="517" spans="2:18">
      <c r="B517" s="319">
        <v>5425</v>
      </c>
      <c r="C517" s="319" t="s">
        <v>949</v>
      </c>
      <c r="D517" s="320">
        <v>78.400000000000006</v>
      </c>
      <c r="E517" s="320">
        <v>0.1</v>
      </c>
      <c r="F517" s="320">
        <v>79.5</v>
      </c>
      <c r="G517" s="320">
        <v>80.099999999999994</v>
      </c>
      <c r="H517" s="320">
        <v>78.099999999999994</v>
      </c>
      <c r="I517" s="321">
        <v>5279000</v>
      </c>
      <c r="J517" s="321">
        <v>416976800</v>
      </c>
      <c r="K517" s="321">
        <v>3451</v>
      </c>
      <c r="L517" s="320">
        <v>78.400000000000006</v>
      </c>
      <c r="M517" s="320">
        <v>12</v>
      </c>
      <c r="N517" s="320">
        <v>78.5</v>
      </c>
      <c r="O517" s="320">
        <v>16</v>
      </c>
      <c r="P517" s="321">
        <v>265085486</v>
      </c>
      <c r="Q517" s="320">
        <v>86.2</v>
      </c>
      <c r="R517" s="320">
        <v>70.599999999999994</v>
      </c>
    </row>
    <row r="518" spans="2:18">
      <c r="B518" s="319">
        <v>5426</v>
      </c>
      <c r="C518" s="319" t="s">
        <v>950</v>
      </c>
      <c r="D518" s="320">
        <v>12.5</v>
      </c>
      <c r="E518" s="320">
        <v>-0.55000000000000004</v>
      </c>
      <c r="F518" s="320">
        <v>13.2</v>
      </c>
      <c r="G518" s="320">
        <v>13.7</v>
      </c>
      <c r="H518" s="320">
        <v>12.5</v>
      </c>
      <c r="I518" s="321">
        <v>19075000</v>
      </c>
      <c r="J518" s="321">
        <v>255909300</v>
      </c>
      <c r="K518" s="321">
        <v>3367</v>
      </c>
      <c r="L518" s="320">
        <v>12.5</v>
      </c>
      <c r="M518" s="320">
        <v>26</v>
      </c>
      <c r="N518" s="320">
        <v>12.55</v>
      </c>
      <c r="O518" s="320">
        <v>5</v>
      </c>
      <c r="P518" s="321">
        <v>143800000</v>
      </c>
      <c r="Q518" s="320">
        <v>13.75</v>
      </c>
      <c r="R518" s="320">
        <v>11.25</v>
      </c>
    </row>
    <row r="519" spans="2:18">
      <c r="B519" s="319">
        <v>5432</v>
      </c>
      <c r="C519" s="319" t="s">
        <v>2785</v>
      </c>
      <c r="D519" s="320">
        <v>33.9</v>
      </c>
      <c r="E519" s="320">
        <v>0.45</v>
      </c>
      <c r="F519" s="320">
        <v>34.450000000000003</v>
      </c>
      <c r="G519" s="320">
        <v>34.450000000000003</v>
      </c>
      <c r="H519" s="320">
        <v>33.9</v>
      </c>
      <c r="I519" s="321">
        <v>2000</v>
      </c>
      <c r="J519" s="321">
        <v>68350</v>
      </c>
      <c r="K519" s="320">
        <v>2</v>
      </c>
      <c r="L519" s="320">
        <v>32.85</v>
      </c>
      <c r="M519" s="320">
        <v>1</v>
      </c>
      <c r="N519" s="320">
        <v>33.950000000000003</v>
      </c>
      <c r="O519" s="320">
        <v>2</v>
      </c>
      <c r="P519" s="321">
        <v>20687804</v>
      </c>
      <c r="Q519" s="320">
        <v>37.25</v>
      </c>
      <c r="R519" s="320">
        <v>30.55</v>
      </c>
    </row>
    <row r="520" spans="2:18">
      <c r="B520" s="319">
        <v>5438</v>
      </c>
      <c r="C520" s="319" t="s">
        <v>951</v>
      </c>
      <c r="D520" s="320">
        <v>16.75</v>
      </c>
      <c r="E520" s="320">
        <v>0</v>
      </c>
      <c r="F520" s="320">
        <v>16.75</v>
      </c>
      <c r="G520" s="320">
        <v>16.8</v>
      </c>
      <c r="H520" s="320">
        <v>16.7</v>
      </c>
      <c r="I520" s="321">
        <v>68000</v>
      </c>
      <c r="J520" s="321">
        <v>1140800</v>
      </c>
      <c r="K520" s="320">
        <v>31</v>
      </c>
      <c r="L520" s="320">
        <v>16.75</v>
      </c>
      <c r="M520" s="320">
        <v>7</v>
      </c>
      <c r="N520" s="320">
        <v>16.8</v>
      </c>
      <c r="O520" s="320">
        <v>5</v>
      </c>
      <c r="P520" s="321">
        <v>112536565</v>
      </c>
      <c r="Q520" s="320">
        <v>18.399999999999999</v>
      </c>
      <c r="R520" s="320">
        <v>15.1</v>
      </c>
    </row>
    <row r="521" spans="2:18">
      <c r="B521" s="319">
        <v>5439</v>
      </c>
      <c r="C521" s="319" t="s">
        <v>952</v>
      </c>
      <c r="D521" s="320">
        <v>61</v>
      </c>
      <c r="E521" s="320">
        <v>-0.6</v>
      </c>
      <c r="F521" s="320">
        <v>61.6</v>
      </c>
      <c r="G521" s="320">
        <v>62</v>
      </c>
      <c r="H521" s="320">
        <v>61</v>
      </c>
      <c r="I521" s="321">
        <v>338000</v>
      </c>
      <c r="J521" s="321">
        <v>20720300</v>
      </c>
      <c r="K521" s="320">
        <v>235</v>
      </c>
      <c r="L521" s="320">
        <v>61</v>
      </c>
      <c r="M521" s="320">
        <v>48</v>
      </c>
      <c r="N521" s="320">
        <v>61.1</v>
      </c>
      <c r="O521" s="320">
        <v>3</v>
      </c>
      <c r="P521" s="321">
        <v>92975752</v>
      </c>
      <c r="Q521" s="320">
        <v>67.099999999999994</v>
      </c>
      <c r="R521" s="320">
        <v>54.9</v>
      </c>
    </row>
    <row r="522" spans="2:18">
      <c r="B522" s="319">
        <v>5443</v>
      </c>
      <c r="C522" s="319" t="s">
        <v>953</v>
      </c>
      <c r="D522" s="320">
        <v>33.85</v>
      </c>
      <c r="E522" s="320">
        <v>0.05</v>
      </c>
      <c r="F522" s="320">
        <v>34.1</v>
      </c>
      <c r="G522" s="320">
        <v>34.450000000000003</v>
      </c>
      <c r="H522" s="320">
        <v>33.75</v>
      </c>
      <c r="I522" s="321">
        <v>661000</v>
      </c>
      <c r="J522" s="321">
        <v>22503600</v>
      </c>
      <c r="K522" s="320">
        <v>421</v>
      </c>
      <c r="L522" s="320">
        <v>33.85</v>
      </c>
      <c r="M522" s="320">
        <v>13</v>
      </c>
      <c r="N522" s="320">
        <v>33.950000000000003</v>
      </c>
      <c r="O522" s="320">
        <v>3</v>
      </c>
      <c r="P522" s="321">
        <v>165136144</v>
      </c>
      <c r="Q522" s="320">
        <v>37.200000000000003</v>
      </c>
      <c r="R522" s="320">
        <v>30.5</v>
      </c>
    </row>
    <row r="523" spans="2:18">
      <c r="B523" s="319">
        <v>5450</v>
      </c>
      <c r="C523" s="319" t="s">
        <v>954</v>
      </c>
      <c r="D523" s="320">
        <v>20.6</v>
      </c>
      <c r="E523" s="320">
        <v>-0.75</v>
      </c>
      <c r="F523" s="320">
        <v>22.45</v>
      </c>
      <c r="G523" s="320">
        <v>23</v>
      </c>
      <c r="H523" s="320">
        <v>20.55</v>
      </c>
      <c r="I523" s="321">
        <v>2611000</v>
      </c>
      <c r="J523" s="321">
        <v>56713250</v>
      </c>
      <c r="K523" s="321">
        <v>1475</v>
      </c>
      <c r="L523" s="320">
        <v>20.6</v>
      </c>
      <c r="M523" s="320">
        <v>45</v>
      </c>
      <c r="N523" s="320">
        <v>20.65</v>
      </c>
      <c r="O523" s="320">
        <v>7</v>
      </c>
      <c r="P523" s="321">
        <v>122392250</v>
      </c>
      <c r="Q523" s="320">
        <v>22.65</v>
      </c>
      <c r="R523" s="320">
        <v>18.55</v>
      </c>
    </row>
    <row r="524" spans="2:18">
      <c r="B524" s="319">
        <v>5452</v>
      </c>
      <c r="C524" s="319" t="s">
        <v>955</v>
      </c>
      <c r="D524" s="320">
        <v>23</v>
      </c>
      <c r="E524" s="320">
        <v>-0.2</v>
      </c>
      <c r="F524" s="320">
        <v>23.5</v>
      </c>
      <c r="G524" s="320">
        <v>23.5</v>
      </c>
      <c r="H524" s="320">
        <v>22.95</v>
      </c>
      <c r="I524" s="321">
        <v>716000</v>
      </c>
      <c r="J524" s="321">
        <v>16556300</v>
      </c>
      <c r="K524" s="320">
        <v>381</v>
      </c>
      <c r="L524" s="320">
        <v>23</v>
      </c>
      <c r="M524" s="320">
        <v>34</v>
      </c>
      <c r="N524" s="320">
        <v>23.1</v>
      </c>
      <c r="O524" s="320">
        <v>4</v>
      </c>
      <c r="P524" s="321">
        <v>148763669</v>
      </c>
      <c r="Q524" s="320">
        <v>25.3</v>
      </c>
      <c r="R524" s="320">
        <v>20.7</v>
      </c>
    </row>
    <row r="525" spans="2:18">
      <c r="B525" s="319">
        <v>5455</v>
      </c>
      <c r="C525" s="319" t="s">
        <v>956</v>
      </c>
      <c r="D525" s="320">
        <v>29</v>
      </c>
      <c r="E525" s="320">
        <v>0.5</v>
      </c>
      <c r="F525" s="320">
        <v>28.45</v>
      </c>
      <c r="G525" s="320">
        <v>29</v>
      </c>
      <c r="H525" s="320">
        <v>28.45</v>
      </c>
      <c r="I525" s="321">
        <v>3000</v>
      </c>
      <c r="J525" s="321">
        <v>85950</v>
      </c>
      <c r="K525" s="320">
        <v>3</v>
      </c>
      <c r="L525" s="320">
        <v>28.45</v>
      </c>
      <c r="M525" s="320">
        <v>9</v>
      </c>
      <c r="N525" s="320">
        <v>29.9</v>
      </c>
      <c r="O525" s="320">
        <v>1</v>
      </c>
      <c r="P525" s="321">
        <v>65501813</v>
      </c>
      <c r="Q525" s="320">
        <v>31.9</v>
      </c>
      <c r="R525" s="320">
        <v>26.1</v>
      </c>
    </row>
    <row r="526" spans="2:18">
      <c r="B526" s="319">
        <v>5457</v>
      </c>
      <c r="C526" s="319" t="s">
        <v>957</v>
      </c>
      <c r="D526" s="320">
        <v>83</v>
      </c>
      <c r="E526" s="320">
        <v>0.4</v>
      </c>
      <c r="F526" s="320">
        <v>83</v>
      </c>
      <c r="G526" s="320">
        <v>83.5</v>
      </c>
      <c r="H526" s="320">
        <v>81.8</v>
      </c>
      <c r="I526" s="321">
        <v>2722000</v>
      </c>
      <c r="J526" s="321">
        <v>225166600</v>
      </c>
      <c r="K526" s="321">
        <v>1586</v>
      </c>
      <c r="L526" s="320">
        <v>82.9</v>
      </c>
      <c r="M526" s="320">
        <v>3</v>
      </c>
      <c r="N526" s="320">
        <v>83</v>
      </c>
      <c r="O526" s="320">
        <v>172</v>
      </c>
      <c r="P526" s="321">
        <v>169366800</v>
      </c>
      <c r="Q526" s="320">
        <v>91.3</v>
      </c>
      <c r="R526" s="320">
        <v>74.7</v>
      </c>
    </row>
    <row r="527" spans="2:18">
      <c r="B527" s="319">
        <v>5460</v>
      </c>
      <c r="C527" s="319" t="s">
        <v>2898</v>
      </c>
      <c r="D527" s="320">
        <v>13.15</v>
      </c>
      <c r="E527" s="320">
        <v>0.05</v>
      </c>
      <c r="F527" s="320">
        <v>13.1</v>
      </c>
      <c r="G527" s="320">
        <v>13.25</v>
      </c>
      <c r="H527" s="320">
        <v>13.1</v>
      </c>
      <c r="I527" s="321">
        <v>58000</v>
      </c>
      <c r="J527" s="321">
        <v>762950</v>
      </c>
      <c r="K527" s="320">
        <v>34</v>
      </c>
      <c r="L527" s="320">
        <v>13.1</v>
      </c>
      <c r="M527" s="320">
        <v>11</v>
      </c>
      <c r="N527" s="320">
        <v>13.15</v>
      </c>
      <c r="O527" s="320">
        <v>22</v>
      </c>
      <c r="P527" s="321">
        <v>58778130</v>
      </c>
      <c r="Q527" s="320">
        <v>14.45</v>
      </c>
      <c r="R527" s="320">
        <v>11.85</v>
      </c>
    </row>
    <row r="528" spans="2:18">
      <c r="B528" s="319">
        <v>5464</v>
      </c>
      <c r="C528" s="319" t="s">
        <v>958</v>
      </c>
      <c r="D528" s="320">
        <v>25.8</v>
      </c>
      <c r="E528" s="320">
        <v>-0.6</v>
      </c>
      <c r="F528" s="320">
        <v>26.6</v>
      </c>
      <c r="G528" s="320">
        <v>26.85</v>
      </c>
      <c r="H528" s="320">
        <v>25.7</v>
      </c>
      <c r="I528" s="321">
        <v>294000</v>
      </c>
      <c r="J528" s="321">
        <v>7650000</v>
      </c>
      <c r="K528" s="320">
        <v>165</v>
      </c>
      <c r="L528" s="320">
        <v>25.8</v>
      </c>
      <c r="M528" s="320">
        <v>6</v>
      </c>
      <c r="N528" s="320">
        <v>25.85</v>
      </c>
      <c r="O528" s="320">
        <v>5</v>
      </c>
      <c r="P528" s="321">
        <v>71071490</v>
      </c>
      <c r="Q528" s="320">
        <v>28.35</v>
      </c>
      <c r="R528" s="320">
        <v>23.25</v>
      </c>
    </row>
    <row r="529" spans="2:18">
      <c r="B529" s="319">
        <v>5465</v>
      </c>
      <c r="C529" s="319" t="s">
        <v>959</v>
      </c>
      <c r="D529" s="320">
        <v>16.5</v>
      </c>
      <c r="E529" s="320">
        <v>0.15</v>
      </c>
      <c r="F529" s="320">
        <v>16.3</v>
      </c>
      <c r="G529" s="320">
        <v>16.55</v>
      </c>
      <c r="H529" s="320">
        <v>16.3</v>
      </c>
      <c r="I529" s="321">
        <v>37000</v>
      </c>
      <c r="J529" s="321">
        <v>609600</v>
      </c>
      <c r="K529" s="320">
        <v>29</v>
      </c>
      <c r="L529" s="320">
        <v>16.5</v>
      </c>
      <c r="M529" s="320">
        <v>1</v>
      </c>
      <c r="N529" s="320">
        <v>16.55</v>
      </c>
      <c r="O529" s="320">
        <v>1</v>
      </c>
      <c r="P529" s="321">
        <v>147682629</v>
      </c>
      <c r="Q529" s="320">
        <v>18.149999999999999</v>
      </c>
      <c r="R529" s="320">
        <v>14.85</v>
      </c>
    </row>
    <row r="530" spans="2:18">
      <c r="B530" s="319">
        <v>5468</v>
      </c>
      <c r="C530" s="319" t="s">
        <v>960</v>
      </c>
      <c r="D530" s="320">
        <v>20.6</v>
      </c>
      <c r="E530" s="320">
        <v>-0.4</v>
      </c>
      <c r="F530" s="320">
        <v>21</v>
      </c>
      <c r="G530" s="320">
        <v>21</v>
      </c>
      <c r="H530" s="320">
        <v>20.6</v>
      </c>
      <c r="I530" s="321">
        <v>95000</v>
      </c>
      <c r="J530" s="321">
        <v>1971900</v>
      </c>
      <c r="K530" s="320">
        <v>58</v>
      </c>
      <c r="L530" s="320">
        <v>20.6</v>
      </c>
      <c r="M530" s="320">
        <v>2</v>
      </c>
      <c r="N530" s="320">
        <v>20.75</v>
      </c>
      <c r="O530" s="320">
        <v>1</v>
      </c>
      <c r="P530" s="321">
        <v>27822909</v>
      </c>
      <c r="Q530" s="320">
        <v>22.65</v>
      </c>
      <c r="R530" s="320">
        <v>18.55</v>
      </c>
    </row>
    <row r="531" spans="2:18">
      <c r="B531" s="319">
        <v>5474</v>
      </c>
      <c r="C531" s="319" t="s">
        <v>961</v>
      </c>
      <c r="D531" s="320">
        <v>108.5</v>
      </c>
      <c r="E531" s="320">
        <v>0.5</v>
      </c>
      <c r="F531" s="320">
        <v>108.5</v>
      </c>
      <c r="G531" s="320">
        <v>110.5</v>
      </c>
      <c r="H531" s="320">
        <v>107.5</v>
      </c>
      <c r="I531" s="321">
        <v>42000</v>
      </c>
      <c r="J531" s="321">
        <v>4569000</v>
      </c>
      <c r="K531" s="320">
        <v>39</v>
      </c>
      <c r="L531" s="320">
        <v>108</v>
      </c>
      <c r="M531" s="320">
        <v>4</v>
      </c>
      <c r="N531" s="320">
        <v>108.5</v>
      </c>
      <c r="O531" s="320">
        <v>2</v>
      </c>
      <c r="P531" s="321">
        <v>40355944</v>
      </c>
      <c r="Q531" s="320">
        <v>119</v>
      </c>
      <c r="R531" s="320">
        <v>97.7</v>
      </c>
    </row>
    <row r="532" spans="2:18">
      <c r="B532" s="319">
        <v>5475</v>
      </c>
      <c r="C532" s="319" t="s">
        <v>962</v>
      </c>
      <c r="D532" s="320">
        <v>35.049999999999997</v>
      </c>
      <c r="E532" s="320">
        <v>-0.35</v>
      </c>
      <c r="F532" s="320">
        <v>35.799999999999997</v>
      </c>
      <c r="G532" s="320">
        <v>36.65</v>
      </c>
      <c r="H532" s="320">
        <v>34.6</v>
      </c>
      <c r="I532" s="321">
        <v>9932000</v>
      </c>
      <c r="J532" s="321">
        <v>352202950</v>
      </c>
      <c r="K532" s="321">
        <v>5005</v>
      </c>
      <c r="L532" s="320">
        <v>35</v>
      </c>
      <c r="M532" s="320">
        <v>9</v>
      </c>
      <c r="N532" s="320">
        <v>35.049999999999997</v>
      </c>
      <c r="O532" s="320">
        <v>16</v>
      </c>
      <c r="P532" s="321">
        <v>127127017</v>
      </c>
      <c r="Q532" s="320">
        <v>38.549999999999997</v>
      </c>
      <c r="R532" s="320">
        <v>31.55</v>
      </c>
    </row>
    <row r="533" spans="2:18">
      <c r="B533" s="319">
        <v>5478</v>
      </c>
      <c r="C533" s="319" t="s">
        <v>963</v>
      </c>
      <c r="D533" s="320">
        <v>95.6</v>
      </c>
      <c r="E533" s="320">
        <v>-1.5</v>
      </c>
      <c r="F533" s="320">
        <v>97.9</v>
      </c>
      <c r="G533" s="320">
        <v>98.1</v>
      </c>
      <c r="H533" s="320">
        <v>95.4</v>
      </c>
      <c r="I533" s="321">
        <v>663000</v>
      </c>
      <c r="J533" s="321">
        <v>63875200</v>
      </c>
      <c r="K533" s="320">
        <v>494</v>
      </c>
      <c r="L533" s="320">
        <v>95.5</v>
      </c>
      <c r="M533" s="320">
        <v>6</v>
      </c>
      <c r="N533" s="320">
        <v>95.6</v>
      </c>
      <c r="O533" s="320">
        <v>6</v>
      </c>
      <c r="P533" s="321">
        <v>127474332</v>
      </c>
      <c r="Q533" s="320">
        <v>105</v>
      </c>
      <c r="R533" s="320">
        <v>86.1</v>
      </c>
    </row>
    <row r="534" spans="2:18">
      <c r="B534" s="319">
        <v>5481</v>
      </c>
      <c r="C534" s="319" t="s">
        <v>964</v>
      </c>
      <c r="D534" s="320">
        <v>13.3</v>
      </c>
      <c r="E534" s="320">
        <v>0.1</v>
      </c>
      <c r="F534" s="320">
        <v>13.35</v>
      </c>
      <c r="G534" s="320">
        <v>13.35</v>
      </c>
      <c r="H534" s="320">
        <v>13.2</v>
      </c>
      <c r="I534" s="321">
        <v>61000</v>
      </c>
      <c r="J534" s="321">
        <v>807250</v>
      </c>
      <c r="K534" s="320">
        <v>34</v>
      </c>
      <c r="L534" s="320">
        <v>13.2</v>
      </c>
      <c r="M534" s="320">
        <v>4</v>
      </c>
      <c r="N534" s="320">
        <v>13.3</v>
      </c>
      <c r="O534" s="320">
        <v>28</v>
      </c>
      <c r="P534" s="321">
        <v>73402891</v>
      </c>
      <c r="Q534" s="320">
        <v>14.6</v>
      </c>
      <c r="R534" s="320">
        <v>12</v>
      </c>
    </row>
    <row r="535" spans="2:18">
      <c r="B535" s="319">
        <v>5483</v>
      </c>
      <c r="C535" s="319" t="s">
        <v>965</v>
      </c>
      <c r="D535" s="320">
        <v>235</v>
      </c>
      <c r="E535" s="320">
        <v>0.5</v>
      </c>
      <c r="F535" s="320">
        <v>235</v>
      </c>
      <c r="G535" s="320">
        <v>238.5</v>
      </c>
      <c r="H535" s="320">
        <v>232.5</v>
      </c>
      <c r="I535" s="321">
        <v>6905000</v>
      </c>
      <c r="J535" s="321">
        <v>1625523500</v>
      </c>
      <c r="K535" s="321">
        <v>4653</v>
      </c>
      <c r="L535" s="320">
        <v>234.5</v>
      </c>
      <c r="M535" s="320">
        <v>18</v>
      </c>
      <c r="N535" s="320">
        <v>235</v>
      </c>
      <c r="O535" s="320">
        <v>36</v>
      </c>
      <c r="P535" s="321">
        <v>586221651</v>
      </c>
      <c r="Q535" s="320">
        <v>258.5</v>
      </c>
      <c r="R535" s="320">
        <v>211.5</v>
      </c>
    </row>
    <row r="536" spans="2:18">
      <c r="B536" s="319">
        <v>5487</v>
      </c>
      <c r="C536" s="319" t="s">
        <v>966</v>
      </c>
      <c r="D536" s="320">
        <v>35.9</v>
      </c>
      <c r="E536" s="320">
        <v>0.85</v>
      </c>
      <c r="F536" s="320">
        <v>35.1</v>
      </c>
      <c r="G536" s="320">
        <v>36.25</v>
      </c>
      <c r="H536" s="320">
        <v>35.1</v>
      </c>
      <c r="I536" s="321">
        <v>10000</v>
      </c>
      <c r="J536" s="321">
        <v>355950</v>
      </c>
      <c r="K536" s="320">
        <v>8</v>
      </c>
      <c r="L536" s="320">
        <v>35.1</v>
      </c>
      <c r="M536" s="320">
        <v>2</v>
      </c>
      <c r="N536" s="320">
        <v>35.4</v>
      </c>
      <c r="O536" s="320">
        <v>2</v>
      </c>
      <c r="P536" s="321">
        <v>23930516</v>
      </c>
      <c r="Q536" s="320">
        <v>39.450000000000003</v>
      </c>
      <c r="R536" s="320">
        <v>32.35</v>
      </c>
    </row>
    <row r="537" spans="2:18">
      <c r="B537" s="319">
        <v>5488</v>
      </c>
      <c r="C537" s="319" t="s">
        <v>967</v>
      </c>
      <c r="D537" s="320">
        <v>10.050000000000001</v>
      </c>
      <c r="E537" s="320">
        <v>0.05</v>
      </c>
      <c r="F537" s="320">
        <v>10.15</v>
      </c>
      <c r="G537" s="320">
        <v>10.199999999999999</v>
      </c>
      <c r="H537" s="320">
        <v>10</v>
      </c>
      <c r="I537" s="321">
        <v>644000</v>
      </c>
      <c r="J537" s="321">
        <v>6486950</v>
      </c>
      <c r="K537" s="320">
        <v>259</v>
      </c>
      <c r="L537" s="320">
        <v>10</v>
      </c>
      <c r="M537" s="320">
        <v>45</v>
      </c>
      <c r="N537" s="320">
        <v>10.050000000000001</v>
      </c>
      <c r="O537" s="320">
        <v>32</v>
      </c>
      <c r="P537" s="321">
        <v>91586124</v>
      </c>
      <c r="Q537" s="320">
        <v>11.05</v>
      </c>
      <c r="R537" s="320">
        <v>9.0500000000000007</v>
      </c>
    </row>
    <row r="538" spans="2:18">
      <c r="B538" s="319">
        <v>5489</v>
      </c>
      <c r="C538" s="319" t="s">
        <v>968</v>
      </c>
      <c r="D538" s="320">
        <v>35.549999999999997</v>
      </c>
      <c r="E538" s="320">
        <v>0.15</v>
      </c>
      <c r="F538" s="320">
        <v>35.4</v>
      </c>
      <c r="G538" s="320">
        <v>35.799999999999997</v>
      </c>
      <c r="H538" s="320">
        <v>35.4</v>
      </c>
      <c r="I538" s="321">
        <v>6000</v>
      </c>
      <c r="J538" s="321">
        <v>213250</v>
      </c>
      <c r="K538" s="320">
        <v>6</v>
      </c>
      <c r="L538" s="320">
        <v>35.549999999999997</v>
      </c>
      <c r="M538" s="320">
        <v>1</v>
      </c>
      <c r="N538" s="320">
        <v>35.700000000000003</v>
      </c>
      <c r="O538" s="320">
        <v>1</v>
      </c>
      <c r="P538" s="321">
        <v>102706441</v>
      </c>
      <c r="Q538" s="320">
        <v>39.1</v>
      </c>
      <c r="R538" s="320">
        <v>32</v>
      </c>
    </row>
    <row r="539" spans="2:18">
      <c r="B539" s="319">
        <v>5490</v>
      </c>
      <c r="C539" s="319" t="s">
        <v>969</v>
      </c>
      <c r="D539" s="320">
        <v>28.45</v>
      </c>
      <c r="E539" s="320">
        <v>0.25</v>
      </c>
      <c r="F539" s="320">
        <v>28.35</v>
      </c>
      <c r="G539" s="320">
        <v>29.1</v>
      </c>
      <c r="H539" s="320">
        <v>28.35</v>
      </c>
      <c r="I539" s="321">
        <v>300000</v>
      </c>
      <c r="J539" s="321">
        <v>8599050</v>
      </c>
      <c r="K539" s="320">
        <v>193</v>
      </c>
      <c r="L539" s="320">
        <v>28.4</v>
      </c>
      <c r="M539" s="320">
        <v>8</v>
      </c>
      <c r="N539" s="320">
        <v>28.45</v>
      </c>
      <c r="O539" s="320">
        <v>1</v>
      </c>
      <c r="P539" s="321">
        <v>96213101</v>
      </c>
      <c r="Q539" s="320">
        <v>31.25</v>
      </c>
      <c r="R539" s="320">
        <v>25.65</v>
      </c>
    </row>
    <row r="540" spans="2:18">
      <c r="B540" s="319">
        <v>5493</v>
      </c>
      <c r="C540" s="319" t="s">
        <v>970</v>
      </c>
      <c r="D540" s="320">
        <v>42.8</v>
      </c>
      <c r="E540" s="320">
        <v>0</v>
      </c>
      <c r="F540" s="320">
        <v>42.9</v>
      </c>
      <c r="G540" s="320">
        <v>43</v>
      </c>
      <c r="H540" s="320">
        <v>42.8</v>
      </c>
      <c r="I540" s="321">
        <v>8000</v>
      </c>
      <c r="J540" s="321">
        <v>343700</v>
      </c>
      <c r="K540" s="320">
        <v>7</v>
      </c>
      <c r="L540" s="320">
        <v>42.8</v>
      </c>
      <c r="M540" s="320">
        <v>1</v>
      </c>
      <c r="N540" s="320">
        <v>42.85</v>
      </c>
      <c r="O540" s="320">
        <v>1</v>
      </c>
      <c r="P540" s="321">
        <v>41608815</v>
      </c>
      <c r="Q540" s="320">
        <v>47.05</v>
      </c>
      <c r="R540" s="320">
        <v>38.549999999999997</v>
      </c>
    </row>
    <row r="541" spans="2:18">
      <c r="B541" s="319">
        <v>5498</v>
      </c>
      <c r="C541" s="319" t="s">
        <v>971</v>
      </c>
      <c r="D541" s="320">
        <v>14.4</v>
      </c>
      <c r="E541" s="320">
        <v>0.25</v>
      </c>
      <c r="F541" s="320">
        <v>14.25</v>
      </c>
      <c r="G541" s="320">
        <v>14.6</v>
      </c>
      <c r="H541" s="320">
        <v>14.1</v>
      </c>
      <c r="I541" s="321">
        <v>1088000</v>
      </c>
      <c r="J541" s="321">
        <v>15645250</v>
      </c>
      <c r="K541" s="320">
        <v>522</v>
      </c>
      <c r="L541" s="320">
        <v>14.35</v>
      </c>
      <c r="M541" s="320">
        <v>15</v>
      </c>
      <c r="N541" s="320">
        <v>14.4</v>
      </c>
      <c r="O541" s="320">
        <v>15</v>
      </c>
      <c r="P541" s="321">
        <v>189913346</v>
      </c>
      <c r="Q541" s="320">
        <v>15.8</v>
      </c>
      <c r="R541" s="320">
        <v>13</v>
      </c>
    </row>
    <row r="542" spans="2:18">
      <c r="B542" s="319">
        <v>5508</v>
      </c>
      <c r="C542" s="319" t="s">
        <v>972</v>
      </c>
      <c r="D542" s="320">
        <v>63.3</v>
      </c>
      <c r="E542" s="320">
        <v>0.2</v>
      </c>
      <c r="F542" s="320">
        <v>63.1</v>
      </c>
      <c r="G542" s="320">
        <v>63.7</v>
      </c>
      <c r="H542" s="320">
        <v>62.8</v>
      </c>
      <c r="I542" s="321">
        <v>103000</v>
      </c>
      <c r="J542" s="321">
        <v>6491900</v>
      </c>
      <c r="K542" s="320">
        <v>61</v>
      </c>
      <c r="L542" s="320">
        <v>63</v>
      </c>
      <c r="M542" s="320">
        <v>1</v>
      </c>
      <c r="N542" s="320">
        <v>63.1</v>
      </c>
      <c r="O542" s="320">
        <v>1</v>
      </c>
      <c r="P542" s="321">
        <v>217428133</v>
      </c>
      <c r="Q542" s="320">
        <v>69.599999999999994</v>
      </c>
      <c r="R542" s="320">
        <v>57</v>
      </c>
    </row>
    <row r="543" spans="2:18">
      <c r="B543" s="319">
        <v>5511</v>
      </c>
      <c r="C543" s="319" t="s">
        <v>973</v>
      </c>
      <c r="D543" s="320">
        <v>29.65</v>
      </c>
      <c r="E543" s="320">
        <v>-0.15</v>
      </c>
      <c r="F543" s="320">
        <v>29.7</v>
      </c>
      <c r="G543" s="320">
        <v>29.75</v>
      </c>
      <c r="H543" s="320">
        <v>29.65</v>
      </c>
      <c r="I543" s="321">
        <v>19000</v>
      </c>
      <c r="J543" s="321">
        <v>564200</v>
      </c>
      <c r="K543" s="320">
        <v>13</v>
      </c>
      <c r="L543" s="320">
        <v>29.65</v>
      </c>
      <c r="M543" s="320">
        <v>9</v>
      </c>
      <c r="N543" s="320">
        <v>29.7</v>
      </c>
      <c r="O543" s="320">
        <v>15</v>
      </c>
      <c r="P543" s="321">
        <v>113440000</v>
      </c>
      <c r="Q543" s="320">
        <v>32.6</v>
      </c>
      <c r="R543" s="320">
        <v>26.7</v>
      </c>
    </row>
    <row r="544" spans="2:18">
      <c r="B544" s="319">
        <v>5512</v>
      </c>
      <c r="C544" s="319" t="s">
        <v>974</v>
      </c>
      <c r="D544" s="320">
        <v>9.42</v>
      </c>
      <c r="E544" s="320">
        <v>7.0000000000000007E-2</v>
      </c>
      <c r="F544" s="320">
        <v>9.3699999999999992</v>
      </c>
      <c r="G544" s="320">
        <v>9.43</v>
      </c>
      <c r="H544" s="320">
        <v>9.35</v>
      </c>
      <c r="I544" s="321">
        <v>726000</v>
      </c>
      <c r="J544" s="321">
        <v>6815680</v>
      </c>
      <c r="K544" s="320">
        <v>202</v>
      </c>
      <c r="L544" s="320">
        <v>9.42</v>
      </c>
      <c r="M544" s="320">
        <v>53</v>
      </c>
      <c r="N544" s="320">
        <v>9.43</v>
      </c>
      <c r="O544" s="320">
        <v>32</v>
      </c>
      <c r="P544" s="321">
        <v>743992712</v>
      </c>
      <c r="Q544" s="320">
        <v>10.35</v>
      </c>
      <c r="R544" s="320">
        <v>8.48</v>
      </c>
    </row>
    <row r="545" spans="2:18">
      <c r="B545" s="319">
        <v>5514</v>
      </c>
      <c r="C545" s="319" t="s">
        <v>975</v>
      </c>
      <c r="D545" s="320">
        <v>20.8</v>
      </c>
      <c r="E545" s="320">
        <v>0.1</v>
      </c>
      <c r="F545" s="320">
        <v>20.95</v>
      </c>
      <c r="G545" s="320">
        <v>20.95</v>
      </c>
      <c r="H545" s="320">
        <v>20.8</v>
      </c>
      <c r="I545" s="321">
        <v>4000</v>
      </c>
      <c r="J545" s="321">
        <v>83450</v>
      </c>
      <c r="K545" s="320">
        <v>4</v>
      </c>
      <c r="L545" s="320">
        <v>20.7</v>
      </c>
      <c r="M545" s="320">
        <v>3</v>
      </c>
      <c r="N545" s="320">
        <v>20.9</v>
      </c>
      <c r="O545" s="320">
        <v>3</v>
      </c>
      <c r="P545" s="321">
        <v>207909164</v>
      </c>
      <c r="Q545" s="320">
        <v>22.85</v>
      </c>
      <c r="R545" s="320">
        <v>18.75</v>
      </c>
    </row>
    <row r="546" spans="2:18">
      <c r="B546" s="319">
        <v>5516</v>
      </c>
      <c r="C546" s="319" t="s">
        <v>976</v>
      </c>
      <c r="D546" s="320">
        <v>14.15</v>
      </c>
      <c r="E546" s="320">
        <v>-0.05</v>
      </c>
      <c r="F546" s="320">
        <v>14.2</v>
      </c>
      <c r="G546" s="320">
        <v>14.25</v>
      </c>
      <c r="H546" s="320">
        <v>14.15</v>
      </c>
      <c r="I546" s="321">
        <v>54000</v>
      </c>
      <c r="J546" s="321">
        <v>767400</v>
      </c>
      <c r="K546" s="320">
        <v>29</v>
      </c>
      <c r="L546" s="320">
        <v>14.15</v>
      </c>
      <c r="M546" s="320">
        <v>112</v>
      </c>
      <c r="N546" s="320">
        <v>14.2</v>
      </c>
      <c r="O546" s="320">
        <v>2</v>
      </c>
      <c r="P546" s="321">
        <v>41358600</v>
      </c>
      <c r="Q546" s="320">
        <v>15.55</v>
      </c>
      <c r="R546" s="320">
        <v>12.75</v>
      </c>
    </row>
    <row r="547" spans="2:18">
      <c r="B547" s="319">
        <v>5520</v>
      </c>
      <c r="C547" s="319" t="s">
        <v>977</v>
      </c>
      <c r="D547" s="320">
        <v>53</v>
      </c>
      <c r="E547" s="320">
        <v>-0.5</v>
      </c>
      <c r="F547" s="320">
        <v>53.5</v>
      </c>
      <c r="G547" s="320">
        <v>53.5</v>
      </c>
      <c r="H547" s="320">
        <v>53</v>
      </c>
      <c r="I547" s="321">
        <v>7000</v>
      </c>
      <c r="J547" s="321">
        <v>373300</v>
      </c>
      <c r="K547" s="320">
        <v>6</v>
      </c>
      <c r="L547" s="320">
        <v>52.2</v>
      </c>
      <c r="M547" s="320">
        <v>1</v>
      </c>
      <c r="N547" s="320">
        <v>53.5</v>
      </c>
      <c r="O547" s="320">
        <v>1</v>
      </c>
      <c r="P547" s="321">
        <v>60315245</v>
      </c>
      <c r="Q547" s="320">
        <v>58.3</v>
      </c>
      <c r="R547" s="320">
        <v>47.7</v>
      </c>
    </row>
    <row r="548" spans="2:18">
      <c r="B548" s="319">
        <v>5523</v>
      </c>
      <c r="C548" s="319" t="s">
        <v>978</v>
      </c>
      <c r="D548" s="320">
        <v>29.55</v>
      </c>
      <c r="E548" s="320">
        <v>0.1</v>
      </c>
      <c r="F548" s="320">
        <v>29.5</v>
      </c>
      <c r="G548" s="320">
        <v>29.7</v>
      </c>
      <c r="H548" s="320">
        <v>29.5</v>
      </c>
      <c r="I548" s="321">
        <v>65000</v>
      </c>
      <c r="J548" s="321">
        <v>1921200</v>
      </c>
      <c r="K548" s="320">
        <v>26</v>
      </c>
      <c r="L548" s="320">
        <v>29.5</v>
      </c>
      <c r="M548" s="320">
        <v>17</v>
      </c>
      <c r="N548" s="320">
        <v>29.55</v>
      </c>
      <c r="O548" s="320">
        <v>3</v>
      </c>
      <c r="P548" s="321">
        <v>155001464</v>
      </c>
      <c r="Q548" s="320">
        <v>32.5</v>
      </c>
      <c r="R548" s="320">
        <v>26.6</v>
      </c>
    </row>
    <row r="549" spans="2:18">
      <c r="B549" s="319">
        <v>5529</v>
      </c>
      <c r="C549" s="319" t="s">
        <v>2705</v>
      </c>
      <c r="D549" s="320">
        <v>17</v>
      </c>
      <c r="E549" s="320">
        <v>0</v>
      </c>
      <c r="F549" s="320">
        <v>16.899999999999999</v>
      </c>
      <c r="G549" s="320">
        <v>17</v>
      </c>
      <c r="H549" s="320">
        <v>16.899999999999999</v>
      </c>
      <c r="I549" s="321">
        <v>106000</v>
      </c>
      <c r="J549" s="321">
        <v>1801400</v>
      </c>
      <c r="K549" s="320">
        <v>21</v>
      </c>
      <c r="L549" s="320">
        <v>17</v>
      </c>
      <c r="M549" s="320">
        <v>1</v>
      </c>
      <c r="N549" s="320">
        <v>17.05</v>
      </c>
      <c r="O549" s="320">
        <v>5</v>
      </c>
      <c r="P549" s="321">
        <v>124052849</v>
      </c>
      <c r="Q549" s="320">
        <v>18.7</v>
      </c>
      <c r="R549" s="320">
        <v>15.3</v>
      </c>
    </row>
    <row r="550" spans="2:18">
      <c r="B550" s="319">
        <v>5530</v>
      </c>
      <c r="C550" s="319" t="s">
        <v>979</v>
      </c>
      <c r="D550" s="320">
        <v>44.1</v>
      </c>
      <c r="E550" s="320">
        <v>-0.3</v>
      </c>
      <c r="F550" s="320">
        <v>44.4</v>
      </c>
      <c r="G550" s="320">
        <v>44.4</v>
      </c>
      <c r="H550" s="320">
        <v>44</v>
      </c>
      <c r="I550" s="321">
        <v>292000</v>
      </c>
      <c r="J550" s="321">
        <v>12903950</v>
      </c>
      <c r="K550" s="320">
        <v>172</v>
      </c>
      <c r="L550" s="320">
        <v>44.1</v>
      </c>
      <c r="M550" s="320">
        <v>2</v>
      </c>
      <c r="N550" s="320">
        <v>44.15</v>
      </c>
      <c r="O550" s="320">
        <v>1</v>
      </c>
      <c r="P550" s="321">
        <v>420084199</v>
      </c>
      <c r="Q550" s="320">
        <v>48.5</v>
      </c>
      <c r="R550" s="320">
        <v>39.700000000000003</v>
      </c>
    </row>
    <row r="551" spans="2:18">
      <c r="B551" s="319">
        <v>5536</v>
      </c>
      <c r="C551" s="319" t="s">
        <v>980</v>
      </c>
      <c r="D551" s="320">
        <v>203.5</v>
      </c>
      <c r="E551" s="320">
        <v>0.5</v>
      </c>
      <c r="F551" s="320">
        <v>203</v>
      </c>
      <c r="G551" s="320">
        <v>203.5</v>
      </c>
      <c r="H551" s="320">
        <v>202</v>
      </c>
      <c r="I551" s="321">
        <v>231000</v>
      </c>
      <c r="J551" s="321">
        <v>46855000</v>
      </c>
      <c r="K551" s="320">
        <v>150</v>
      </c>
      <c r="L551" s="320">
        <v>203</v>
      </c>
      <c r="M551" s="320">
        <v>5</v>
      </c>
      <c r="N551" s="320">
        <v>203.5</v>
      </c>
      <c r="O551" s="320">
        <v>2</v>
      </c>
      <c r="P551" s="321">
        <v>57186742</v>
      </c>
      <c r="Q551" s="320">
        <v>223.5</v>
      </c>
      <c r="R551" s="320">
        <v>183.5</v>
      </c>
    </row>
    <row r="552" spans="2:18">
      <c r="B552" s="319">
        <v>5543</v>
      </c>
      <c r="C552" s="319" t="s">
        <v>981</v>
      </c>
      <c r="D552" s="320">
        <v>64</v>
      </c>
      <c r="E552" s="320">
        <v>0.1</v>
      </c>
      <c r="F552" s="320">
        <v>63.9</v>
      </c>
      <c r="G552" s="320">
        <v>64.099999999999994</v>
      </c>
      <c r="H552" s="320">
        <v>63.9</v>
      </c>
      <c r="I552" s="321">
        <v>46000</v>
      </c>
      <c r="J552" s="321">
        <v>2942300</v>
      </c>
      <c r="K552" s="320">
        <v>26</v>
      </c>
      <c r="L552" s="320">
        <v>64</v>
      </c>
      <c r="M552" s="320">
        <v>4</v>
      </c>
      <c r="N552" s="320">
        <v>64.099999999999994</v>
      </c>
      <c r="O552" s="320">
        <v>1</v>
      </c>
      <c r="P552" s="321">
        <v>37230690</v>
      </c>
      <c r="Q552" s="320">
        <v>70.400000000000006</v>
      </c>
      <c r="R552" s="320">
        <v>57.6</v>
      </c>
    </row>
    <row r="553" spans="2:18">
      <c r="B553" s="319">
        <v>5601</v>
      </c>
      <c r="C553" s="319" t="s">
        <v>982</v>
      </c>
      <c r="D553" s="320">
        <v>33.9</v>
      </c>
      <c r="E553" s="320">
        <v>0.9</v>
      </c>
      <c r="F553" s="320">
        <v>33.200000000000003</v>
      </c>
      <c r="G553" s="320">
        <v>34.299999999999997</v>
      </c>
      <c r="H553" s="320">
        <v>33.200000000000003</v>
      </c>
      <c r="I553" s="321">
        <v>75000</v>
      </c>
      <c r="J553" s="321">
        <v>2534900</v>
      </c>
      <c r="K553" s="320">
        <v>53</v>
      </c>
      <c r="L553" s="320">
        <v>33.85</v>
      </c>
      <c r="M553" s="320">
        <v>9</v>
      </c>
      <c r="N553" s="320">
        <v>33.950000000000003</v>
      </c>
      <c r="O553" s="320">
        <v>1</v>
      </c>
      <c r="P553" s="321">
        <v>64800000</v>
      </c>
      <c r="Q553" s="320">
        <v>37.25</v>
      </c>
      <c r="R553" s="320">
        <v>30.55</v>
      </c>
    </row>
    <row r="554" spans="2:18">
      <c r="B554" s="319">
        <v>5603</v>
      </c>
      <c r="C554" s="319" t="s">
        <v>983</v>
      </c>
      <c r="D554" s="320">
        <v>32.1</v>
      </c>
      <c r="E554" s="320">
        <v>0.05</v>
      </c>
      <c r="F554" s="320">
        <v>32.1</v>
      </c>
      <c r="G554" s="320">
        <v>32.35</v>
      </c>
      <c r="H554" s="320">
        <v>32.049999999999997</v>
      </c>
      <c r="I554" s="321">
        <v>171000</v>
      </c>
      <c r="J554" s="321">
        <v>5501050</v>
      </c>
      <c r="K554" s="320">
        <v>102</v>
      </c>
      <c r="L554" s="320">
        <v>32.049999999999997</v>
      </c>
      <c r="M554" s="320">
        <v>7</v>
      </c>
      <c r="N554" s="320">
        <v>32.15</v>
      </c>
      <c r="O554" s="320">
        <v>7</v>
      </c>
      <c r="P554" s="321">
        <v>80674313</v>
      </c>
      <c r="Q554" s="320">
        <v>35.299999999999997</v>
      </c>
      <c r="R554" s="320">
        <v>28.9</v>
      </c>
    </row>
    <row r="555" spans="2:18">
      <c r="B555" s="319">
        <v>5604</v>
      </c>
      <c r="C555" s="319" t="s">
        <v>3120</v>
      </c>
      <c r="D555" s="320">
        <v>78.900000000000006</v>
      </c>
      <c r="E555" s="320">
        <v>0.9</v>
      </c>
      <c r="F555" s="320">
        <v>78</v>
      </c>
      <c r="G555" s="320">
        <v>79.5</v>
      </c>
      <c r="H555" s="320">
        <v>78</v>
      </c>
      <c r="I555" s="321">
        <v>117000</v>
      </c>
      <c r="J555" s="321">
        <v>9196000</v>
      </c>
      <c r="K555" s="320">
        <v>57</v>
      </c>
      <c r="L555" s="320">
        <v>78.900000000000006</v>
      </c>
      <c r="M555" s="320">
        <v>1</v>
      </c>
      <c r="N555" s="320">
        <v>79</v>
      </c>
      <c r="O555" s="320">
        <v>3</v>
      </c>
      <c r="P555" s="321">
        <v>108782968</v>
      </c>
      <c r="Q555" s="320">
        <v>86.7</v>
      </c>
      <c r="R555" s="320">
        <v>71.099999999999994</v>
      </c>
    </row>
    <row r="556" spans="2:18">
      <c r="B556" s="319">
        <v>5609</v>
      </c>
      <c r="C556" s="319" t="s">
        <v>984</v>
      </c>
      <c r="D556" s="320">
        <v>105.5</v>
      </c>
      <c r="E556" s="320">
        <v>0</v>
      </c>
      <c r="F556" s="320">
        <v>106.5</v>
      </c>
      <c r="G556" s="320">
        <v>108</v>
      </c>
      <c r="H556" s="320">
        <v>105.5</v>
      </c>
      <c r="I556" s="321">
        <v>1325000</v>
      </c>
      <c r="J556" s="321">
        <v>141388000</v>
      </c>
      <c r="K556" s="320">
        <v>918</v>
      </c>
      <c r="L556" s="320">
        <v>105</v>
      </c>
      <c r="M556" s="320">
        <v>115</v>
      </c>
      <c r="N556" s="320">
        <v>105.5</v>
      </c>
      <c r="O556" s="320">
        <v>2</v>
      </c>
      <c r="P556" s="321">
        <v>136080000</v>
      </c>
      <c r="Q556" s="320">
        <v>116</v>
      </c>
      <c r="R556" s="320">
        <v>95</v>
      </c>
    </row>
    <row r="557" spans="2:18">
      <c r="B557" s="319">
        <v>5701</v>
      </c>
      <c r="C557" s="319" t="s">
        <v>985</v>
      </c>
      <c r="D557" s="320">
        <v>3.01</v>
      </c>
      <c r="E557" s="320">
        <v>-0.04</v>
      </c>
      <c r="F557" s="320">
        <v>3.05</v>
      </c>
      <c r="G557" s="320">
        <v>3.05</v>
      </c>
      <c r="H557" s="320">
        <v>3</v>
      </c>
      <c r="I557" s="321">
        <v>146000</v>
      </c>
      <c r="J557" s="321">
        <v>441000</v>
      </c>
      <c r="K557" s="320">
        <v>49</v>
      </c>
      <c r="L557" s="320">
        <v>3.01</v>
      </c>
      <c r="M557" s="320">
        <v>75</v>
      </c>
      <c r="N557" s="320">
        <v>3.04</v>
      </c>
      <c r="O557" s="320">
        <v>1</v>
      </c>
      <c r="P557" s="321">
        <v>253756957</v>
      </c>
      <c r="Q557" s="320">
        <v>3.31</v>
      </c>
      <c r="R557" s="320">
        <v>2.71</v>
      </c>
    </row>
    <row r="558" spans="2:18">
      <c r="B558" s="319">
        <v>5703</v>
      </c>
      <c r="C558" s="319" t="s">
        <v>986</v>
      </c>
      <c r="D558" s="320" t="s">
        <v>478</v>
      </c>
      <c r="E558" s="320" t="s">
        <v>479</v>
      </c>
      <c r="F558" s="320" t="s">
        <v>478</v>
      </c>
      <c r="G558" s="320" t="s">
        <v>478</v>
      </c>
      <c r="H558" s="320" t="s">
        <v>478</v>
      </c>
      <c r="I558" s="320">
        <v>0</v>
      </c>
      <c r="J558" s="320">
        <v>0</v>
      </c>
      <c r="K558" s="320">
        <v>0</v>
      </c>
      <c r="L558" s="320">
        <v>27.05</v>
      </c>
      <c r="M558" s="320">
        <v>1</v>
      </c>
      <c r="N558" s="320">
        <v>29.8</v>
      </c>
      <c r="O558" s="320">
        <v>2</v>
      </c>
      <c r="P558" s="321">
        <v>70239594</v>
      </c>
      <c r="Q558" s="320">
        <v>32.75</v>
      </c>
      <c r="R558" s="320">
        <v>26.85</v>
      </c>
    </row>
    <row r="559" spans="2:18">
      <c r="B559" s="319">
        <v>5704</v>
      </c>
      <c r="C559" s="319" t="s">
        <v>987</v>
      </c>
      <c r="D559" s="320">
        <v>29.85</v>
      </c>
      <c r="E559" s="320">
        <v>-0.15</v>
      </c>
      <c r="F559" s="320">
        <v>30.2</v>
      </c>
      <c r="G559" s="320">
        <v>30.2</v>
      </c>
      <c r="H559" s="320">
        <v>29.85</v>
      </c>
      <c r="I559" s="321">
        <v>17000</v>
      </c>
      <c r="J559" s="321">
        <v>508400</v>
      </c>
      <c r="K559" s="320">
        <v>13</v>
      </c>
      <c r="L559" s="320">
        <v>29.85</v>
      </c>
      <c r="M559" s="320">
        <v>1</v>
      </c>
      <c r="N559" s="320">
        <v>30</v>
      </c>
      <c r="O559" s="320">
        <v>7</v>
      </c>
      <c r="P559" s="321">
        <v>38861658</v>
      </c>
      <c r="Q559" s="320">
        <v>32.799999999999997</v>
      </c>
      <c r="R559" s="320">
        <v>26.9</v>
      </c>
    </row>
    <row r="560" spans="2:18">
      <c r="B560" s="319">
        <v>5820</v>
      </c>
      <c r="C560" s="319" t="s">
        <v>988</v>
      </c>
      <c r="D560" s="320">
        <v>12.35</v>
      </c>
      <c r="E560" s="320">
        <v>0</v>
      </c>
      <c r="F560" s="320">
        <v>12.35</v>
      </c>
      <c r="G560" s="320">
        <v>12.4</v>
      </c>
      <c r="H560" s="320">
        <v>12.35</v>
      </c>
      <c r="I560" s="321">
        <v>533000</v>
      </c>
      <c r="J560" s="321">
        <v>6587750</v>
      </c>
      <c r="K560" s="320">
        <v>100</v>
      </c>
      <c r="L560" s="320">
        <v>12.35</v>
      </c>
      <c r="M560" s="321">
        <v>1806</v>
      </c>
      <c r="N560" s="320">
        <v>12.4</v>
      </c>
      <c r="O560" s="320">
        <v>951</v>
      </c>
      <c r="P560" s="321">
        <v>3834714461</v>
      </c>
      <c r="Q560" s="320">
        <v>13.55</v>
      </c>
      <c r="R560" s="320">
        <v>11.15</v>
      </c>
    </row>
    <row r="561" spans="2:18">
      <c r="B561" s="319">
        <v>5864</v>
      </c>
      <c r="C561" s="319" t="s">
        <v>989</v>
      </c>
      <c r="D561" s="320">
        <v>16.95</v>
      </c>
      <c r="E561" s="320">
        <v>-0.1</v>
      </c>
      <c r="F561" s="320">
        <v>17.05</v>
      </c>
      <c r="G561" s="320">
        <v>17.8</v>
      </c>
      <c r="H561" s="320">
        <v>16.55</v>
      </c>
      <c r="I561" s="321">
        <v>2138000</v>
      </c>
      <c r="J561" s="321">
        <v>36561400</v>
      </c>
      <c r="K561" s="320">
        <v>884</v>
      </c>
      <c r="L561" s="320">
        <v>16.8</v>
      </c>
      <c r="M561" s="320">
        <v>3</v>
      </c>
      <c r="N561" s="320">
        <v>16.95</v>
      </c>
      <c r="O561" s="320">
        <v>11</v>
      </c>
      <c r="P561" s="321">
        <v>251739848</v>
      </c>
      <c r="Q561" s="320">
        <v>18.600000000000001</v>
      </c>
      <c r="R561" s="320">
        <v>15.3</v>
      </c>
    </row>
    <row r="562" spans="2:18">
      <c r="B562" s="319">
        <v>5878</v>
      </c>
      <c r="C562" s="319" t="s">
        <v>990</v>
      </c>
      <c r="D562" s="320">
        <v>47.05</v>
      </c>
      <c r="E562" s="320">
        <v>-0.25</v>
      </c>
      <c r="F562" s="320">
        <v>47.35</v>
      </c>
      <c r="G562" s="320">
        <v>47.35</v>
      </c>
      <c r="H562" s="320">
        <v>47.05</v>
      </c>
      <c r="I562" s="321">
        <v>4000</v>
      </c>
      <c r="J562" s="321">
        <v>188800</v>
      </c>
      <c r="K562" s="320">
        <v>4</v>
      </c>
      <c r="L562" s="320">
        <v>47.05</v>
      </c>
      <c r="M562" s="320">
        <v>4</v>
      </c>
      <c r="N562" s="320">
        <v>47.3</v>
      </c>
      <c r="O562" s="320">
        <v>4</v>
      </c>
      <c r="P562" s="321">
        <v>25024303</v>
      </c>
      <c r="Q562" s="320">
        <v>51.7</v>
      </c>
      <c r="R562" s="320">
        <v>42.35</v>
      </c>
    </row>
    <row r="563" spans="2:18">
      <c r="B563" s="319">
        <v>5902</v>
      </c>
      <c r="C563" s="319" t="s">
        <v>991</v>
      </c>
      <c r="D563" s="320">
        <v>24.75</v>
      </c>
      <c r="E563" s="320">
        <v>0.05</v>
      </c>
      <c r="F563" s="320">
        <v>24.75</v>
      </c>
      <c r="G563" s="320">
        <v>24.8</v>
      </c>
      <c r="H563" s="320">
        <v>24.6</v>
      </c>
      <c r="I563" s="321">
        <v>13000</v>
      </c>
      <c r="J563" s="321">
        <v>321050</v>
      </c>
      <c r="K563" s="320">
        <v>12</v>
      </c>
      <c r="L563" s="320">
        <v>24.7</v>
      </c>
      <c r="M563" s="320">
        <v>1</v>
      </c>
      <c r="N563" s="320">
        <v>24.8</v>
      </c>
      <c r="O563" s="320">
        <v>11</v>
      </c>
      <c r="P563" s="321">
        <v>94500000</v>
      </c>
      <c r="Q563" s="320">
        <v>27.2</v>
      </c>
      <c r="R563" s="320">
        <v>22.3</v>
      </c>
    </row>
    <row r="564" spans="2:18">
      <c r="B564" s="319">
        <v>5903</v>
      </c>
      <c r="C564" s="319" t="s">
        <v>992</v>
      </c>
      <c r="D564" s="320">
        <v>247.5</v>
      </c>
      <c r="E564" s="320">
        <v>0</v>
      </c>
      <c r="F564" s="320">
        <v>247</v>
      </c>
      <c r="G564" s="320">
        <v>247.5</v>
      </c>
      <c r="H564" s="320">
        <v>247</v>
      </c>
      <c r="I564" s="321">
        <v>8000</v>
      </c>
      <c r="J564" s="321">
        <v>1978500</v>
      </c>
      <c r="K564" s="320">
        <v>8</v>
      </c>
      <c r="L564" s="320">
        <v>247</v>
      </c>
      <c r="M564" s="320">
        <v>11</v>
      </c>
      <c r="N564" s="320">
        <v>247.5</v>
      </c>
      <c r="O564" s="320">
        <v>1</v>
      </c>
      <c r="P564" s="321">
        <v>223220000</v>
      </c>
      <c r="Q564" s="320">
        <v>272</v>
      </c>
      <c r="R564" s="320">
        <v>223</v>
      </c>
    </row>
    <row r="565" spans="2:18">
      <c r="B565" s="319">
        <v>5904</v>
      </c>
      <c r="C565" s="319" t="s">
        <v>993</v>
      </c>
      <c r="D565" s="320">
        <v>439</v>
      </c>
      <c r="E565" s="320">
        <v>22</v>
      </c>
      <c r="F565" s="320">
        <v>420</v>
      </c>
      <c r="G565" s="320">
        <v>442.5</v>
      </c>
      <c r="H565" s="320">
        <v>420</v>
      </c>
      <c r="I565" s="321">
        <v>615000</v>
      </c>
      <c r="J565" s="321">
        <v>267567500</v>
      </c>
      <c r="K565" s="320">
        <v>586</v>
      </c>
      <c r="L565" s="320">
        <v>439</v>
      </c>
      <c r="M565" s="320">
        <v>3</v>
      </c>
      <c r="N565" s="320">
        <v>439.5</v>
      </c>
      <c r="O565" s="320">
        <v>3</v>
      </c>
      <c r="P565" s="321">
        <v>100859462</v>
      </c>
      <c r="Q565" s="320">
        <v>482.5</v>
      </c>
      <c r="R565" s="320">
        <v>395.5</v>
      </c>
    </row>
    <row r="566" spans="2:18">
      <c r="B566" s="319">
        <v>5905</v>
      </c>
      <c r="C566" s="319" t="s">
        <v>994</v>
      </c>
      <c r="D566" s="320">
        <v>14.35</v>
      </c>
      <c r="E566" s="320">
        <v>-0.05</v>
      </c>
      <c r="F566" s="320">
        <v>14.45</v>
      </c>
      <c r="G566" s="320">
        <v>14.6</v>
      </c>
      <c r="H566" s="320">
        <v>14.3</v>
      </c>
      <c r="I566" s="321">
        <v>402000</v>
      </c>
      <c r="J566" s="321">
        <v>5785000</v>
      </c>
      <c r="K566" s="320">
        <v>172</v>
      </c>
      <c r="L566" s="320">
        <v>14.35</v>
      </c>
      <c r="M566" s="320">
        <v>1</v>
      </c>
      <c r="N566" s="320">
        <v>14.4</v>
      </c>
      <c r="O566" s="320">
        <v>41</v>
      </c>
      <c r="P566" s="321">
        <v>189824637</v>
      </c>
      <c r="Q566" s="320">
        <v>15.75</v>
      </c>
      <c r="R566" s="320">
        <v>12.95</v>
      </c>
    </row>
    <row r="567" spans="2:18">
      <c r="B567" s="319">
        <v>6015</v>
      </c>
      <c r="C567" s="319" t="s">
        <v>995</v>
      </c>
      <c r="D567" s="320">
        <v>18</v>
      </c>
      <c r="E567" s="320">
        <v>-0.4</v>
      </c>
      <c r="F567" s="320">
        <v>18.399999999999999</v>
      </c>
      <c r="G567" s="320">
        <v>18.55</v>
      </c>
      <c r="H567" s="320">
        <v>17.899999999999999</v>
      </c>
      <c r="I567" s="321">
        <v>4235000</v>
      </c>
      <c r="J567" s="321">
        <v>76842850</v>
      </c>
      <c r="K567" s="321">
        <v>1515</v>
      </c>
      <c r="L567" s="320">
        <v>18</v>
      </c>
      <c r="M567" s="320">
        <v>74</v>
      </c>
      <c r="N567" s="320">
        <v>18.05</v>
      </c>
      <c r="O567" s="320">
        <v>32</v>
      </c>
      <c r="P567" s="321">
        <v>331369430</v>
      </c>
      <c r="Q567" s="320">
        <v>19.8</v>
      </c>
      <c r="R567" s="320">
        <v>16.2</v>
      </c>
    </row>
    <row r="568" spans="2:18">
      <c r="B568" s="319">
        <v>6016</v>
      </c>
      <c r="C568" s="319" t="s">
        <v>996</v>
      </c>
      <c r="D568" s="320">
        <v>14.8</v>
      </c>
      <c r="E568" s="320">
        <v>0</v>
      </c>
      <c r="F568" s="320">
        <v>14.8</v>
      </c>
      <c r="G568" s="320">
        <v>14.95</v>
      </c>
      <c r="H568" s="320">
        <v>14.6</v>
      </c>
      <c r="I568" s="321">
        <v>3810000</v>
      </c>
      <c r="J568" s="321">
        <v>56143200</v>
      </c>
      <c r="K568" s="321">
        <v>1151</v>
      </c>
      <c r="L568" s="320">
        <v>14.8</v>
      </c>
      <c r="M568" s="320">
        <v>164</v>
      </c>
      <c r="N568" s="320">
        <v>14.85</v>
      </c>
      <c r="O568" s="320">
        <v>144</v>
      </c>
      <c r="P568" s="321">
        <v>594454986</v>
      </c>
      <c r="Q568" s="320">
        <v>16.25</v>
      </c>
      <c r="R568" s="320">
        <v>13.35</v>
      </c>
    </row>
    <row r="569" spans="2:18">
      <c r="B569" s="319">
        <v>6020</v>
      </c>
      <c r="C569" s="319" t="s">
        <v>997</v>
      </c>
      <c r="D569" s="320">
        <v>23.4</v>
      </c>
      <c r="E569" s="320">
        <v>0</v>
      </c>
      <c r="F569" s="320">
        <v>23.8</v>
      </c>
      <c r="G569" s="320">
        <v>23.9</v>
      </c>
      <c r="H569" s="320">
        <v>23.2</v>
      </c>
      <c r="I569" s="321">
        <v>43000</v>
      </c>
      <c r="J569" s="321">
        <v>1006850</v>
      </c>
      <c r="K569" s="320">
        <v>21</v>
      </c>
      <c r="L569" s="320">
        <v>23.3</v>
      </c>
      <c r="M569" s="320">
        <v>1</v>
      </c>
      <c r="N569" s="320">
        <v>23.45</v>
      </c>
      <c r="O569" s="320">
        <v>2</v>
      </c>
      <c r="P569" s="321">
        <v>252353154</v>
      </c>
      <c r="Q569" s="320">
        <v>25.7</v>
      </c>
      <c r="R569" s="320">
        <v>21.1</v>
      </c>
    </row>
    <row r="570" spans="2:18">
      <c r="B570" s="319">
        <v>6021</v>
      </c>
      <c r="C570" s="319" t="s">
        <v>998</v>
      </c>
      <c r="D570" s="320">
        <v>21.8</v>
      </c>
      <c r="E570" s="320">
        <v>0.1</v>
      </c>
      <c r="F570" s="320">
        <v>21.7</v>
      </c>
      <c r="G570" s="320">
        <v>21.8</v>
      </c>
      <c r="H570" s="320">
        <v>21.7</v>
      </c>
      <c r="I570" s="321">
        <v>10000</v>
      </c>
      <c r="J570" s="321">
        <v>217800</v>
      </c>
      <c r="K570" s="320">
        <v>4</v>
      </c>
      <c r="L570" s="320">
        <v>21.5</v>
      </c>
      <c r="M570" s="320">
        <v>2</v>
      </c>
      <c r="N570" s="320">
        <v>21.6</v>
      </c>
      <c r="O570" s="320">
        <v>10</v>
      </c>
      <c r="P570" s="321">
        <v>309855974</v>
      </c>
      <c r="Q570" s="320">
        <v>23.95</v>
      </c>
      <c r="R570" s="320">
        <v>19.649999999999999</v>
      </c>
    </row>
    <row r="571" spans="2:18">
      <c r="B571" s="319">
        <v>6023</v>
      </c>
      <c r="C571" s="319" t="s">
        <v>999</v>
      </c>
      <c r="D571" s="320">
        <v>49.75</v>
      </c>
      <c r="E571" s="320">
        <v>0.1</v>
      </c>
      <c r="F571" s="320">
        <v>49.65</v>
      </c>
      <c r="G571" s="320">
        <v>49.75</v>
      </c>
      <c r="H571" s="320">
        <v>49.65</v>
      </c>
      <c r="I571" s="321">
        <v>53000</v>
      </c>
      <c r="J571" s="321">
        <v>2633600</v>
      </c>
      <c r="K571" s="320">
        <v>34</v>
      </c>
      <c r="L571" s="320">
        <v>49.7</v>
      </c>
      <c r="M571" s="320">
        <v>5</v>
      </c>
      <c r="N571" s="320">
        <v>49.8</v>
      </c>
      <c r="O571" s="320">
        <v>13</v>
      </c>
      <c r="P571" s="321">
        <v>289976288</v>
      </c>
      <c r="Q571" s="320">
        <v>54.7</v>
      </c>
      <c r="R571" s="320">
        <v>44.8</v>
      </c>
    </row>
    <row r="572" spans="2:18">
      <c r="B572" s="319">
        <v>6026</v>
      </c>
      <c r="C572" s="319" t="s">
        <v>31</v>
      </c>
      <c r="D572" s="320">
        <v>21.6</v>
      </c>
      <c r="E572" s="320">
        <v>0.15</v>
      </c>
      <c r="F572" s="320">
        <v>21.7</v>
      </c>
      <c r="G572" s="320">
        <v>22.35</v>
      </c>
      <c r="H572" s="320">
        <v>20.8</v>
      </c>
      <c r="I572" s="321">
        <v>10305000</v>
      </c>
      <c r="J572" s="321">
        <v>221027850</v>
      </c>
      <c r="K572" s="321">
        <v>3757</v>
      </c>
      <c r="L572" s="320">
        <v>21.5</v>
      </c>
      <c r="M572" s="320">
        <v>103</v>
      </c>
      <c r="N572" s="320">
        <v>21.6</v>
      </c>
      <c r="O572" s="320">
        <v>142</v>
      </c>
      <c r="P572" s="321">
        <v>300134867</v>
      </c>
      <c r="Q572" s="320">
        <v>23.75</v>
      </c>
      <c r="R572" s="320">
        <v>19.45</v>
      </c>
    </row>
    <row r="573" spans="2:18">
      <c r="B573" s="319">
        <v>6101</v>
      </c>
      <c r="C573" s="319" t="s">
        <v>1000</v>
      </c>
      <c r="D573" s="320">
        <v>21.7</v>
      </c>
      <c r="E573" s="320">
        <v>0.35</v>
      </c>
      <c r="F573" s="320">
        <v>21.8</v>
      </c>
      <c r="G573" s="320">
        <v>22.25</v>
      </c>
      <c r="H573" s="320">
        <v>21</v>
      </c>
      <c r="I573" s="321">
        <v>57000</v>
      </c>
      <c r="J573" s="321">
        <v>1248850</v>
      </c>
      <c r="K573" s="320">
        <v>37</v>
      </c>
      <c r="L573" s="320">
        <v>21.7</v>
      </c>
      <c r="M573" s="320">
        <v>1</v>
      </c>
      <c r="N573" s="320">
        <v>21.75</v>
      </c>
      <c r="O573" s="320">
        <v>2</v>
      </c>
      <c r="P573" s="321">
        <v>116422371</v>
      </c>
      <c r="Q573" s="320">
        <v>23.85</v>
      </c>
      <c r="R573" s="320">
        <v>19.55</v>
      </c>
    </row>
    <row r="574" spans="2:18">
      <c r="B574" s="319">
        <v>6103</v>
      </c>
      <c r="C574" s="319" t="s">
        <v>1001</v>
      </c>
      <c r="D574" s="320">
        <v>7.77</v>
      </c>
      <c r="E574" s="320">
        <v>-0.79</v>
      </c>
      <c r="F574" s="320">
        <v>7.77</v>
      </c>
      <c r="G574" s="320">
        <v>7.77</v>
      </c>
      <c r="H574" s="320">
        <v>7.77</v>
      </c>
      <c r="I574" s="321">
        <v>3000</v>
      </c>
      <c r="J574" s="321">
        <v>23310</v>
      </c>
      <c r="K574" s="320">
        <v>2</v>
      </c>
      <c r="L574" s="320">
        <v>7.82</v>
      </c>
      <c r="M574" s="320">
        <v>1</v>
      </c>
      <c r="N574" s="320">
        <v>9.18</v>
      </c>
      <c r="O574" s="320">
        <v>3</v>
      </c>
      <c r="P574" s="321">
        <v>89432089</v>
      </c>
      <c r="Q574" s="320">
        <v>8.5399999999999991</v>
      </c>
      <c r="R574" s="320">
        <v>7</v>
      </c>
    </row>
    <row r="575" spans="2:18">
      <c r="B575" s="319">
        <v>6104</v>
      </c>
      <c r="C575" s="319" t="s">
        <v>1002</v>
      </c>
      <c r="D575" s="320">
        <v>199.5</v>
      </c>
      <c r="E575" s="320">
        <v>1.5</v>
      </c>
      <c r="F575" s="320">
        <v>199</v>
      </c>
      <c r="G575" s="320">
        <v>205.5</v>
      </c>
      <c r="H575" s="320">
        <v>197</v>
      </c>
      <c r="I575" s="321">
        <v>12201000</v>
      </c>
      <c r="J575" s="321">
        <v>2452538000</v>
      </c>
      <c r="K575" s="321">
        <v>8325</v>
      </c>
      <c r="L575" s="320">
        <v>199.5</v>
      </c>
      <c r="M575" s="320">
        <v>2</v>
      </c>
      <c r="N575" s="320">
        <v>200</v>
      </c>
      <c r="O575" s="320">
        <v>60</v>
      </c>
      <c r="P575" s="321">
        <v>90279184</v>
      </c>
      <c r="Q575" s="320">
        <v>219</v>
      </c>
      <c r="R575" s="320">
        <v>180</v>
      </c>
    </row>
    <row r="576" spans="2:18">
      <c r="B576" s="319">
        <v>6109</v>
      </c>
      <c r="C576" s="319" t="s">
        <v>1003</v>
      </c>
      <c r="D576" s="320">
        <v>11.2</v>
      </c>
      <c r="E576" s="320">
        <v>-0.05</v>
      </c>
      <c r="F576" s="320">
        <v>11.25</v>
      </c>
      <c r="G576" s="320">
        <v>11.45</v>
      </c>
      <c r="H576" s="320">
        <v>11.2</v>
      </c>
      <c r="I576" s="321">
        <v>232000</v>
      </c>
      <c r="J576" s="321">
        <v>2625750</v>
      </c>
      <c r="K576" s="320">
        <v>93</v>
      </c>
      <c r="L576" s="320">
        <v>11.2</v>
      </c>
      <c r="M576" s="320">
        <v>32</v>
      </c>
      <c r="N576" s="320">
        <v>11.25</v>
      </c>
      <c r="O576" s="320">
        <v>8</v>
      </c>
      <c r="P576" s="321">
        <v>59400414</v>
      </c>
      <c r="Q576" s="320">
        <v>12.3</v>
      </c>
      <c r="R576" s="320">
        <v>10.1</v>
      </c>
    </row>
    <row r="577" spans="2:18">
      <c r="B577" s="319">
        <v>6111</v>
      </c>
      <c r="C577" s="319" t="s">
        <v>1004</v>
      </c>
      <c r="D577" s="320">
        <v>97.7</v>
      </c>
      <c r="E577" s="320">
        <v>-1.2</v>
      </c>
      <c r="F577" s="320">
        <v>101</v>
      </c>
      <c r="G577" s="320">
        <v>101</v>
      </c>
      <c r="H577" s="320">
        <v>97.1</v>
      </c>
      <c r="I577" s="321">
        <v>1029000</v>
      </c>
      <c r="J577" s="321">
        <v>101589400</v>
      </c>
      <c r="K577" s="320">
        <v>780</v>
      </c>
      <c r="L577" s="320">
        <v>97.7</v>
      </c>
      <c r="M577" s="320">
        <v>2</v>
      </c>
      <c r="N577" s="320">
        <v>97.9</v>
      </c>
      <c r="O577" s="320">
        <v>2</v>
      </c>
      <c r="P577" s="321">
        <v>65586891</v>
      </c>
      <c r="Q577" s="320">
        <v>107</v>
      </c>
      <c r="R577" s="320">
        <v>88</v>
      </c>
    </row>
    <row r="578" spans="2:18">
      <c r="B578" s="319">
        <v>6113</v>
      </c>
      <c r="C578" s="319" t="s">
        <v>1005</v>
      </c>
      <c r="D578" s="320">
        <v>14.5</v>
      </c>
      <c r="E578" s="320">
        <v>0.15</v>
      </c>
      <c r="F578" s="320">
        <v>14.35</v>
      </c>
      <c r="G578" s="320">
        <v>14.5</v>
      </c>
      <c r="H578" s="320">
        <v>14.3</v>
      </c>
      <c r="I578" s="321">
        <v>289000</v>
      </c>
      <c r="J578" s="321">
        <v>4151550</v>
      </c>
      <c r="K578" s="320">
        <v>138</v>
      </c>
      <c r="L578" s="320">
        <v>14.35</v>
      </c>
      <c r="M578" s="320">
        <v>10</v>
      </c>
      <c r="N578" s="320">
        <v>14.5</v>
      </c>
      <c r="O578" s="320">
        <v>14</v>
      </c>
      <c r="P578" s="321">
        <v>50047100</v>
      </c>
      <c r="Q578" s="320">
        <v>15.95</v>
      </c>
      <c r="R578" s="320">
        <v>13.05</v>
      </c>
    </row>
    <row r="579" spans="2:18">
      <c r="B579" s="319">
        <v>6114</v>
      </c>
      <c r="C579" s="319" t="s">
        <v>1006</v>
      </c>
      <c r="D579" s="320">
        <v>23.4</v>
      </c>
      <c r="E579" s="320">
        <v>0.4</v>
      </c>
      <c r="F579" s="320">
        <v>23.3</v>
      </c>
      <c r="G579" s="320">
        <v>23.45</v>
      </c>
      <c r="H579" s="320">
        <v>23</v>
      </c>
      <c r="I579" s="321">
        <v>48000</v>
      </c>
      <c r="J579" s="321">
        <v>1114900</v>
      </c>
      <c r="K579" s="320">
        <v>31</v>
      </c>
      <c r="L579" s="320">
        <v>23.25</v>
      </c>
      <c r="M579" s="320">
        <v>2</v>
      </c>
      <c r="N579" s="320">
        <v>23.4</v>
      </c>
      <c r="O579" s="320">
        <v>3</v>
      </c>
      <c r="P579" s="321">
        <v>43911937</v>
      </c>
      <c r="Q579" s="320">
        <v>25.7</v>
      </c>
      <c r="R579" s="320">
        <v>21.1</v>
      </c>
    </row>
    <row r="580" spans="2:18">
      <c r="B580" s="319">
        <v>6118</v>
      </c>
      <c r="C580" s="319" t="s">
        <v>1007</v>
      </c>
      <c r="D580" s="320">
        <v>45.6</v>
      </c>
      <c r="E580" s="320">
        <v>0.6</v>
      </c>
      <c r="F580" s="320">
        <v>45.9</v>
      </c>
      <c r="G580" s="320">
        <v>45.9</v>
      </c>
      <c r="H580" s="320">
        <v>45.45</v>
      </c>
      <c r="I580" s="321">
        <v>892000</v>
      </c>
      <c r="J580" s="321">
        <v>40645950</v>
      </c>
      <c r="K580" s="320">
        <v>425</v>
      </c>
      <c r="L580" s="320">
        <v>45.6</v>
      </c>
      <c r="M580" s="320">
        <v>6</v>
      </c>
      <c r="N580" s="320">
        <v>45.65</v>
      </c>
      <c r="O580" s="320">
        <v>5</v>
      </c>
      <c r="P580" s="321">
        <v>90889573</v>
      </c>
      <c r="Q580" s="320">
        <v>50.1</v>
      </c>
      <c r="R580" s="320">
        <v>41.05</v>
      </c>
    </row>
    <row r="581" spans="2:18">
      <c r="B581" s="319">
        <v>6121</v>
      </c>
      <c r="C581" s="319" t="s">
        <v>1008</v>
      </c>
      <c r="D581" s="320">
        <v>328</v>
      </c>
      <c r="E581" s="320">
        <v>1</v>
      </c>
      <c r="F581" s="320">
        <v>329</v>
      </c>
      <c r="G581" s="320">
        <v>330</v>
      </c>
      <c r="H581" s="320">
        <v>327.5</v>
      </c>
      <c r="I581" s="321">
        <v>292000</v>
      </c>
      <c r="J581" s="321">
        <v>96045000</v>
      </c>
      <c r="K581" s="320">
        <v>238</v>
      </c>
      <c r="L581" s="320">
        <v>328</v>
      </c>
      <c r="M581" s="320">
        <v>112</v>
      </c>
      <c r="N581" s="320">
        <v>328.5</v>
      </c>
      <c r="O581" s="320">
        <v>2</v>
      </c>
      <c r="P581" s="321">
        <v>184970519</v>
      </c>
      <c r="Q581" s="320">
        <v>360.5</v>
      </c>
      <c r="R581" s="320">
        <v>295.5</v>
      </c>
    </row>
    <row r="582" spans="2:18">
      <c r="B582" s="319">
        <v>6122</v>
      </c>
      <c r="C582" s="319" t="s">
        <v>1009</v>
      </c>
      <c r="D582" s="320">
        <v>12.5</v>
      </c>
      <c r="E582" s="320">
        <v>0.1</v>
      </c>
      <c r="F582" s="320">
        <v>12.4</v>
      </c>
      <c r="G582" s="320">
        <v>12.55</v>
      </c>
      <c r="H582" s="320">
        <v>12.4</v>
      </c>
      <c r="I582" s="321">
        <v>94000</v>
      </c>
      <c r="J582" s="321">
        <v>1176000</v>
      </c>
      <c r="K582" s="320">
        <v>41</v>
      </c>
      <c r="L582" s="320">
        <v>12.5</v>
      </c>
      <c r="M582" s="320">
        <v>4</v>
      </c>
      <c r="N582" s="320">
        <v>12.55</v>
      </c>
      <c r="O582" s="320">
        <v>141</v>
      </c>
      <c r="P582" s="321">
        <v>70790961</v>
      </c>
      <c r="Q582" s="320">
        <v>13.75</v>
      </c>
      <c r="R582" s="320">
        <v>11.25</v>
      </c>
    </row>
    <row r="583" spans="2:18">
      <c r="B583" s="319">
        <v>6123</v>
      </c>
      <c r="C583" s="319" t="s">
        <v>1010</v>
      </c>
      <c r="D583" s="320">
        <v>49.75</v>
      </c>
      <c r="E583" s="320">
        <v>0</v>
      </c>
      <c r="F583" s="320">
        <v>49.85</v>
      </c>
      <c r="G583" s="320">
        <v>49.9</v>
      </c>
      <c r="H583" s="320">
        <v>49.7</v>
      </c>
      <c r="I583" s="321">
        <v>90000</v>
      </c>
      <c r="J583" s="321">
        <v>4482600</v>
      </c>
      <c r="K583" s="320">
        <v>72</v>
      </c>
      <c r="L583" s="320">
        <v>49.7</v>
      </c>
      <c r="M583" s="320">
        <v>17</v>
      </c>
      <c r="N583" s="320">
        <v>49.8</v>
      </c>
      <c r="O583" s="320">
        <v>10</v>
      </c>
      <c r="P583" s="321">
        <v>59037430</v>
      </c>
      <c r="Q583" s="320">
        <v>54.7</v>
      </c>
      <c r="R583" s="320">
        <v>44.8</v>
      </c>
    </row>
    <row r="584" spans="2:18">
      <c r="B584" s="319">
        <v>6124</v>
      </c>
      <c r="C584" s="319" t="s">
        <v>1011</v>
      </c>
      <c r="D584" s="320">
        <v>25.1</v>
      </c>
      <c r="E584" s="320">
        <v>0</v>
      </c>
      <c r="F584" s="320">
        <v>25.1</v>
      </c>
      <c r="G584" s="320">
        <v>25.1</v>
      </c>
      <c r="H584" s="320">
        <v>25.1</v>
      </c>
      <c r="I584" s="321">
        <v>2000</v>
      </c>
      <c r="J584" s="321">
        <v>50200</v>
      </c>
      <c r="K584" s="320">
        <v>2</v>
      </c>
      <c r="L584" s="320">
        <v>24.75</v>
      </c>
      <c r="M584" s="320">
        <v>6</v>
      </c>
      <c r="N584" s="320">
        <v>25.05</v>
      </c>
      <c r="O584" s="320">
        <v>1</v>
      </c>
      <c r="P584" s="321">
        <v>182479945</v>
      </c>
      <c r="Q584" s="320">
        <v>27.6</v>
      </c>
      <c r="R584" s="320">
        <v>22.6</v>
      </c>
    </row>
    <row r="585" spans="2:18">
      <c r="B585" s="319">
        <v>6125</v>
      </c>
      <c r="C585" s="319" t="s">
        <v>1012</v>
      </c>
      <c r="D585" s="320">
        <v>28.4</v>
      </c>
      <c r="E585" s="320">
        <v>1.4</v>
      </c>
      <c r="F585" s="320">
        <v>27.2</v>
      </c>
      <c r="G585" s="320">
        <v>28.6</v>
      </c>
      <c r="H585" s="320">
        <v>26.9</v>
      </c>
      <c r="I585" s="321">
        <v>19306000</v>
      </c>
      <c r="J585" s="321">
        <v>539683650</v>
      </c>
      <c r="K585" s="321">
        <v>7494</v>
      </c>
      <c r="L585" s="320">
        <v>28.35</v>
      </c>
      <c r="M585" s="320">
        <v>9</v>
      </c>
      <c r="N585" s="320">
        <v>28.4</v>
      </c>
      <c r="O585" s="320">
        <v>24</v>
      </c>
      <c r="P585" s="321">
        <v>249011150</v>
      </c>
      <c r="Q585" s="320">
        <v>31.2</v>
      </c>
      <c r="R585" s="320">
        <v>25.6</v>
      </c>
    </row>
    <row r="586" spans="2:18">
      <c r="B586" s="319">
        <v>6126</v>
      </c>
      <c r="C586" s="319" t="s">
        <v>1013</v>
      </c>
      <c r="D586" s="320">
        <v>30.1</v>
      </c>
      <c r="E586" s="320">
        <v>-0.3</v>
      </c>
      <c r="F586" s="320">
        <v>30.3</v>
      </c>
      <c r="G586" s="320">
        <v>31.2</v>
      </c>
      <c r="H586" s="320">
        <v>29.75</v>
      </c>
      <c r="I586" s="321">
        <v>10275000</v>
      </c>
      <c r="J586" s="321">
        <v>312594650</v>
      </c>
      <c r="K586" s="321">
        <v>5061</v>
      </c>
      <c r="L586" s="320">
        <v>30.05</v>
      </c>
      <c r="M586" s="320">
        <v>70</v>
      </c>
      <c r="N586" s="320">
        <v>30.1</v>
      </c>
      <c r="O586" s="320">
        <v>69</v>
      </c>
      <c r="P586" s="321">
        <v>122762587</v>
      </c>
      <c r="Q586" s="320">
        <v>33.1</v>
      </c>
      <c r="R586" s="320">
        <v>27.1</v>
      </c>
    </row>
    <row r="587" spans="2:18">
      <c r="B587" s="319">
        <v>6127</v>
      </c>
      <c r="C587" s="319" t="s">
        <v>1014</v>
      </c>
      <c r="D587" s="320">
        <v>29.3</v>
      </c>
      <c r="E587" s="320">
        <v>-0.2</v>
      </c>
      <c r="F587" s="320">
        <v>29.35</v>
      </c>
      <c r="G587" s="320">
        <v>29.75</v>
      </c>
      <c r="H587" s="320">
        <v>29</v>
      </c>
      <c r="I587" s="321">
        <v>1139000</v>
      </c>
      <c r="J587" s="321">
        <v>33336800</v>
      </c>
      <c r="K587" s="320">
        <v>632</v>
      </c>
      <c r="L587" s="320">
        <v>29.25</v>
      </c>
      <c r="M587" s="320">
        <v>9</v>
      </c>
      <c r="N587" s="320">
        <v>29.3</v>
      </c>
      <c r="O587" s="320">
        <v>13</v>
      </c>
      <c r="P587" s="321">
        <v>108079751</v>
      </c>
      <c r="Q587" s="320">
        <v>32.200000000000003</v>
      </c>
      <c r="R587" s="320">
        <v>26.4</v>
      </c>
    </row>
    <row r="588" spans="2:18">
      <c r="B588" s="319">
        <v>6129</v>
      </c>
      <c r="C588" s="319" t="s">
        <v>1015</v>
      </c>
      <c r="D588" s="320">
        <v>36.6</v>
      </c>
      <c r="E588" s="320">
        <v>-0.7</v>
      </c>
      <c r="F588" s="320">
        <v>37.85</v>
      </c>
      <c r="G588" s="320">
        <v>37.9</v>
      </c>
      <c r="H588" s="320">
        <v>36.35</v>
      </c>
      <c r="I588" s="321">
        <v>4727000</v>
      </c>
      <c r="J588" s="321">
        <v>174620250</v>
      </c>
      <c r="K588" s="321">
        <v>2783</v>
      </c>
      <c r="L588" s="320">
        <v>36.549999999999997</v>
      </c>
      <c r="M588" s="320">
        <v>5</v>
      </c>
      <c r="N588" s="320">
        <v>36.6</v>
      </c>
      <c r="O588" s="320">
        <v>19</v>
      </c>
      <c r="P588" s="321">
        <v>180943675</v>
      </c>
      <c r="Q588" s="320">
        <v>40.25</v>
      </c>
      <c r="R588" s="320">
        <v>32.950000000000003</v>
      </c>
    </row>
    <row r="589" spans="2:18">
      <c r="B589" s="319">
        <v>6130</v>
      </c>
      <c r="C589" s="319" t="s">
        <v>1016</v>
      </c>
      <c r="D589" s="320">
        <v>37.6</v>
      </c>
      <c r="E589" s="320">
        <v>-0.5</v>
      </c>
      <c r="F589" s="320">
        <v>38.1</v>
      </c>
      <c r="G589" s="320">
        <v>38.700000000000003</v>
      </c>
      <c r="H589" s="320">
        <v>36.25</v>
      </c>
      <c r="I589" s="321">
        <v>351000</v>
      </c>
      <c r="J589" s="321">
        <v>13277250</v>
      </c>
      <c r="K589" s="320">
        <v>203</v>
      </c>
      <c r="L589" s="320">
        <v>37.549999999999997</v>
      </c>
      <c r="M589" s="320">
        <v>1</v>
      </c>
      <c r="N589" s="320">
        <v>37.6</v>
      </c>
      <c r="O589" s="320">
        <v>1</v>
      </c>
      <c r="P589" s="321">
        <v>37500000</v>
      </c>
      <c r="Q589" s="320">
        <v>41.35</v>
      </c>
      <c r="R589" s="320">
        <v>33.85</v>
      </c>
    </row>
    <row r="590" spans="2:18">
      <c r="B590" s="319">
        <v>6134</v>
      </c>
      <c r="C590" s="319" t="s">
        <v>1017</v>
      </c>
      <c r="D590" s="320">
        <v>31.2</v>
      </c>
      <c r="E590" s="320">
        <v>2.8</v>
      </c>
      <c r="F590" s="320">
        <v>28.9</v>
      </c>
      <c r="G590" s="320">
        <v>31.2</v>
      </c>
      <c r="H590" s="320">
        <v>26.75</v>
      </c>
      <c r="I590" s="321">
        <v>9524000</v>
      </c>
      <c r="J590" s="321">
        <v>280548050</v>
      </c>
      <c r="K590" s="321">
        <v>4340</v>
      </c>
      <c r="L590" s="320">
        <v>31.2</v>
      </c>
      <c r="M590" s="321">
        <v>6551</v>
      </c>
      <c r="N590" s="320">
        <v>0</v>
      </c>
      <c r="O590" s="320">
        <v>0</v>
      </c>
      <c r="P590" s="321">
        <v>72579898</v>
      </c>
      <c r="Q590" s="320">
        <v>34.299999999999997</v>
      </c>
      <c r="R590" s="320">
        <v>28.1</v>
      </c>
    </row>
    <row r="591" spans="2:18">
      <c r="B591" s="319">
        <v>6138</v>
      </c>
      <c r="C591" s="319" t="s">
        <v>1018</v>
      </c>
      <c r="D591" s="320">
        <v>278.5</v>
      </c>
      <c r="E591" s="320">
        <v>11</v>
      </c>
      <c r="F591" s="320">
        <v>275</v>
      </c>
      <c r="G591" s="320">
        <v>283.5</v>
      </c>
      <c r="H591" s="320">
        <v>269</v>
      </c>
      <c r="I591" s="321">
        <v>19419000</v>
      </c>
      <c r="J591" s="321">
        <v>5350845500</v>
      </c>
      <c r="K591" s="321">
        <v>13745</v>
      </c>
      <c r="L591" s="320">
        <v>278</v>
      </c>
      <c r="M591" s="320">
        <v>6</v>
      </c>
      <c r="N591" s="320">
        <v>278.5</v>
      </c>
      <c r="O591" s="320">
        <v>20</v>
      </c>
      <c r="P591" s="321">
        <v>73784500</v>
      </c>
      <c r="Q591" s="320">
        <v>306</v>
      </c>
      <c r="R591" s="320">
        <v>251</v>
      </c>
    </row>
    <row r="592" spans="2:18">
      <c r="B592" s="319">
        <v>6140</v>
      </c>
      <c r="C592" s="319" t="s">
        <v>1019</v>
      </c>
      <c r="D592" s="320">
        <v>19.25</v>
      </c>
      <c r="E592" s="320">
        <v>-0.15</v>
      </c>
      <c r="F592" s="320">
        <v>19.5</v>
      </c>
      <c r="G592" s="320">
        <v>19.55</v>
      </c>
      <c r="H592" s="320">
        <v>19.2</v>
      </c>
      <c r="I592" s="321">
        <v>78000</v>
      </c>
      <c r="J592" s="321">
        <v>1507150</v>
      </c>
      <c r="K592" s="320">
        <v>53</v>
      </c>
      <c r="L592" s="320">
        <v>19.25</v>
      </c>
      <c r="M592" s="320">
        <v>2</v>
      </c>
      <c r="N592" s="320">
        <v>19.3</v>
      </c>
      <c r="O592" s="320">
        <v>1</v>
      </c>
      <c r="P592" s="321">
        <v>38367906</v>
      </c>
      <c r="Q592" s="320">
        <v>21.15</v>
      </c>
      <c r="R592" s="320">
        <v>17.350000000000001</v>
      </c>
    </row>
    <row r="593" spans="2:18">
      <c r="B593" s="319">
        <v>6143</v>
      </c>
      <c r="C593" s="319" t="s">
        <v>1020</v>
      </c>
      <c r="D593" s="320">
        <v>57</v>
      </c>
      <c r="E593" s="320">
        <v>0</v>
      </c>
      <c r="F593" s="320">
        <v>57</v>
      </c>
      <c r="G593" s="320">
        <v>57.3</v>
      </c>
      <c r="H593" s="320">
        <v>56.3</v>
      </c>
      <c r="I593" s="321">
        <v>1229000</v>
      </c>
      <c r="J593" s="321">
        <v>69680600</v>
      </c>
      <c r="K593" s="320">
        <v>904</v>
      </c>
      <c r="L593" s="320">
        <v>56.9</v>
      </c>
      <c r="M593" s="320">
        <v>33</v>
      </c>
      <c r="N593" s="320">
        <v>57</v>
      </c>
      <c r="O593" s="320">
        <v>14</v>
      </c>
      <c r="P593" s="321">
        <v>83006897</v>
      </c>
      <c r="Q593" s="320">
        <v>62.7</v>
      </c>
      <c r="R593" s="320">
        <v>51.3</v>
      </c>
    </row>
    <row r="594" spans="2:18">
      <c r="B594" s="319">
        <v>6144</v>
      </c>
      <c r="C594" s="319" t="s">
        <v>1021</v>
      </c>
      <c r="D594" s="320" t="s">
        <v>478</v>
      </c>
      <c r="E594" s="320" t="s">
        <v>479</v>
      </c>
      <c r="F594" s="320" t="s">
        <v>478</v>
      </c>
      <c r="G594" s="320" t="s">
        <v>478</v>
      </c>
      <c r="H594" s="320" t="s">
        <v>478</v>
      </c>
      <c r="I594" s="320">
        <v>0</v>
      </c>
      <c r="J594" s="320">
        <v>0</v>
      </c>
      <c r="K594" s="320">
        <v>0</v>
      </c>
      <c r="L594" s="320">
        <v>14.3</v>
      </c>
      <c r="M594" s="320">
        <v>1</v>
      </c>
      <c r="N594" s="320">
        <v>15.15</v>
      </c>
      <c r="O594" s="320">
        <v>2</v>
      </c>
      <c r="P594" s="321">
        <v>38273701</v>
      </c>
      <c r="Q594" s="320">
        <v>15.95</v>
      </c>
      <c r="R594" s="320">
        <v>13.05</v>
      </c>
    </row>
    <row r="595" spans="2:18">
      <c r="B595" s="319">
        <v>6146</v>
      </c>
      <c r="C595" s="319" t="s">
        <v>1022</v>
      </c>
      <c r="D595" s="320">
        <v>214</v>
      </c>
      <c r="E595" s="320">
        <v>0</v>
      </c>
      <c r="F595" s="320">
        <v>216</v>
      </c>
      <c r="G595" s="320">
        <v>216</v>
      </c>
      <c r="H595" s="320">
        <v>214</v>
      </c>
      <c r="I595" s="321">
        <v>18000</v>
      </c>
      <c r="J595" s="321">
        <v>3863000</v>
      </c>
      <c r="K595" s="320">
        <v>17</v>
      </c>
      <c r="L595" s="320">
        <v>213</v>
      </c>
      <c r="M595" s="320">
        <v>2</v>
      </c>
      <c r="N595" s="320">
        <v>214</v>
      </c>
      <c r="O595" s="320">
        <v>3</v>
      </c>
      <c r="P595" s="321">
        <v>97016380</v>
      </c>
      <c r="Q595" s="320">
        <v>235</v>
      </c>
      <c r="R595" s="320">
        <v>193</v>
      </c>
    </row>
    <row r="596" spans="2:18">
      <c r="B596" s="319">
        <v>6147</v>
      </c>
      <c r="C596" s="319" t="s">
        <v>1023</v>
      </c>
      <c r="D596" s="320">
        <v>66.900000000000006</v>
      </c>
      <c r="E596" s="320">
        <v>-0.2</v>
      </c>
      <c r="F596" s="320">
        <v>67.3</v>
      </c>
      <c r="G596" s="320">
        <v>67.599999999999994</v>
      </c>
      <c r="H596" s="320">
        <v>66.900000000000006</v>
      </c>
      <c r="I596" s="321">
        <v>4503000</v>
      </c>
      <c r="J596" s="321">
        <v>302867700</v>
      </c>
      <c r="K596" s="321">
        <v>2509</v>
      </c>
      <c r="L596" s="320">
        <v>66.900000000000006</v>
      </c>
      <c r="M596" s="320">
        <v>106</v>
      </c>
      <c r="N596" s="320">
        <v>67</v>
      </c>
      <c r="O596" s="320">
        <v>86</v>
      </c>
      <c r="P596" s="321">
        <v>738675539</v>
      </c>
      <c r="Q596" s="320">
        <v>73.5</v>
      </c>
      <c r="R596" s="320">
        <v>60.3</v>
      </c>
    </row>
    <row r="597" spans="2:18">
      <c r="B597" s="319">
        <v>6148</v>
      </c>
      <c r="C597" s="319" t="s">
        <v>1024</v>
      </c>
      <c r="D597" s="320">
        <v>15.15</v>
      </c>
      <c r="E597" s="320">
        <v>0.4</v>
      </c>
      <c r="F597" s="320">
        <v>14.85</v>
      </c>
      <c r="G597" s="320">
        <v>15.25</v>
      </c>
      <c r="H597" s="320">
        <v>14.75</v>
      </c>
      <c r="I597" s="321">
        <v>348000</v>
      </c>
      <c r="J597" s="321">
        <v>5226250</v>
      </c>
      <c r="K597" s="320">
        <v>186</v>
      </c>
      <c r="L597" s="320">
        <v>15.15</v>
      </c>
      <c r="M597" s="320">
        <v>3</v>
      </c>
      <c r="N597" s="320">
        <v>15.2</v>
      </c>
      <c r="O597" s="320">
        <v>8</v>
      </c>
      <c r="P597" s="321">
        <v>47000000</v>
      </c>
      <c r="Q597" s="320">
        <v>16.649999999999999</v>
      </c>
      <c r="R597" s="320">
        <v>13.65</v>
      </c>
    </row>
    <row r="598" spans="2:18">
      <c r="B598" s="319">
        <v>6150</v>
      </c>
      <c r="C598" s="319" t="s">
        <v>1025</v>
      </c>
      <c r="D598" s="320">
        <v>179</v>
      </c>
      <c r="E598" s="320">
        <v>-2</v>
      </c>
      <c r="F598" s="320">
        <v>182</v>
      </c>
      <c r="G598" s="320">
        <v>184</v>
      </c>
      <c r="H598" s="320">
        <v>178</v>
      </c>
      <c r="I598" s="321">
        <v>2306000</v>
      </c>
      <c r="J598" s="321">
        <v>415647500</v>
      </c>
      <c r="K598" s="321">
        <v>1710</v>
      </c>
      <c r="L598" s="320">
        <v>179</v>
      </c>
      <c r="M598" s="320">
        <v>27</v>
      </c>
      <c r="N598" s="320">
        <v>179.5</v>
      </c>
      <c r="O598" s="320">
        <v>9</v>
      </c>
      <c r="P598" s="321">
        <v>44881629</v>
      </c>
      <c r="Q598" s="320">
        <v>196.5</v>
      </c>
      <c r="R598" s="320">
        <v>161.5</v>
      </c>
    </row>
    <row r="599" spans="2:18">
      <c r="B599" s="319">
        <v>6151</v>
      </c>
      <c r="C599" s="319" t="s">
        <v>1026</v>
      </c>
      <c r="D599" s="320">
        <v>37.25</v>
      </c>
      <c r="E599" s="320">
        <v>-0.1</v>
      </c>
      <c r="F599" s="320">
        <v>37.4</v>
      </c>
      <c r="G599" s="320">
        <v>37.450000000000003</v>
      </c>
      <c r="H599" s="320">
        <v>37.15</v>
      </c>
      <c r="I599" s="321">
        <v>38000</v>
      </c>
      <c r="J599" s="321">
        <v>1416900</v>
      </c>
      <c r="K599" s="320">
        <v>34</v>
      </c>
      <c r="L599" s="320">
        <v>37.200000000000003</v>
      </c>
      <c r="M599" s="320">
        <v>3</v>
      </c>
      <c r="N599" s="320">
        <v>37.4</v>
      </c>
      <c r="O599" s="320">
        <v>8</v>
      </c>
      <c r="P599" s="321">
        <v>55257300</v>
      </c>
      <c r="Q599" s="320">
        <v>40.950000000000003</v>
      </c>
      <c r="R599" s="320">
        <v>33.549999999999997</v>
      </c>
    </row>
    <row r="600" spans="2:18">
      <c r="B600" s="319">
        <v>6154</v>
      </c>
      <c r="C600" s="319" t="s">
        <v>1027</v>
      </c>
      <c r="D600" s="320">
        <v>17.7</v>
      </c>
      <c r="E600" s="320">
        <v>-0.05</v>
      </c>
      <c r="F600" s="320">
        <v>17.649999999999999</v>
      </c>
      <c r="G600" s="320">
        <v>17.7</v>
      </c>
      <c r="H600" s="320">
        <v>17.600000000000001</v>
      </c>
      <c r="I600" s="321">
        <v>54000</v>
      </c>
      <c r="J600" s="321">
        <v>954050</v>
      </c>
      <c r="K600" s="320">
        <v>39</v>
      </c>
      <c r="L600" s="320">
        <v>17.649999999999999</v>
      </c>
      <c r="M600" s="320">
        <v>11</v>
      </c>
      <c r="N600" s="320">
        <v>17.7</v>
      </c>
      <c r="O600" s="320">
        <v>14</v>
      </c>
      <c r="P600" s="321">
        <v>80080000</v>
      </c>
      <c r="Q600" s="320">
        <v>19.45</v>
      </c>
      <c r="R600" s="320">
        <v>15.95</v>
      </c>
    </row>
    <row r="601" spans="2:18">
      <c r="B601" s="319">
        <v>6156</v>
      </c>
      <c r="C601" s="319" t="s">
        <v>1028</v>
      </c>
      <c r="D601" s="320">
        <v>21.95</v>
      </c>
      <c r="E601" s="320">
        <v>0.7</v>
      </c>
      <c r="F601" s="320">
        <v>21.85</v>
      </c>
      <c r="G601" s="320">
        <v>23</v>
      </c>
      <c r="H601" s="320">
        <v>21.6</v>
      </c>
      <c r="I601" s="321">
        <v>10559000</v>
      </c>
      <c r="J601" s="321">
        <v>236656500</v>
      </c>
      <c r="K601" s="321">
        <v>4554</v>
      </c>
      <c r="L601" s="320">
        <v>21.9</v>
      </c>
      <c r="M601" s="320">
        <v>85</v>
      </c>
      <c r="N601" s="320">
        <v>22</v>
      </c>
      <c r="O601" s="320">
        <v>23</v>
      </c>
      <c r="P601" s="321">
        <v>80534609</v>
      </c>
      <c r="Q601" s="320">
        <v>24.1</v>
      </c>
      <c r="R601" s="320">
        <v>19.8</v>
      </c>
    </row>
    <row r="602" spans="2:18">
      <c r="B602" s="319">
        <v>6158</v>
      </c>
      <c r="C602" s="319" t="s">
        <v>1029</v>
      </c>
      <c r="D602" s="320">
        <v>53.1</v>
      </c>
      <c r="E602" s="320">
        <v>4.8</v>
      </c>
      <c r="F602" s="320">
        <v>50</v>
      </c>
      <c r="G602" s="320">
        <v>53.1</v>
      </c>
      <c r="H602" s="320">
        <v>48.85</v>
      </c>
      <c r="I602" s="321">
        <v>14567000</v>
      </c>
      <c r="J602" s="321">
        <v>747461350</v>
      </c>
      <c r="K602" s="321">
        <v>6644</v>
      </c>
      <c r="L602" s="320">
        <v>53.1</v>
      </c>
      <c r="M602" s="321">
        <v>27930</v>
      </c>
      <c r="N602" s="320">
        <v>0</v>
      </c>
      <c r="O602" s="320">
        <v>0</v>
      </c>
      <c r="P602" s="321">
        <v>53647988</v>
      </c>
      <c r="Q602" s="320">
        <v>58.4</v>
      </c>
      <c r="R602" s="320">
        <v>47.8</v>
      </c>
    </row>
    <row r="603" spans="2:18">
      <c r="B603" s="319">
        <v>6160</v>
      </c>
      <c r="C603" s="319" t="s">
        <v>1030</v>
      </c>
      <c r="D603" s="320">
        <v>18.95</v>
      </c>
      <c r="E603" s="320">
        <v>-0.4</v>
      </c>
      <c r="F603" s="320">
        <v>19.5</v>
      </c>
      <c r="G603" s="320">
        <v>19.5</v>
      </c>
      <c r="H603" s="320">
        <v>18.95</v>
      </c>
      <c r="I603" s="321">
        <v>227000</v>
      </c>
      <c r="J603" s="321">
        <v>4355550</v>
      </c>
      <c r="K603" s="320">
        <v>127</v>
      </c>
      <c r="L603" s="320">
        <v>18.95</v>
      </c>
      <c r="M603" s="320">
        <v>9</v>
      </c>
      <c r="N603" s="320">
        <v>19.100000000000001</v>
      </c>
      <c r="O603" s="320">
        <v>10</v>
      </c>
      <c r="P603" s="321">
        <v>68489120</v>
      </c>
      <c r="Q603" s="320">
        <v>20.8</v>
      </c>
      <c r="R603" s="320">
        <v>17.100000000000001</v>
      </c>
    </row>
    <row r="604" spans="2:18">
      <c r="B604" s="319">
        <v>6161</v>
      </c>
      <c r="C604" s="319" t="s">
        <v>1031</v>
      </c>
      <c r="D604" s="320">
        <v>29.7</v>
      </c>
      <c r="E604" s="320">
        <v>0.25</v>
      </c>
      <c r="F604" s="320">
        <v>29.75</v>
      </c>
      <c r="G604" s="320">
        <v>29.75</v>
      </c>
      <c r="H604" s="320">
        <v>29.35</v>
      </c>
      <c r="I604" s="321">
        <v>240000</v>
      </c>
      <c r="J604" s="321">
        <v>7079950</v>
      </c>
      <c r="K604" s="320">
        <v>124</v>
      </c>
      <c r="L604" s="320">
        <v>29.5</v>
      </c>
      <c r="M604" s="320">
        <v>5</v>
      </c>
      <c r="N604" s="320">
        <v>29.7</v>
      </c>
      <c r="O604" s="320">
        <v>6</v>
      </c>
      <c r="P604" s="321">
        <v>74983303</v>
      </c>
      <c r="Q604" s="320">
        <v>32.65</v>
      </c>
      <c r="R604" s="320">
        <v>26.75</v>
      </c>
    </row>
    <row r="605" spans="2:18">
      <c r="B605" s="319">
        <v>6163</v>
      </c>
      <c r="C605" s="319" t="s">
        <v>1032</v>
      </c>
      <c r="D605" s="320">
        <v>20.6</v>
      </c>
      <c r="E605" s="320">
        <v>-0.25</v>
      </c>
      <c r="F605" s="320">
        <v>20.9</v>
      </c>
      <c r="G605" s="320">
        <v>21.15</v>
      </c>
      <c r="H605" s="320">
        <v>20.6</v>
      </c>
      <c r="I605" s="321">
        <v>1324000</v>
      </c>
      <c r="J605" s="321">
        <v>27611850</v>
      </c>
      <c r="K605" s="320">
        <v>541</v>
      </c>
      <c r="L605" s="320">
        <v>20.6</v>
      </c>
      <c r="M605" s="320">
        <v>38</v>
      </c>
      <c r="N605" s="320">
        <v>20.65</v>
      </c>
      <c r="O605" s="320">
        <v>2</v>
      </c>
      <c r="P605" s="321">
        <v>127331429</v>
      </c>
      <c r="Q605" s="320">
        <v>22.65</v>
      </c>
      <c r="R605" s="320">
        <v>18.55</v>
      </c>
    </row>
    <row r="606" spans="2:18">
      <c r="B606" s="319">
        <v>6167</v>
      </c>
      <c r="C606" s="319" t="s">
        <v>1033</v>
      </c>
      <c r="D606" s="320">
        <v>16.8</v>
      </c>
      <c r="E606" s="320">
        <v>-0.35</v>
      </c>
      <c r="F606" s="320">
        <v>17.3</v>
      </c>
      <c r="G606" s="320">
        <v>17.45</v>
      </c>
      <c r="H606" s="320">
        <v>16.5</v>
      </c>
      <c r="I606" s="321">
        <v>7260000</v>
      </c>
      <c r="J606" s="321">
        <v>123307750</v>
      </c>
      <c r="K606" s="321">
        <v>3231</v>
      </c>
      <c r="L606" s="320">
        <v>16.8</v>
      </c>
      <c r="M606" s="320">
        <v>7</v>
      </c>
      <c r="N606" s="320">
        <v>16.95</v>
      </c>
      <c r="O606" s="320">
        <v>8</v>
      </c>
      <c r="P606" s="321">
        <v>162173221</v>
      </c>
      <c r="Q606" s="320">
        <v>18.45</v>
      </c>
      <c r="R606" s="320">
        <v>15.15</v>
      </c>
    </row>
    <row r="607" spans="2:18">
      <c r="B607" s="319">
        <v>6169</v>
      </c>
      <c r="C607" s="319" t="s">
        <v>1034</v>
      </c>
      <c r="D607" s="320">
        <v>25.05</v>
      </c>
      <c r="E607" s="320">
        <v>-0.4</v>
      </c>
      <c r="F607" s="320">
        <v>25.1</v>
      </c>
      <c r="G607" s="320">
        <v>25.65</v>
      </c>
      <c r="H607" s="320">
        <v>25.05</v>
      </c>
      <c r="I607" s="321">
        <v>167000</v>
      </c>
      <c r="J607" s="321">
        <v>4220800</v>
      </c>
      <c r="K607" s="320">
        <v>115</v>
      </c>
      <c r="L607" s="320">
        <v>25.05</v>
      </c>
      <c r="M607" s="320">
        <v>2</v>
      </c>
      <c r="N607" s="320">
        <v>25.25</v>
      </c>
      <c r="O607" s="320">
        <v>2</v>
      </c>
      <c r="P607" s="321">
        <v>23394960</v>
      </c>
      <c r="Q607" s="320">
        <v>27.55</v>
      </c>
      <c r="R607" s="320">
        <v>22.55</v>
      </c>
    </row>
    <row r="608" spans="2:18">
      <c r="B608" s="319">
        <v>6170</v>
      </c>
      <c r="C608" s="319" t="s">
        <v>1035</v>
      </c>
      <c r="D608" s="320">
        <v>43.7</v>
      </c>
      <c r="E608" s="320">
        <v>-1.3</v>
      </c>
      <c r="F608" s="320">
        <v>45.5</v>
      </c>
      <c r="G608" s="320">
        <v>45.7</v>
      </c>
      <c r="H608" s="320">
        <v>43.7</v>
      </c>
      <c r="I608" s="321">
        <v>1401000</v>
      </c>
      <c r="J608" s="321">
        <v>62245200</v>
      </c>
      <c r="K608" s="320">
        <v>949</v>
      </c>
      <c r="L608" s="320">
        <v>43.7</v>
      </c>
      <c r="M608" s="320">
        <v>32</v>
      </c>
      <c r="N608" s="320">
        <v>43.8</v>
      </c>
      <c r="O608" s="320">
        <v>7</v>
      </c>
      <c r="P608" s="321">
        <v>89670038</v>
      </c>
      <c r="Q608" s="320">
        <v>48.05</v>
      </c>
      <c r="R608" s="320">
        <v>39.35</v>
      </c>
    </row>
    <row r="609" spans="2:18">
      <c r="B609" s="319">
        <v>6171</v>
      </c>
      <c r="C609" s="319" t="s">
        <v>2892</v>
      </c>
      <c r="D609" s="320">
        <v>29.4</v>
      </c>
      <c r="E609" s="320">
        <v>0.1</v>
      </c>
      <c r="F609" s="320">
        <v>29.4</v>
      </c>
      <c r="G609" s="320">
        <v>29.4</v>
      </c>
      <c r="H609" s="320">
        <v>29.1</v>
      </c>
      <c r="I609" s="321">
        <v>126000</v>
      </c>
      <c r="J609" s="321">
        <v>3682150</v>
      </c>
      <c r="K609" s="320">
        <v>43</v>
      </c>
      <c r="L609" s="320">
        <v>29.35</v>
      </c>
      <c r="M609" s="320">
        <v>2</v>
      </c>
      <c r="N609" s="320">
        <v>29.4</v>
      </c>
      <c r="O609" s="320">
        <v>5</v>
      </c>
      <c r="P609" s="321">
        <v>86654710</v>
      </c>
      <c r="Q609" s="320">
        <v>32.299999999999997</v>
      </c>
      <c r="R609" s="320">
        <v>26.5</v>
      </c>
    </row>
    <row r="610" spans="2:18">
      <c r="B610" s="319">
        <v>6173</v>
      </c>
      <c r="C610" s="319" t="s">
        <v>1036</v>
      </c>
      <c r="D610" s="320">
        <v>60.6</v>
      </c>
      <c r="E610" s="320">
        <v>-0.2</v>
      </c>
      <c r="F610" s="320">
        <v>61.4</v>
      </c>
      <c r="G610" s="320">
        <v>61.5</v>
      </c>
      <c r="H610" s="320">
        <v>60.6</v>
      </c>
      <c r="I610" s="321">
        <v>400000</v>
      </c>
      <c r="J610" s="321">
        <v>24379500</v>
      </c>
      <c r="K610" s="320">
        <v>297</v>
      </c>
      <c r="L610" s="320">
        <v>60.5</v>
      </c>
      <c r="M610" s="320">
        <v>17</v>
      </c>
      <c r="N610" s="320">
        <v>60.7</v>
      </c>
      <c r="O610" s="320">
        <v>2</v>
      </c>
      <c r="P610" s="321">
        <v>172000000</v>
      </c>
      <c r="Q610" s="320">
        <v>66.599999999999994</v>
      </c>
      <c r="R610" s="320">
        <v>54.6</v>
      </c>
    </row>
    <row r="611" spans="2:18">
      <c r="B611" s="319">
        <v>6174</v>
      </c>
      <c r="C611" s="319" t="s">
        <v>1037</v>
      </c>
      <c r="D611" s="320">
        <v>32.75</v>
      </c>
      <c r="E611" s="320">
        <v>-0.55000000000000004</v>
      </c>
      <c r="F611" s="320">
        <v>33.6</v>
      </c>
      <c r="G611" s="320">
        <v>33.75</v>
      </c>
      <c r="H611" s="320">
        <v>32.75</v>
      </c>
      <c r="I611" s="321">
        <v>142000</v>
      </c>
      <c r="J611" s="321">
        <v>4685900</v>
      </c>
      <c r="K611" s="320">
        <v>116</v>
      </c>
      <c r="L611" s="320">
        <v>32.700000000000003</v>
      </c>
      <c r="M611" s="320">
        <v>20</v>
      </c>
      <c r="N611" s="320">
        <v>32.75</v>
      </c>
      <c r="O611" s="320">
        <v>18</v>
      </c>
      <c r="P611" s="321">
        <v>50000000</v>
      </c>
      <c r="Q611" s="320">
        <v>36</v>
      </c>
      <c r="R611" s="320">
        <v>29.5</v>
      </c>
    </row>
    <row r="612" spans="2:18">
      <c r="B612" s="319">
        <v>6175</v>
      </c>
      <c r="C612" s="319" t="s">
        <v>1038</v>
      </c>
      <c r="D612" s="320">
        <v>46.75</v>
      </c>
      <c r="E612" s="320">
        <v>-1.1000000000000001</v>
      </c>
      <c r="F612" s="320">
        <v>48.2</v>
      </c>
      <c r="G612" s="320">
        <v>48.35</v>
      </c>
      <c r="H612" s="320">
        <v>46.55</v>
      </c>
      <c r="I612" s="321">
        <v>1064000</v>
      </c>
      <c r="J612" s="321">
        <v>50124950</v>
      </c>
      <c r="K612" s="320">
        <v>707</v>
      </c>
      <c r="L612" s="320">
        <v>46.75</v>
      </c>
      <c r="M612" s="320">
        <v>15</v>
      </c>
      <c r="N612" s="320">
        <v>46.8</v>
      </c>
      <c r="O612" s="320">
        <v>2</v>
      </c>
      <c r="P612" s="321">
        <v>143075242</v>
      </c>
      <c r="Q612" s="320">
        <v>51.4</v>
      </c>
      <c r="R612" s="320">
        <v>42.1</v>
      </c>
    </row>
    <row r="613" spans="2:18">
      <c r="B613" s="319">
        <v>6179</v>
      </c>
      <c r="C613" s="319" t="s">
        <v>1039</v>
      </c>
      <c r="D613" s="320">
        <v>30.9</v>
      </c>
      <c r="E613" s="320">
        <v>-0.05</v>
      </c>
      <c r="F613" s="320">
        <v>30.9</v>
      </c>
      <c r="G613" s="320">
        <v>31.05</v>
      </c>
      <c r="H613" s="320">
        <v>30.65</v>
      </c>
      <c r="I613" s="321">
        <v>58000</v>
      </c>
      <c r="J613" s="321">
        <v>1785850</v>
      </c>
      <c r="K613" s="320">
        <v>48</v>
      </c>
      <c r="L613" s="320">
        <v>30.8</v>
      </c>
      <c r="M613" s="320">
        <v>3</v>
      </c>
      <c r="N613" s="320">
        <v>30.9</v>
      </c>
      <c r="O613" s="320">
        <v>1</v>
      </c>
      <c r="P613" s="321">
        <v>88146731</v>
      </c>
      <c r="Q613" s="320">
        <v>33.950000000000003</v>
      </c>
      <c r="R613" s="320">
        <v>27.85</v>
      </c>
    </row>
    <row r="614" spans="2:18">
      <c r="B614" s="319">
        <v>6180</v>
      </c>
      <c r="C614" s="319" t="s">
        <v>1040</v>
      </c>
      <c r="D614" s="320">
        <v>67.099999999999994</v>
      </c>
      <c r="E614" s="320">
        <v>0.7</v>
      </c>
      <c r="F614" s="320">
        <v>66.8</v>
      </c>
      <c r="G614" s="320">
        <v>67.5</v>
      </c>
      <c r="H614" s="320">
        <v>66.7</v>
      </c>
      <c r="I614" s="321">
        <v>1920000</v>
      </c>
      <c r="J614" s="321">
        <v>128691400</v>
      </c>
      <c r="K614" s="321">
        <v>1378</v>
      </c>
      <c r="L614" s="320">
        <v>67.099999999999994</v>
      </c>
      <c r="M614" s="320">
        <v>9</v>
      </c>
      <c r="N614" s="320">
        <v>67.2</v>
      </c>
      <c r="O614" s="320">
        <v>19</v>
      </c>
      <c r="P614" s="321">
        <v>175493573</v>
      </c>
      <c r="Q614" s="320">
        <v>73.8</v>
      </c>
      <c r="R614" s="320">
        <v>60.4</v>
      </c>
    </row>
    <row r="615" spans="2:18">
      <c r="B615" s="319">
        <v>6182</v>
      </c>
      <c r="C615" s="319" t="s">
        <v>1041</v>
      </c>
      <c r="D615" s="320">
        <v>84.2</v>
      </c>
      <c r="E615" s="320">
        <v>-0.5</v>
      </c>
      <c r="F615" s="320">
        <v>85.3</v>
      </c>
      <c r="G615" s="320">
        <v>86</v>
      </c>
      <c r="H615" s="320">
        <v>84.1</v>
      </c>
      <c r="I615" s="321">
        <v>30309000</v>
      </c>
      <c r="J615" s="321">
        <v>2580400300</v>
      </c>
      <c r="K615" s="321">
        <v>17109</v>
      </c>
      <c r="L615" s="320">
        <v>84.2</v>
      </c>
      <c r="M615" s="320">
        <v>38</v>
      </c>
      <c r="N615" s="320">
        <v>84.3</v>
      </c>
      <c r="O615" s="320">
        <v>18</v>
      </c>
      <c r="P615" s="321">
        <v>540898436</v>
      </c>
      <c r="Q615" s="320">
        <v>92.6</v>
      </c>
      <c r="R615" s="320">
        <v>75.8</v>
      </c>
    </row>
    <row r="616" spans="2:18">
      <c r="B616" s="319">
        <v>6185</v>
      </c>
      <c r="C616" s="319" t="s">
        <v>1042</v>
      </c>
      <c r="D616" s="320">
        <v>15.05</v>
      </c>
      <c r="E616" s="320">
        <v>-0.25</v>
      </c>
      <c r="F616" s="320">
        <v>15.55</v>
      </c>
      <c r="G616" s="320">
        <v>15.55</v>
      </c>
      <c r="H616" s="320">
        <v>14.95</v>
      </c>
      <c r="I616" s="321">
        <v>825000</v>
      </c>
      <c r="J616" s="321">
        <v>12464000</v>
      </c>
      <c r="K616" s="320">
        <v>391</v>
      </c>
      <c r="L616" s="320">
        <v>15.05</v>
      </c>
      <c r="M616" s="320">
        <v>5</v>
      </c>
      <c r="N616" s="320">
        <v>15.1</v>
      </c>
      <c r="O616" s="320">
        <v>1</v>
      </c>
      <c r="P616" s="321">
        <v>149867531</v>
      </c>
      <c r="Q616" s="320">
        <v>16.55</v>
      </c>
      <c r="R616" s="320">
        <v>13.55</v>
      </c>
    </row>
    <row r="617" spans="2:18">
      <c r="B617" s="319">
        <v>6186</v>
      </c>
      <c r="C617" s="319" t="s">
        <v>1043</v>
      </c>
      <c r="D617" s="320">
        <v>26.45</v>
      </c>
      <c r="E617" s="320">
        <v>0</v>
      </c>
      <c r="F617" s="320">
        <v>26.4</v>
      </c>
      <c r="G617" s="320">
        <v>26.45</v>
      </c>
      <c r="H617" s="320">
        <v>26.4</v>
      </c>
      <c r="I617" s="321">
        <v>46000</v>
      </c>
      <c r="J617" s="321">
        <v>1215600</v>
      </c>
      <c r="K617" s="320">
        <v>39</v>
      </c>
      <c r="L617" s="320">
        <v>26.45</v>
      </c>
      <c r="M617" s="320">
        <v>5</v>
      </c>
      <c r="N617" s="320">
        <v>26.5</v>
      </c>
      <c r="O617" s="320">
        <v>3</v>
      </c>
      <c r="P617" s="321">
        <v>136536129</v>
      </c>
      <c r="Q617" s="320">
        <v>29.05</v>
      </c>
      <c r="R617" s="320">
        <v>23.85</v>
      </c>
    </row>
    <row r="618" spans="2:18">
      <c r="B618" s="319">
        <v>6187</v>
      </c>
      <c r="C618" s="319" t="s">
        <v>1044</v>
      </c>
      <c r="D618" s="320">
        <v>117</v>
      </c>
      <c r="E618" s="320">
        <v>-0.5</v>
      </c>
      <c r="F618" s="320">
        <v>118</v>
      </c>
      <c r="G618" s="320">
        <v>120</v>
      </c>
      <c r="H618" s="320">
        <v>116.5</v>
      </c>
      <c r="I618" s="321">
        <v>494000</v>
      </c>
      <c r="J618" s="321">
        <v>58246500</v>
      </c>
      <c r="K618" s="320">
        <v>345</v>
      </c>
      <c r="L618" s="320">
        <v>117</v>
      </c>
      <c r="M618" s="320">
        <v>2</v>
      </c>
      <c r="N618" s="320">
        <v>117.5</v>
      </c>
      <c r="O618" s="320">
        <v>37</v>
      </c>
      <c r="P618" s="321">
        <v>83323902</v>
      </c>
      <c r="Q618" s="320">
        <v>128.5</v>
      </c>
      <c r="R618" s="320">
        <v>105.5</v>
      </c>
    </row>
    <row r="619" spans="2:18">
      <c r="B619" s="319">
        <v>6188</v>
      </c>
      <c r="C619" s="319" t="s">
        <v>1045</v>
      </c>
      <c r="D619" s="320">
        <v>49.4</v>
      </c>
      <c r="E619" s="320">
        <v>0.3</v>
      </c>
      <c r="F619" s="320">
        <v>48.75</v>
      </c>
      <c r="G619" s="320">
        <v>49.85</v>
      </c>
      <c r="H619" s="320">
        <v>48.3</v>
      </c>
      <c r="I619" s="321">
        <v>9877000</v>
      </c>
      <c r="J619" s="321">
        <v>484964000</v>
      </c>
      <c r="K619" s="321">
        <v>5143</v>
      </c>
      <c r="L619" s="320">
        <v>49.4</v>
      </c>
      <c r="M619" s="320">
        <v>5</v>
      </c>
      <c r="N619" s="320">
        <v>49.45</v>
      </c>
      <c r="O619" s="320">
        <v>5</v>
      </c>
      <c r="P619" s="321">
        <v>278358910</v>
      </c>
      <c r="Q619" s="320">
        <v>54.3</v>
      </c>
      <c r="R619" s="320">
        <v>44.5</v>
      </c>
    </row>
    <row r="620" spans="2:18">
      <c r="B620" s="319">
        <v>6190</v>
      </c>
      <c r="C620" s="319" t="s">
        <v>1046</v>
      </c>
      <c r="D620" s="320">
        <v>41.05</v>
      </c>
      <c r="E620" s="320">
        <v>0.05</v>
      </c>
      <c r="F620" s="320">
        <v>41</v>
      </c>
      <c r="G620" s="320">
        <v>43.7</v>
      </c>
      <c r="H620" s="320">
        <v>40.35</v>
      </c>
      <c r="I620" s="321">
        <v>29110000</v>
      </c>
      <c r="J620" s="321">
        <v>1230034350</v>
      </c>
      <c r="K620" s="321">
        <v>15237</v>
      </c>
      <c r="L620" s="320">
        <v>41.05</v>
      </c>
      <c r="M620" s="320">
        <v>41</v>
      </c>
      <c r="N620" s="320">
        <v>41.1</v>
      </c>
      <c r="O620" s="320">
        <v>1</v>
      </c>
      <c r="P620" s="321">
        <v>149568537</v>
      </c>
      <c r="Q620" s="320">
        <v>45.15</v>
      </c>
      <c r="R620" s="320">
        <v>36.950000000000003</v>
      </c>
    </row>
    <row r="621" spans="2:18">
      <c r="B621" s="319">
        <v>6194</v>
      </c>
      <c r="C621" s="319" t="s">
        <v>1047</v>
      </c>
      <c r="D621" s="320">
        <v>25.2</v>
      </c>
      <c r="E621" s="320">
        <v>0.2</v>
      </c>
      <c r="F621" s="320">
        <v>25</v>
      </c>
      <c r="G621" s="320">
        <v>25.2</v>
      </c>
      <c r="H621" s="320">
        <v>24.95</v>
      </c>
      <c r="I621" s="321">
        <v>71000</v>
      </c>
      <c r="J621" s="321">
        <v>1780350</v>
      </c>
      <c r="K621" s="320">
        <v>52</v>
      </c>
      <c r="L621" s="320">
        <v>25.15</v>
      </c>
      <c r="M621" s="320">
        <v>1</v>
      </c>
      <c r="N621" s="320">
        <v>25.2</v>
      </c>
      <c r="O621" s="320">
        <v>15</v>
      </c>
      <c r="P621" s="321">
        <v>60000000</v>
      </c>
      <c r="Q621" s="320">
        <v>27.7</v>
      </c>
      <c r="R621" s="320">
        <v>22.7</v>
      </c>
    </row>
    <row r="622" spans="2:18">
      <c r="B622" s="319">
        <v>6195</v>
      </c>
      <c r="C622" s="319" t="s">
        <v>1048</v>
      </c>
      <c r="D622" s="320">
        <v>52.8</v>
      </c>
      <c r="E622" s="320">
        <v>0</v>
      </c>
      <c r="F622" s="320">
        <v>52.7</v>
      </c>
      <c r="G622" s="320">
        <v>52.9</v>
      </c>
      <c r="H622" s="320">
        <v>52.5</v>
      </c>
      <c r="I622" s="321">
        <v>14000</v>
      </c>
      <c r="J622" s="321">
        <v>737600</v>
      </c>
      <c r="K622" s="320">
        <v>11</v>
      </c>
      <c r="L622" s="320">
        <v>52.6</v>
      </c>
      <c r="M622" s="320">
        <v>2</v>
      </c>
      <c r="N622" s="320">
        <v>52.8</v>
      </c>
      <c r="O622" s="320">
        <v>1</v>
      </c>
      <c r="P622" s="321">
        <v>50015985</v>
      </c>
      <c r="Q622" s="320">
        <v>58</v>
      </c>
      <c r="R622" s="320">
        <v>47.55</v>
      </c>
    </row>
    <row r="623" spans="2:18">
      <c r="B623" s="319">
        <v>6198</v>
      </c>
      <c r="C623" s="319" t="s">
        <v>1049</v>
      </c>
      <c r="D623" s="320">
        <v>34.85</v>
      </c>
      <c r="E623" s="320">
        <v>0.25</v>
      </c>
      <c r="F623" s="320">
        <v>34.85</v>
      </c>
      <c r="G623" s="320">
        <v>34.85</v>
      </c>
      <c r="H623" s="320">
        <v>34.85</v>
      </c>
      <c r="I623" s="321">
        <v>1000</v>
      </c>
      <c r="J623" s="321">
        <v>34850</v>
      </c>
      <c r="K623" s="320">
        <v>1</v>
      </c>
      <c r="L623" s="320">
        <v>33.049999999999997</v>
      </c>
      <c r="M623" s="320">
        <v>1</v>
      </c>
      <c r="N623" s="320">
        <v>34.85</v>
      </c>
      <c r="O623" s="320">
        <v>1</v>
      </c>
      <c r="P623" s="321">
        <v>22635350</v>
      </c>
      <c r="Q623" s="320">
        <v>38.299999999999997</v>
      </c>
      <c r="R623" s="320">
        <v>31.4</v>
      </c>
    </row>
    <row r="624" spans="2:18">
      <c r="B624" s="319">
        <v>6199</v>
      </c>
      <c r="C624" s="319" t="s">
        <v>1050</v>
      </c>
      <c r="D624" s="320">
        <v>15.9</v>
      </c>
      <c r="E624" s="320">
        <v>0.25</v>
      </c>
      <c r="F624" s="320">
        <v>15.6</v>
      </c>
      <c r="G624" s="320">
        <v>15.9</v>
      </c>
      <c r="H624" s="320">
        <v>15.55</v>
      </c>
      <c r="I624" s="321">
        <v>3000</v>
      </c>
      <c r="J624" s="321">
        <v>47050</v>
      </c>
      <c r="K624" s="320">
        <v>3</v>
      </c>
      <c r="L624" s="320">
        <v>15.6</v>
      </c>
      <c r="M624" s="320">
        <v>1</v>
      </c>
      <c r="N624" s="320">
        <v>15.9</v>
      </c>
      <c r="O624" s="320">
        <v>2</v>
      </c>
      <c r="P624" s="321">
        <v>61760018</v>
      </c>
      <c r="Q624" s="320">
        <v>17.45</v>
      </c>
      <c r="R624" s="320">
        <v>14.35</v>
      </c>
    </row>
    <row r="625" spans="2:18">
      <c r="B625" s="319">
        <v>6201</v>
      </c>
      <c r="C625" s="319" t="s">
        <v>1051</v>
      </c>
      <c r="D625" s="320">
        <v>23.69</v>
      </c>
      <c r="E625" s="320">
        <v>0.12</v>
      </c>
      <c r="F625" s="320">
        <v>23.6</v>
      </c>
      <c r="G625" s="320">
        <v>23.69</v>
      </c>
      <c r="H625" s="320">
        <v>23.6</v>
      </c>
      <c r="I625" s="321">
        <v>57000</v>
      </c>
      <c r="J625" s="321">
        <v>1348770</v>
      </c>
      <c r="K625" s="320">
        <v>19</v>
      </c>
      <c r="L625" s="320">
        <v>23.69</v>
      </c>
      <c r="M625" s="320">
        <v>3</v>
      </c>
      <c r="N625" s="320">
        <v>23.7</v>
      </c>
      <c r="O625" s="320">
        <v>5</v>
      </c>
      <c r="P625" s="321">
        <v>12946000</v>
      </c>
      <c r="Q625" s="320">
        <v>26.05</v>
      </c>
      <c r="R625" s="320">
        <v>21.33</v>
      </c>
    </row>
    <row r="626" spans="2:18">
      <c r="B626" s="319">
        <v>6203</v>
      </c>
      <c r="C626" s="319" t="s">
        <v>1052</v>
      </c>
      <c r="D626" s="320">
        <v>84.7</v>
      </c>
      <c r="E626" s="320">
        <v>0.3</v>
      </c>
      <c r="F626" s="320">
        <v>84.9</v>
      </c>
      <c r="G626" s="320">
        <v>86</v>
      </c>
      <c r="H626" s="320">
        <v>84.6</v>
      </c>
      <c r="I626" s="321">
        <v>134000</v>
      </c>
      <c r="J626" s="321">
        <v>11405800</v>
      </c>
      <c r="K626" s="320">
        <v>95</v>
      </c>
      <c r="L626" s="320">
        <v>84.7</v>
      </c>
      <c r="M626" s="320">
        <v>1</v>
      </c>
      <c r="N626" s="320">
        <v>84.8</v>
      </c>
      <c r="O626" s="320">
        <v>1</v>
      </c>
      <c r="P626" s="321">
        <v>79953277</v>
      </c>
      <c r="Q626" s="320">
        <v>93.1</v>
      </c>
      <c r="R626" s="320">
        <v>76.3</v>
      </c>
    </row>
    <row r="627" spans="2:18">
      <c r="B627" s="319">
        <v>6204</v>
      </c>
      <c r="C627" s="319" t="s">
        <v>1053</v>
      </c>
      <c r="D627" s="320">
        <v>71.900000000000006</v>
      </c>
      <c r="E627" s="320">
        <v>-0.1</v>
      </c>
      <c r="F627" s="320">
        <v>72</v>
      </c>
      <c r="G627" s="320">
        <v>72</v>
      </c>
      <c r="H627" s="320">
        <v>71.599999999999994</v>
      </c>
      <c r="I627" s="321">
        <v>27000</v>
      </c>
      <c r="J627" s="321">
        <v>1939400</v>
      </c>
      <c r="K627" s="320">
        <v>25</v>
      </c>
      <c r="L627" s="320">
        <v>71.8</v>
      </c>
      <c r="M627" s="320">
        <v>2</v>
      </c>
      <c r="N627" s="320">
        <v>72</v>
      </c>
      <c r="O627" s="320">
        <v>1</v>
      </c>
      <c r="P627" s="321">
        <v>23102080</v>
      </c>
      <c r="Q627" s="320">
        <v>79</v>
      </c>
      <c r="R627" s="320">
        <v>64.8</v>
      </c>
    </row>
    <row r="628" spans="2:18">
      <c r="B628" s="319">
        <v>6207</v>
      </c>
      <c r="C628" s="319" t="s">
        <v>1054</v>
      </c>
      <c r="D628" s="320">
        <v>40.700000000000003</v>
      </c>
      <c r="E628" s="320">
        <v>0.85</v>
      </c>
      <c r="F628" s="320">
        <v>39.799999999999997</v>
      </c>
      <c r="G628" s="320">
        <v>41.45</v>
      </c>
      <c r="H628" s="320">
        <v>39</v>
      </c>
      <c r="I628" s="321">
        <v>8135000</v>
      </c>
      <c r="J628" s="321">
        <v>326961250</v>
      </c>
      <c r="K628" s="321">
        <v>5200</v>
      </c>
      <c r="L628" s="320">
        <v>40.65</v>
      </c>
      <c r="M628" s="320">
        <v>7</v>
      </c>
      <c r="N628" s="320">
        <v>40.700000000000003</v>
      </c>
      <c r="O628" s="320">
        <v>30</v>
      </c>
      <c r="P628" s="321">
        <v>83873589</v>
      </c>
      <c r="Q628" s="320">
        <v>44.75</v>
      </c>
      <c r="R628" s="320">
        <v>36.65</v>
      </c>
    </row>
    <row r="629" spans="2:18">
      <c r="B629" s="319">
        <v>6208</v>
      </c>
      <c r="C629" s="319" t="s">
        <v>1055</v>
      </c>
      <c r="D629" s="320">
        <v>57.7</v>
      </c>
      <c r="E629" s="320">
        <v>5.2</v>
      </c>
      <c r="F629" s="320">
        <v>53.3</v>
      </c>
      <c r="G629" s="320">
        <v>57.7</v>
      </c>
      <c r="H629" s="320">
        <v>52.7</v>
      </c>
      <c r="I629" s="321">
        <v>5627000</v>
      </c>
      <c r="J629" s="321">
        <v>318086100</v>
      </c>
      <c r="K629" s="321">
        <v>2925</v>
      </c>
      <c r="L629" s="320">
        <v>57.7</v>
      </c>
      <c r="M629" s="321">
        <v>113984</v>
      </c>
      <c r="N629" s="320">
        <v>0</v>
      </c>
      <c r="O629" s="320">
        <v>0</v>
      </c>
      <c r="P629" s="321">
        <v>117983166</v>
      </c>
      <c r="Q629" s="320">
        <v>63.4</v>
      </c>
      <c r="R629" s="320">
        <v>52</v>
      </c>
    </row>
    <row r="630" spans="2:18">
      <c r="B630" s="319">
        <v>6210</v>
      </c>
      <c r="C630" s="319" t="s">
        <v>1056</v>
      </c>
      <c r="D630" s="320">
        <v>40.65</v>
      </c>
      <c r="E630" s="320">
        <v>-0.1</v>
      </c>
      <c r="F630" s="320">
        <v>40.799999999999997</v>
      </c>
      <c r="G630" s="320">
        <v>40.799999999999997</v>
      </c>
      <c r="H630" s="320">
        <v>40.65</v>
      </c>
      <c r="I630" s="321">
        <v>16000</v>
      </c>
      <c r="J630" s="321">
        <v>651850</v>
      </c>
      <c r="K630" s="320">
        <v>12</v>
      </c>
      <c r="L630" s="320">
        <v>40.6</v>
      </c>
      <c r="M630" s="320">
        <v>7</v>
      </c>
      <c r="N630" s="320">
        <v>40.700000000000003</v>
      </c>
      <c r="O630" s="320">
        <v>1</v>
      </c>
      <c r="P630" s="321">
        <v>35048000</v>
      </c>
      <c r="Q630" s="320">
        <v>44.7</v>
      </c>
      <c r="R630" s="320">
        <v>36.6</v>
      </c>
    </row>
    <row r="631" spans="2:18">
      <c r="B631" s="319">
        <v>6212</v>
      </c>
      <c r="C631" s="319" t="s">
        <v>1057</v>
      </c>
      <c r="D631" s="320">
        <v>61.9</v>
      </c>
      <c r="E631" s="320">
        <v>1.9</v>
      </c>
      <c r="F631" s="320">
        <v>58.8</v>
      </c>
      <c r="G631" s="320">
        <v>61.9</v>
      </c>
      <c r="H631" s="320">
        <v>58.8</v>
      </c>
      <c r="I631" s="321">
        <v>10000</v>
      </c>
      <c r="J631" s="321">
        <v>602000</v>
      </c>
      <c r="K631" s="320">
        <v>3</v>
      </c>
      <c r="L631" s="320">
        <v>58.5</v>
      </c>
      <c r="M631" s="320">
        <v>1</v>
      </c>
      <c r="N631" s="320">
        <v>61</v>
      </c>
      <c r="O631" s="320">
        <v>1</v>
      </c>
      <c r="P631" s="321">
        <v>102000000</v>
      </c>
      <c r="Q631" s="320">
        <v>68</v>
      </c>
      <c r="R631" s="320">
        <v>55.8</v>
      </c>
    </row>
    <row r="632" spans="2:18">
      <c r="B632" s="319">
        <v>6217</v>
      </c>
      <c r="C632" s="319" t="s">
        <v>1058</v>
      </c>
      <c r="D632" s="320">
        <v>51.8</v>
      </c>
      <c r="E632" s="320">
        <v>0.3</v>
      </c>
      <c r="F632" s="320">
        <v>52.2</v>
      </c>
      <c r="G632" s="320">
        <v>53</v>
      </c>
      <c r="H632" s="320">
        <v>51.7</v>
      </c>
      <c r="I632" s="321">
        <v>1632000</v>
      </c>
      <c r="J632" s="321">
        <v>85565100</v>
      </c>
      <c r="K632" s="321">
        <v>1123</v>
      </c>
      <c r="L632" s="320">
        <v>51.7</v>
      </c>
      <c r="M632" s="320">
        <v>13</v>
      </c>
      <c r="N632" s="320">
        <v>51.8</v>
      </c>
      <c r="O632" s="320">
        <v>2</v>
      </c>
      <c r="P632" s="321">
        <v>66086685</v>
      </c>
      <c r="Q632" s="320">
        <v>56.9</v>
      </c>
      <c r="R632" s="320">
        <v>46.65</v>
      </c>
    </row>
    <row r="633" spans="2:18">
      <c r="B633" s="319">
        <v>6218</v>
      </c>
      <c r="C633" s="319" t="s">
        <v>1059</v>
      </c>
      <c r="D633" s="320">
        <v>21.65</v>
      </c>
      <c r="E633" s="320">
        <v>0</v>
      </c>
      <c r="F633" s="320">
        <v>21.9</v>
      </c>
      <c r="G633" s="320">
        <v>21.9</v>
      </c>
      <c r="H633" s="320">
        <v>21.6</v>
      </c>
      <c r="I633" s="321">
        <v>113000</v>
      </c>
      <c r="J633" s="321">
        <v>2451250</v>
      </c>
      <c r="K633" s="320">
        <v>62</v>
      </c>
      <c r="L633" s="320">
        <v>21.6</v>
      </c>
      <c r="M633" s="320">
        <v>3</v>
      </c>
      <c r="N633" s="320">
        <v>21.7</v>
      </c>
      <c r="O633" s="320">
        <v>2</v>
      </c>
      <c r="P633" s="321">
        <v>64262000</v>
      </c>
      <c r="Q633" s="320">
        <v>23.8</v>
      </c>
      <c r="R633" s="320">
        <v>19.5</v>
      </c>
    </row>
    <row r="634" spans="2:18">
      <c r="B634" s="319">
        <v>6219</v>
      </c>
      <c r="C634" s="319" t="s">
        <v>1060</v>
      </c>
      <c r="D634" s="320">
        <v>17.8</v>
      </c>
      <c r="E634" s="320">
        <v>0</v>
      </c>
      <c r="F634" s="320">
        <v>17.8</v>
      </c>
      <c r="G634" s="320">
        <v>18.05</v>
      </c>
      <c r="H634" s="320">
        <v>17.75</v>
      </c>
      <c r="I634" s="321">
        <v>1911000</v>
      </c>
      <c r="J634" s="321">
        <v>34150850</v>
      </c>
      <c r="K634" s="320">
        <v>308</v>
      </c>
      <c r="L634" s="320">
        <v>17.75</v>
      </c>
      <c r="M634" s="320">
        <v>41</v>
      </c>
      <c r="N634" s="320">
        <v>17.8</v>
      </c>
      <c r="O634" s="320">
        <v>7</v>
      </c>
      <c r="P634" s="321">
        <v>154016276</v>
      </c>
      <c r="Q634" s="320">
        <v>19.55</v>
      </c>
      <c r="R634" s="320">
        <v>16.05</v>
      </c>
    </row>
    <row r="635" spans="2:18">
      <c r="B635" s="319">
        <v>6220</v>
      </c>
      <c r="C635" s="319" t="s">
        <v>1061</v>
      </c>
      <c r="D635" s="320">
        <v>22.95</v>
      </c>
      <c r="E635" s="320">
        <v>0</v>
      </c>
      <c r="F635" s="320">
        <v>22.9</v>
      </c>
      <c r="G635" s="320">
        <v>23.15</v>
      </c>
      <c r="H635" s="320">
        <v>22.85</v>
      </c>
      <c r="I635" s="321">
        <v>102000</v>
      </c>
      <c r="J635" s="321">
        <v>2344650</v>
      </c>
      <c r="K635" s="320">
        <v>67</v>
      </c>
      <c r="L635" s="320">
        <v>22.9</v>
      </c>
      <c r="M635" s="320">
        <v>8</v>
      </c>
      <c r="N635" s="320">
        <v>22.95</v>
      </c>
      <c r="O635" s="320">
        <v>5</v>
      </c>
      <c r="P635" s="321">
        <v>131972388</v>
      </c>
      <c r="Q635" s="320">
        <v>25.2</v>
      </c>
      <c r="R635" s="320">
        <v>20.7</v>
      </c>
    </row>
    <row r="636" spans="2:18">
      <c r="B636" s="319">
        <v>6221</v>
      </c>
      <c r="C636" s="319" t="s">
        <v>1062</v>
      </c>
      <c r="D636" s="320">
        <v>49.3</v>
      </c>
      <c r="E636" s="320">
        <v>0.05</v>
      </c>
      <c r="F636" s="320">
        <v>49.25</v>
      </c>
      <c r="G636" s="320">
        <v>49.6</v>
      </c>
      <c r="H636" s="320">
        <v>49.2</v>
      </c>
      <c r="I636" s="321">
        <v>32000</v>
      </c>
      <c r="J636" s="321">
        <v>1579700</v>
      </c>
      <c r="K636" s="320">
        <v>27</v>
      </c>
      <c r="L636" s="320">
        <v>49.3</v>
      </c>
      <c r="M636" s="320">
        <v>2</v>
      </c>
      <c r="N636" s="320">
        <v>49.5</v>
      </c>
      <c r="O636" s="320">
        <v>1</v>
      </c>
      <c r="P636" s="321">
        <v>71445391</v>
      </c>
      <c r="Q636" s="320">
        <v>54.2</v>
      </c>
      <c r="R636" s="320">
        <v>44.4</v>
      </c>
    </row>
    <row r="637" spans="2:18">
      <c r="B637" s="319">
        <v>6222</v>
      </c>
      <c r="C637" s="319" t="s">
        <v>1063</v>
      </c>
      <c r="D637" s="320">
        <v>14.85</v>
      </c>
      <c r="E637" s="320">
        <v>0.05</v>
      </c>
      <c r="F637" s="320">
        <v>14.8</v>
      </c>
      <c r="G637" s="320">
        <v>14.85</v>
      </c>
      <c r="H637" s="320">
        <v>14.65</v>
      </c>
      <c r="I637" s="321">
        <v>57000</v>
      </c>
      <c r="J637" s="321">
        <v>840350</v>
      </c>
      <c r="K637" s="320">
        <v>17</v>
      </c>
      <c r="L637" s="320">
        <v>14.7</v>
      </c>
      <c r="M637" s="320">
        <v>5</v>
      </c>
      <c r="N637" s="320">
        <v>14.85</v>
      </c>
      <c r="O637" s="320">
        <v>17</v>
      </c>
      <c r="P637" s="321">
        <v>40588878</v>
      </c>
      <c r="Q637" s="320">
        <v>16.3</v>
      </c>
      <c r="R637" s="320">
        <v>13.4</v>
      </c>
    </row>
    <row r="638" spans="2:18">
      <c r="B638" s="319">
        <v>6223</v>
      </c>
      <c r="C638" s="319" t="s">
        <v>1064</v>
      </c>
      <c r="D638" s="320">
        <v>115.5</v>
      </c>
      <c r="E638" s="320">
        <v>-1</v>
      </c>
      <c r="F638" s="320">
        <v>117.5</v>
      </c>
      <c r="G638" s="320">
        <v>118</v>
      </c>
      <c r="H638" s="320">
        <v>115.5</v>
      </c>
      <c r="I638" s="321">
        <v>1077000</v>
      </c>
      <c r="J638" s="321">
        <v>125555500</v>
      </c>
      <c r="K638" s="320">
        <v>774</v>
      </c>
      <c r="L638" s="320">
        <v>115.5</v>
      </c>
      <c r="M638" s="320">
        <v>68</v>
      </c>
      <c r="N638" s="320">
        <v>116</v>
      </c>
      <c r="O638" s="320">
        <v>11</v>
      </c>
      <c r="P638" s="321">
        <v>94073772</v>
      </c>
      <c r="Q638" s="320">
        <v>127</v>
      </c>
      <c r="R638" s="320">
        <v>104</v>
      </c>
    </row>
    <row r="639" spans="2:18">
      <c r="B639" s="319">
        <v>6227</v>
      </c>
      <c r="C639" s="319" t="s">
        <v>1065</v>
      </c>
      <c r="D639" s="320">
        <v>38.450000000000003</v>
      </c>
      <c r="E639" s="320">
        <v>-0.1</v>
      </c>
      <c r="F639" s="320">
        <v>38.799999999999997</v>
      </c>
      <c r="G639" s="320">
        <v>38.799999999999997</v>
      </c>
      <c r="H639" s="320">
        <v>38.4</v>
      </c>
      <c r="I639" s="321">
        <v>399000</v>
      </c>
      <c r="J639" s="321">
        <v>15366050</v>
      </c>
      <c r="K639" s="320">
        <v>158</v>
      </c>
      <c r="L639" s="320">
        <v>38.450000000000003</v>
      </c>
      <c r="M639" s="320">
        <v>2</v>
      </c>
      <c r="N639" s="320">
        <v>38.5</v>
      </c>
      <c r="O639" s="320">
        <v>2</v>
      </c>
      <c r="P639" s="321">
        <v>76111786</v>
      </c>
      <c r="Q639" s="320">
        <v>42.25</v>
      </c>
      <c r="R639" s="320">
        <v>34.65</v>
      </c>
    </row>
    <row r="640" spans="2:18">
      <c r="B640" s="319">
        <v>6228</v>
      </c>
      <c r="C640" s="319" t="s">
        <v>1066</v>
      </c>
      <c r="D640" s="320">
        <v>17.7</v>
      </c>
      <c r="E640" s="320">
        <v>1.6</v>
      </c>
      <c r="F640" s="320">
        <v>15.9</v>
      </c>
      <c r="G640" s="320">
        <v>17.7</v>
      </c>
      <c r="H640" s="320">
        <v>15.55</v>
      </c>
      <c r="I640" s="321">
        <v>1056000</v>
      </c>
      <c r="J640" s="321">
        <v>18105050</v>
      </c>
      <c r="K640" s="320">
        <v>357</v>
      </c>
      <c r="L640" s="320">
        <v>17.7</v>
      </c>
      <c r="M640" s="320">
        <v>218</v>
      </c>
      <c r="N640" s="320">
        <v>0</v>
      </c>
      <c r="O640" s="320">
        <v>0</v>
      </c>
      <c r="P640" s="321">
        <v>40000000</v>
      </c>
      <c r="Q640" s="320">
        <v>19.45</v>
      </c>
      <c r="R640" s="320">
        <v>15.95</v>
      </c>
    </row>
    <row r="641" spans="2:18">
      <c r="B641" s="319">
        <v>6229</v>
      </c>
      <c r="C641" s="319" t="s">
        <v>1067</v>
      </c>
      <c r="D641" s="320">
        <v>43.95</v>
      </c>
      <c r="E641" s="320">
        <v>-0.7</v>
      </c>
      <c r="F641" s="320">
        <v>45.2</v>
      </c>
      <c r="G641" s="320">
        <v>45.35</v>
      </c>
      <c r="H641" s="320">
        <v>43.6</v>
      </c>
      <c r="I641" s="321">
        <v>501000</v>
      </c>
      <c r="J641" s="321">
        <v>22241100</v>
      </c>
      <c r="K641" s="320">
        <v>353</v>
      </c>
      <c r="L641" s="320">
        <v>43.9</v>
      </c>
      <c r="M641" s="320">
        <v>20</v>
      </c>
      <c r="N641" s="320">
        <v>44</v>
      </c>
      <c r="O641" s="320">
        <v>2</v>
      </c>
      <c r="P641" s="321">
        <v>35640700</v>
      </c>
      <c r="Q641" s="320">
        <v>48.3</v>
      </c>
      <c r="R641" s="320">
        <v>39.6</v>
      </c>
    </row>
    <row r="642" spans="2:18">
      <c r="B642" s="319">
        <v>6231</v>
      </c>
      <c r="C642" s="319" t="s">
        <v>1068</v>
      </c>
      <c r="D642" s="320">
        <v>82.7</v>
      </c>
      <c r="E642" s="320">
        <v>0</v>
      </c>
      <c r="F642" s="320">
        <v>83.9</v>
      </c>
      <c r="G642" s="320">
        <v>84.6</v>
      </c>
      <c r="H642" s="320">
        <v>82.5</v>
      </c>
      <c r="I642" s="321">
        <v>75000</v>
      </c>
      <c r="J642" s="321">
        <v>6210100</v>
      </c>
      <c r="K642" s="320">
        <v>66</v>
      </c>
      <c r="L642" s="320">
        <v>82.6</v>
      </c>
      <c r="M642" s="320">
        <v>2</v>
      </c>
      <c r="N642" s="320">
        <v>82.7</v>
      </c>
      <c r="O642" s="320">
        <v>1</v>
      </c>
      <c r="P642" s="321">
        <v>38043488</v>
      </c>
      <c r="Q642" s="320">
        <v>90.9</v>
      </c>
      <c r="R642" s="320">
        <v>74.5</v>
      </c>
    </row>
    <row r="643" spans="2:18">
      <c r="B643" s="319">
        <v>6233</v>
      </c>
      <c r="C643" s="319" t="s">
        <v>1069</v>
      </c>
      <c r="D643" s="320">
        <v>36.200000000000003</v>
      </c>
      <c r="E643" s="320">
        <v>-0.35</v>
      </c>
      <c r="F643" s="320">
        <v>35.950000000000003</v>
      </c>
      <c r="G643" s="320">
        <v>37.4</v>
      </c>
      <c r="H643" s="320">
        <v>35.6</v>
      </c>
      <c r="I643" s="321">
        <v>3290000</v>
      </c>
      <c r="J643" s="321">
        <v>119347550</v>
      </c>
      <c r="K643" s="321">
        <v>1763</v>
      </c>
      <c r="L643" s="320">
        <v>36</v>
      </c>
      <c r="M643" s="320">
        <v>10</v>
      </c>
      <c r="N643" s="320">
        <v>36.200000000000003</v>
      </c>
      <c r="O643" s="320">
        <v>3</v>
      </c>
      <c r="P643" s="321">
        <v>79609896</v>
      </c>
      <c r="Q643" s="320">
        <v>39.799999999999997</v>
      </c>
      <c r="R643" s="320">
        <v>32.6</v>
      </c>
    </row>
    <row r="644" spans="2:18">
      <c r="B644" s="319">
        <v>6234</v>
      </c>
      <c r="C644" s="319" t="s">
        <v>1070</v>
      </c>
      <c r="D644" s="320">
        <v>21.5</v>
      </c>
      <c r="E644" s="320">
        <v>0.25</v>
      </c>
      <c r="F644" s="320">
        <v>21.3</v>
      </c>
      <c r="G644" s="320">
        <v>21.55</v>
      </c>
      <c r="H644" s="320">
        <v>21.15</v>
      </c>
      <c r="I644" s="321">
        <v>306000</v>
      </c>
      <c r="J644" s="321">
        <v>6547000</v>
      </c>
      <c r="K644" s="320">
        <v>204</v>
      </c>
      <c r="L644" s="320">
        <v>21.45</v>
      </c>
      <c r="M644" s="320">
        <v>7</v>
      </c>
      <c r="N644" s="320">
        <v>21.5</v>
      </c>
      <c r="O644" s="320">
        <v>11</v>
      </c>
      <c r="P644" s="321">
        <v>100386398</v>
      </c>
      <c r="Q644" s="320">
        <v>23.65</v>
      </c>
      <c r="R644" s="320">
        <v>19.350000000000001</v>
      </c>
    </row>
    <row r="645" spans="2:18">
      <c r="B645" s="319">
        <v>6236</v>
      </c>
      <c r="C645" s="319" t="s">
        <v>1071</v>
      </c>
      <c r="D645" s="320">
        <v>12.4</v>
      </c>
      <c r="E645" s="320">
        <v>-1.3</v>
      </c>
      <c r="F645" s="320">
        <v>12.4</v>
      </c>
      <c r="G645" s="320">
        <v>12.4</v>
      </c>
      <c r="H645" s="320">
        <v>12.4</v>
      </c>
      <c r="I645" s="321">
        <v>1000</v>
      </c>
      <c r="J645" s="321">
        <v>12400</v>
      </c>
      <c r="K645" s="320">
        <v>1</v>
      </c>
      <c r="L645" s="320">
        <v>12.6</v>
      </c>
      <c r="M645" s="320">
        <v>3</v>
      </c>
      <c r="N645" s="320">
        <v>0</v>
      </c>
      <c r="O645" s="320">
        <v>0</v>
      </c>
      <c r="P645" s="321">
        <v>31654039</v>
      </c>
      <c r="Q645" s="320">
        <v>13.6</v>
      </c>
      <c r="R645" s="320">
        <v>11.2</v>
      </c>
    </row>
    <row r="646" spans="2:18">
      <c r="B646" s="319">
        <v>6237</v>
      </c>
      <c r="C646" s="319" t="s">
        <v>1072</v>
      </c>
      <c r="D646" s="320">
        <v>100.5</v>
      </c>
      <c r="E646" s="320">
        <v>-1</v>
      </c>
      <c r="F646" s="320">
        <v>102.5</v>
      </c>
      <c r="G646" s="320">
        <v>103.5</v>
      </c>
      <c r="H646" s="320">
        <v>100.5</v>
      </c>
      <c r="I646" s="321">
        <v>1108000</v>
      </c>
      <c r="J646" s="321">
        <v>112554000</v>
      </c>
      <c r="K646" s="320">
        <v>819</v>
      </c>
      <c r="L646" s="320">
        <v>100</v>
      </c>
      <c r="M646" s="320">
        <v>233</v>
      </c>
      <c r="N646" s="320">
        <v>101</v>
      </c>
      <c r="O646" s="320">
        <v>18</v>
      </c>
      <c r="P646" s="321">
        <v>79884621</v>
      </c>
      <c r="Q646" s="320">
        <v>110.5</v>
      </c>
      <c r="R646" s="320">
        <v>90.5</v>
      </c>
    </row>
    <row r="647" spans="2:18">
      <c r="B647" s="319">
        <v>6240</v>
      </c>
      <c r="C647" s="319" t="s">
        <v>1073</v>
      </c>
      <c r="D647" s="320">
        <v>18.399999999999999</v>
      </c>
      <c r="E647" s="320">
        <v>0.9</v>
      </c>
      <c r="F647" s="320">
        <v>17.649999999999999</v>
      </c>
      <c r="G647" s="320">
        <v>18.45</v>
      </c>
      <c r="H647" s="320">
        <v>17.399999999999999</v>
      </c>
      <c r="I647" s="321">
        <v>200000</v>
      </c>
      <c r="J647" s="321">
        <v>3574200</v>
      </c>
      <c r="K647" s="320">
        <v>128</v>
      </c>
      <c r="L647" s="320">
        <v>18.399999999999999</v>
      </c>
      <c r="M647" s="320">
        <v>2</v>
      </c>
      <c r="N647" s="320">
        <v>18.45</v>
      </c>
      <c r="O647" s="320">
        <v>2</v>
      </c>
      <c r="P647" s="321">
        <v>22867370</v>
      </c>
      <c r="Q647" s="320">
        <v>20.2</v>
      </c>
      <c r="R647" s="320">
        <v>16.600000000000001</v>
      </c>
    </row>
    <row r="648" spans="2:18">
      <c r="B648" s="319">
        <v>6241</v>
      </c>
      <c r="C648" s="319" t="s">
        <v>1074</v>
      </c>
      <c r="D648" s="320">
        <v>22.1</v>
      </c>
      <c r="E648" s="320">
        <v>-0.6</v>
      </c>
      <c r="F648" s="320">
        <v>22.2</v>
      </c>
      <c r="G648" s="320">
        <v>22.2</v>
      </c>
      <c r="H648" s="320">
        <v>22</v>
      </c>
      <c r="I648" s="321">
        <v>38000</v>
      </c>
      <c r="J648" s="321">
        <v>839550</v>
      </c>
      <c r="K648" s="320">
        <v>23</v>
      </c>
      <c r="L648" s="320">
        <v>22.1</v>
      </c>
      <c r="M648" s="320">
        <v>9</v>
      </c>
      <c r="N648" s="320">
        <v>22.45</v>
      </c>
      <c r="O648" s="320">
        <v>3</v>
      </c>
      <c r="P648" s="321">
        <v>33717288</v>
      </c>
      <c r="Q648" s="320">
        <v>24.3</v>
      </c>
      <c r="R648" s="320">
        <v>19.899999999999999</v>
      </c>
    </row>
    <row r="649" spans="2:18">
      <c r="B649" s="319">
        <v>6242</v>
      </c>
      <c r="C649" s="319" t="s">
        <v>1075</v>
      </c>
      <c r="D649" s="320">
        <v>39</v>
      </c>
      <c r="E649" s="320">
        <v>0</v>
      </c>
      <c r="F649" s="320">
        <v>39.299999999999997</v>
      </c>
      <c r="G649" s="320">
        <v>39.299999999999997</v>
      </c>
      <c r="H649" s="320">
        <v>39</v>
      </c>
      <c r="I649" s="321">
        <v>5000</v>
      </c>
      <c r="J649" s="321">
        <v>195300</v>
      </c>
      <c r="K649" s="320">
        <v>5</v>
      </c>
      <c r="L649" s="320">
        <v>39</v>
      </c>
      <c r="M649" s="320">
        <v>1</v>
      </c>
      <c r="N649" s="320">
        <v>39.549999999999997</v>
      </c>
      <c r="O649" s="320">
        <v>1</v>
      </c>
      <c r="P649" s="321">
        <v>22200000</v>
      </c>
      <c r="Q649" s="320">
        <v>42.9</v>
      </c>
      <c r="R649" s="320">
        <v>35.1</v>
      </c>
    </row>
    <row r="650" spans="2:18">
      <c r="B650" s="319">
        <v>6244</v>
      </c>
      <c r="C650" s="319" t="s">
        <v>1076</v>
      </c>
      <c r="D650" s="320">
        <v>35.5</v>
      </c>
      <c r="E650" s="320">
        <v>-0.8</v>
      </c>
      <c r="F650" s="320">
        <v>36.549999999999997</v>
      </c>
      <c r="G650" s="320">
        <v>36.6</v>
      </c>
      <c r="H650" s="320">
        <v>35.450000000000003</v>
      </c>
      <c r="I650" s="321">
        <v>4533000</v>
      </c>
      <c r="J650" s="321">
        <v>162621500</v>
      </c>
      <c r="K650" s="321">
        <v>2291</v>
      </c>
      <c r="L650" s="320">
        <v>35.5</v>
      </c>
      <c r="M650" s="320">
        <v>124</v>
      </c>
      <c r="N650" s="320">
        <v>35.549999999999997</v>
      </c>
      <c r="O650" s="320">
        <v>1</v>
      </c>
      <c r="P650" s="321">
        <v>355041875</v>
      </c>
      <c r="Q650" s="320">
        <v>39.049999999999997</v>
      </c>
      <c r="R650" s="320">
        <v>31.95</v>
      </c>
    </row>
    <row r="651" spans="2:18">
      <c r="B651" s="319">
        <v>6245</v>
      </c>
      <c r="C651" s="319" t="s">
        <v>1077</v>
      </c>
      <c r="D651" s="320">
        <v>54.4</v>
      </c>
      <c r="E651" s="320">
        <v>-0.7</v>
      </c>
      <c r="F651" s="320">
        <v>55.2</v>
      </c>
      <c r="G651" s="320">
        <v>55.4</v>
      </c>
      <c r="H651" s="320">
        <v>53.9</v>
      </c>
      <c r="I651" s="321">
        <v>459000</v>
      </c>
      <c r="J651" s="321">
        <v>25016000</v>
      </c>
      <c r="K651" s="320">
        <v>270</v>
      </c>
      <c r="L651" s="320">
        <v>54.3</v>
      </c>
      <c r="M651" s="320">
        <v>13</v>
      </c>
      <c r="N651" s="320">
        <v>54.4</v>
      </c>
      <c r="O651" s="320">
        <v>5</v>
      </c>
      <c r="P651" s="321">
        <v>117003438</v>
      </c>
      <c r="Q651" s="320">
        <v>59.8</v>
      </c>
      <c r="R651" s="320">
        <v>49</v>
      </c>
    </row>
    <row r="652" spans="2:18">
      <c r="B652" s="319">
        <v>6246</v>
      </c>
      <c r="C652" s="319" t="s">
        <v>1078</v>
      </c>
      <c r="D652" s="320">
        <v>17.45</v>
      </c>
      <c r="E652" s="320">
        <v>0.05</v>
      </c>
      <c r="F652" s="320">
        <v>17.45</v>
      </c>
      <c r="G652" s="320">
        <v>17.600000000000001</v>
      </c>
      <c r="H652" s="320">
        <v>17.399999999999999</v>
      </c>
      <c r="I652" s="321">
        <v>108000</v>
      </c>
      <c r="J652" s="321">
        <v>1885800</v>
      </c>
      <c r="K652" s="320">
        <v>52</v>
      </c>
      <c r="L652" s="320">
        <v>17.45</v>
      </c>
      <c r="M652" s="320">
        <v>6</v>
      </c>
      <c r="N652" s="320">
        <v>17.5</v>
      </c>
      <c r="O652" s="320">
        <v>1</v>
      </c>
      <c r="P652" s="321">
        <v>37109225</v>
      </c>
      <c r="Q652" s="320">
        <v>19.149999999999999</v>
      </c>
      <c r="R652" s="320">
        <v>15.75</v>
      </c>
    </row>
    <row r="653" spans="2:18">
      <c r="B653" s="319">
        <v>6247</v>
      </c>
      <c r="C653" s="319" t="s">
        <v>1079</v>
      </c>
      <c r="D653" s="320">
        <v>11.45</v>
      </c>
      <c r="E653" s="320">
        <v>0.05</v>
      </c>
      <c r="F653" s="320">
        <v>11.4</v>
      </c>
      <c r="G653" s="320">
        <v>11.6</v>
      </c>
      <c r="H653" s="320">
        <v>11.4</v>
      </c>
      <c r="I653" s="321">
        <v>45000</v>
      </c>
      <c r="J653" s="321">
        <v>518200</v>
      </c>
      <c r="K653" s="320">
        <v>24</v>
      </c>
      <c r="L653" s="320">
        <v>11.4</v>
      </c>
      <c r="M653" s="320">
        <v>1</v>
      </c>
      <c r="N653" s="320">
        <v>11.6</v>
      </c>
      <c r="O653" s="320">
        <v>4</v>
      </c>
      <c r="P653" s="321">
        <v>60321000</v>
      </c>
      <c r="Q653" s="320">
        <v>12.55</v>
      </c>
      <c r="R653" s="320">
        <v>10.35</v>
      </c>
    </row>
    <row r="654" spans="2:18">
      <c r="B654" s="319">
        <v>6248</v>
      </c>
      <c r="C654" s="319" t="s">
        <v>1080</v>
      </c>
      <c r="D654" s="320">
        <v>21.7</v>
      </c>
      <c r="E654" s="320">
        <v>-0.05</v>
      </c>
      <c r="F654" s="320">
        <v>21.8</v>
      </c>
      <c r="G654" s="320">
        <v>21.85</v>
      </c>
      <c r="H654" s="320">
        <v>21.65</v>
      </c>
      <c r="I654" s="321">
        <v>46000</v>
      </c>
      <c r="J654" s="321">
        <v>998150</v>
      </c>
      <c r="K654" s="320">
        <v>35</v>
      </c>
      <c r="L654" s="320">
        <v>21.65</v>
      </c>
      <c r="M654" s="320">
        <v>5</v>
      </c>
      <c r="N654" s="320">
        <v>21.7</v>
      </c>
      <c r="O654" s="320">
        <v>1</v>
      </c>
      <c r="P654" s="321">
        <v>45711547</v>
      </c>
      <c r="Q654" s="320">
        <v>23.85</v>
      </c>
      <c r="R654" s="320">
        <v>19.55</v>
      </c>
    </row>
    <row r="655" spans="2:18">
      <c r="B655" s="319">
        <v>6259</v>
      </c>
      <c r="C655" s="319" t="s">
        <v>1081</v>
      </c>
      <c r="D655" s="320">
        <v>31.15</v>
      </c>
      <c r="E655" s="320">
        <v>-0.05</v>
      </c>
      <c r="F655" s="320">
        <v>31.85</v>
      </c>
      <c r="G655" s="320">
        <v>31.85</v>
      </c>
      <c r="H655" s="320">
        <v>30.6</v>
      </c>
      <c r="I655" s="321">
        <v>31000</v>
      </c>
      <c r="J655" s="321">
        <v>969100</v>
      </c>
      <c r="K655" s="320">
        <v>23</v>
      </c>
      <c r="L655" s="320">
        <v>30.6</v>
      </c>
      <c r="M655" s="320">
        <v>6</v>
      </c>
      <c r="N655" s="320">
        <v>31.2</v>
      </c>
      <c r="O655" s="320">
        <v>1</v>
      </c>
      <c r="P655" s="321">
        <v>16560206</v>
      </c>
      <c r="Q655" s="320">
        <v>34.25</v>
      </c>
      <c r="R655" s="320">
        <v>28.05</v>
      </c>
    </row>
    <row r="656" spans="2:18">
      <c r="B656" s="319">
        <v>6261</v>
      </c>
      <c r="C656" s="319" t="s">
        <v>1082</v>
      </c>
      <c r="D656" s="320">
        <v>83.1</v>
      </c>
      <c r="E656" s="320">
        <v>-0.3</v>
      </c>
      <c r="F656" s="320">
        <v>83.8</v>
      </c>
      <c r="G656" s="320">
        <v>83.9</v>
      </c>
      <c r="H656" s="320">
        <v>83.1</v>
      </c>
      <c r="I656" s="321">
        <v>523000</v>
      </c>
      <c r="J656" s="321">
        <v>43675600</v>
      </c>
      <c r="K656" s="320">
        <v>377</v>
      </c>
      <c r="L656" s="320">
        <v>83.1</v>
      </c>
      <c r="M656" s="320">
        <v>3</v>
      </c>
      <c r="N656" s="320">
        <v>83.2</v>
      </c>
      <c r="O656" s="320">
        <v>5</v>
      </c>
      <c r="P656" s="321">
        <v>128497989</v>
      </c>
      <c r="Q656" s="320">
        <v>91.4</v>
      </c>
      <c r="R656" s="320">
        <v>74.8</v>
      </c>
    </row>
    <row r="657" spans="2:18">
      <c r="B657" s="319">
        <v>6263</v>
      </c>
      <c r="C657" s="319" t="s">
        <v>1083</v>
      </c>
      <c r="D657" s="320">
        <v>68.599999999999994</v>
      </c>
      <c r="E657" s="320">
        <v>0.3</v>
      </c>
      <c r="F657" s="320">
        <v>68.3</v>
      </c>
      <c r="G657" s="320">
        <v>68.8</v>
      </c>
      <c r="H657" s="320">
        <v>68.3</v>
      </c>
      <c r="I657" s="321">
        <v>31000</v>
      </c>
      <c r="J657" s="321">
        <v>2127800</v>
      </c>
      <c r="K657" s="320">
        <v>27</v>
      </c>
      <c r="L657" s="320">
        <v>68.599999999999994</v>
      </c>
      <c r="M657" s="320">
        <v>5</v>
      </c>
      <c r="N657" s="320">
        <v>68.7</v>
      </c>
      <c r="O657" s="320">
        <v>4</v>
      </c>
      <c r="P657" s="321">
        <v>62500964</v>
      </c>
      <c r="Q657" s="320">
        <v>75.400000000000006</v>
      </c>
      <c r="R657" s="320">
        <v>61.8</v>
      </c>
    </row>
    <row r="658" spans="2:18">
      <c r="B658" s="319">
        <v>6264</v>
      </c>
      <c r="C658" s="319" t="s">
        <v>1084</v>
      </c>
      <c r="D658" s="320">
        <v>8.94</v>
      </c>
      <c r="E658" s="320">
        <v>0.04</v>
      </c>
      <c r="F658" s="320">
        <v>8.99</v>
      </c>
      <c r="G658" s="320">
        <v>8.99</v>
      </c>
      <c r="H658" s="320">
        <v>8.9</v>
      </c>
      <c r="I658" s="321">
        <v>49000</v>
      </c>
      <c r="J658" s="321">
        <v>437150</v>
      </c>
      <c r="K658" s="320">
        <v>22</v>
      </c>
      <c r="L658" s="320">
        <v>8.9</v>
      </c>
      <c r="M658" s="320">
        <v>2</v>
      </c>
      <c r="N658" s="320">
        <v>8.94</v>
      </c>
      <c r="O658" s="320">
        <v>4</v>
      </c>
      <c r="P658" s="321">
        <v>116355291</v>
      </c>
      <c r="Q658" s="320">
        <v>9.83</v>
      </c>
      <c r="R658" s="320">
        <v>8.0500000000000007</v>
      </c>
    </row>
    <row r="659" spans="2:18">
      <c r="B659" s="319">
        <v>6265</v>
      </c>
      <c r="C659" s="319" t="s">
        <v>1085</v>
      </c>
      <c r="D659" s="320">
        <v>18.100000000000001</v>
      </c>
      <c r="E659" s="320">
        <v>0.4</v>
      </c>
      <c r="F659" s="320">
        <v>17.95</v>
      </c>
      <c r="G659" s="320">
        <v>18.95</v>
      </c>
      <c r="H659" s="320">
        <v>17.649999999999999</v>
      </c>
      <c r="I659" s="321">
        <v>20007000</v>
      </c>
      <c r="J659" s="321">
        <v>370118550</v>
      </c>
      <c r="K659" s="321">
        <v>5159</v>
      </c>
      <c r="L659" s="320">
        <v>18.05</v>
      </c>
      <c r="M659" s="320">
        <v>62</v>
      </c>
      <c r="N659" s="320">
        <v>18.100000000000001</v>
      </c>
      <c r="O659" s="320">
        <v>148</v>
      </c>
      <c r="P659" s="321">
        <v>118172151</v>
      </c>
      <c r="Q659" s="320">
        <v>19.899999999999999</v>
      </c>
      <c r="R659" s="320">
        <v>16.3</v>
      </c>
    </row>
    <row r="660" spans="2:18">
      <c r="B660" s="319">
        <v>6266</v>
      </c>
      <c r="C660" s="319" t="s">
        <v>1086</v>
      </c>
      <c r="D660" s="320">
        <v>28.75</v>
      </c>
      <c r="E660" s="320">
        <v>0.9</v>
      </c>
      <c r="F660" s="320">
        <v>28.05</v>
      </c>
      <c r="G660" s="320">
        <v>28.95</v>
      </c>
      <c r="H660" s="320">
        <v>27.25</v>
      </c>
      <c r="I660" s="321">
        <v>16738000</v>
      </c>
      <c r="J660" s="321">
        <v>472283950</v>
      </c>
      <c r="K660" s="321">
        <v>8500</v>
      </c>
      <c r="L660" s="320">
        <v>28.7</v>
      </c>
      <c r="M660" s="320">
        <v>8</v>
      </c>
      <c r="N660" s="320">
        <v>28.75</v>
      </c>
      <c r="O660" s="320">
        <v>12</v>
      </c>
      <c r="P660" s="321">
        <v>102359847</v>
      </c>
      <c r="Q660" s="320">
        <v>31.6</v>
      </c>
      <c r="R660" s="320">
        <v>25.9</v>
      </c>
    </row>
    <row r="661" spans="2:18">
      <c r="B661" s="319">
        <v>6270</v>
      </c>
      <c r="C661" s="319" t="s">
        <v>1087</v>
      </c>
      <c r="D661" s="320">
        <v>24.7</v>
      </c>
      <c r="E661" s="320">
        <v>-0.25</v>
      </c>
      <c r="F661" s="320">
        <v>25</v>
      </c>
      <c r="G661" s="320">
        <v>25.2</v>
      </c>
      <c r="H661" s="320">
        <v>24.65</v>
      </c>
      <c r="I661" s="321">
        <v>400000</v>
      </c>
      <c r="J661" s="321">
        <v>9952300</v>
      </c>
      <c r="K661" s="320">
        <v>255</v>
      </c>
      <c r="L661" s="320">
        <v>24.7</v>
      </c>
      <c r="M661" s="320">
        <v>12</v>
      </c>
      <c r="N661" s="320">
        <v>24.8</v>
      </c>
      <c r="O661" s="320">
        <v>4</v>
      </c>
      <c r="P661" s="321">
        <v>72145759</v>
      </c>
      <c r="Q661" s="320">
        <v>27.15</v>
      </c>
      <c r="R661" s="320">
        <v>22.25</v>
      </c>
    </row>
    <row r="662" spans="2:18">
      <c r="B662" s="319">
        <v>6274</v>
      </c>
      <c r="C662" s="319" t="s">
        <v>1088</v>
      </c>
      <c r="D662" s="320">
        <v>103.5</v>
      </c>
      <c r="E662" s="320">
        <v>0.5</v>
      </c>
      <c r="F662" s="320">
        <v>104</v>
      </c>
      <c r="G662" s="320">
        <v>104</v>
      </c>
      <c r="H662" s="320">
        <v>102.5</v>
      </c>
      <c r="I662" s="321">
        <v>1135000</v>
      </c>
      <c r="J662" s="321">
        <v>117161500</v>
      </c>
      <c r="K662" s="320">
        <v>950</v>
      </c>
      <c r="L662" s="320">
        <v>103</v>
      </c>
      <c r="M662" s="320">
        <v>80</v>
      </c>
      <c r="N662" s="320">
        <v>103.5</v>
      </c>
      <c r="O662" s="320">
        <v>109</v>
      </c>
      <c r="P662" s="321">
        <v>268912699</v>
      </c>
      <c r="Q662" s="320">
        <v>113.5</v>
      </c>
      <c r="R662" s="320">
        <v>93.2</v>
      </c>
    </row>
    <row r="663" spans="2:18">
      <c r="B663" s="319">
        <v>6275</v>
      </c>
      <c r="C663" s="319" t="s">
        <v>1089</v>
      </c>
      <c r="D663" s="320">
        <v>43.1</v>
      </c>
      <c r="E663" s="320">
        <v>1.05</v>
      </c>
      <c r="F663" s="320">
        <v>43.35</v>
      </c>
      <c r="G663" s="320">
        <v>44.6</v>
      </c>
      <c r="H663" s="320">
        <v>41.25</v>
      </c>
      <c r="I663" s="321">
        <v>30310000</v>
      </c>
      <c r="J663" s="321">
        <v>1301156850</v>
      </c>
      <c r="K663" s="321">
        <v>15272</v>
      </c>
      <c r="L663" s="320">
        <v>43.1</v>
      </c>
      <c r="M663" s="320">
        <v>54</v>
      </c>
      <c r="N663" s="320">
        <v>43.15</v>
      </c>
      <c r="O663" s="320">
        <v>48</v>
      </c>
      <c r="P663" s="321">
        <v>69786925</v>
      </c>
      <c r="Q663" s="320">
        <v>47.4</v>
      </c>
      <c r="R663" s="320">
        <v>38.799999999999997</v>
      </c>
    </row>
    <row r="664" spans="2:18">
      <c r="B664" s="319">
        <v>6276</v>
      </c>
      <c r="C664" s="319" t="s">
        <v>1090</v>
      </c>
      <c r="D664" s="320">
        <v>22.3</v>
      </c>
      <c r="E664" s="320">
        <v>0</v>
      </c>
      <c r="F664" s="320">
        <v>22.3</v>
      </c>
      <c r="G664" s="320">
        <v>22.55</v>
      </c>
      <c r="H664" s="320">
        <v>22.2</v>
      </c>
      <c r="I664" s="321">
        <v>47000</v>
      </c>
      <c r="J664" s="321">
        <v>1045900</v>
      </c>
      <c r="K664" s="320">
        <v>27</v>
      </c>
      <c r="L664" s="320">
        <v>22.3</v>
      </c>
      <c r="M664" s="320">
        <v>1</v>
      </c>
      <c r="N664" s="320">
        <v>22.35</v>
      </c>
      <c r="O664" s="320">
        <v>1</v>
      </c>
      <c r="P664" s="321">
        <v>31490000</v>
      </c>
      <c r="Q664" s="320">
        <v>24.5</v>
      </c>
      <c r="R664" s="320">
        <v>20.100000000000001</v>
      </c>
    </row>
    <row r="665" spans="2:18">
      <c r="B665" s="319">
        <v>6279</v>
      </c>
      <c r="C665" s="319" t="s">
        <v>1091</v>
      </c>
      <c r="D665" s="320">
        <v>140.5</v>
      </c>
      <c r="E665" s="320">
        <v>-2</v>
      </c>
      <c r="F665" s="320">
        <v>146.5</v>
      </c>
      <c r="G665" s="320">
        <v>147</v>
      </c>
      <c r="H665" s="320">
        <v>140</v>
      </c>
      <c r="I665" s="321">
        <v>3688000</v>
      </c>
      <c r="J665" s="321">
        <v>528289500</v>
      </c>
      <c r="K665" s="321">
        <v>2700</v>
      </c>
      <c r="L665" s="320">
        <v>140.5</v>
      </c>
      <c r="M665" s="320">
        <v>68</v>
      </c>
      <c r="N665" s="320">
        <v>141</v>
      </c>
      <c r="O665" s="320">
        <v>24</v>
      </c>
      <c r="P665" s="321">
        <v>99654707</v>
      </c>
      <c r="Q665" s="320">
        <v>154.5</v>
      </c>
      <c r="R665" s="320">
        <v>126.5</v>
      </c>
    </row>
    <row r="666" spans="2:18">
      <c r="B666" s="319">
        <v>6284</v>
      </c>
      <c r="C666" s="319" t="s">
        <v>1092</v>
      </c>
      <c r="D666" s="320">
        <v>67.599999999999994</v>
      </c>
      <c r="E666" s="320">
        <v>-0.4</v>
      </c>
      <c r="F666" s="320">
        <v>68.900000000000006</v>
      </c>
      <c r="G666" s="320">
        <v>68.900000000000006</v>
      </c>
      <c r="H666" s="320">
        <v>67.5</v>
      </c>
      <c r="I666" s="321">
        <v>1435000</v>
      </c>
      <c r="J666" s="321">
        <v>97230400</v>
      </c>
      <c r="K666" s="320">
        <v>949</v>
      </c>
      <c r="L666" s="320">
        <v>67.599999999999994</v>
      </c>
      <c r="M666" s="320">
        <v>2</v>
      </c>
      <c r="N666" s="320">
        <v>67.7</v>
      </c>
      <c r="O666" s="320">
        <v>7</v>
      </c>
      <c r="P666" s="321">
        <v>140180341</v>
      </c>
      <c r="Q666" s="320">
        <v>74.3</v>
      </c>
      <c r="R666" s="320">
        <v>60.9</v>
      </c>
    </row>
    <row r="667" spans="2:18">
      <c r="B667" s="319">
        <v>6287</v>
      </c>
      <c r="C667" s="319" t="s">
        <v>1093</v>
      </c>
      <c r="D667" s="320">
        <v>12</v>
      </c>
      <c r="E667" s="320">
        <v>-0.1</v>
      </c>
      <c r="F667" s="320">
        <v>12.1</v>
      </c>
      <c r="G667" s="320">
        <v>12.1</v>
      </c>
      <c r="H667" s="320">
        <v>12</v>
      </c>
      <c r="I667" s="321">
        <v>26000</v>
      </c>
      <c r="J667" s="321">
        <v>312700</v>
      </c>
      <c r="K667" s="320">
        <v>14</v>
      </c>
      <c r="L667" s="320">
        <v>12</v>
      </c>
      <c r="M667" s="320">
        <v>11</v>
      </c>
      <c r="N667" s="320">
        <v>12.1</v>
      </c>
      <c r="O667" s="320">
        <v>40</v>
      </c>
      <c r="P667" s="321">
        <v>438145590</v>
      </c>
      <c r="Q667" s="320">
        <v>13.2</v>
      </c>
      <c r="R667" s="320">
        <v>10.8</v>
      </c>
    </row>
    <row r="668" spans="2:18">
      <c r="B668" s="319">
        <v>6290</v>
      </c>
      <c r="C668" s="319" t="s">
        <v>1094</v>
      </c>
      <c r="D668" s="320">
        <v>52.3</v>
      </c>
      <c r="E668" s="320">
        <v>-0.5</v>
      </c>
      <c r="F668" s="320">
        <v>52.9</v>
      </c>
      <c r="G668" s="320">
        <v>53.1</v>
      </c>
      <c r="H668" s="320">
        <v>52.3</v>
      </c>
      <c r="I668" s="321">
        <v>668000</v>
      </c>
      <c r="J668" s="321">
        <v>35069200</v>
      </c>
      <c r="K668" s="320">
        <v>468</v>
      </c>
      <c r="L668" s="320">
        <v>52.3</v>
      </c>
      <c r="M668" s="320">
        <v>11</v>
      </c>
      <c r="N668" s="320">
        <v>52.4</v>
      </c>
      <c r="O668" s="320">
        <v>3</v>
      </c>
      <c r="P668" s="321">
        <v>147766197</v>
      </c>
      <c r="Q668" s="320">
        <v>57.5</v>
      </c>
      <c r="R668" s="320">
        <v>47.1</v>
      </c>
    </row>
    <row r="669" spans="2:18">
      <c r="B669" s="319">
        <v>6291</v>
      </c>
      <c r="C669" s="319" t="s">
        <v>1095</v>
      </c>
      <c r="D669" s="320">
        <v>42.15</v>
      </c>
      <c r="E669" s="320">
        <v>-0.15</v>
      </c>
      <c r="F669" s="320">
        <v>42</v>
      </c>
      <c r="G669" s="320">
        <v>42.15</v>
      </c>
      <c r="H669" s="320">
        <v>41.1</v>
      </c>
      <c r="I669" s="321">
        <v>18000</v>
      </c>
      <c r="J669" s="321">
        <v>749050</v>
      </c>
      <c r="K669" s="320">
        <v>13</v>
      </c>
      <c r="L669" s="320">
        <v>41.25</v>
      </c>
      <c r="M669" s="320">
        <v>1</v>
      </c>
      <c r="N669" s="320">
        <v>42.2</v>
      </c>
      <c r="O669" s="320">
        <v>5</v>
      </c>
      <c r="P669" s="321">
        <v>53000000</v>
      </c>
      <c r="Q669" s="320">
        <v>46.35</v>
      </c>
      <c r="R669" s="320">
        <v>37.950000000000003</v>
      </c>
    </row>
    <row r="670" spans="2:18">
      <c r="B670" s="319">
        <v>6292</v>
      </c>
      <c r="C670" s="319" t="s">
        <v>1096</v>
      </c>
      <c r="D670" s="320">
        <v>43.65</v>
      </c>
      <c r="E670" s="320">
        <v>0.4</v>
      </c>
      <c r="F670" s="320">
        <v>43.3</v>
      </c>
      <c r="G670" s="320">
        <v>43.8</v>
      </c>
      <c r="H670" s="320">
        <v>43.3</v>
      </c>
      <c r="I670" s="321">
        <v>51000</v>
      </c>
      <c r="J670" s="321">
        <v>2221150</v>
      </c>
      <c r="K670" s="320">
        <v>27</v>
      </c>
      <c r="L670" s="320">
        <v>43.5</v>
      </c>
      <c r="M670" s="320">
        <v>4</v>
      </c>
      <c r="N670" s="320">
        <v>43.65</v>
      </c>
      <c r="O670" s="320">
        <v>2</v>
      </c>
      <c r="P670" s="321">
        <v>46900712</v>
      </c>
      <c r="Q670" s="320">
        <v>48</v>
      </c>
      <c r="R670" s="320">
        <v>39.299999999999997</v>
      </c>
    </row>
    <row r="671" spans="2:18">
      <c r="B671" s="319">
        <v>6294</v>
      </c>
      <c r="C671" s="319" t="s">
        <v>1097</v>
      </c>
      <c r="D671" s="320">
        <v>124</v>
      </c>
      <c r="E671" s="320">
        <v>1</v>
      </c>
      <c r="F671" s="320">
        <v>123</v>
      </c>
      <c r="G671" s="320">
        <v>124</v>
      </c>
      <c r="H671" s="320">
        <v>123</v>
      </c>
      <c r="I671" s="321">
        <v>8000</v>
      </c>
      <c r="J671" s="321">
        <v>986000</v>
      </c>
      <c r="K671" s="320">
        <v>8</v>
      </c>
      <c r="L671" s="320">
        <v>123.5</v>
      </c>
      <c r="M671" s="320">
        <v>2</v>
      </c>
      <c r="N671" s="320">
        <v>124</v>
      </c>
      <c r="O671" s="320">
        <v>3</v>
      </c>
      <c r="P671" s="321">
        <v>24572741</v>
      </c>
      <c r="Q671" s="320">
        <v>136</v>
      </c>
      <c r="R671" s="320">
        <v>112</v>
      </c>
    </row>
    <row r="672" spans="2:18">
      <c r="B672" s="319">
        <v>6404</v>
      </c>
      <c r="C672" s="319" t="s">
        <v>2899</v>
      </c>
      <c r="D672" s="320">
        <v>19.399999999999999</v>
      </c>
      <c r="E672" s="320">
        <v>0</v>
      </c>
      <c r="F672" s="320">
        <v>19.399999999999999</v>
      </c>
      <c r="G672" s="320">
        <v>19.399999999999999</v>
      </c>
      <c r="H672" s="320">
        <v>19.399999999999999</v>
      </c>
      <c r="I672" s="321">
        <v>5000</v>
      </c>
      <c r="J672" s="321">
        <v>97000</v>
      </c>
      <c r="K672" s="320">
        <v>1</v>
      </c>
      <c r="L672" s="320">
        <v>19.2</v>
      </c>
      <c r="M672" s="320">
        <v>1</v>
      </c>
      <c r="N672" s="320">
        <v>19.95</v>
      </c>
      <c r="O672" s="320">
        <v>1</v>
      </c>
      <c r="P672" s="321">
        <v>14368000</v>
      </c>
      <c r="Q672" s="320">
        <v>21.3</v>
      </c>
      <c r="R672" s="320">
        <v>17.5</v>
      </c>
    </row>
    <row r="673" spans="2:18">
      <c r="B673" s="319">
        <v>6411</v>
      </c>
      <c r="C673" s="319" t="s">
        <v>1098</v>
      </c>
      <c r="D673" s="320">
        <v>238.5</v>
      </c>
      <c r="E673" s="320">
        <v>-6.5</v>
      </c>
      <c r="F673" s="320">
        <v>243.5</v>
      </c>
      <c r="G673" s="320">
        <v>245</v>
      </c>
      <c r="H673" s="320">
        <v>238</v>
      </c>
      <c r="I673" s="321">
        <v>4319000</v>
      </c>
      <c r="J673" s="321">
        <v>1037960000</v>
      </c>
      <c r="K673" s="321">
        <v>3195</v>
      </c>
      <c r="L673" s="320">
        <v>238.5</v>
      </c>
      <c r="M673" s="320">
        <v>39</v>
      </c>
      <c r="N673" s="320">
        <v>239</v>
      </c>
      <c r="O673" s="320">
        <v>20</v>
      </c>
      <c r="P673" s="321">
        <v>91538331</v>
      </c>
      <c r="Q673" s="320">
        <v>262</v>
      </c>
      <c r="R673" s="320">
        <v>215</v>
      </c>
    </row>
    <row r="674" spans="2:18">
      <c r="B674" s="319">
        <v>6417</v>
      </c>
      <c r="C674" s="319" t="s">
        <v>1099</v>
      </c>
      <c r="D674" s="320" t="s">
        <v>478</v>
      </c>
      <c r="E674" s="320" t="s">
        <v>479</v>
      </c>
      <c r="F674" s="320" t="s">
        <v>478</v>
      </c>
      <c r="G674" s="320" t="s">
        <v>478</v>
      </c>
      <c r="H674" s="320" t="s">
        <v>478</v>
      </c>
      <c r="I674" s="320">
        <v>0</v>
      </c>
      <c r="J674" s="320">
        <v>0</v>
      </c>
      <c r="K674" s="320">
        <v>0</v>
      </c>
      <c r="L674" s="320">
        <v>80.5</v>
      </c>
      <c r="M674" s="320">
        <v>1</v>
      </c>
      <c r="N674" s="320">
        <v>81.2</v>
      </c>
      <c r="O674" s="320">
        <v>1</v>
      </c>
      <c r="P674" s="321">
        <v>42274000</v>
      </c>
      <c r="Q674" s="320">
        <v>89.3</v>
      </c>
      <c r="R674" s="320">
        <v>73.099999999999994</v>
      </c>
    </row>
    <row r="675" spans="2:18">
      <c r="B675" s="319">
        <v>6418</v>
      </c>
      <c r="C675" s="319" t="s">
        <v>1100</v>
      </c>
      <c r="D675" s="320">
        <v>20.399999999999999</v>
      </c>
      <c r="E675" s="320">
        <v>-0.25</v>
      </c>
      <c r="F675" s="320">
        <v>20.75</v>
      </c>
      <c r="G675" s="320">
        <v>20.8</v>
      </c>
      <c r="H675" s="320">
        <v>20.350000000000001</v>
      </c>
      <c r="I675" s="321">
        <v>235000</v>
      </c>
      <c r="J675" s="321">
        <v>4808050</v>
      </c>
      <c r="K675" s="320">
        <v>150</v>
      </c>
      <c r="L675" s="320">
        <v>20.350000000000001</v>
      </c>
      <c r="M675" s="320">
        <v>12</v>
      </c>
      <c r="N675" s="320">
        <v>20.45</v>
      </c>
      <c r="O675" s="320">
        <v>6</v>
      </c>
      <c r="P675" s="321">
        <v>34522000</v>
      </c>
      <c r="Q675" s="320">
        <v>22.4</v>
      </c>
      <c r="R675" s="320">
        <v>18.399999999999999</v>
      </c>
    </row>
    <row r="676" spans="2:18">
      <c r="B676" s="319">
        <v>6419</v>
      </c>
      <c r="C676" s="319" t="s">
        <v>1101</v>
      </c>
      <c r="D676" s="320">
        <v>40.049999999999997</v>
      </c>
      <c r="E676" s="320">
        <v>-0.9</v>
      </c>
      <c r="F676" s="320">
        <v>40.950000000000003</v>
      </c>
      <c r="G676" s="320">
        <v>40.950000000000003</v>
      </c>
      <c r="H676" s="320">
        <v>40</v>
      </c>
      <c r="I676" s="321">
        <v>62000</v>
      </c>
      <c r="J676" s="321">
        <v>2495750</v>
      </c>
      <c r="K676" s="320">
        <v>40</v>
      </c>
      <c r="L676" s="320">
        <v>40.049999999999997</v>
      </c>
      <c r="M676" s="320">
        <v>1</v>
      </c>
      <c r="N676" s="320">
        <v>40.65</v>
      </c>
      <c r="O676" s="320">
        <v>5</v>
      </c>
      <c r="P676" s="321">
        <v>13159170</v>
      </c>
      <c r="Q676" s="320">
        <v>44.05</v>
      </c>
      <c r="R676" s="320">
        <v>36.049999999999997</v>
      </c>
    </row>
    <row r="677" spans="2:18">
      <c r="B677" s="319">
        <v>6425</v>
      </c>
      <c r="C677" s="319" t="s">
        <v>1102</v>
      </c>
      <c r="D677" s="320">
        <v>25.7</v>
      </c>
      <c r="E677" s="320">
        <v>0.15</v>
      </c>
      <c r="F677" s="320">
        <v>25.55</v>
      </c>
      <c r="G677" s="320">
        <v>25.7</v>
      </c>
      <c r="H677" s="320">
        <v>25.35</v>
      </c>
      <c r="I677" s="321">
        <v>7000</v>
      </c>
      <c r="J677" s="321">
        <v>179100</v>
      </c>
      <c r="K677" s="320">
        <v>7</v>
      </c>
      <c r="L677" s="320">
        <v>25.55</v>
      </c>
      <c r="M677" s="320">
        <v>2</v>
      </c>
      <c r="N677" s="320">
        <v>25.7</v>
      </c>
      <c r="O677" s="320">
        <v>1</v>
      </c>
      <c r="P677" s="321">
        <v>43602000</v>
      </c>
      <c r="Q677" s="320">
        <v>28.25</v>
      </c>
      <c r="R677" s="320">
        <v>23.15</v>
      </c>
    </row>
    <row r="678" spans="2:18">
      <c r="B678" s="319">
        <v>6432</v>
      </c>
      <c r="C678" s="319" t="s">
        <v>1103</v>
      </c>
      <c r="D678" s="320">
        <v>37.6</v>
      </c>
      <c r="E678" s="320">
        <v>-0.25</v>
      </c>
      <c r="F678" s="320">
        <v>38.15</v>
      </c>
      <c r="G678" s="320">
        <v>38.15</v>
      </c>
      <c r="H678" s="320">
        <v>37</v>
      </c>
      <c r="I678" s="321">
        <v>93000</v>
      </c>
      <c r="J678" s="321">
        <v>3500000</v>
      </c>
      <c r="K678" s="320">
        <v>75</v>
      </c>
      <c r="L678" s="320">
        <v>37.5</v>
      </c>
      <c r="M678" s="320">
        <v>13</v>
      </c>
      <c r="N678" s="320">
        <v>37.65</v>
      </c>
      <c r="O678" s="320">
        <v>1</v>
      </c>
      <c r="P678" s="321">
        <v>30592835</v>
      </c>
      <c r="Q678" s="320">
        <v>41.35</v>
      </c>
      <c r="R678" s="320">
        <v>33.85</v>
      </c>
    </row>
    <row r="679" spans="2:18">
      <c r="B679" s="319">
        <v>6435</v>
      </c>
      <c r="C679" s="319" t="s">
        <v>1104</v>
      </c>
      <c r="D679" s="320">
        <v>148</v>
      </c>
      <c r="E679" s="320">
        <v>3</v>
      </c>
      <c r="F679" s="320">
        <v>145.5</v>
      </c>
      <c r="G679" s="320">
        <v>148</v>
      </c>
      <c r="H679" s="320">
        <v>145.5</v>
      </c>
      <c r="I679" s="321">
        <v>437000</v>
      </c>
      <c r="J679" s="321">
        <v>64276000</v>
      </c>
      <c r="K679" s="320">
        <v>342</v>
      </c>
      <c r="L679" s="320">
        <v>147.5</v>
      </c>
      <c r="M679" s="320">
        <v>10</v>
      </c>
      <c r="N679" s="320">
        <v>148</v>
      </c>
      <c r="O679" s="320">
        <v>17</v>
      </c>
      <c r="P679" s="321">
        <v>33433000</v>
      </c>
      <c r="Q679" s="320">
        <v>162.5</v>
      </c>
      <c r="R679" s="320">
        <v>133.5</v>
      </c>
    </row>
    <row r="680" spans="2:18">
      <c r="B680" s="319">
        <v>6441</v>
      </c>
      <c r="C680" s="319" t="s">
        <v>1105</v>
      </c>
      <c r="D680" s="320">
        <v>57.1</v>
      </c>
      <c r="E680" s="320">
        <v>0.3</v>
      </c>
      <c r="F680" s="320">
        <v>57.4</v>
      </c>
      <c r="G680" s="320">
        <v>60</v>
      </c>
      <c r="H680" s="320">
        <v>57.1</v>
      </c>
      <c r="I680" s="321">
        <v>627000</v>
      </c>
      <c r="J680" s="321">
        <v>36831700</v>
      </c>
      <c r="K680" s="320">
        <v>502</v>
      </c>
      <c r="L680" s="320">
        <v>57.1</v>
      </c>
      <c r="M680" s="320">
        <v>12</v>
      </c>
      <c r="N680" s="320">
        <v>57.7</v>
      </c>
      <c r="O680" s="320">
        <v>1</v>
      </c>
      <c r="P680" s="321">
        <v>42434453</v>
      </c>
      <c r="Q680" s="320">
        <v>62.8</v>
      </c>
      <c r="R680" s="320">
        <v>51.4</v>
      </c>
    </row>
    <row r="681" spans="2:18">
      <c r="B681" s="319">
        <v>6446</v>
      </c>
      <c r="C681" s="319" t="s">
        <v>1106</v>
      </c>
      <c r="D681" s="320">
        <v>308</v>
      </c>
      <c r="E681" s="320">
        <v>28</v>
      </c>
      <c r="F681" s="320">
        <v>285.5</v>
      </c>
      <c r="G681" s="320">
        <v>308</v>
      </c>
      <c r="H681" s="320">
        <v>285.5</v>
      </c>
      <c r="I681" s="321">
        <v>1994000</v>
      </c>
      <c r="J681" s="321">
        <v>599396500</v>
      </c>
      <c r="K681" s="321">
        <v>1073</v>
      </c>
      <c r="L681" s="320">
        <v>308</v>
      </c>
      <c r="M681" s="320">
        <v>235</v>
      </c>
      <c r="N681" s="320">
        <v>0</v>
      </c>
      <c r="O681" s="320">
        <v>0</v>
      </c>
      <c r="P681" s="321">
        <v>263684591</v>
      </c>
      <c r="Q681" s="320">
        <v>338.5</v>
      </c>
      <c r="R681" s="320">
        <v>277.5</v>
      </c>
    </row>
    <row r="682" spans="2:18">
      <c r="B682" s="319">
        <v>6457</v>
      </c>
      <c r="C682" s="319" t="s">
        <v>1107</v>
      </c>
      <c r="D682" s="320">
        <v>193.5</v>
      </c>
      <c r="E682" s="320">
        <v>3.5</v>
      </c>
      <c r="F682" s="320">
        <v>191</v>
      </c>
      <c r="G682" s="320">
        <v>196.5</v>
      </c>
      <c r="H682" s="320">
        <v>189</v>
      </c>
      <c r="I682" s="321">
        <v>665000</v>
      </c>
      <c r="J682" s="321">
        <v>128654500</v>
      </c>
      <c r="K682" s="320">
        <v>514</v>
      </c>
      <c r="L682" s="320">
        <v>193</v>
      </c>
      <c r="M682" s="320">
        <v>7</v>
      </c>
      <c r="N682" s="320">
        <v>194</v>
      </c>
      <c r="O682" s="320">
        <v>6</v>
      </c>
      <c r="P682" s="321">
        <v>31854792</v>
      </c>
      <c r="Q682" s="320">
        <v>212.5</v>
      </c>
      <c r="R682" s="320">
        <v>174.5</v>
      </c>
    </row>
    <row r="683" spans="2:18">
      <c r="B683" s="319">
        <v>6461</v>
      </c>
      <c r="C683" s="319" t="s">
        <v>1108</v>
      </c>
      <c r="D683" s="320">
        <v>20</v>
      </c>
      <c r="E683" s="320">
        <v>-0.05</v>
      </c>
      <c r="F683" s="320">
        <v>20.2</v>
      </c>
      <c r="G683" s="320">
        <v>20.2</v>
      </c>
      <c r="H683" s="320">
        <v>19.95</v>
      </c>
      <c r="I683" s="321">
        <v>170000</v>
      </c>
      <c r="J683" s="321">
        <v>3403150</v>
      </c>
      <c r="K683" s="320">
        <v>82</v>
      </c>
      <c r="L683" s="320">
        <v>20</v>
      </c>
      <c r="M683" s="320">
        <v>3</v>
      </c>
      <c r="N683" s="320">
        <v>20.05</v>
      </c>
      <c r="O683" s="320">
        <v>11</v>
      </c>
      <c r="P683" s="321">
        <v>115686000</v>
      </c>
      <c r="Q683" s="320">
        <v>22</v>
      </c>
      <c r="R683" s="320">
        <v>18</v>
      </c>
    </row>
    <row r="684" spans="2:18">
      <c r="B684" s="319">
        <v>6462</v>
      </c>
      <c r="C684" s="319" t="s">
        <v>1109</v>
      </c>
      <c r="D684" s="320">
        <v>115.5</v>
      </c>
      <c r="E684" s="320">
        <v>0</v>
      </c>
      <c r="F684" s="320">
        <v>116</v>
      </c>
      <c r="G684" s="320">
        <v>117</v>
      </c>
      <c r="H684" s="320">
        <v>115</v>
      </c>
      <c r="I684" s="321">
        <v>251000</v>
      </c>
      <c r="J684" s="321">
        <v>29102500</v>
      </c>
      <c r="K684" s="320">
        <v>223</v>
      </c>
      <c r="L684" s="320">
        <v>115.5</v>
      </c>
      <c r="M684" s="320">
        <v>17</v>
      </c>
      <c r="N684" s="320">
        <v>116</v>
      </c>
      <c r="O684" s="320">
        <v>8</v>
      </c>
      <c r="P684" s="321">
        <v>70771754</v>
      </c>
      <c r="Q684" s="320">
        <v>127</v>
      </c>
      <c r="R684" s="320">
        <v>104</v>
      </c>
    </row>
    <row r="685" spans="2:18">
      <c r="B685" s="319">
        <v>6465</v>
      </c>
      <c r="C685" s="319" t="s">
        <v>3089</v>
      </c>
      <c r="D685" s="320">
        <v>27.75</v>
      </c>
      <c r="E685" s="320">
        <v>-0.15</v>
      </c>
      <c r="F685" s="320">
        <v>27.9</v>
      </c>
      <c r="G685" s="320">
        <v>28.4</v>
      </c>
      <c r="H685" s="320">
        <v>27.7</v>
      </c>
      <c r="I685" s="321">
        <v>99000</v>
      </c>
      <c r="J685" s="321">
        <v>2766200</v>
      </c>
      <c r="K685" s="320">
        <v>83</v>
      </c>
      <c r="L685" s="320">
        <v>27.7</v>
      </c>
      <c r="M685" s="320">
        <v>6</v>
      </c>
      <c r="N685" s="320">
        <v>27.8</v>
      </c>
      <c r="O685" s="320">
        <v>1</v>
      </c>
      <c r="P685" s="321">
        <v>32826306</v>
      </c>
      <c r="Q685" s="320">
        <v>30.5</v>
      </c>
      <c r="R685" s="320">
        <v>25</v>
      </c>
    </row>
    <row r="686" spans="2:18">
      <c r="B686" s="319">
        <v>6469</v>
      </c>
      <c r="C686" s="319" t="s">
        <v>1110</v>
      </c>
      <c r="D686" s="320">
        <v>221</v>
      </c>
      <c r="E686" s="320">
        <v>5</v>
      </c>
      <c r="F686" s="320">
        <v>218</v>
      </c>
      <c r="G686" s="320">
        <v>221</v>
      </c>
      <c r="H686" s="320">
        <v>217.5</v>
      </c>
      <c r="I686" s="321">
        <v>216000</v>
      </c>
      <c r="J686" s="321">
        <v>47433500</v>
      </c>
      <c r="K686" s="320">
        <v>177</v>
      </c>
      <c r="L686" s="320">
        <v>220.5</v>
      </c>
      <c r="M686" s="320">
        <v>1</v>
      </c>
      <c r="N686" s="320">
        <v>221</v>
      </c>
      <c r="O686" s="320">
        <v>10</v>
      </c>
      <c r="P686" s="321">
        <v>70043059</v>
      </c>
      <c r="Q686" s="320">
        <v>243</v>
      </c>
      <c r="R686" s="320">
        <v>199</v>
      </c>
    </row>
    <row r="687" spans="2:18">
      <c r="B687" s="319">
        <v>6470</v>
      </c>
      <c r="C687" s="319" t="s">
        <v>1111</v>
      </c>
      <c r="D687" s="320">
        <v>44.35</v>
      </c>
      <c r="E687" s="320">
        <v>0.15</v>
      </c>
      <c r="F687" s="320">
        <v>44.15</v>
      </c>
      <c r="G687" s="320">
        <v>44.35</v>
      </c>
      <c r="H687" s="320">
        <v>43.9</v>
      </c>
      <c r="I687" s="321">
        <v>75000</v>
      </c>
      <c r="J687" s="321">
        <v>3308850</v>
      </c>
      <c r="K687" s="320">
        <v>46</v>
      </c>
      <c r="L687" s="320">
        <v>44.2</v>
      </c>
      <c r="M687" s="320">
        <v>2</v>
      </c>
      <c r="N687" s="320">
        <v>44.45</v>
      </c>
      <c r="O687" s="320">
        <v>3</v>
      </c>
      <c r="P687" s="321">
        <v>32694100</v>
      </c>
      <c r="Q687" s="320">
        <v>48.75</v>
      </c>
      <c r="R687" s="320">
        <v>39.950000000000003</v>
      </c>
    </row>
    <row r="688" spans="2:18">
      <c r="B688" s="319">
        <v>6472</v>
      </c>
      <c r="C688" s="319" t="s">
        <v>1112</v>
      </c>
      <c r="D688" s="320">
        <v>186</v>
      </c>
      <c r="E688" s="320">
        <v>-1.5</v>
      </c>
      <c r="F688" s="320">
        <v>188</v>
      </c>
      <c r="G688" s="320">
        <v>189</v>
      </c>
      <c r="H688" s="320">
        <v>186</v>
      </c>
      <c r="I688" s="321">
        <v>165000</v>
      </c>
      <c r="J688" s="321">
        <v>30968000</v>
      </c>
      <c r="K688" s="320">
        <v>138</v>
      </c>
      <c r="L688" s="320">
        <v>186</v>
      </c>
      <c r="M688" s="320">
        <v>21</v>
      </c>
      <c r="N688" s="320">
        <v>187</v>
      </c>
      <c r="O688" s="320">
        <v>10</v>
      </c>
      <c r="P688" s="321">
        <v>68412280</v>
      </c>
      <c r="Q688" s="320">
        <v>204.5</v>
      </c>
      <c r="R688" s="320">
        <v>167.5</v>
      </c>
    </row>
    <row r="689" spans="2:18">
      <c r="B689" s="319">
        <v>6482</v>
      </c>
      <c r="C689" s="319" t="s">
        <v>1113</v>
      </c>
      <c r="D689" s="320">
        <v>46</v>
      </c>
      <c r="E689" s="320">
        <v>-0.3</v>
      </c>
      <c r="F689" s="320">
        <v>46</v>
      </c>
      <c r="G689" s="320">
        <v>46.9</v>
      </c>
      <c r="H689" s="320">
        <v>45.9</v>
      </c>
      <c r="I689" s="321">
        <v>20000</v>
      </c>
      <c r="J689" s="321">
        <v>926400</v>
      </c>
      <c r="K689" s="320">
        <v>18</v>
      </c>
      <c r="L689" s="320">
        <v>45.9</v>
      </c>
      <c r="M689" s="320">
        <v>2</v>
      </c>
      <c r="N689" s="320">
        <v>46</v>
      </c>
      <c r="O689" s="320">
        <v>1</v>
      </c>
      <c r="P689" s="321">
        <v>17148440</v>
      </c>
      <c r="Q689" s="320">
        <v>50.6</v>
      </c>
      <c r="R689" s="320">
        <v>41.4</v>
      </c>
    </row>
    <row r="690" spans="2:18">
      <c r="B690" s="319">
        <v>6485</v>
      </c>
      <c r="C690" s="319" t="s">
        <v>1114</v>
      </c>
      <c r="D690" s="320">
        <v>150.5</v>
      </c>
      <c r="E690" s="320">
        <v>-2.5</v>
      </c>
      <c r="F690" s="320">
        <v>154.5</v>
      </c>
      <c r="G690" s="320">
        <v>154.5</v>
      </c>
      <c r="H690" s="320">
        <v>150.5</v>
      </c>
      <c r="I690" s="321">
        <v>1293000</v>
      </c>
      <c r="J690" s="321">
        <v>197087500</v>
      </c>
      <c r="K690" s="320">
        <v>939</v>
      </c>
      <c r="L690" s="320">
        <v>150.5</v>
      </c>
      <c r="M690" s="320">
        <v>127</v>
      </c>
      <c r="N690" s="320">
        <v>151</v>
      </c>
      <c r="O690" s="320">
        <v>9</v>
      </c>
      <c r="P690" s="321">
        <v>40861508</v>
      </c>
      <c r="Q690" s="320">
        <v>165.5</v>
      </c>
      <c r="R690" s="320">
        <v>135.5</v>
      </c>
    </row>
    <row r="691" spans="2:18">
      <c r="B691" s="319">
        <v>6486</v>
      </c>
      <c r="C691" s="319" t="s">
        <v>1115</v>
      </c>
      <c r="D691" s="320">
        <v>73.5</v>
      </c>
      <c r="E691" s="320">
        <v>-0.1</v>
      </c>
      <c r="F691" s="320">
        <v>73.400000000000006</v>
      </c>
      <c r="G691" s="320">
        <v>73.7</v>
      </c>
      <c r="H691" s="320">
        <v>73.400000000000006</v>
      </c>
      <c r="I691" s="321">
        <v>32000</v>
      </c>
      <c r="J691" s="321">
        <v>2353400</v>
      </c>
      <c r="K691" s="320">
        <v>25</v>
      </c>
      <c r="L691" s="320">
        <v>73.5</v>
      </c>
      <c r="M691" s="320">
        <v>2</v>
      </c>
      <c r="N691" s="320">
        <v>73.8</v>
      </c>
      <c r="O691" s="320">
        <v>3</v>
      </c>
      <c r="P691" s="321">
        <v>38750862</v>
      </c>
      <c r="Q691" s="320">
        <v>80.8</v>
      </c>
      <c r="R691" s="320">
        <v>66.2</v>
      </c>
    </row>
    <row r="692" spans="2:18">
      <c r="B692" s="319">
        <v>6488</v>
      </c>
      <c r="C692" s="319" t="s">
        <v>1116</v>
      </c>
      <c r="D692" s="320">
        <v>872</v>
      </c>
      <c r="E692" s="320">
        <v>15</v>
      </c>
      <c r="F692" s="320">
        <v>859</v>
      </c>
      <c r="G692" s="320">
        <v>880</v>
      </c>
      <c r="H692" s="320">
        <v>857</v>
      </c>
      <c r="I692" s="321">
        <v>2240000</v>
      </c>
      <c r="J692" s="321">
        <v>1950788000</v>
      </c>
      <c r="K692" s="321">
        <v>1924</v>
      </c>
      <c r="L692" s="320">
        <v>872</v>
      </c>
      <c r="M692" s="320">
        <v>2</v>
      </c>
      <c r="N692" s="320">
        <v>873</v>
      </c>
      <c r="O692" s="320">
        <v>25</v>
      </c>
      <c r="P692" s="321">
        <v>437250000</v>
      </c>
      <c r="Q692" s="320">
        <v>959</v>
      </c>
      <c r="R692" s="320">
        <v>785</v>
      </c>
    </row>
    <row r="693" spans="2:18">
      <c r="B693" s="319">
        <v>6492</v>
      </c>
      <c r="C693" s="319" t="s">
        <v>1117</v>
      </c>
      <c r="D693" s="320">
        <v>104.5</v>
      </c>
      <c r="E693" s="320">
        <v>1.5</v>
      </c>
      <c r="F693" s="320">
        <v>105</v>
      </c>
      <c r="G693" s="320">
        <v>105</v>
      </c>
      <c r="H693" s="320">
        <v>101.5</v>
      </c>
      <c r="I693" s="321">
        <v>704000</v>
      </c>
      <c r="J693" s="321">
        <v>72692500</v>
      </c>
      <c r="K693" s="320">
        <v>597</v>
      </c>
      <c r="L693" s="320">
        <v>104</v>
      </c>
      <c r="M693" s="320">
        <v>2</v>
      </c>
      <c r="N693" s="320">
        <v>104.5</v>
      </c>
      <c r="O693" s="320">
        <v>6</v>
      </c>
      <c r="P693" s="321">
        <v>89743620</v>
      </c>
      <c r="Q693" s="320">
        <v>114.5</v>
      </c>
      <c r="R693" s="320">
        <v>94.1</v>
      </c>
    </row>
    <row r="694" spans="2:18">
      <c r="B694" s="319">
        <v>6494</v>
      </c>
      <c r="C694" s="319" t="s">
        <v>1118</v>
      </c>
      <c r="D694" s="320">
        <v>155</v>
      </c>
      <c r="E694" s="320">
        <v>-1.5</v>
      </c>
      <c r="F694" s="320">
        <v>158</v>
      </c>
      <c r="G694" s="320">
        <v>158</v>
      </c>
      <c r="H694" s="320">
        <v>155</v>
      </c>
      <c r="I694" s="321">
        <v>324000</v>
      </c>
      <c r="J694" s="321">
        <v>50685000</v>
      </c>
      <c r="K694" s="320">
        <v>271</v>
      </c>
      <c r="L694" s="320">
        <v>155</v>
      </c>
      <c r="M694" s="320">
        <v>13</v>
      </c>
      <c r="N694" s="320">
        <v>155.5</v>
      </c>
      <c r="O694" s="320">
        <v>3</v>
      </c>
      <c r="P694" s="321">
        <v>31559690</v>
      </c>
      <c r="Q694" s="320">
        <v>170.5</v>
      </c>
      <c r="R694" s="320">
        <v>139.5</v>
      </c>
    </row>
    <row r="695" spans="2:18">
      <c r="B695" s="319">
        <v>6496</v>
      </c>
      <c r="C695" s="319" t="s">
        <v>1119</v>
      </c>
      <c r="D695" s="320">
        <v>29.3</v>
      </c>
      <c r="E695" s="320">
        <v>0</v>
      </c>
      <c r="F695" s="320">
        <v>29.2</v>
      </c>
      <c r="G695" s="320">
        <v>29.3</v>
      </c>
      <c r="H695" s="320">
        <v>29.2</v>
      </c>
      <c r="I695" s="321">
        <v>11000</v>
      </c>
      <c r="J695" s="321">
        <v>322000</v>
      </c>
      <c r="K695" s="320">
        <v>10</v>
      </c>
      <c r="L695" s="320">
        <v>29.25</v>
      </c>
      <c r="M695" s="320">
        <v>1</v>
      </c>
      <c r="N695" s="320">
        <v>29.4</v>
      </c>
      <c r="O695" s="320">
        <v>2</v>
      </c>
      <c r="P695" s="321">
        <v>46667000</v>
      </c>
      <c r="Q695" s="320">
        <v>32.200000000000003</v>
      </c>
      <c r="R695" s="320">
        <v>26.4</v>
      </c>
    </row>
    <row r="696" spans="2:18">
      <c r="B696" s="319">
        <v>6499</v>
      </c>
      <c r="C696" s="319" t="s">
        <v>1120</v>
      </c>
      <c r="D696" s="320">
        <v>92.3</v>
      </c>
      <c r="E696" s="320">
        <v>-1.9</v>
      </c>
      <c r="F696" s="320">
        <v>94.7</v>
      </c>
      <c r="G696" s="320">
        <v>95.4</v>
      </c>
      <c r="H696" s="320">
        <v>91.8</v>
      </c>
      <c r="I696" s="321">
        <v>898000</v>
      </c>
      <c r="J696" s="321">
        <v>83409000</v>
      </c>
      <c r="K696" s="320">
        <v>722</v>
      </c>
      <c r="L696" s="320">
        <v>92.3</v>
      </c>
      <c r="M696" s="320">
        <v>6</v>
      </c>
      <c r="N696" s="320">
        <v>92.6</v>
      </c>
      <c r="O696" s="320">
        <v>1</v>
      </c>
      <c r="P696" s="321">
        <v>73204074</v>
      </c>
      <c r="Q696" s="320">
        <v>101.5</v>
      </c>
      <c r="R696" s="320">
        <v>83.1</v>
      </c>
    </row>
    <row r="697" spans="2:18">
      <c r="B697" s="319">
        <v>6506</v>
      </c>
      <c r="C697" s="319" t="s">
        <v>1121</v>
      </c>
      <c r="D697" s="320">
        <v>19.45</v>
      </c>
      <c r="E697" s="320">
        <v>0</v>
      </c>
      <c r="F697" s="320">
        <v>19.600000000000001</v>
      </c>
      <c r="G697" s="320">
        <v>19.600000000000001</v>
      </c>
      <c r="H697" s="320">
        <v>19.25</v>
      </c>
      <c r="I697" s="321">
        <v>99000</v>
      </c>
      <c r="J697" s="321">
        <v>1921400</v>
      </c>
      <c r="K697" s="320">
        <v>55</v>
      </c>
      <c r="L697" s="320">
        <v>19.399999999999999</v>
      </c>
      <c r="M697" s="320">
        <v>6</v>
      </c>
      <c r="N697" s="320">
        <v>19.45</v>
      </c>
      <c r="O697" s="320">
        <v>7</v>
      </c>
      <c r="P697" s="321">
        <v>82360826</v>
      </c>
      <c r="Q697" s="320">
        <v>21.35</v>
      </c>
      <c r="R697" s="320">
        <v>17.55</v>
      </c>
    </row>
    <row r="698" spans="2:18">
      <c r="B698" s="319">
        <v>6508</v>
      </c>
      <c r="C698" s="319" t="s">
        <v>1122</v>
      </c>
      <c r="D698" s="320">
        <v>32.6</v>
      </c>
      <c r="E698" s="320">
        <v>0.1</v>
      </c>
      <c r="F698" s="320">
        <v>32.549999999999997</v>
      </c>
      <c r="G698" s="320">
        <v>32.700000000000003</v>
      </c>
      <c r="H698" s="320">
        <v>32.5</v>
      </c>
      <c r="I698" s="321">
        <v>119000</v>
      </c>
      <c r="J698" s="321">
        <v>3878200</v>
      </c>
      <c r="K698" s="320">
        <v>87</v>
      </c>
      <c r="L698" s="320">
        <v>32.6</v>
      </c>
      <c r="M698" s="320">
        <v>4</v>
      </c>
      <c r="N698" s="320">
        <v>32.65</v>
      </c>
      <c r="O698" s="320">
        <v>9</v>
      </c>
      <c r="P698" s="321">
        <v>85670167</v>
      </c>
      <c r="Q698" s="320">
        <v>35.85</v>
      </c>
      <c r="R698" s="320">
        <v>29.35</v>
      </c>
    </row>
    <row r="699" spans="2:18">
      <c r="B699" s="319">
        <v>6509</v>
      </c>
      <c r="C699" s="319" t="s">
        <v>32</v>
      </c>
      <c r="D699" s="320">
        <v>67.599999999999994</v>
      </c>
      <c r="E699" s="320">
        <v>-0.5</v>
      </c>
      <c r="F699" s="320">
        <v>67.8</v>
      </c>
      <c r="G699" s="320">
        <v>68.8</v>
      </c>
      <c r="H699" s="320">
        <v>67.599999999999994</v>
      </c>
      <c r="I699" s="321">
        <v>3267000</v>
      </c>
      <c r="J699" s="321">
        <v>222600200</v>
      </c>
      <c r="K699" s="321">
        <v>2202</v>
      </c>
      <c r="L699" s="320">
        <v>67.599999999999994</v>
      </c>
      <c r="M699" s="320">
        <v>83</v>
      </c>
      <c r="N699" s="320">
        <v>67.7</v>
      </c>
      <c r="O699" s="320">
        <v>11</v>
      </c>
      <c r="P699" s="321">
        <v>173204101</v>
      </c>
      <c r="Q699" s="320">
        <v>74.3</v>
      </c>
      <c r="R699" s="320">
        <v>60.9</v>
      </c>
    </row>
    <row r="700" spans="2:18">
      <c r="B700" s="319">
        <v>6510</v>
      </c>
      <c r="C700" s="319" t="s">
        <v>1123</v>
      </c>
      <c r="D700" s="320">
        <v>703</v>
      </c>
      <c r="E700" s="320">
        <v>15</v>
      </c>
      <c r="F700" s="320">
        <v>688</v>
      </c>
      <c r="G700" s="320">
        <v>715</v>
      </c>
      <c r="H700" s="320">
        <v>682</v>
      </c>
      <c r="I700" s="321">
        <v>895000</v>
      </c>
      <c r="J700" s="321">
        <v>628178000</v>
      </c>
      <c r="K700" s="320">
        <v>812</v>
      </c>
      <c r="L700" s="320">
        <v>701</v>
      </c>
      <c r="M700" s="320">
        <v>3</v>
      </c>
      <c r="N700" s="320">
        <v>703</v>
      </c>
      <c r="O700" s="320">
        <v>3</v>
      </c>
      <c r="P700" s="321">
        <v>32789022</v>
      </c>
      <c r="Q700" s="320">
        <v>773</v>
      </c>
      <c r="R700" s="320">
        <v>633</v>
      </c>
    </row>
    <row r="701" spans="2:18">
      <c r="B701" s="319">
        <v>6512</v>
      </c>
      <c r="C701" s="319" t="s">
        <v>1124</v>
      </c>
      <c r="D701" s="320">
        <v>18</v>
      </c>
      <c r="E701" s="320">
        <v>0</v>
      </c>
      <c r="F701" s="320">
        <v>18</v>
      </c>
      <c r="G701" s="320">
        <v>18</v>
      </c>
      <c r="H701" s="320">
        <v>17.8</v>
      </c>
      <c r="I701" s="321">
        <v>25000</v>
      </c>
      <c r="J701" s="321">
        <v>446300</v>
      </c>
      <c r="K701" s="320">
        <v>18</v>
      </c>
      <c r="L701" s="320">
        <v>17.850000000000001</v>
      </c>
      <c r="M701" s="320">
        <v>1</v>
      </c>
      <c r="N701" s="320">
        <v>18</v>
      </c>
      <c r="O701" s="320">
        <v>5</v>
      </c>
      <c r="P701" s="321">
        <v>25000000</v>
      </c>
      <c r="Q701" s="320">
        <v>19.8</v>
      </c>
      <c r="R701" s="320">
        <v>16.2</v>
      </c>
    </row>
    <row r="702" spans="2:18">
      <c r="B702" s="319">
        <v>6514</v>
      </c>
      <c r="C702" s="319" t="s">
        <v>1125</v>
      </c>
      <c r="D702" s="320">
        <v>80.5</v>
      </c>
      <c r="E702" s="320">
        <v>-5.7</v>
      </c>
      <c r="F702" s="320">
        <v>85.9</v>
      </c>
      <c r="G702" s="320">
        <v>85.9</v>
      </c>
      <c r="H702" s="320">
        <v>77.599999999999994</v>
      </c>
      <c r="I702" s="321">
        <v>1279000</v>
      </c>
      <c r="J702" s="321">
        <v>102363000</v>
      </c>
      <c r="K702" s="320">
        <v>851</v>
      </c>
      <c r="L702" s="320">
        <v>80.2</v>
      </c>
      <c r="M702" s="320">
        <v>2</v>
      </c>
      <c r="N702" s="320">
        <v>80.5</v>
      </c>
      <c r="O702" s="320">
        <v>2</v>
      </c>
      <c r="P702" s="321">
        <v>30015382</v>
      </c>
      <c r="Q702" s="320">
        <v>88.5</v>
      </c>
      <c r="R702" s="320">
        <v>72.5</v>
      </c>
    </row>
    <row r="703" spans="2:18">
      <c r="B703" s="319">
        <v>6516</v>
      </c>
      <c r="C703" s="319" t="s">
        <v>1126</v>
      </c>
      <c r="D703" s="320">
        <v>96.1</v>
      </c>
      <c r="E703" s="320">
        <v>-0.4</v>
      </c>
      <c r="F703" s="320">
        <v>96.9</v>
      </c>
      <c r="G703" s="320">
        <v>96.9</v>
      </c>
      <c r="H703" s="320">
        <v>95.8</v>
      </c>
      <c r="I703" s="321">
        <v>25000</v>
      </c>
      <c r="J703" s="321">
        <v>2404300</v>
      </c>
      <c r="K703" s="320">
        <v>25</v>
      </c>
      <c r="L703" s="320">
        <v>95.9</v>
      </c>
      <c r="M703" s="320">
        <v>1</v>
      </c>
      <c r="N703" s="320">
        <v>96.1</v>
      </c>
      <c r="O703" s="320">
        <v>2</v>
      </c>
      <c r="P703" s="321">
        <v>42413811</v>
      </c>
      <c r="Q703" s="320">
        <v>105.5</v>
      </c>
      <c r="R703" s="320">
        <v>86.5</v>
      </c>
    </row>
    <row r="704" spans="2:18">
      <c r="B704" s="319">
        <v>6523</v>
      </c>
      <c r="C704" s="319" t="s">
        <v>1127</v>
      </c>
      <c r="D704" s="320">
        <v>99.7</v>
      </c>
      <c r="E704" s="320">
        <v>0.4</v>
      </c>
      <c r="F704" s="320">
        <v>100</v>
      </c>
      <c r="G704" s="320">
        <v>101</v>
      </c>
      <c r="H704" s="320">
        <v>99.6</v>
      </c>
      <c r="I704" s="321">
        <v>162000</v>
      </c>
      <c r="J704" s="321">
        <v>16184000</v>
      </c>
      <c r="K704" s="320">
        <v>139</v>
      </c>
      <c r="L704" s="320">
        <v>99.7</v>
      </c>
      <c r="M704" s="320">
        <v>2</v>
      </c>
      <c r="N704" s="320">
        <v>99.8</v>
      </c>
      <c r="O704" s="320">
        <v>3</v>
      </c>
      <c r="P704" s="321">
        <v>45047625</v>
      </c>
      <c r="Q704" s="320">
        <v>109.5</v>
      </c>
      <c r="R704" s="320">
        <v>89.8</v>
      </c>
    </row>
    <row r="705" spans="2:18">
      <c r="B705" s="319">
        <v>6527</v>
      </c>
      <c r="C705" s="319" t="s">
        <v>1128</v>
      </c>
      <c r="D705" s="320">
        <v>47.85</v>
      </c>
      <c r="E705" s="320">
        <v>0.1</v>
      </c>
      <c r="F705" s="320">
        <v>47.7</v>
      </c>
      <c r="G705" s="320">
        <v>48</v>
      </c>
      <c r="H705" s="320">
        <v>47.5</v>
      </c>
      <c r="I705" s="321">
        <v>50000</v>
      </c>
      <c r="J705" s="321">
        <v>2388550</v>
      </c>
      <c r="K705" s="320">
        <v>37</v>
      </c>
      <c r="L705" s="320">
        <v>47.6</v>
      </c>
      <c r="M705" s="320">
        <v>1</v>
      </c>
      <c r="N705" s="320">
        <v>47.85</v>
      </c>
      <c r="O705" s="320">
        <v>1</v>
      </c>
      <c r="P705" s="321">
        <v>24276000</v>
      </c>
      <c r="Q705" s="320">
        <v>52.6</v>
      </c>
      <c r="R705" s="320">
        <v>43.1</v>
      </c>
    </row>
    <row r="706" spans="2:18">
      <c r="B706" s="319">
        <v>6530</v>
      </c>
      <c r="C706" s="319" t="s">
        <v>1129</v>
      </c>
      <c r="D706" s="320">
        <v>24.65</v>
      </c>
      <c r="E706" s="320">
        <v>-0.6</v>
      </c>
      <c r="F706" s="320">
        <v>25.25</v>
      </c>
      <c r="G706" s="320">
        <v>25.35</v>
      </c>
      <c r="H706" s="320">
        <v>24.55</v>
      </c>
      <c r="I706" s="321">
        <v>258000</v>
      </c>
      <c r="J706" s="321">
        <v>6412550</v>
      </c>
      <c r="K706" s="320">
        <v>175</v>
      </c>
      <c r="L706" s="320">
        <v>24.6</v>
      </c>
      <c r="M706" s="320">
        <v>5</v>
      </c>
      <c r="N706" s="320">
        <v>24.65</v>
      </c>
      <c r="O706" s="320">
        <v>1</v>
      </c>
      <c r="P706" s="321">
        <v>33750000</v>
      </c>
      <c r="Q706" s="320">
        <v>27.1</v>
      </c>
      <c r="R706" s="320">
        <v>22.2</v>
      </c>
    </row>
    <row r="707" spans="2:18">
      <c r="B707" s="319">
        <v>6532</v>
      </c>
      <c r="C707" s="319" t="s">
        <v>1130</v>
      </c>
      <c r="D707" s="320">
        <v>51.1</v>
      </c>
      <c r="E707" s="320">
        <v>-1.3</v>
      </c>
      <c r="F707" s="320">
        <v>53.1</v>
      </c>
      <c r="G707" s="320">
        <v>53.6</v>
      </c>
      <c r="H707" s="320">
        <v>50.9</v>
      </c>
      <c r="I707" s="321">
        <v>479000</v>
      </c>
      <c r="J707" s="321">
        <v>24796000</v>
      </c>
      <c r="K707" s="320">
        <v>348</v>
      </c>
      <c r="L707" s="320">
        <v>51.1</v>
      </c>
      <c r="M707" s="320">
        <v>4</v>
      </c>
      <c r="N707" s="320">
        <v>51.3</v>
      </c>
      <c r="O707" s="320">
        <v>5</v>
      </c>
      <c r="P707" s="321">
        <v>36100867</v>
      </c>
      <c r="Q707" s="320">
        <v>56.2</v>
      </c>
      <c r="R707" s="320">
        <v>46</v>
      </c>
    </row>
    <row r="708" spans="2:18">
      <c r="B708" s="319">
        <v>6535</v>
      </c>
      <c r="C708" s="319" t="s">
        <v>1131</v>
      </c>
      <c r="D708" s="320">
        <v>38.799999999999997</v>
      </c>
      <c r="E708" s="320">
        <v>-0.35</v>
      </c>
      <c r="F708" s="320">
        <v>39</v>
      </c>
      <c r="G708" s="320">
        <v>39.5</v>
      </c>
      <c r="H708" s="320">
        <v>38.6</v>
      </c>
      <c r="I708" s="321">
        <v>597000</v>
      </c>
      <c r="J708" s="321">
        <v>23186700</v>
      </c>
      <c r="K708" s="320">
        <v>354</v>
      </c>
      <c r="L708" s="320">
        <v>38.799999999999997</v>
      </c>
      <c r="M708" s="320">
        <v>1</v>
      </c>
      <c r="N708" s="320">
        <v>38.85</v>
      </c>
      <c r="O708" s="320">
        <v>5</v>
      </c>
      <c r="P708" s="321">
        <v>162972825</v>
      </c>
      <c r="Q708" s="320">
        <v>42.65</v>
      </c>
      <c r="R708" s="320">
        <v>34.950000000000003</v>
      </c>
    </row>
    <row r="709" spans="2:18">
      <c r="B709" s="319">
        <v>6538</v>
      </c>
      <c r="C709" s="319" t="s">
        <v>1132</v>
      </c>
      <c r="D709" s="320">
        <v>94.6</v>
      </c>
      <c r="E709" s="320">
        <v>-1.4</v>
      </c>
      <c r="F709" s="320">
        <v>95.2</v>
      </c>
      <c r="G709" s="320">
        <v>95.6</v>
      </c>
      <c r="H709" s="320">
        <v>91</v>
      </c>
      <c r="I709" s="321">
        <v>1696000</v>
      </c>
      <c r="J709" s="321">
        <v>158688900</v>
      </c>
      <c r="K709" s="321">
        <v>1227</v>
      </c>
      <c r="L709" s="320">
        <v>94.5</v>
      </c>
      <c r="M709" s="320">
        <v>1</v>
      </c>
      <c r="N709" s="320">
        <v>94.6</v>
      </c>
      <c r="O709" s="320">
        <v>4</v>
      </c>
      <c r="P709" s="321">
        <v>37269000</v>
      </c>
      <c r="Q709" s="320">
        <v>104</v>
      </c>
      <c r="R709" s="320">
        <v>85.2</v>
      </c>
    </row>
    <row r="710" spans="2:18">
      <c r="B710" s="319">
        <v>6542</v>
      </c>
      <c r="C710" s="319" t="s">
        <v>1133</v>
      </c>
      <c r="D710" s="320">
        <v>54.4</v>
      </c>
      <c r="E710" s="320">
        <v>0.4</v>
      </c>
      <c r="F710" s="320">
        <v>54.1</v>
      </c>
      <c r="G710" s="320">
        <v>54.4</v>
      </c>
      <c r="H710" s="320">
        <v>53</v>
      </c>
      <c r="I710" s="321">
        <v>40000</v>
      </c>
      <c r="J710" s="321">
        <v>2138800</v>
      </c>
      <c r="K710" s="320">
        <v>29</v>
      </c>
      <c r="L710" s="320">
        <v>54.2</v>
      </c>
      <c r="M710" s="320">
        <v>1</v>
      </c>
      <c r="N710" s="320">
        <v>54.4</v>
      </c>
      <c r="O710" s="320">
        <v>1</v>
      </c>
      <c r="P710" s="321">
        <v>42000630</v>
      </c>
      <c r="Q710" s="320">
        <v>59.8</v>
      </c>
      <c r="R710" s="320">
        <v>49</v>
      </c>
    </row>
    <row r="711" spans="2:18">
      <c r="B711" s="319">
        <v>6547</v>
      </c>
      <c r="C711" s="319" t="s">
        <v>1134</v>
      </c>
      <c r="D711" s="320">
        <v>291</v>
      </c>
      <c r="E711" s="320">
        <v>10</v>
      </c>
      <c r="F711" s="320">
        <v>282.5</v>
      </c>
      <c r="G711" s="320">
        <v>295</v>
      </c>
      <c r="H711" s="320">
        <v>282</v>
      </c>
      <c r="I711" s="321">
        <v>1737000</v>
      </c>
      <c r="J711" s="321">
        <v>500770500</v>
      </c>
      <c r="K711" s="321">
        <v>1363</v>
      </c>
      <c r="L711" s="320">
        <v>291</v>
      </c>
      <c r="M711" s="320">
        <v>8</v>
      </c>
      <c r="N711" s="320">
        <v>291.5</v>
      </c>
      <c r="O711" s="320">
        <v>2</v>
      </c>
      <c r="P711" s="321">
        <v>212886500</v>
      </c>
      <c r="Q711" s="320">
        <v>320</v>
      </c>
      <c r="R711" s="320">
        <v>262</v>
      </c>
    </row>
    <row r="712" spans="2:18">
      <c r="B712" s="319">
        <v>6548</v>
      </c>
      <c r="C712" s="319" t="s">
        <v>1135</v>
      </c>
      <c r="D712" s="320">
        <v>102</v>
      </c>
      <c r="E712" s="320">
        <v>0.5</v>
      </c>
      <c r="F712" s="320">
        <v>102</v>
      </c>
      <c r="G712" s="320">
        <v>103</v>
      </c>
      <c r="H712" s="320">
        <v>101</v>
      </c>
      <c r="I712" s="321">
        <v>1428000</v>
      </c>
      <c r="J712" s="321">
        <v>145798500</v>
      </c>
      <c r="K712" s="320">
        <v>845</v>
      </c>
      <c r="L712" s="320">
        <v>101.5</v>
      </c>
      <c r="M712" s="320">
        <v>101</v>
      </c>
      <c r="N712" s="320">
        <v>102.5</v>
      </c>
      <c r="O712" s="320">
        <v>87</v>
      </c>
      <c r="P712" s="321">
        <v>372429688</v>
      </c>
      <c r="Q712" s="320">
        <v>112</v>
      </c>
      <c r="R712" s="320">
        <v>91.8</v>
      </c>
    </row>
    <row r="713" spans="2:18">
      <c r="B713" s="319">
        <v>6556</v>
      </c>
      <c r="C713" s="319" t="s">
        <v>1136</v>
      </c>
      <c r="D713" s="320">
        <v>67.599999999999994</v>
      </c>
      <c r="E713" s="320">
        <v>0</v>
      </c>
      <c r="F713" s="320">
        <v>67</v>
      </c>
      <c r="G713" s="320">
        <v>67.900000000000006</v>
      </c>
      <c r="H713" s="320">
        <v>65.900000000000006</v>
      </c>
      <c r="I713" s="321">
        <v>46000</v>
      </c>
      <c r="J713" s="321">
        <v>3072200</v>
      </c>
      <c r="K713" s="320">
        <v>37</v>
      </c>
      <c r="L713" s="320">
        <v>67.5</v>
      </c>
      <c r="M713" s="320">
        <v>2</v>
      </c>
      <c r="N713" s="320">
        <v>67.7</v>
      </c>
      <c r="O713" s="320">
        <v>2</v>
      </c>
      <c r="P713" s="321">
        <v>28750000</v>
      </c>
      <c r="Q713" s="320">
        <v>74.3</v>
      </c>
      <c r="R713" s="320">
        <v>60.9</v>
      </c>
    </row>
    <row r="714" spans="2:18">
      <c r="B714" s="319">
        <v>6560</v>
      </c>
      <c r="C714" s="319" t="s">
        <v>1137</v>
      </c>
      <c r="D714" s="320">
        <v>76</v>
      </c>
      <c r="E714" s="320">
        <v>1.6</v>
      </c>
      <c r="F714" s="320">
        <v>74.8</v>
      </c>
      <c r="G714" s="320">
        <v>77</v>
      </c>
      <c r="H714" s="320">
        <v>74.5</v>
      </c>
      <c r="I714" s="321">
        <v>120000</v>
      </c>
      <c r="J714" s="321">
        <v>9086000</v>
      </c>
      <c r="K714" s="320">
        <v>95</v>
      </c>
      <c r="L714" s="320">
        <v>75.400000000000006</v>
      </c>
      <c r="M714" s="320">
        <v>1</v>
      </c>
      <c r="N714" s="320">
        <v>76</v>
      </c>
      <c r="O714" s="320">
        <v>3</v>
      </c>
      <c r="P714" s="321">
        <v>20699772</v>
      </c>
      <c r="Q714" s="320">
        <v>83.6</v>
      </c>
      <c r="R714" s="320">
        <v>68.400000000000006</v>
      </c>
    </row>
    <row r="715" spans="2:18">
      <c r="B715" s="319">
        <v>6561</v>
      </c>
      <c r="C715" s="319" t="s">
        <v>1138</v>
      </c>
      <c r="D715" s="320">
        <v>278</v>
      </c>
      <c r="E715" s="320">
        <v>-2.5</v>
      </c>
      <c r="F715" s="320">
        <v>280.5</v>
      </c>
      <c r="G715" s="320">
        <v>280.5</v>
      </c>
      <c r="H715" s="320">
        <v>278</v>
      </c>
      <c r="I715" s="321">
        <v>25000</v>
      </c>
      <c r="J715" s="321">
        <v>6975500</v>
      </c>
      <c r="K715" s="320">
        <v>25</v>
      </c>
      <c r="L715" s="320">
        <v>278.5</v>
      </c>
      <c r="M715" s="320">
        <v>1</v>
      </c>
      <c r="N715" s="320">
        <v>280</v>
      </c>
      <c r="O715" s="320">
        <v>1</v>
      </c>
      <c r="P715" s="321">
        <v>70459631</v>
      </c>
      <c r="Q715" s="320">
        <v>305.5</v>
      </c>
      <c r="R715" s="320">
        <v>250.5</v>
      </c>
    </row>
    <row r="716" spans="2:18">
      <c r="B716" s="319">
        <v>6568</v>
      </c>
      <c r="C716" s="319" t="s">
        <v>1139</v>
      </c>
      <c r="D716" s="320">
        <v>367.5</v>
      </c>
      <c r="E716" s="320">
        <v>-5.5</v>
      </c>
      <c r="F716" s="320">
        <v>377</v>
      </c>
      <c r="G716" s="320">
        <v>380.5</v>
      </c>
      <c r="H716" s="320">
        <v>367.5</v>
      </c>
      <c r="I716" s="321">
        <v>530000</v>
      </c>
      <c r="J716" s="321">
        <v>197942500</v>
      </c>
      <c r="K716" s="320">
        <v>418</v>
      </c>
      <c r="L716" s="320">
        <v>367.5</v>
      </c>
      <c r="M716" s="320">
        <v>3</v>
      </c>
      <c r="N716" s="320">
        <v>370</v>
      </c>
      <c r="O716" s="320">
        <v>12</v>
      </c>
      <c r="P716" s="321">
        <v>30783120</v>
      </c>
      <c r="Q716" s="320">
        <v>404</v>
      </c>
      <c r="R716" s="320">
        <v>331</v>
      </c>
    </row>
    <row r="717" spans="2:18">
      <c r="B717" s="319">
        <v>6569</v>
      </c>
      <c r="C717" s="319" t="s">
        <v>1140</v>
      </c>
      <c r="D717" s="320">
        <v>103.5</v>
      </c>
      <c r="E717" s="320">
        <v>-0.5</v>
      </c>
      <c r="F717" s="320">
        <v>104</v>
      </c>
      <c r="G717" s="320">
        <v>104</v>
      </c>
      <c r="H717" s="320">
        <v>103.5</v>
      </c>
      <c r="I717" s="321">
        <v>13000</v>
      </c>
      <c r="J717" s="321">
        <v>1351500</v>
      </c>
      <c r="K717" s="320">
        <v>11</v>
      </c>
      <c r="L717" s="320">
        <v>103.5</v>
      </c>
      <c r="M717" s="320">
        <v>3</v>
      </c>
      <c r="N717" s="320">
        <v>105</v>
      </c>
      <c r="O717" s="320">
        <v>1</v>
      </c>
      <c r="P717" s="321">
        <v>30261300</v>
      </c>
      <c r="Q717" s="320">
        <v>113.5</v>
      </c>
      <c r="R717" s="320">
        <v>93.2</v>
      </c>
    </row>
    <row r="718" spans="2:18">
      <c r="B718" s="319">
        <v>6570</v>
      </c>
      <c r="C718" s="319" t="s">
        <v>1141</v>
      </c>
      <c r="D718" s="320">
        <v>41</v>
      </c>
      <c r="E718" s="320">
        <v>-0.5</v>
      </c>
      <c r="F718" s="320">
        <v>41.6</v>
      </c>
      <c r="G718" s="320">
        <v>42</v>
      </c>
      <c r="H718" s="320">
        <v>40.75</v>
      </c>
      <c r="I718" s="321">
        <v>136000</v>
      </c>
      <c r="J718" s="321">
        <v>5585350</v>
      </c>
      <c r="K718" s="320">
        <v>93</v>
      </c>
      <c r="L718" s="320">
        <v>41</v>
      </c>
      <c r="M718" s="320">
        <v>1</v>
      </c>
      <c r="N718" s="320">
        <v>41.1</v>
      </c>
      <c r="O718" s="320">
        <v>2</v>
      </c>
      <c r="P718" s="321">
        <v>30086177</v>
      </c>
      <c r="Q718" s="320">
        <v>45.1</v>
      </c>
      <c r="R718" s="320">
        <v>36.9</v>
      </c>
    </row>
    <row r="719" spans="2:18">
      <c r="B719" s="319">
        <v>6574</v>
      </c>
      <c r="C719" s="319" t="s">
        <v>1142</v>
      </c>
      <c r="D719" s="320">
        <v>47.05</v>
      </c>
      <c r="E719" s="320">
        <v>-0.2</v>
      </c>
      <c r="F719" s="320">
        <v>46.25</v>
      </c>
      <c r="G719" s="320">
        <v>47.05</v>
      </c>
      <c r="H719" s="320">
        <v>46.2</v>
      </c>
      <c r="I719" s="321">
        <v>3000</v>
      </c>
      <c r="J719" s="321">
        <v>139500</v>
      </c>
      <c r="K719" s="320">
        <v>3</v>
      </c>
      <c r="L719" s="320">
        <v>46.35</v>
      </c>
      <c r="M719" s="320">
        <v>1</v>
      </c>
      <c r="N719" s="320">
        <v>47</v>
      </c>
      <c r="O719" s="320">
        <v>2</v>
      </c>
      <c r="P719" s="321">
        <v>21990000</v>
      </c>
      <c r="Q719" s="320">
        <v>51.7</v>
      </c>
      <c r="R719" s="320">
        <v>42.35</v>
      </c>
    </row>
    <row r="720" spans="2:18">
      <c r="B720" s="319">
        <v>6576</v>
      </c>
      <c r="C720" s="319" t="s">
        <v>1143</v>
      </c>
      <c r="D720" s="320">
        <v>123</v>
      </c>
      <c r="E720" s="320">
        <v>3</v>
      </c>
      <c r="F720" s="320">
        <v>121</v>
      </c>
      <c r="G720" s="320">
        <v>124</v>
      </c>
      <c r="H720" s="320">
        <v>119</v>
      </c>
      <c r="I720" s="321">
        <v>979000</v>
      </c>
      <c r="J720" s="321">
        <v>119010000</v>
      </c>
      <c r="K720" s="320">
        <v>678</v>
      </c>
      <c r="L720" s="320">
        <v>122.5</v>
      </c>
      <c r="M720" s="320">
        <v>19</v>
      </c>
      <c r="N720" s="320">
        <v>123</v>
      </c>
      <c r="O720" s="320">
        <v>15</v>
      </c>
      <c r="P720" s="321">
        <v>117554695</v>
      </c>
      <c r="Q720" s="320">
        <v>135</v>
      </c>
      <c r="R720" s="320">
        <v>111</v>
      </c>
    </row>
    <row r="721" spans="2:18">
      <c r="B721" s="319">
        <v>6577</v>
      </c>
      <c r="C721" s="319" t="s">
        <v>1144</v>
      </c>
      <c r="D721" s="320">
        <v>65.5</v>
      </c>
      <c r="E721" s="320">
        <v>-0.7</v>
      </c>
      <c r="F721" s="320">
        <v>66.3</v>
      </c>
      <c r="G721" s="320">
        <v>66.3</v>
      </c>
      <c r="H721" s="320">
        <v>65.5</v>
      </c>
      <c r="I721" s="321">
        <v>34000</v>
      </c>
      <c r="J721" s="321">
        <v>2236700</v>
      </c>
      <c r="K721" s="320">
        <v>28</v>
      </c>
      <c r="L721" s="320">
        <v>65.8</v>
      </c>
      <c r="M721" s="320">
        <v>2</v>
      </c>
      <c r="N721" s="320">
        <v>66</v>
      </c>
      <c r="O721" s="320">
        <v>1</v>
      </c>
      <c r="P721" s="321">
        <v>38254870</v>
      </c>
      <c r="Q721" s="320">
        <v>72</v>
      </c>
      <c r="R721" s="320">
        <v>59</v>
      </c>
    </row>
    <row r="722" spans="2:18">
      <c r="B722" s="319">
        <v>6578</v>
      </c>
      <c r="C722" s="319" t="s">
        <v>1145</v>
      </c>
      <c r="D722" s="320">
        <v>17.3</v>
      </c>
      <c r="E722" s="320">
        <v>0</v>
      </c>
      <c r="F722" s="320">
        <v>17.350000000000001</v>
      </c>
      <c r="G722" s="320">
        <v>17.55</v>
      </c>
      <c r="H722" s="320">
        <v>17.3</v>
      </c>
      <c r="I722" s="321">
        <v>107000</v>
      </c>
      <c r="J722" s="321">
        <v>1859450</v>
      </c>
      <c r="K722" s="320">
        <v>55</v>
      </c>
      <c r="L722" s="320">
        <v>17.3</v>
      </c>
      <c r="M722" s="320">
        <v>13</v>
      </c>
      <c r="N722" s="320">
        <v>17.350000000000001</v>
      </c>
      <c r="O722" s="320">
        <v>2</v>
      </c>
      <c r="P722" s="321">
        <v>39331852</v>
      </c>
      <c r="Q722" s="320">
        <v>19</v>
      </c>
      <c r="R722" s="320">
        <v>15.6</v>
      </c>
    </row>
    <row r="723" spans="2:18">
      <c r="B723" s="319">
        <v>6588</v>
      </c>
      <c r="C723" s="319" t="s">
        <v>1146</v>
      </c>
      <c r="D723" s="320">
        <v>48.7</v>
      </c>
      <c r="E723" s="320">
        <v>0.3</v>
      </c>
      <c r="F723" s="320">
        <v>49.95</v>
      </c>
      <c r="G723" s="320">
        <v>50</v>
      </c>
      <c r="H723" s="320">
        <v>48.7</v>
      </c>
      <c r="I723" s="321">
        <v>27000</v>
      </c>
      <c r="J723" s="321">
        <v>1346550</v>
      </c>
      <c r="K723" s="320">
        <v>25</v>
      </c>
      <c r="L723" s="320">
        <v>48.65</v>
      </c>
      <c r="M723" s="320">
        <v>1</v>
      </c>
      <c r="N723" s="320">
        <v>48.7</v>
      </c>
      <c r="O723" s="320">
        <v>1</v>
      </c>
      <c r="P723" s="321">
        <v>26700825</v>
      </c>
      <c r="Q723" s="320">
        <v>53.5</v>
      </c>
      <c r="R723" s="320">
        <v>43.85</v>
      </c>
    </row>
    <row r="724" spans="2:18">
      <c r="B724" s="319">
        <v>6589</v>
      </c>
      <c r="C724" s="319" t="s">
        <v>1147</v>
      </c>
      <c r="D724" s="320">
        <v>110</v>
      </c>
      <c r="E724" s="320">
        <v>-0.5</v>
      </c>
      <c r="F724" s="320">
        <v>111</v>
      </c>
      <c r="G724" s="320">
        <v>112</v>
      </c>
      <c r="H724" s="320">
        <v>109.5</v>
      </c>
      <c r="I724" s="321">
        <v>951000</v>
      </c>
      <c r="J724" s="321">
        <v>105006500</v>
      </c>
      <c r="K724" s="320">
        <v>673</v>
      </c>
      <c r="L724" s="320">
        <v>110</v>
      </c>
      <c r="M724" s="320">
        <v>53</v>
      </c>
      <c r="N724" s="320">
        <v>110.5</v>
      </c>
      <c r="O724" s="320">
        <v>6</v>
      </c>
      <c r="P724" s="321">
        <v>300244870</v>
      </c>
      <c r="Q724" s="320">
        <v>121</v>
      </c>
      <c r="R724" s="320">
        <v>99</v>
      </c>
    </row>
    <row r="725" spans="2:18">
      <c r="B725" s="319">
        <v>6590</v>
      </c>
      <c r="C725" s="319" t="s">
        <v>1148</v>
      </c>
      <c r="D725" s="320">
        <v>63.2</v>
      </c>
      <c r="E725" s="320">
        <v>0</v>
      </c>
      <c r="F725" s="320">
        <v>63.3</v>
      </c>
      <c r="G725" s="320">
        <v>63.4</v>
      </c>
      <c r="H725" s="320">
        <v>63.2</v>
      </c>
      <c r="I725" s="321">
        <v>6000</v>
      </c>
      <c r="J725" s="321">
        <v>379800</v>
      </c>
      <c r="K725" s="320">
        <v>5</v>
      </c>
      <c r="L725" s="320">
        <v>63.1</v>
      </c>
      <c r="M725" s="320">
        <v>2</v>
      </c>
      <c r="N725" s="320">
        <v>63.7</v>
      </c>
      <c r="O725" s="320">
        <v>1</v>
      </c>
      <c r="P725" s="321">
        <v>18291250</v>
      </c>
      <c r="Q725" s="320">
        <v>69.5</v>
      </c>
      <c r="R725" s="320">
        <v>56.9</v>
      </c>
    </row>
    <row r="726" spans="2:18">
      <c r="B726" s="319">
        <v>6593</v>
      </c>
      <c r="C726" s="319" t="s">
        <v>1149</v>
      </c>
      <c r="D726" s="320">
        <v>40.299999999999997</v>
      </c>
      <c r="E726" s="320">
        <v>-1.8</v>
      </c>
      <c r="F726" s="320">
        <v>43</v>
      </c>
      <c r="G726" s="320">
        <v>43</v>
      </c>
      <c r="H726" s="320">
        <v>38.549999999999997</v>
      </c>
      <c r="I726" s="321">
        <v>286000</v>
      </c>
      <c r="J726" s="321">
        <v>11502250</v>
      </c>
      <c r="K726" s="320">
        <v>228</v>
      </c>
      <c r="L726" s="320">
        <v>40.25</v>
      </c>
      <c r="M726" s="320">
        <v>7</v>
      </c>
      <c r="N726" s="320">
        <v>40.299999999999997</v>
      </c>
      <c r="O726" s="320">
        <v>2</v>
      </c>
      <c r="P726" s="321">
        <v>20303401</v>
      </c>
      <c r="Q726" s="320">
        <v>44.3</v>
      </c>
      <c r="R726" s="320">
        <v>36.299999999999997</v>
      </c>
    </row>
    <row r="727" spans="2:18">
      <c r="B727" s="319">
        <v>6594</v>
      </c>
      <c r="C727" s="319" t="s">
        <v>1150</v>
      </c>
      <c r="D727" s="320">
        <v>40.6</v>
      </c>
      <c r="E727" s="320">
        <v>-0.1</v>
      </c>
      <c r="F727" s="320">
        <v>41.7</v>
      </c>
      <c r="G727" s="320">
        <v>41.7</v>
      </c>
      <c r="H727" s="320">
        <v>40.6</v>
      </c>
      <c r="I727" s="321">
        <v>47000</v>
      </c>
      <c r="J727" s="321">
        <v>1924900</v>
      </c>
      <c r="K727" s="320">
        <v>33</v>
      </c>
      <c r="L727" s="320">
        <v>40.549999999999997</v>
      </c>
      <c r="M727" s="320">
        <v>2</v>
      </c>
      <c r="N727" s="320">
        <v>41</v>
      </c>
      <c r="O727" s="320">
        <v>1</v>
      </c>
      <c r="P727" s="321">
        <v>29179128</v>
      </c>
      <c r="Q727" s="320">
        <v>44.65</v>
      </c>
      <c r="R727" s="320">
        <v>36.549999999999997</v>
      </c>
    </row>
    <row r="728" spans="2:18">
      <c r="B728" s="319">
        <v>6596</v>
      </c>
      <c r="C728" s="319" t="s">
        <v>1151</v>
      </c>
      <c r="D728" s="320">
        <v>48.9</v>
      </c>
      <c r="E728" s="320">
        <v>0</v>
      </c>
      <c r="F728" s="320">
        <v>48.9</v>
      </c>
      <c r="G728" s="320">
        <v>48.9</v>
      </c>
      <c r="H728" s="320">
        <v>48.75</v>
      </c>
      <c r="I728" s="321">
        <v>11000</v>
      </c>
      <c r="J728" s="321">
        <v>537650</v>
      </c>
      <c r="K728" s="320">
        <v>11</v>
      </c>
      <c r="L728" s="320">
        <v>48.8</v>
      </c>
      <c r="M728" s="320">
        <v>11</v>
      </c>
      <c r="N728" s="320">
        <v>49</v>
      </c>
      <c r="O728" s="320">
        <v>8</v>
      </c>
      <c r="P728" s="321">
        <v>30000000</v>
      </c>
      <c r="Q728" s="320">
        <v>53.7</v>
      </c>
      <c r="R728" s="320">
        <v>44.05</v>
      </c>
    </row>
    <row r="729" spans="2:18">
      <c r="B729" s="319">
        <v>6603</v>
      </c>
      <c r="C729" s="319" t="s">
        <v>1152</v>
      </c>
      <c r="D729" s="320">
        <v>19.100000000000001</v>
      </c>
      <c r="E729" s="320">
        <v>0.85</v>
      </c>
      <c r="F729" s="320">
        <v>18.55</v>
      </c>
      <c r="G729" s="320">
        <v>19.149999999999999</v>
      </c>
      <c r="H729" s="320">
        <v>18.399999999999999</v>
      </c>
      <c r="I729" s="321">
        <v>5962000</v>
      </c>
      <c r="J729" s="321">
        <v>112303050</v>
      </c>
      <c r="K729" s="321">
        <v>2106</v>
      </c>
      <c r="L729" s="320">
        <v>19.05</v>
      </c>
      <c r="M729" s="320">
        <v>277</v>
      </c>
      <c r="N729" s="320">
        <v>19.100000000000001</v>
      </c>
      <c r="O729" s="320">
        <v>45</v>
      </c>
      <c r="P729" s="321">
        <v>149438780</v>
      </c>
      <c r="Q729" s="320">
        <v>21</v>
      </c>
      <c r="R729" s="320">
        <v>17.2</v>
      </c>
    </row>
    <row r="730" spans="2:18">
      <c r="B730" s="319">
        <v>6609</v>
      </c>
      <c r="C730" s="319" t="s">
        <v>1153</v>
      </c>
      <c r="D730" s="320">
        <v>30.3</v>
      </c>
      <c r="E730" s="320">
        <v>0.05</v>
      </c>
      <c r="F730" s="320">
        <v>30.45</v>
      </c>
      <c r="G730" s="320">
        <v>30.75</v>
      </c>
      <c r="H730" s="320">
        <v>30.2</v>
      </c>
      <c r="I730" s="321">
        <v>45000</v>
      </c>
      <c r="J730" s="321">
        <v>1363550</v>
      </c>
      <c r="K730" s="320">
        <v>40</v>
      </c>
      <c r="L730" s="320">
        <v>30.3</v>
      </c>
      <c r="M730" s="320">
        <v>1</v>
      </c>
      <c r="N730" s="320">
        <v>30.35</v>
      </c>
      <c r="O730" s="320">
        <v>1</v>
      </c>
      <c r="P730" s="321">
        <v>72456246</v>
      </c>
      <c r="Q730" s="320">
        <v>33.299999999999997</v>
      </c>
      <c r="R730" s="320">
        <v>27.3</v>
      </c>
    </row>
    <row r="731" spans="2:18">
      <c r="B731" s="319">
        <v>6612</v>
      </c>
      <c r="C731" s="319" t="s">
        <v>1154</v>
      </c>
      <c r="D731" s="320">
        <v>68.900000000000006</v>
      </c>
      <c r="E731" s="320">
        <v>-0.1</v>
      </c>
      <c r="F731" s="320">
        <v>70</v>
      </c>
      <c r="G731" s="320">
        <v>70</v>
      </c>
      <c r="H731" s="320">
        <v>68.099999999999994</v>
      </c>
      <c r="I731" s="321">
        <v>110000</v>
      </c>
      <c r="J731" s="321">
        <v>7595400</v>
      </c>
      <c r="K731" s="320">
        <v>93</v>
      </c>
      <c r="L731" s="320">
        <v>68.900000000000006</v>
      </c>
      <c r="M731" s="320">
        <v>7</v>
      </c>
      <c r="N731" s="320">
        <v>69.599999999999994</v>
      </c>
      <c r="O731" s="320">
        <v>1</v>
      </c>
      <c r="P731" s="321">
        <v>33969900</v>
      </c>
      <c r="Q731" s="320">
        <v>75.7</v>
      </c>
      <c r="R731" s="320">
        <v>62.1</v>
      </c>
    </row>
    <row r="732" spans="2:18">
      <c r="B732" s="319">
        <v>6613</v>
      </c>
      <c r="C732" s="319" t="s">
        <v>1155</v>
      </c>
      <c r="D732" s="320">
        <v>156</v>
      </c>
      <c r="E732" s="320">
        <v>1</v>
      </c>
      <c r="F732" s="320">
        <v>156</v>
      </c>
      <c r="G732" s="320">
        <v>156</v>
      </c>
      <c r="H732" s="320">
        <v>155.5</v>
      </c>
      <c r="I732" s="321">
        <v>19000</v>
      </c>
      <c r="J732" s="321">
        <v>2961000</v>
      </c>
      <c r="K732" s="320">
        <v>18</v>
      </c>
      <c r="L732" s="320">
        <v>155.5</v>
      </c>
      <c r="M732" s="320">
        <v>1</v>
      </c>
      <c r="N732" s="320">
        <v>156</v>
      </c>
      <c r="O732" s="320">
        <v>3</v>
      </c>
      <c r="P732" s="321">
        <v>33928000</v>
      </c>
      <c r="Q732" s="320">
        <v>171.5</v>
      </c>
      <c r="R732" s="320">
        <v>140.5</v>
      </c>
    </row>
    <row r="733" spans="2:18">
      <c r="B733" s="319">
        <v>6615</v>
      </c>
      <c r="C733" s="319" t="s">
        <v>1156</v>
      </c>
      <c r="D733" s="320">
        <v>49.9</v>
      </c>
      <c r="E733" s="320">
        <v>-0.6</v>
      </c>
      <c r="F733" s="320">
        <v>50.3</v>
      </c>
      <c r="G733" s="320">
        <v>50.3</v>
      </c>
      <c r="H733" s="320">
        <v>48.9</v>
      </c>
      <c r="I733" s="321">
        <v>19000</v>
      </c>
      <c r="J733" s="321">
        <v>933550</v>
      </c>
      <c r="K733" s="320">
        <v>19</v>
      </c>
      <c r="L733" s="320">
        <v>48.85</v>
      </c>
      <c r="M733" s="320">
        <v>2</v>
      </c>
      <c r="N733" s="320">
        <v>49.95</v>
      </c>
      <c r="O733" s="320">
        <v>1</v>
      </c>
      <c r="P733" s="321">
        <v>21302400</v>
      </c>
      <c r="Q733" s="320">
        <v>54.8</v>
      </c>
      <c r="R733" s="320">
        <v>44.95</v>
      </c>
    </row>
    <row r="734" spans="2:18">
      <c r="B734" s="319">
        <v>6616</v>
      </c>
      <c r="C734" s="319" t="s">
        <v>1157</v>
      </c>
      <c r="D734" s="320">
        <v>19</v>
      </c>
      <c r="E734" s="320">
        <v>0.15</v>
      </c>
      <c r="F734" s="320">
        <v>18.850000000000001</v>
      </c>
      <c r="G734" s="320">
        <v>19</v>
      </c>
      <c r="H734" s="320">
        <v>18.850000000000001</v>
      </c>
      <c r="I734" s="321">
        <v>33000</v>
      </c>
      <c r="J734" s="321">
        <v>626750</v>
      </c>
      <c r="K734" s="320">
        <v>20</v>
      </c>
      <c r="L734" s="320">
        <v>18.899999999999999</v>
      </c>
      <c r="M734" s="320">
        <v>1</v>
      </c>
      <c r="N734" s="320">
        <v>19</v>
      </c>
      <c r="O734" s="320">
        <v>2</v>
      </c>
      <c r="P734" s="321">
        <v>28625000</v>
      </c>
      <c r="Q734" s="320">
        <v>20.9</v>
      </c>
      <c r="R734" s="320">
        <v>17.100000000000001</v>
      </c>
    </row>
    <row r="735" spans="2:18">
      <c r="B735" s="319">
        <v>6624</v>
      </c>
      <c r="C735" s="319" t="s">
        <v>1158</v>
      </c>
      <c r="D735" s="320">
        <v>39.200000000000003</v>
      </c>
      <c r="E735" s="320">
        <v>0.9</v>
      </c>
      <c r="F735" s="320">
        <v>38.450000000000003</v>
      </c>
      <c r="G735" s="320">
        <v>39.299999999999997</v>
      </c>
      <c r="H735" s="320">
        <v>38.299999999999997</v>
      </c>
      <c r="I735" s="321">
        <v>92000</v>
      </c>
      <c r="J735" s="321">
        <v>3563950</v>
      </c>
      <c r="K735" s="320">
        <v>68</v>
      </c>
      <c r="L735" s="320">
        <v>38.75</v>
      </c>
      <c r="M735" s="320">
        <v>1</v>
      </c>
      <c r="N735" s="320">
        <v>39.25</v>
      </c>
      <c r="O735" s="320">
        <v>2</v>
      </c>
      <c r="P735" s="321">
        <v>18000000</v>
      </c>
      <c r="Q735" s="320">
        <v>43.1</v>
      </c>
      <c r="R735" s="320">
        <v>35.299999999999997</v>
      </c>
    </row>
    <row r="736" spans="2:18">
      <c r="B736" s="319">
        <v>6629</v>
      </c>
      <c r="C736" s="319" t="s">
        <v>1159</v>
      </c>
      <c r="D736" s="320">
        <v>62.6</v>
      </c>
      <c r="E736" s="320">
        <v>0.6</v>
      </c>
      <c r="F736" s="320">
        <v>61.8</v>
      </c>
      <c r="G736" s="320">
        <v>62.6</v>
      </c>
      <c r="H736" s="320">
        <v>61.8</v>
      </c>
      <c r="I736" s="321">
        <v>3000</v>
      </c>
      <c r="J736" s="321">
        <v>186200</v>
      </c>
      <c r="K736" s="320">
        <v>3</v>
      </c>
      <c r="L736" s="320">
        <v>60.3</v>
      </c>
      <c r="M736" s="320">
        <v>1</v>
      </c>
      <c r="N736" s="320">
        <v>62.5</v>
      </c>
      <c r="O736" s="320">
        <v>1</v>
      </c>
      <c r="P736" s="321">
        <v>35661733</v>
      </c>
      <c r="Q736" s="320">
        <v>68.8</v>
      </c>
      <c r="R736" s="320">
        <v>56.4</v>
      </c>
    </row>
    <row r="737" spans="2:18">
      <c r="B737" s="319">
        <v>6640</v>
      </c>
      <c r="C737" s="319" t="s">
        <v>1160</v>
      </c>
      <c r="D737" s="320">
        <v>105.5</v>
      </c>
      <c r="E737" s="320">
        <v>3</v>
      </c>
      <c r="F737" s="320">
        <v>104.5</v>
      </c>
      <c r="G737" s="320">
        <v>105.5</v>
      </c>
      <c r="H737" s="320">
        <v>104</v>
      </c>
      <c r="I737" s="321">
        <v>21000</v>
      </c>
      <c r="J737" s="321">
        <v>2204500</v>
      </c>
      <c r="K737" s="320">
        <v>17</v>
      </c>
      <c r="L737" s="320">
        <v>105</v>
      </c>
      <c r="M737" s="320">
        <v>1</v>
      </c>
      <c r="N737" s="320">
        <v>106</v>
      </c>
      <c r="O737" s="320">
        <v>5</v>
      </c>
      <c r="P737" s="321">
        <v>28276500</v>
      </c>
      <c r="Q737" s="320">
        <v>116</v>
      </c>
      <c r="R737" s="320">
        <v>95</v>
      </c>
    </row>
    <row r="738" spans="2:18">
      <c r="B738" s="319">
        <v>6642</v>
      </c>
      <c r="C738" s="319" t="s">
        <v>1161</v>
      </c>
      <c r="D738" s="320">
        <v>69.599999999999994</v>
      </c>
      <c r="E738" s="320">
        <v>-2</v>
      </c>
      <c r="F738" s="320">
        <v>71.599999999999994</v>
      </c>
      <c r="G738" s="320">
        <v>71.599999999999994</v>
      </c>
      <c r="H738" s="320">
        <v>69</v>
      </c>
      <c r="I738" s="321">
        <v>80000</v>
      </c>
      <c r="J738" s="321">
        <v>5603800</v>
      </c>
      <c r="K738" s="320">
        <v>56</v>
      </c>
      <c r="L738" s="320">
        <v>69.599999999999994</v>
      </c>
      <c r="M738" s="320">
        <v>4</v>
      </c>
      <c r="N738" s="320">
        <v>69.8</v>
      </c>
      <c r="O738" s="320">
        <v>1</v>
      </c>
      <c r="P738" s="321">
        <v>37399662</v>
      </c>
      <c r="Q738" s="320">
        <v>76.5</v>
      </c>
      <c r="R738" s="320">
        <v>62.7</v>
      </c>
    </row>
    <row r="739" spans="2:18">
      <c r="B739" s="319">
        <v>6643</v>
      </c>
      <c r="C739" s="319" t="s">
        <v>1162</v>
      </c>
      <c r="D739" s="320">
        <v>392.5</v>
      </c>
      <c r="E739" s="320">
        <v>-0.5</v>
      </c>
      <c r="F739" s="320">
        <v>396</v>
      </c>
      <c r="G739" s="320">
        <v>399</v>
      </c>
      <c r="H739" s="320">
        <v>390.5</v>
      </c>
      <c r="I739" s="321">
        <v>257000</v>
      </c>
      <c r="J739" s="321">
        <v>101353000</v>
      </c>
      <c r="K739" s="320">
        <v>219</v>
      </c>
      <c r="L739" s="320">
        <v>392.5</v>
      </c>
      <c r="M739" s="320">
        <v>3</v>
      </c>
      <c r="N739" s="320">
        <v>393</v>
      </c>
      <c r="O739" s="320">
        <v>1</v>
      </c>
      <c r="P739" s="321">
        <v>31606000</v>
      </c>
      <c r="Q739" s="320">
        <v>431.5</v>
      </c>
      <c r="R739" s="320">
        <v>353.5</v>
      </c>
    </row>
    <row r="740" spans="2:18">
      <c r="B740" s="319">
        <v>6649</v>
      </c>
      <c r="C740" s="319" t="s">
        <v>1163</v>
      </c>
      <c r="D740" s="320">
        <v>24.95</v>
      </c>
      <c r="E740" s="320">
        <v>-0.8</v>
      </c>
      <c r="F740" s="320">
        <v>24.75</v>
      </c>
      <c r="G740" s="320">
        <v>25.75</v>
      </c>
      <c r="H740" s="320">
        <v>24.65</v>
      </c>
      <c r="I740" s="321">
        <v>21000</v>
      </c>
      <c r="J740" s="321">
        <v>523450</v>
      </c>
      <c r="K740" s="320">
        <v>18</v>
      </c>
      <c r="L740" s="320">
        <v>24.9</v>
      </c>
      <c r="M740" s="320">
        <v>1</v>
      </c>
      <c r="N740" s="320">
        <v>25.7</v>
      </c>
      <c r="O740" s="320">
        <v>3</v>
      </c>
      <c r="P740" s="321">
        <v>42000000</v>
      </c>
      <c r="Q740" s="320">
        <v>27.4</v>
      </c>
      <c r="R740" s="320">
        <v>22.5</v>
      </c>
    </row>
    <row r="741" spans="2:18">
      <c r="B741" s="319">
        <v>6651</v>
      </c>
      <c r="C741" s="319" t="s">
        <v>1164</v>
      </c>
      <c r="D741" s="320">
        <v>106</v>
      </c>
      <c r="E741" s="320">
        <v>2</v>
      </c>
      <c r="F741" s="320">
        <v>104.5</v>
      </c>
      <c r="G741" s="320">
        <v>107.5</v>
      </c>
      <c r="H741" s="320">
        <v>104</v>
      </c>
      <c r="I741" s="321">
        <v>167000</v>
      </c>
      <c r="J741" s="321">
        <v>17760000</v>
      </c>
      <c r="K741" s="320">
        <v>120</v>
      </c>
      <c r="L741" s="320">
        <v>106</v>
      </c>
      <c r="M741" s="320">
        <v>2</v>
      </c>
      <c r="N741" s="320">
        <v>106.5</v>
      </c>
      <c r="O741" s="320">
        <v>2</v>
      </c>
      <c r="P741" s="321">
        <v>32963222</v>
      </c>
      <c r="Q741" s="320">
        <v>116.5</v>
      </c>
      <c r="R741" s="320">
        <v>95.4</v>
      </c>
    </row>
    <row r="742" spans="2:18">
      <c r="B742" s="319">
        <v>6654</v>
      </c>
      <c r="C742" s="319" t="s">
        <v>1165</v>
      </c>
      <c r="D742" s="320">
        <v>92.8</v>
      </c>
      <c r="E742" s="320">
        <v>0.5</v>
      </c>
      <c r="F742" s="320">
        <v>92.9</v>
      </c>
      <c r="G742" s="320">
        <v>95</v>
      </c>
      <c r="H742" s="320">
        <v>92.1</v>
      </c>
      <c r="I742" s="321">
        <v>191000</v>
      </c>
      <c r="J742" s="321">
        <v>17849000</v>
      </c>
      <c r="K742" s="320">
        <v>143</v>
      </c>
      <c r="L742" s="320">
        <v>92.8</v>
      </c>
      <c r="M742" s="320">
        <v>4</v>
      </c>
      <c r="N742" s="320">
        <v>93.2</v>
      </c>
      <c r="O742" s="320">
        <v>3</v>
      </c>
      <c r="P742" s="321">
        <v>33262720</v>
      </c>
      <c r="Q742" s="320">
        <v>102</v>
      </c>
      <c r="R742" s="320">
        <v>83.6</v>
      </c>
    </row>
    <row r="743" spans="2:18">
      <c r="B743" s="319">
        <v>6661</v>
      </c>
      <c r="C743" s="319" t="s">
        <v>1166</v>
      </c>
      <c r="D743" s="320">
        <v>24.05</v>
      </c>
      <c r="E743" s="320">
        <v>0.05</v>
      </c>
      <c r="F743" s="320">
        <v>24.35</v>
      </c>
      <c r="G743" s="320">
        <v>24.35</v>
      </c>
      <c r="H743" s="320">
        <v>24.05</v>
      </c>
      <c r="I743" s="321">
        <v>10000</v>
      </c>
      <c r="J743" s="321">
        <v>241200</v>
      </c>
      <c r="K743" s="320">
        <v>9</v>
      </c>
      <c r="L743" s="320">
        <v>24.05</v>
      </c>
      <c r="M743" s="320">
        <v>1</v>
      </c>
      <c r="N743" s="320">
        <v>24.25</v>
      </c>
      <c r="O743" s="320">
        <v>1</v>
      </c>
      <c r="P743" s="321">
        <v>23304248</v>
      </c>
      <c r="Q743" s="320">
        <v>26.45</v>
      </c>
      <c r="R743" s="320">
        <v>21.65</v>
      </c>
    </row>
    <row r="744" spans="2:18">
      <c r="B744" s="319">
        <v>6662</v>
      </c>
      <c r="C744" s="319" t="s">
        <v>1167</v>
      </c>
      <c r="D744" s="320">
        <v>30.6</v>
      </c>
      <c r="E744" s="320">
        <v>0.1</v>
      </c>
      <c r="F744" s="320">
        <v>30.2</v>
      </c>
      <c r="G744" s="320">
        <v>30.6</v>
      </c>
      <c r="H744" s="320">
        <v>30</v>
      </c>
      <c r="I744" s="321">
        <v>18000</v>
      </c>
      <c r="J744" s="321">
        <v>542450</v>
      </c>
      <c r="K744" s="320">
        <v>12</v>
      </c>
      <c r="L744" s="320">
        <v>30.25</v>
      </c>
      <c r="M744" s="320">
        <v>1</v>
      </c>
      <c r="N744" s="320">
        <v>30.4</v>
      </c>
      <c r="O744" s="320">
        <v>2</v>
      </c>
      <c r="P744" s="321">
        <v>25612400</v>
      </c>
      <c r="Q744" s="320">
        <v>33.65</v>
      </c>
      <c r="R744" s="320">
        <v>27.55</v>
      </c>
    </row>
    <row r="745" spans="2:18">
      <c r="B745" s="319">
        <v>6664</v>
      </c>
      <c r="C745" s="319" t="s">
        <v>1168</v>
      </c>
      <c r="D745" s="320">
        <v>76.099999999999994</v>
      </c>
      <c r="E745" s="320">
        <v>0.2</v>
      </c>
      <c r="F745" s="320">
        <v>76</v>
      </c>
      <c r="G745" s="320">
        <v>77</v>
      </c>
      <c r="H745" s="320">
        <v>74.5</v>
      </c>
      <c r="I745" s="321">
        <v>305000</v>
      </c>
      <c r="J745" s="321">
        <v>23148700</v>
      </c>
      <c r="K745" s="320">
        <v>226</v>
      </c>
      <c r="L745" s="320">
        <v>76</v>
      </c>
      <c r="M745" s="320">
        <v>11</v>
      </c>
      <c r="N745" s="320">
        <v>76.099999999999994</v>
      </c>
      <c r="O745" s="320">
        <v>1</v>
      </c>
      <c r="P745" s="321">
        <v>55000000</v>
      </c>
      <c r="Q745" s="320">
        <v>83.7</v>
      </c>
      <c r="R745" s="320">
        <v>68.5</v>
      </c>
    </row>
    <row r="746" spans="2:18">
      <c r="B746" s="319">
        <v>6667</v>
      </c>
      <c r="C746" s="319" t="s">
        <v>1169</v>
      </c>
      <c r="D746" s="320">
        <v>79.400000000000006</v>
      </c>
      <c r="E746" s="320">
        <v>1</v>
      </c>
      <c r="F746" s="320">
        <v>79.099999999999994</v>
      </c>
      <c r="G746" s="320">
        <v>80.599999999999994</v>
      </c>
      <c r="H746" s="320">
        <v>77.5</v>
      </c>
      <c r="I746" s="321">
        <v>784000</v>
      </c>
      <c r="J746" s="321">
        <v>62191100</v>
      </c>
      <c r="K746" s="320">
        <v>522</v>
      </c>
      <c r="L746" s="320">
        <v>79.2</v>
      </c>
      <c r="M746" s="320">
        <v>5</v>
      </c>
      <c r="N746" s="320">
        <v>79.599999999999994</v>
      </c>
      <c r="O746" s="320">
        <v>12</v>
      </c>
      <c r="P746" s="321">
        <v>39778878</v>
      </c>
      <c r="Q746" s="320">
        <v>87.3</v>
      </c>
      <c r="R746" s="320">
        <v>71.5</v>
      </c>
    </row>
    <row r="747" spans="2:18">
      <c r="B747" s="319">
        <v>6679</v>
      </c>
      <c r="C747" s="319" t="s">
        <v>1170</v>
      </c>
      <c r="D747" s="320">
        <v>391.5</v>
      </c>
      <c r="E747" s="320">
        <v>-4</v>
      </c>
      <c r="F747" s="320">
        <v>400.5</v>
      </c>
      <c r="G747" s="320">
        <v>400.5</v>
      </c>
      <c r="H747" s="320">
        <v>391.5</v>
      </c>
      <c r="I747" s="321">
        <v>311000</v>
      </c>
      <c r="J747" s="321">
        <v>122434500</v>
      </c>
      <c r="K747" s="320">
        <v>275</v>
      </c>
      <c r="L747" s="320">
        <v>391.5</v>
      </c>
      <c r="M747" s="320">
        <v>12</v>
      </c>
      <c r="N747" s="320">
        <v>392</v>
      </c>
      <c r="O747" s="320">
        <v>2</v>
      </c>
      <c r="P747" s="321">
        <v>42529335</v>
      </c>
      <c r="Q747" s="320">
        <v>430.5</v>
      </c>
      <c r="R747" s="320">
        <v>352.5</v>
      </c>
    </row>
    <row r="748" spans="2:18">
      <c r="B748" s="319">
        <v>6680</v>
      </c>
      <c r="C748" s="319" t="s">
        <v>1171</v>
      </c>
      <c r="D748" s="320" t="s">
        <v>478</v>
      </c>
      <c r="E748" s="320" t="s">
        <v>479</v>
      </c>
      <c r="F748" s="320" t="s">
        <v>478</v>
      </c>
      <c r="G748" s="320" t="s">
        <v>478</v>
      </c>
      <c r="H748" s="320" t="s">
        <v>478</v>
      </c>
      <c r="I748" s="320">
        <v>0</v>
      </c>
      <c r="J748" s="320">
        <v>0</v>
      </c>
      <c r="K748" s="320">
        <v>0</v>
      </c>
      <c r="L748" s="320">
        <v>49.1</v>
      </c>
      <c r="M748" s="320">
        <v>2</v>
      </c>
      <c r="N748" s="320">
        <v>50.3</v>
      </c>
      <c r="O748" s="320">
        <v>1</v>
      </c>
      <c r="P748" s="321">
        <v>18550000</v>
      </c>
      <c r="Q748" s="320">
        <v>55</v>
      </c>
      <c r="R748" s="320">
        <v>45</v>
      </c>
    </row>
    <row r="749" spans="2:18">
      <c r="B749" s="319">
        <v>6683</v>
      </c>
      <c r="C749" s="319" t="s">
        <v>1172</v>
      </c>
      <c r="D749" s="320">
        <v>317.5</v>
      </c>
      <c r="E749" s="320">
        <v>4.5</v>
      </c>
      <c r="F749" s="320">
        <v>313.5</v>
      </c>
      <c r="G749" s="320">
        <v>321</v>
      </c>
      <c r="H749" s="320">
        <v>313.5</v>
      </c>
      <c r="I749" s="321">
        <v>176000</v>
      </c>
      <c r="J749" s="321">
        <v>55918000</v>
      </c>
      <c r="K749" s="320">
        <v>159</v>
      </c>
      <c r="L749" s="320">
        <v>317</v>
      </c>
      <c r="M749" s="320">
        <v>2</v>
      </c>
      <c r="N749" s="320">
        <v>318</v>
      </c>
      <c r="O749" s="320">
        <v>2</v>
      </c>
      <c r="P749" s="321">
        <v>27075661</v>
      </c>
      <c r="Q749" s="320">
        <v>349</v>
      </c>
      <c r="R749" s="320">
        <v>286</v>
      </c>
    </row>
    <row r="750" spans="2:18">
      <c r="B750" s="319">
        <v>6684</v>
      </c>
      <c r="C750" s="319" t="s">
        <v>301</v>
      </c>
      <c r="D750" s="320">
        <v>170</v>
      </c>
      <c r="E750" s="320">
        <v>9</v>
      </c>
      <c r="F750" s="320">
        <v>165.5</v>
      </c>
      <c r="G750" s="320">
        <v>173.5</v>
      </c>
      <c r="H750" s="320">
        <v>164.5</v>
      </c>
      <c r="I750" s="321">
        <v>916000</v>
      </c>
      <c r="J750" s="321">
        <v>155821000</v>
      </c>
      <c r="K750" s="320">
        <v>771</v>
      </c>
      <c r="L750" s="320">
        <v>170</v>
      </c>
      <c r="M750" s="320">
        <v>9</v>
      </c>
      <c r="N750" s="320">
        <v>170.5</v>
      </c>
      <c r="O750" s="320">
        <v>8</v>
      </c>
      <c r="P750" s="321">
        <v>24458000</v>
      </c>
      <c r="Q750" s="320">
        <v>187</v>
      </c>
      <c r="R750" s="320">
        <v>153</v>
      </c>
    </row>
    <row r="751" spans="2:18">
      <c r="B751" s="319">
        <v>6690</v>
      </c>
      <c r="C751" s="319" t="s">
        <v>1173</v>
      </c>
      <c r="D751" s="320">
        <v>131.5</v>
      </c>
      <c r="E751" s="320">
        <v>0.5</v>
      </c>
      <c r="F751" s="320">
        <v>128.5</v>
      </c>
      <c r="G751" s="320">
        <v>132</v>
      </c>
      <c r="H751" s="320">
        <v>128.5</v>
      </c>
      <c r="I751" s="321">
        <v>28000</v>
      </c>
      <c r="J751" s="321">
        <v>3671500</v>
      </c>
      <c r="K751" s="320">
        <v>26</v>
      </c>
      <c r="L751" s="320">
        <v>131</v>
      </c>
      <c r="M751" s="320">
        <v>5</v>
      </c>
      <c r="N751" s="320">
        <v>131.5</v>
      </c>
      <c r="O751" s="320">
        <v>2</v>
      </c>
      <c r="P751" s="321">
        <v>16999720</v>
      </c>
      <c r="Q751" s="320">
        <v>144.5</v>
      </c>
      <c r="R751" s="320">
        <v>118.5</v>
      </c>
    </row>
    <row r="752" spans="2:18">
      <c r="B752" s="319">
        <v>6697</v>
      </c>
      <c r="C752" s="319" t="s">
        <v>1174</v>
      </c>
      <c r="D752" s="320">
        <v>38.450000000000003</v>
      </c>
      <c r="E752" s="320">
        <v>-0.5</v>
      </c>
      <c r="F752" s="320">
        <v>38.4</v>
      </c>
      <c r="G752" s="320">
        <v>38.950000000000003</v>
      </c>
      <c r="H752" s="320">
        <v>38.4</v>
      </c>
      <c r="I752" s="321">
        <v>4000</v>
      </c>
      <c r="J752" s="321">
        <v>154250</v>
      </c>
      <c r="K752" s="320">
        <v>4</v>
      </c>
      <c r="L752" s="320">
        <v>38.4</v>
      </c>
      <c r="M752" s="320">
        <v>2</v>
      </c>
      <c r="N752" s="320">
        <v>38.950000000000003</v>
      </c>
      <c r="O752" s="320">
        <v>3</v>
      </c>
      <c r="P752" s="321">
        <v>27323364</v>
      </c>
      <c r="Q752" s="320">
        <v>42.25</v>
      </c>
      <c r="R752" s="320">
        <v>34.65</v>
      </c>
    </row>
    <row r="753" spans="2:18">
      <c r="B753" s="319">
        <v>6703</v>
      </c>
      <c r="C753" s="319" t="s">
        <v>1175</v>
      </c>
      <c r="D753" s="320">
        <v>85.6</v>
      </c>
      <c r="E753" s="320">
        <v>-0.4</v>
      </c>
      <c r="F753" s="320">
        <v>85.3</v>
      </c>
      <c r="G753" s="320">
        <v>85.6</v>
      </c>
      <c r="H753" s="320">
        <v>85.1</v>
      </c>
      <c r="I753" s="321">
        <v>9000</v>
      </c>
      <c r="J753" s="321">
        <v>767300</v>
      </c>
      <c r="K753" s="320">
        <v>9</v>
      </c>
      <c r="L753" s="320">
        <v>85.4</v>
      </c>
      <c r="M753" s="320">
        <v>1</v>
      </c>
      <c r="N753" s="320">
        <v>86</v>
      </c>
      <c r="O753" s="320">
        <v>2</v>
      </c>
      <c r="P753" s="321">
        <v>20800000</v>
      </c>
      <c r="Q753" s="320">
        <v>94.1</v>
      </c>
      <c r="R753" s="320">
        <v>77.099999999999994</v>
      </c>
    </row>
    <row r="754" spans="2:18">
      <c r="B754" s="319">
        <v>6712</v>
      </c>
      <c r="C754" s="319" t="s">
        <v>1176</v>
      </c>
      <c r="D754" s="320">
        <v>209</v>
      </c>
      <c r="E754" s="320">
        <v>-4.5</v>
      </c>
      <c r="F754" s="320">
        <v>213.5</v>
      </c>
      <c r="G754" s="320">
        <v>216</v>
      </c>
      <c r="H754" s="320">
        <v>208.5</v>
      </c>
      <c r="I754" s="321">
        <v>463000</v>
      </c>
      <c r="J754" s="321">
        <v>97741000</v>
      </c>
      <c r="K754" s="320">
        <v>415</v>
      </c>
      <c r="L754" s="320">
        <v>209</v>
      </c>
      <c r="M754" s="320">
        <v>7</v>
      </c>
      <c r="N754" s="320">
        <v>209.5</v>
      </c>
      <c r="O754" s="320">
        <v>11</v>
      </c>
      <c r="P754" s="321">
        <v>61818000</v>
      </c>
      <c r="Q754" s="320">
        <v>229.5</v>
      </c>
      <c r="R754" s="320">
        <v>188.5</v>
      </c>
    </row>
    <row r="755" spans="2:18">
      <c r="B755" s="319">
        <v>6716</v>
      </c>
      <c r="C755" s="319" t="s">
        <v>1177</v>
      </c>
      <c r="D755" s="320">
        <v>151</v>
      </c>
      <c r="E755" s="320">
        <v>-1</v>
      </c>
      <c r="F755" s="320">
        <v>154</v>
      </c>
      <c r="G755" s="320">
        <v>154</v>
      </c>
      <c r="H755" s="320">
        <v>151</v>
      </c>
      <c r="I755" s="321">
        <v>32000</v>
      </c>
      <c r="J755" s="321">
        <v>4876500</v>
      </c>
      <c r="K755" s="320">
        <v>30</v>
      </c>
      <c r="L755" s="320">
        <v>151</v>
      </c>
      <c r="M755" s="320">
        <v>2</v>
      </c>
      <c r="N755" s="320">
        <v>152.5</v>
      </c>
      <c r="O755" s="320">
        <v>2</v>
      </c>
      <c r="P755" s="321">
        <v>24523400</v>
      </c>
      <c r="Q755" s="320">
        <v>166</v>
      </c>
      <c r="R755" s="320">
        <v>136</v>
      </c>
    </row>
    <row r="756" spans="2:18">
      <c r="B756" s="319">
        <v>6727</v>
      </c>
      <c r="C756" s="319" t="s">
        <v>1178</v>
      </c>
      <c r="D756" s="320">
        <v>70.7</v>
      </c>
      <c r="E756" s="320">
        <v>-1.1000000000000001</v>
      </c>
      <c r="F756" s="320">
        <v>71.8</v>
      </c>
      <c r="G756" s="320">
        <v>71.900000000000006</v>
      </c>
      <c r="H756" s="320">
        <v>70.7</v>
      </c>
      <c r="I756" s="321">
        <v>126000</v>
      </c>
      <c r="J756" s="321">
        <v>8965400</v>
      </c>
      <c r="K756" s="320">
        <v>105</v>
      </c>
      <c r="L756" s="320">
        <v>70.7</v>
      </c>
      <c r="M756" s="320">
        <v>4</v>
      </c>
      <c r="N756" s="320">
        <v>70.8</v>
      </c>
      <c r="O756" s="320">
        <v>2</v>
      </c>
      <c r="P756" s="321">
        <v>21001977</v>
      </c>
      <c r="Q756" s="320">
        <v>77.7</v>
      </c>
      <c r="R756" s="320">
        <v>63.7</v>
      </c>
    </row>
    <row r="757" spans="2:18">
      <c r="B757" s="319">
        <v>6728</v>
      </c>
      <c r="C757" s="319" t="s">
        <v>1179</v>
      </c>
      <c r="D757" s="320">
        <v>92.1</v>
      </c>
      <c r="E757" s="320">
        <v>0</v>
      </c>
      <c r="F757" s="320">
        <v>92.5</v>
      </c>
      <c r="G757" s="320">
        <v>92.5</v>
      </c>
      <c r="H757" s="320">
        <v>91.7</v>
      </c>
      <c r="I757" s="321">
        <v>8000</v>
      </c>
      <c r="J757" s="321">
        <v>737300</v>
      </c>
      <c r="K757" s="320">
        <v>8</v>
      </c>
      <c r="L757" s="320">
        <v>91.8</v>
      </c>
      <c r="M757" s="320">
        <v>1</v>
      </c>
      <c r="N757" s="320">
        <v>92.2</v>
      </c>
      <c r="O757" s="320">
        <v>2</v>
      </c>
      <c r="P757" s="321">
        <v>23000000</v>
      </c>
      <c r="Q757" s="320">
        <v>101</v>
      </c>
      <c r="R757" s="320">
        <v>82.9</v>
      </c>
    </row>
    <row r="758" spans="2:18">
      <c r="B758" s="319">
        <v>6732</v>
      </c>
      <c r="C758" s="319" t="s">
        <v>1180</v>
      </c>
      <c r="D758" s="320">
        <v>513</v>
      </c>
      <c r="E758" s="320">
        <v>-7</v>
      </c>
      <c r="F758" s="320">
        <v>524</v>
      </c>
      <c r="G758" s="320">
        <v>524</v>
      </c>
      <c r="H758" s="320">
        <v>512</v>
      </c>
      <c r="I758" s="321">
        <v>171000</v>
      </c>
      <c r="J758" s="321">
        <v>87958000</v>
      </c>
      <c r="K758" s="320">
        <v>152</v>
      </c>
      <c r="L758" s="320">
        <v>513</v>
      </c>
      <c r="M758" s="320">
        <v>1</v>
      </c>
      <c r="N758" s="320">
        <v>515</v>
      </c>
      <c r="O758" s="320">
        <v>1</v>
      </c>
      <c r="P758" s="321">
        <v>48912618</v>
      </c>
      <c r="Q758" s="320">
        <v>564</v>
      </c>
      <c r="R758" s="320">
        <v>462</v>
      </c>
    </row>
    <row r="759" spans="2:18">
      <c r="B759" s="319">
        <v>6733</v>
      </c>
      <c r="C759" s="319" t="s">
        <v>1181</v>
      </c>
      <c r="D759" s="320">
        <v>27</v>
      </c>
      <c r="E759" s="320">
        <v>0.6</v>
      </c>
      <c r="F759" s="320">
        <v>26.85</v>
      </c>
      <c r="G759" s="320">
        <v>27.15</v>
      </c>
      <c r="H759" s="320">
        <v>26.85</v>
      </c>
      <c r="I759" s="321">
        <v>154000</v>
      </c>
      <c r="J759" s="321">
        <v>4160300</v>
      </c>
      <c r="K759" s="320">
        <v>74</v>
      </c>
      <c r="L759" s="320">
        <v>26.85</v>
      </c>
      <c r="M759" s="320">
        <v>1</v>
      </c>
      <c r="N759" s="320">
        <v>27</v>
      </c>
      <c r="O759" s="320">
        <v>15</v>
      </c>
      <c r="P759" s="321">
        <v>103076026</v>
      </c>
      <c r="Q759" s="320">
        <v>29.7</v>
      </c>
      <c r="R759" s="320">
        <v>24.3</v>
      </c>
    </row>
    <row r="760" spans="2:18">
      <c r="B760" s="319">
        <v>6741</v>
      </c>
      <c r="C760" s="319" t="s">
        <v>1182</v>
      </c>
      <c r="D760" s="320">
        <v>262</v>
      </c>
      <c r="E760" s="320">
        <v>0</v>
      </c>
      <c r="F760" s="320">
        <v>261</v>
      </c>
      <c r="G760" s="320">
        <v>268.5</v>
      </c>
      <c r="H760" s="320">
        <v>261</v>
      </c>
      <c r="I760" s="321">
        <v>196000</v>
      </c>
      <c r="J760" s="321">
        <v>51634500</v>
      </c>
      <c r="K760" s="320">
        <v>170</v>
      </c>
      <c r="L760" s="320">
        <v>262</v>
      </c>
      <c r="M760" s="320">
        <v>28</v>
      </c>
      <c r="N760" s="320">
        <v>263.5</v>
      </c>
      <c r="O760" s="320">
        <v>1</v>
      </c>
      <c r="P760" s="321">
        <v>120577997</v>
      </c>
      <c r="Q760" s="320">
        <v>288</v>
      </c>
      <c r="R760" s="320">
        <v>236</v>
      </c>
    </row>
    <row r="761" spans="2:18">
      <c r="B761" s="319">
        <v>6747</v>
      </c>
      <c r="C761" s="319" t="s">
        <v>1183</v>
      </c>
      <c r="D761" s="320">
        <v>291</v>
      </c>
      <c r="E761" s="320">
        <v>4</v>
      </c>
      <c r="F761" s="320">
        <v>288</v>
      </c>
      <c r="G761" s="320">
        <v>292</v>
      </c>
      <c r="H761" s="320">
        <v>288</v>
      </c>
      <c r="I761" s="321">
        <v>14000</v>
      </c>
      <c r="J761" s="321">
        <v>4068000</v>
      </c>
      <c r="K761" s="320">
        <v>11</v>
      </c>
      <c r="L761" s="320">
        <v>291.5</v>
      </c>
      <c r="M761" s="320">
        <v>2</v>
      </c>
      <c r="N761" s="320">
        <v>292</v>
      </c>
      <c r="O761" s="320">
        <v>1</v>
      </c>
      <c r="P761" s="321">
        <v>24189000</v>
      </c>
      <c r="Q761" s="320">
        <v>320</v>
      </c>
      <c r="R761" s="320">
        <v>262</v>
      </c>
    </row>
    <row r="762" spans="2:18">
      <c r="B762" s="319">
        <v>6751</v>
      </c>
      <c r="C762" s="319" t="s">
        <v>1184</v>
      </c>
      <c r="D762" s="320">
        <v>49.05</v>
      </c>
      <c r="E762" s="320">
        <v>-0.8</v>
      </c>
      <c r="F762" s="320">
        <v>49.8</v>
      </c>
      <c r="G762" s="320">
        <v>49.8</v>
      </c>
      <c r="H762" s="320">
        <v>48.85</v>
      </c>
      <c r="I762" s="321">
        <v>72000</v>
      </c>
      <c r="J762" s="321">
        <v>3551200</v>
      </c>
      <c r="K762" s="320">
        <v>58</v>
      </c>
      <c r="L762" s="320">
        <v>49</v>
      </c>
      <c r="M762" s="320">
        <v>4</v>
      </c>
      <c r="N762" s="320">
        <v>49.4</v>
      </c>
      <c r="O762" s="320">
        <v>1</v>
      </c>
      <c r="P762" s="321">
        <v>13030000</v>
      </c>
      <c r="Q762" s="320">
        <v>53.9</v>
      </c>
      <c r="R762" s="320">
        <v>44.15</v>
      </c>
    </row>
    <row r="763" spans="2:18">
      <c r="B763" s="319">
        <v>6752</v>
      </c>
      <c r="C763" s="319" t="s">
        <v>1185</v>
      </c>
      <c r="D763" s="320">
        <v>56.4</v>
      </c>
      <c r="E763" s="320">
        <v>-0.6</v>
      </c>
      <c r="F763" s="320">
        <v>57.2</v>
      </c>
      <c r="G763" s="320">
        <v>57.2</v>
      </c>
      <c r="H763" s="320">
        <v>55</v>
      </c>
      <c r="I763" s="321">
        <v>78000</v>
      </c>
      <c r="J763" s="321">
        <v>4392000</v>
      </c>
      <c r="K763" s="320">
        <v>57</v>
      </c>
      <c r="L763" s="320">
        <v>55</v>
      </c>
      <c r="M763" s="320">
        <v>1</v>
      </c>
      <c r="N763" s="320">
        <v>56.5</v>
      </c>
      <c r="O763" s="320">
        <v>1</v>
      </c>
      <c r="P763" s="321">
        <v>28302000</v>
      </c>
      <c r="Q763" s="320">
        <v>62</v>
      </c>
      <c r="R763" s="320">
        <v>50.8</v>
      </c>
    </row>
    <row r="764" spans="2:18">
      <c r="B764" s="319">
        <v>6761</v>
      </c>
      <c r="C764" s="319" t="s">
        <v>332</v>
      </c>
      <c r="D764" s="320">
        <v>154.5</v>
      </c>
      <c r="E764" s="320">
        <v>1</v>
      </c>
      <c r="F764" s="320">
        <v>153.5</v>
      </c>
      <c r="G764" s="320">
        <v>156</v>
      </c>
      <c r="H764" s="320">
        <v>153.5</v>
      </c>
      <c r="I764" s="321">
        <v>73000</v>
      </c>
      <c r="J764" s="321">
        <v>11319500</v>
      </c>
      <c r="K764" s="320">
        <v>69</v>
      </c>
      <c r="L764" s="320">
        <v>154.5</v>
      </c>
      <c r="M764" s="320">
        <v>9</v>
      </c>
      <c r="N764" s="320">
        <v>156</v>
      </c>
      <c r="O764" s="320">
        <v>1</v>
      </c>
      <c r="P764" s="321">
        <v>23908513</v>
      </c>
      <c r="Q764" s="320">
        <v>169.5</v>
      </c>
      <c r="R764" s="320">
        <v>139.5</v>
      </c>
    </row>
    <row r="765" spans="2:18">
      <c r="B765" s="319">
        <v>6762</v>
      </c>
      <c r="C765" s="319" t="s">
        <v>1186</v>
      </c>
      <c r="D765" s="320">
        <v>264.5</v>
      </c>
      <c r="E765" s="320">
        <v>0.5</v>
      </c>
      <c r="F765" s="320">
        <v>264.5</v>
      </c>
      <c r="G765" s="320">
        <v>265</v>
      </c>
      <c r="H765" s="320">
        <v>264.5</v>
      </c>
      <c r="I765" s="321">
        <v>6000</v>
      </c>
      <c r="J765" s="321">
        <v>1588000</v>
      </c>
      <c r="K765" s="320">
        <v>6</v>
      </c>
      <c r="L765" s="320">
        <v>264</v>
      </c>
      <c r="M765" s="320">
        <v>1</v>
      </c>
      <c r="N765" s="320">
        <v>270.5</v>
      </c>
      <c r="O765" s="320">
        <v>2</v>
      </c>
      <c r="P765" s="321">
        <v>21574368</v>
      </c>
      <c r="Q765" s="320">
        <v>290.5</v>
      </c>
      <c r="R765" s="320">
        <v>238.5</v>
      </c>
    </row>
    <row r="766" spans="2:18">
      <c r="B766" s="319">
        <v>6767</v>
      </c>
      <c r="C766" s="319" t="s">
        <v>1187</v>
      </c>
      <c r="D766" s="320">
        <v>32.9</v>
      </c>
      <c r="E766" s="320">
        <v>0.1</v>
      </c>
      <c r="F766" s="320">
        <v>32.549999999999997</v>
      </c>
      <c r="G766" s="320">
        <v>33.049999999999997</v>
      </c>
      <c r="H766" s="320">
        <v>32.5</v>
      </c>
      <c r="I766" s="321">
        <v>29000</v>
      </c>
      <c r="J766" s="321">
        <v>946500</v>
      </c>
      <c r="K766" s="320">
        <v>21</v>
      </c>
      <c r="L766" s="320">
        <v>32.5</v>
      </c>
      <c r="M766" s="320">
        <v>5</v>
      </c>
      <c r="N766" s="320">
        <v>32.9</v>
      </c>
      <c r="O766" s="320">
        <v>3</v>
      </c>
      <c r="P766" s="321">
        <v>29109000</v>
      </c>
      <c r="Q766" s="320">
        <v>36.15</v>
      </c>
      <c r="R766" s="320">
        <v>29.65</v>
      </c>
    </row>
    <row r="767" spans="2:18">
      <c r="B767" s="319">
        <v>6788</v>
      </c>
      <c r="C767" s="319" t="s">
        <v>344</v>
      </c>
      <c r="D767" s="320">
        <v>196</v>
      </c>
      <c r="E767" s="320">
        <v>-3</v>
      </c>
      <c r="F767" s="320">
        <v>200</v>
      </c>
      <c r="G767" s="320">
        <v>200</v>
      </c>
      <c r="H767" s="320">
        <v>195.5</v>
      </c>
      <c r="I767" s="321">
        <v>170000</v>
      </c>
      <c r="J767" s="321">
        <v>33522000</v>
      </c>
      <c r="K767" s="320">
        <v>144</v>
      </c>
      <c r="L767" s="320">
        <v>196</v>
      </c>
      <c r="M767" s="320">
        <v>4</v>
      </c>
      <c r="N767" s="320">
        <v>196.5</v>
      </c>
      <c r="O767" s="320">
        <v>6</v>
      </c>
      <c r="P767" s="321">
        <v>34739683</v>
      </c>
      <c r="Q767" s="320">
        <v>215.5</v>
      </c>
      <c r="R767" s="320">
        <v>176.5</v>
      </c>
    </row>
    <row r="768" spans="2:18">
      <c r="B768" s="319">
        <v>6803</v>
      </c>
      <c r="C768" s="319" t="s">
        <v>1188</v>
      </c>
      <c r="D768" s="320">
        <v>234</v>
      </c>
      <c r="E768" s="320">
        <v>-1.5</v>
      </c>
      <c r="F768" s="320">
        <v>234</v>
      </c>
      <c r="G768" s="320">
        <v>235.5</v>
      </c>
      <c r="H768" s="320">
        <v>233.5</v>
      </c>
      <c r="I768" s="321">
        <v>15000</v>
      </c>
      <c r="J768" s="321">
        <v>3516000</v>
      </c>
      <c r="K768" s="320">
        <v>13</v>
      </c>
      <c r="L768" s="320">
        <v>234</v>
      </c>
      <c r="M768" s="320">
        <v>4</v>
      </c>
      <c r="N768" s="320">
        <v>234.5</v>
      </c>
      <c r="O768" s="320">
        <v>1</v>
      </c>
      <c r="P768" s="321">
        <v>69556809</v>
      </c>
      <c r="Q768" s="320">
        <v>257</v>
      </c>
      <c r="R768" s="320">
        <v>211</v>
      </c>
    </row>
    <row r="769" spans="2:18">
      <c r="B769" s="319">
        <v>7402</v>
      </c>
      <c r="C769" s="319" t="s">
        <v>1189</v>
      </c>
      <c r="D769" s="320">
        <v>48.1</v>
      </c>
      <c r="E769" s="320">
        <v>0.3</v>
      </c>
      <c r="F769" s="320">
        <v>48.1</v>
      </c>
      <c r="G769" s="320">
        <v>48.1</v>
      </c>
      <c r="H769" s="320">
        <v>48.1</v>
      </c>
      <c r="I769" s="321">
        <v>2000</v>
      </c>
      <c r="J769" s="321">
        <v>96200</v>
      </c>
      <c r="K769" s="320">
        <v>2</v>
      </c>
      <c r="L769" s="320">
        <v>47.6</v>
      </c>
      <c r="M769" s="320">
        <v>2</v>
      </c>
      <c r="N769" s="320">
        <v>47.85</v>
      </c>
      <c r="O769" s="320">
        <v>2</v>
      </c>
      <c r="P769" s="321">
        <v>24822848</v>
      </c>
      <c r="Q769" s="320">
        <v>52.9</v>
      </c>
      <c r="R769" s="320">
        <v>43.3</v>
      </c>
    </row>
    <row r="770" spans="2:18">
      <c r="B770" s="319">
        <v>7556</v>
      </c>
      <c r="C770" s="319" t="s">
        <v>1190</v>
      </c>
      <c r="D770" s="320">
        <v>110.5</v>
      </c>
      <c r="E770" s="320">
        <v>0.5</v>
      </c>
      <c r="F770" s="320">
        <v>109.5</v>
      </c>
      <c r="G770" s="320">
        <v>110.5</v>
      </c>
      <c r="H770" s="320">
        <v>109.5</v>
      </c>
      <c r="I770" s="321">
        <v>9000</v>
      </c>
      <c r="J770" s="321">
        <v>987500</v>
      </c>
      <c r="K770" s="320">
        <v>9</v>
      </c>
      <c r="L770" s="320">
        <v>110</v>
      </c>
      <c r="M770" s="320">
        <v>1</v>
      </c>
      <c r="N770" s="320">
        <v>111</v>
      </c>
      <c r="O770" s="320">
        <v>3</v>
      </c>
      <c r="P770" s="321">
        <v>22027580</v>
      </c>
      <c r="Q770" s="320">
        <v>121.5</v>
      </c>
      <c r="R770" s="320">
        <v>99.5</v>
      </c>
    </row>
    <row r="771" spans="2:18">
      <c r="B771" s="319">
        <v>8024</v>
      </c>
      <c r="C771" s="319" t="s">
        <v>1191</v>
      </c>
      <c r="D771" s="320">
        <v>27.25</v>
      </c>
      <c r="E771" s="320">
        <v>-0.55000000000000004</v>
      </c>
      <c r="F771" s="320">
        <v>28.1</v>
      </c>
      <c r="G771" s="320">
        <v>28.25</v>
      </c>
      <c r="H771" s="320">
        <v>27.1</v>
      </c>
      <c r="I771" s="321">
        <v>522000</v>
      </c>
      <c r="J771" s="321">
        <v>14367650</v>
      </c>
      <c r="K771" s="320">
        <v>346</v>
      </c>
      <c r="L771" s="320">
        <v>27.25</v>
      </c>
      <c r="M771" s="320">
        <v>4</v>
      </c>
      <c r="N771" s="320">
        <v>27.3</v>
      </c>
      <c r="O771" s="320">
        <v>2</v>
      </c>
      <c r="P771" s="321">
        <v>45160100</v>
      </c>
      <c r="Q771" s="320">
        <v>29.95</v>
      </c>
      <c r="R771" s="320">
        <v>24.55</v>
      </c>
    </row>
    <row r="772" spans="2:18">
      <c r="B772" s="319">
        <v>8027</v>
      </c>
      <c r="C772" s="319" t="s">
        <v>1192</v>
      </c>
      <c r="D772" s="320">
        <v>77.8</v>
      </c>
      <c r="E772" s="320">
        <v>0.1</v>
      </c>
      <c r="F772" s="320">
        <v>77.7</v>
      </c>
      <c r="G772" s="320">
        <v>79.7</v>
      </c>
      <c r="H772" s="320">
        <v>77</v>
      </c>
      <c r="I772" s="321">
        <v>1090000</v>
      </c>
      <c r="J772" s="321">
        <v>85385100</v>
      </c>
      <c r="K772" s="320">
        <v>692</v>
      </c>
      <c r="L772" s="320">
        <v>77.8</v>
      </c>
      <c r="M772" s="320">
        <v>19</v>
      </c>
      <c r="N772" s="320">
        <v>78</v>
      </c>
      <c r="O772" s="320">
        <v>19</v>
      </c>
      <c r="P772" s="321">
        <v>100925049</v>
      </c>
      <c r="Q772" s="320">
        <v>85.5</v>
      </c>
      <c r="R772" s="320">
        <v>70.099999999999994</v>
      </c>
    </row>
    <row r="773" spans="2:18">
      <c r="B773" s="319">
        <v>8032</v>
      </c>
      <c r="C773" s="319" t="s">
        <v>1193</v>
      </c>
      <c r="D773" s="320">
        <v>29.05</v>
      </c>
      <c r="E773" s="320">
        <v>0.05</v>
      </c>
      <c r="F773" s="320">
        <v>30.8</v>
      </c>
      <c r="G773" s="320">
        <v>30.8</v>
      </c>
      <c r="H773" s="320">
        <v>29.05</v>
      </c>
      <c r="I773" s="321">
        <v>68000</v>
      </c>
      <c r="J773" s="321">
        <v>2003500</v>
      </c>
      <c r="K773" s="320">
        <v>43</v>
      </c>
      <c r="L773" s="320">
        <v>29.05</v>
      </c>
      <c r="M773" s="320">
        <v>5</v>
      </c>
      <c r="N773" s="320">
        <v>29.1</v>
      </c>
      <c r="O773" s="320">
        <v>2</v>
      </c>
      <c r="P773" s="321">
        <v>51810300</v>
      </c>
      <c r="Q773" s="320">
        <v>31.95</v>
      </c>
      <c r="R773" s="320">
        <v>26.15</v>
      </c>
    </row>
    <row r="774" spans="2:18">
      <c r="B774" s="319">
        <v>8034</v>
      </c>
      <c r="C774" s="319" t="s">
        <v>1194</v>
      </c>
      <c r="D774" s="320">
        <v>21.95</v>
      </c>
      <c r="E774" s="320">
        <v>-1.8</v>
      </c>
      <c r="F774" s="320">
        <v>23.35</v>
      </c>
      <c r="G774" s="320">
        <v>23.35</v>
      </c>
      <c r="H774" s="320">
        <v>21.85</v>
      </c>
      <c r="I774" s="321">
        <v>9542000</v>
      </c>
      <c r="J774" s="321">
        <v>215858950</v>
      </c>
      <c r="K774" s="321">
        <v>4666</v>
      </c>
      <c r="L774" s="320">
        <v>21.95</v>
      </c>
      <c r="M774" s="320">
        <v>11</v>
      </c>
      <c r="N774" s="320">
        <v>22</v>
      </c>
      <c r="O774" s="320">
        <v>86</v>
      </c>
      <c r="P774" s="321">
        <v>62873725</v>
      </c>
      <c r="Q774" s="320">
        <v>24.1</v>
      </c>
      <c r="R774" s="320">
        <v>19.8</v>
      </c>
    </row>
    <row r="775" spans="2:18">
      <c r="B775" s="319">
        <v>8038</v>
      </c>
      <c r="C775" s="319" t="s">
        <v>1195</v>
      </c>
      <c r="D775" s="320">
        <v>38.85</v>
      </c>
      <c r="E775" s="320">
        <v>0.35</v>
      </c>
      <c r="F775" s="320">
        <v>39.200000000000003</v>
      </c>
      <c r="G775" s="320">
        <v>39.299999999999997</v>
      </c>
      <c r="H775" s="320">
        <v>38.700000000000003</v>
      </c>
      <c r="I775" s="321">
        <v>364000</v>
      </c>
      <c r="J775" s="321">
        <v>14179450</v>
      </c>
      <c r="K775" s="320">
        <v>246</v>
      </c>
      <c r="L775" s="320">
        <v>38.799999999999997</v>
      </c>
      <c r="M775" s="320">
        <v>1</v>
      </c>
      <c r="N775" s="320">
        <v>38.9</v>
      </c>
      <c r="O775" s="320">
        <v>4</v>
      </c>
      <c r="P775" s="321">
        <v>59814190</v>
      </c>
      <c r="Q775" s="320">
        <v>42.7</v>
      </c>
      <c r="R775" s="320">
        <v>35</v>
      </c>
    </row>
    <row r="776" spans="2:18">
      <c r="B776" s="319">
        <v>8040</v>
      </c>
      <c r="C776" s="319" t="s">
        <v>1196</v>
      </c>
      <c r="D776" s="320">
        <v>75.099999999999994</v>
      </c>
      <c r="E776" s="320">
        <v>-2.1</v>
      </c>
      <c r="F776" s="320">
        <v>77.8</v>
      </c>
      <c r="G776" s="320">
        <v>78.400000000000006</v>
      </c>
      <c r="H776" s="320">
        <v>75</v>
      </c>
      <c r="I776" s="321">
        <v>3488000</v>
      </c>
      <c r="J776" s="321">
        <v>266754700</v>
      </c>
      <c r="K776" s="321">
        <v>2455</v>
      </c>
      <c r="L776" s="320">
        <v>75.099999999999994</v>
      </c>
      <c r="M776" s="320">
        <v>19</v>
      </c>
      <c r="N776" s="320">
        <v>75.2</v>
      </c>
      <c r="O776" s="320">
        <v>1</v>
      </c>
      <c r="P776" s="321">
        <v>68988074</v>
      </c>
      <c r="Q776" s="320">
        <v>82.6</v>
      </c>
      <c r="R776" s="320">
        <v>67.599999999999994</v>
      </c>
    </row>
    <row r="777" spans="2:18">
      <c r="B777" s="319">
        <v>8042</v>
      </c>
      <c r="C777" s="319" t="s">
        <v>1197</v>
      </c>
      <c r="D777" s="320">
        <v>47.5</v>
      </c>
      <c r="E777" s="320">
        <v>-0.1</v>
      </c>
      <c r="F777" s="320">
        <v>47.95</v>
      </c>
      <c r="G777" s="320">
        <v>48</v>
      </c>
      <c r="H777" s="320">
        <v>47.5</v>
      </c>
      <c r="I777" s="321">
        <v>43000</v>
      </c>
      <c r="J777" s="321">
        <v>2053100</v>
      </c>
      <c r="K777" s="320">
        <v>35</v>
      </c>
      <c r="L777" s="320">
        <v>47.5</v>
      </c>
      <c r="M777" s="320">
        <v>6</v>
      </c>
      <c r="N777" s="320">
        <v>47.6</v>
      </c>
      <c r="O777" s="320">
        <v>1</v>
      </c>
      <c r="P777" s="321">
        <v>129462549</v>
      </c>
      <c r="Q777" s="320">
        <v>52.2</v>
      </c>
      <c r="R777" s="320">
        <v>42.75</v>
      </c>
    </row>
    <row r="778" spans="2:18">
      <c r="B778" s="319">
        <v>8043</v>
      </c>
      <c r="C778" s="319" t="s">
        <v>1198</v>
      </c>
      <c r="D778" s="320">
        <v>27.3</v>
      </c>
      <c r="E778" s="320">
        <v>-0.2</v>
      </c>
      <c r="F778" s="320">
        <v>27.75</v>
      </c>
      <c r="G778" s="320">
        <v>27.75</v>
      </c>
      <c r="H778" s="320">
        <v>27.3</v>
      </c>
      <c r="I778" s="321">
        <v>80000</v>
      </c>
      <c r="J778" s="321">
        <v>2190700</v>
      </c>
      <c r="K778" s="320">
        <v>55</v>
      </c>
      <c r="L778" s="320">
        <v>27.3</v>
      </c>
      <c r="M778" s="320">
        <v>3</v>
      </c>
      <c r="N778" s="320">
        <v>27.35</v>
      </c>
      <c r="O778" s="320">
        <v>2</v>
      </c>
      <c r="P778" s="321">
        <v>79907170</v>
      </c>
      <c r="Q778" s="320">
        <v>30</v>
      </c>
      <c r="R778" s="320">
        <v>24.6</v>
      </c>
    </row>
    <row r="779" spans="2:18">
      <c r="B779" s="319">
        <v>8044</v>
      </c>
      <c r="C779" s="319" t="s">
        <v>1199</v>
      </c>
      <c r="D779" s="320">
        <v>125.5</v>
      </c>
      <c r="E779" s="320">
        <v>2</v>
      </c>
      <c r="F779" s="320">
        <v>124</v>
      </c>
      <c r="G779" s="320">
        <v>126.5</v>
      </c>
      <c r="H779" s="320">
        <v>123.5</v>
      </c>
      <c r="I779" s="321">
        <v>670000</v>
      </c>
      <c r="J779" s="321">
        <v>83836500</v>
      </c>
      <c r="K779" s="320">
        <v>503</v>
      </c>
      <c r="L779" s="320">
        <v>125</v>
      </c>
      <c r="M779" s="320">
        <v>4</v>
      </c>
      <c r="N779" s="320">
        <v>125.5</v>
      </c>
      <c r="O779" s="320">
        <v>16</v>
      </c>
      <c r="P779" s="321">
        <v>127635909</v>
      </c>
      <c r="Q779" s="320">
        <v>138</v>
      </c>
      <c r="R779" s="320">
        <v>113</v>
      </c>
    </row>
    <row r="780" spans="2:18">
      <c r="B780" s="319">
        <v>8047</v>
      </c>
      <c r="C780" s="319" t="s">
        <v>1200</v>
      </c>
      <c r="D780" s="320">
        <v>13</v>
      </c>
      <c r="E780" s="320">
        <v>-0.2</v>
      </c>
      <c r="F780" s="320">
        <v>13.2</v>
      </c>
      <c r="G780" s="320">
        <v>13.2</v>
      </c>
      <c r="H780" s="320">
        <v>12.95</v>
      </c>
      <c r="I780" s="321">
        <v>78000</v>
      </c>
      <c r="J780" s="321">
        <v>1017650</v>
      </c>
      <c r="K780" s="320">
        <v>32</v>
      </c>
      <c r="L780" s="320">
        <v>12.95</v>
      </c>
      <c r="M780" s="320">
        <v>2</v>
      </c>
      <c r="N780" s="320">
        <v>13.1</v>
      </c>
      <c r="O780" s="320">
        <v>5</v>
      </c>
      <c r="P780" s="321">
        <v>41666343</v>
      </c>
      <c r="Q780" s="320">
        <v>14.3</v>
      </c>
      <c r="R780" s="320">
        <v>11.7</v>
      </c>
    </row>
    <row r="781" spans="2:18">
      <c r="B781" s="319">
        <v>8048</v>
      </c>
      <c r="C781" s="319" t="s">
        <v>1201</v>
      </c>
      <c r="D781" s="320">
        <v>35.25</v>
      </c>
      <c r="E781" s="320">
        <v>-0.05</v>
      </c>
      <c r="F781" s="320">
        <v>35.299999999999997</v>
      </c>
      <c r="G781" s="320">
        <v>35.75</v>
      </c>
      <c r="H781" s="320">
        <v>35.200000000000003</v>
      </c>
      <c r="I781" s="321">
        <v>44000</v>
      </c>
      <c r="J781" s="321">
        <v>1552900</v>
      </c>
      <c r="K781" s="320">
        <v>33</v>
      </c>
      <c r="L781" s="320">
        <v>35.200000000000003</v>
      </c>
      <c r="M781" s="320">
        <v>6</v>
      </c>
      <c r="N781" s="320">
        <v>35.35</v>
      </c>
      <c r="O781" s="320">
        <v>15</v>
      </c>
      <c r="P781" s="321">
        <v>54471206</v>
      </c>
      <c r="Q781" s="320">
        <v>38.75</v>
      </c>
      <c r="R781" s="320">
        <v>31.75</v>
      </c>
    </row>
    <row r="782" spans="2:18">
      <c r="B782" s="319">
        <v>8049</v>
      </c>
      <c r="C782" s="319" t="s">
        <v>1202</v>
      </c>
      <c r="D782" s="320">
        <v>25.6</v>
      </c>
      <c r="E782" s="320">
        <v>0.1</v>
      </c>
      <c r="F782" s="320">
        <v>25.8</v>
      </c>
      <c r="G782" s="320">
        <v>25.8</v>
      </c>
      <c r="H782" s="320">
        <v>25.55</v>
      </c>
      <c r="I782" s="321">
        <v>622000</v>
      </c>
      <c r="J782" s="321">
        <v>15955850</v>
      </c>
      <c r="K782" s="320">
        <v>334</v>
      </c>
      <c r="L782" s="320">
        <v>25.55</v>
      </c>
      <c r="M782" s="320">
        <v>38</v>
      </c>
      <c r="N782" s="320">
        <v>25.6</v>
      </c>
      <c r="O782" s="320">
        <v>5</v>
      </c>
      <c r="P782" s="321">
        <v>118279808</v>
      </c>
      <c r="Q782" s="320">
        <v>28.15</v>
      </c>
      <c r="R782" s="320">
        <v>23.05</v>
      </c>
    </row>
    <row r="783" spans="2:18">
      <c r="B783" s="319">
        <v>8050</v>
      </c>
      <c r="C783" s="319" t="s">
        <v>1203</v>
      </c>
      <c r="D783" s="320">
        <v>41.45</v>
      </c>
      <c r="E783" s="320">
        <v>0.15</v>
      </c>
      <c r="F783" s="320">
        <v>41.3</v>
      </c>
      <c r="G783" s="320">
        <v>41.55</v>
      </c>
      <c r="H783" s="320">
        <v>41.3</v>
      </c>
      <c r="I783" s="321">
        <v>254000</v>
      </c>
      <c r="J783" s="321">
        <v>10523250</v>
      </c>
      <c r="K783" s="320">
        <v>137</v>
      </c>
      <c r="L783" s="320">
        <v>41.4</v>
      </c>
      <c r="M783" s="320">
        <v>3</v>
      </c>
      <c r="N783" s="320">
        <v>41.5</v>
      </c>
      <c r="O783" s="320">
        <v>37</v>
      </c>
      <c r="P783" s="321">
        <v>177099773</v>
      </c>
      <c r="Q783" s="320">
        <v>45.55</v>
      </c>
      <c r="R783" s="320">
        <v>37.35</v>
      </c>
    </row>
    <row r="784" spans="2:18">
      <c r="B784" s="319">
        <v>8054</v>
      </c>
      <c r="C784" s="319" t="s">
        <v>1204</v>
      </c>
      <c r="D784" s="320">
        <v>61.8</v>
      </c>
      <c r="E784" s="320">
        <v>0.6</v>
      </c>
      <c r="F784" s="320">
        <v>61.6</v>
      </c>
      <c r="G784" s="320">
        <v>63</v>
      </c>
      <c r="H784" s="320">
        <v>61.6</v>
      </c>
      <c r="I784" s="321">
        <v>1694000</v>
      </c>
      <c r="J784" s="321">
        <v>105454100</v>
      </c>
      <c r="K784" s="321">
        <v>1078</v>
      </c>
      <c r="L784" s="320">
        <v>61.8</v>
      </c>
      <c r="M784" s="320">
        <v>4</v>
      </c>
      <c r="N784" s="320">
        <v>61.9</v>
      </c>
      <c r="O784" s="320">
        <v>7</v>
      </c>
      <c r="P784" s="321">
        <v>90484886</v>
      </c>
      <c r="Q784" s="320">
        <v>67.900000000000006</v>
      </c>
      <c r="R784" s="320">
        <v>55.7</v>
      </c>
    </row>
    <row r="785" spans="2:18">
      <c r="B785" s="319">
        <v>8059</v>
      </c>
      <c r="C785" s="319" t="s">
        <v>1205</v>
      </c>
      <c r="D785" s="320">
        <v>11.5</v>
      </c>
      <c r="E785" s="320">
        <v>0.1</v>
      </c>
      <c r="F785" s="320">
        <v>11.5</v>
      </c>
      <c r="G785" s="320">
        <v>11.5</v>
      </c>
      <c r="H785" s="320">
        <v>11.35</v>
      </c>
      <c r="I785" s="321">
        <v>131000</v>
      </c>
      <c r="J785" s="321">
        <v>1499200</v>
      </c>
      <c r="K785" s="320">
        <v>73</v>
      </c>
      <c r="L785" s="320">
        <v>11.4</v>
      </c>
      <c r="M785" s="320">
        <v>19</v>
      </c>
      <c r="N785" s="320">
        <v>11.5</v>
      </c>
      <c r="O785" s="320">
        <v>54</v>
      </c>
      <c r="P785" s="321">
        <v>188618000</v>
      </c>
      <c r="Q785" s="320">
        <v>12.65</v>
      </c>
      <c r="R785" s="320">
        <v>10.35</v>
      </c>
    </row>
    <row r="786" spans="2:18">
      <c r="B786" s="319">
        <v>8064</v>
      </c>
      <c r="C786" s="319" t="s">
        <v>1206</v>
      </c>
      <c r="D786" s="320">
        <v>22.1</v>
      </c>
      <c r="E786" s="320">
        <v>-0.8</v>
      </c>
      <c r="F786" s="320">
        <v>23.05</v>
      </c>
      <c r="G786" s="320">
        <v>23.3</v>
      </c>
      <c r="H786" s="320">
        <v>22.05</v>
      </c>
      <c r="I786" s="321">
        <v>4837000</v>
      </c>
      <c r="J786" s="321">
        <v>108801750</v>
      </c>
      <c r="K786" s="321">
        <v>2428</v>
      </c>
      <c r="L786" s="320">
        <v>22.05</v>
      </c>
      <c r="M786" s="320">
        <v>41</v>
      </c>
      <c r="N786" s="320">
        <v>22.1</v>
      </c>
      <c r="O786" s="320">
        <v>5</v>
      </c>
      <c r="P786" s="321">
        <v>164817836</v>
      </c>
      <c r="Q786" s="320">
        <v>24.3</v>
      </c>
      <c r="R786" s="320">
        <v>19.899999999999999</v>
      </c>
    </row>
    <row r="787" spans="2:18">
      <c r="B787" s="319">
        <v>8066</v>
      </c>
      <c r="C787" s="319" t="s">
        <v>1207</v>
      </c>
      <c r="D787" s="320">
        <v>34</v>
      </c>
      <c r="E787" s="320">
        <v>-0.7</v>
      </c>
      <c r="F787" s="320">
        <v>35.35</v>
      </c>
      <c r="G787" s="320">
        <v>35.35</v>
      </c>
      <c r="H787" s="320">
        <v>34</v>
      </c>
      <c r="I787" s="321">
        <v>51000</v>
      </c>
      <c r="J787" s="321">
        <v>1751900</v>
      </c>
      <c r="K787" s="320">
        <v>36</v>
      </c>
      <c r="L787" s="320">
        <v>34.15</v>
      </c>
      <c r="M787" s="320">
        <v>1</v>
      </c>
      <c r="N787" s="320">
        <v>34.299999999999997</v>
      </c>
      <c r="O787" s="320">
        <v>7</v>
      </c>
      <c r="P787" s="321">
        <v>30152304</v>
      </c>
      <c r="Q787" s="320">
        <v>37.4</v>
      </c>
      <c r="R787" s="320">
        <v>30.6</v>
      </c>
    </row>
    <row r="788" spans="2:18">
      <c r="B788" s="319">
        <v>8067</v>
      </c>
      <c r="C788" s="319" t="s">
        <v>1208</v>
      </c>
      <c r="D788" s="320">
        <v>10.3</v>
      </c>
      <c r="E788" s="320">
        <v>0.32</v>
      </c>
      <c r="F788" s="320">
        <v>10.1</v>
      </c>
      <c r="G788" s="320">
        <v>10.35</v>
      </c>
      <c r="H788" s="320">
        <v>9.8800000000000008</v>
      </c>
      <c r="I788" s="321">
        <v>53000</v>
      </c>
      <c r="J788" s="321">
        <v>537210</v>
      </c>
      <c r="K788" s="320">
        <v>28</v>
      </c>
      <c r="L788" s="320">
        <v>10.25</v>
      </c>
      <c r="M788" s="320">
        <v>1</v>
      </c>
      <c r="N788" s="320">
        <v>10.3</v>
      </c>
      <c r="O788" s="320">
        <v>4</v>
      </c>
      <c r="P788" s="321">
        <v>30000000</v>
      </c>
      <c r="Q788" s="320">
        <v>11.3</v>
      </c>
      <c r="R788" s="320">
        <v>9.27</v>
      </c>
    </row>
    <row r="789" spans="2:18">
      <c r="B789" s="319">
        <v>8068</v>
      </c>
      <c r="C789" s="319" t="s">
        <v>1209</v>
      </c>
      <c r="D789" s="320">
        <v>41.6</v>
      </c>
      <c r="E789" s="320">
        <v>-4.4000000000000004</v>
      </c>
      <c r="F789" s="320">
        <v>44.15</v>
      </c>
      <c r="G789" s="320">
        <v>45.2</v>
      </c>
      <c r="H789" s="320">
        <v>41.4</v>
      </c>
      <c r="I789" s="321">
        <v>936000</v>
      </c>
      <c r="J789" s="321">
        <v>39536050</v>
      </c>
      <c r="K789" s="320">
        <v>697</v>
      </c>
      <c r="L789" s="320">
        <v>41.6</v>
      </c>
      <c r="M789" s="320">
        <v>1</v>
      </c>
      <c r="N789" s="320">
        <v>41.85</v>
      </c>
      <c r="O789" s="320">
        <v>1</v>
      </c>
      <c r="P789" s="321">
        <v>68659992</v>
      </c>
      <c r="Q789" s="320">
        <v>45.75</v>
      </c>
      <c r="R789" s="320">
        <v>37.450000000000003</v>
      </c>
    </row>
    <row r="790" spans="2:18">
      <c r="B790" s="319">
        <v>8069</v>
      </c>
      <c r="C790" s="319" t="s">
        <v>1210</v>
      </c>
      <c r="D790" s="320">
        <v>148.5</v>
      </c>
      <c r="E790" s="320">
        <v>2</v>
      </c>
      <c r="F790" s="320">
        <v>148</v>
      </c>
      <c r="G790" s="320">
        <v>151.5</v>
      </c>
      <c r="H790" s="320">
        <v>146.5</v>
      </c>
      <c r="I790" s="321">
        <v>15300000</v>
      </c>
      <c r="J790" s="321">
        <v>2271418500</v>
      </c>
      <c r="K790" s="321">
        <v>8633</v>
      </c>
      <c r="L790" s="320">
        <v>148</v>
      </c>
      <c r="M790" s="320">
        <v>171</v>
      </c>
      <c r="N790" s="320">
        <v>148.5</v>
      </c>
      <c r="O790" s="320">
        <v>53</v>
      </c>
      <c r="P790" s="321">
        <v>1140404715</v>
      </c>
      <c r="Q790" s="320">
        <v>163</v>
      </c>
      <c r="R790" s="320">
        <v>134</v>
      </c>
    </row>
    <row r="791" spans="2:18">
      <c r="B791" s="319">
        <v>8071</v>
      </c>
      <c r="C791" s="319" t="s">
        <v>1211</v>
      </c>
      <c r="D791" s="320">
        <v>15.3</v>
      </c>
      <c r="E791" s="320">
        <v>-0.5</v>
      </c>
      <c r="F791" s="320">
        <v>15</v>
      </c>
      <c r="G791" s="320">
        <v>16.5</v>
      </c>
      <c r="H791" s="320">
        <v>14.7</v>
      </c>
      <c r="I791" s="321">
        <v>8491000</v>
      </c>
      <c r="J791" s="321">
        <v>130757900</v>
      </c>
      <c r="K791" s="321">
        <v>3642</v>
      </c>
      <c r="L791" s="320">
        <v>15.3</v>
      </c>
      <c r="M791" s="320">
        <v>146</v>
      </c>
      <c r="N791" s="320">
        <v>15.35</v>
      </c>
      <c r="O791" s="320">
        <v>2</v>
      </c>
      <c r="P791" s="321">
        <v>51854283</v>
      </c>
      <c r="Q791" s="320">
        <v>16.8</v>
      </c>
      <c r="R791" s="320">
        <v>13.8</v>
      </c>
    </row>
    <row r="792" spans="2:18">
      <c r="B792" s="319">
        <v>8074</v>
      </c>
      <c r="C792" s="319" t="s">
        <v>1212</v>
      </c>
      <c r="D792" s="320">
        <v>21.2</v>
      </c>
      <c r="E792" s="320">
        <v>-0.05</v>
      </c>
      <c r="F792" s="320">
        <v>21.25</v>
      </c>
      <c r="G792" s="320">
        <v>21.65</v>
      </c>
      <c r="H792" s="320">
        <v>21.05</v>
      </c>
      <c r="I792" s="321">
        <v>217000</v>
      </c>
      <c r="J792" s="321">
        <v>4610400</v>
      </c>
      <c r="K792" s="320">
        <v>123</v>
      </c>
      <c r="L792" s="320">
        <v>21.15</v>
      </c>
      <c r="M792" s="320">
        <v>7</v>
      </c>
      <c r="N792" s="320">
        <v>21.2</v>
      </c>
      <c r="O792" s="320">
        <v>23</v>
      </c>
      <c r="P792" s="321">
        <v>84574466</v>
      </c>
      <c r="Q792" s="320">
        <v>23.3</v>
      </c>
      <c r="R792" s="320">
        <v>19.100000000000001</v>
      </c>
    </row>
    <row r="793" spans="2:18">
      <c r="B793" s="319">
        <v>8076</v>
      </c>
      <c r="C793" s="319" t="s">
        <v>1213</v>
      </c>
      <c r="D793" s="320">
        <v>34.65</v>
      </c>
      <c r="E793" s="320">
        <v>-0.7</v>
      </c>
      <c r="F793" s="320">
        <v>35.35</v>
      </c>
      <c r="G793" s="320">
        <v>35.5</v>
      </c>
      <c r="H793" s="320">
        <v>34.6</v>
      </c>
      <c r="I793" s="321">
        <v>1757000</v>
      </c>
      <c r="J793" s="321">
        <v>61355100</v>
      </c>
      <c r="K793" s="321">
        <v>1041</v>
      </c>
      <c r="L793" s="320">
        <v>34.65</v>
      </c>
      <c r="M793" s="320">
        <v>11</v>
      </c>
      <c r="N793" s="320">
        <v>34.700000000000003</v>
      </c>
      <c r="O793" s="320">
        <v>4</v>
      </c>
      <c r="P793" s="321">
        <v>277531538</v>
      </c>
      <c r="Q793" s="320">
        <v>38.1</v>
      </c>
      <c r="R793" s="320">
        <v>31.2</v>
      </c>
    </row>
    <row r="794" spans="2:18">
      <c r="B794" s="319">
        <v>8077</v>
      </c>
      <c r="C794" s="319" t="s">
        <v>1214</v>
      </c>
      <c r="D794" s="320">
        <v>11.65</v>
      </c>
      <c r="E794" s="320">
        <v>-0.45</v>
      </c>
      <c r="F794" s="320">
        <v>12.1</v>
      </c>
      <c r="G794" s="320">
        <v>12.2</v>
      </c>
      <c r="H794" s="320">
        <v>11.55</v>
      </c>
      <c r="I794" s="321">
        <v>91000</v>
      </c>
      <c r="J794" s="321">
        <v>1085500</v>
      </c>
      <c r="K794" s="320">
        <v>69</v>
      </c>
      <c r="L794" s="320">
        <v>11.65</v>
      </c>
      <c r="M794" s="320">
        <v>8</v>
      </c>
      <c r="N794" s="320">
        <v>11.95</v>
      </c>
      <c r="O794" s="320">
        <v>4</v>
      </c>
      <c r="P794" s="321">
        <v>109728343</v>
      </c>
      <c r="Q794" s="320">
        <v>12.8</v>
      </c>
      <c r="R794" s="320">
        <v>10.5</v>
      </c>
    </row>
    <row r="795" spans="2:18">
      <c r="B795" s="319">
        <v>8080</v>
      </c>
      <c r="C795" s="319" t="s">
        <v>2825</v>
      </c>
      <c r="D795" s="320">
        <v>11</v>
      </c>
      <c r="E795" s="320">
        <v>0.55000000000000004</v>
      </c>
      <c r="F795" s="320">
        <v>11.45</v>
      </c>
      <c r="G795" s="320">
        <v>11.45</v>
      </c>
      <c r="H795" s="320">
        <v>9.8000000000000007</v>
      </c>
      <c r="I795" s="321">
        <v>350000</v>
      </c>
      <c r="J795" s="321">
        <v>3791100</v>
      </c>
      <c r="K795" s="320">
        <v>111</v>
      </c>
      <c r="L795" s="320">
        <v>10.85</v>
      </c>
      <c r="M795" s="320">
        <v>4</v>
      </c>
      <c r="N795" s="320">
        <v>11</v>
      </c>
      <c r="O795" s="320">
        <v>23</v>
      </c>
      <c r="P795" s="321">
        <v>40316642</v>
      </c>
      <c r="Q795" s="320">
        <v>12.1</v>
      </c>
      <c r="R795" s="320">
        <v>9.9</v>
      </c>
    </row>
    <row r="796" spans="2:18">
      <c r="B796" s="319">
        <v>8083</v>
      </c>
      <c r="C796" s="319" t="s">
        <v>1215</v>
      </c>
      <c r="D796" s="320">
        <v>177.5</v>
      </c>
      <c r="E796" s="320">
        <v>0</v>
      </c>
      <c r="F796" s="320">
        <v>178.5</v>
      </c>
      <c r="G796" s="320">
        <v>178.5</v>
      </c>
      <c r="H796" s="320">
        <v>176.5</v>
      </c>
      <c r="I796" s="321">
        <v>27000</v>
      </c>
      <c r="J796" s="321">
        <v>4788500</v>
      </c>
      <c r="K796" s="320">
        <v>21</v>
      </c>
      <c r="L796" s="320">
        <v>177</v>
      </c>
      <c r="M796" s="320">
        <v>1</v>
      </c>
      <c r="N796" s="320">
        <v>177.5</v>
      </c>
      <c r="O796" s="320">
        <v>6</v>
      </c>
      <c r="P796" s="321">
        <v>35133193</v>
      </c>
      <c r="Q796" s="320">
        <v>195</v>
      </c>
      <c r="R796" s="320">
        <v>160</v>
      </c>
    </row>
    <row r="797" spans="2:18">
      <c r="B797" s="319">
        <v>8084</v>
      </c>
      <c r="C797" s="319" t="s">
        <v>1216</v>
      </c>
      <c r="D797" s="320">
        <v>60.5</v>
      </c>
      <c r="E797" s="320">
        <v>0</v>
      </c>
      <c r="F797" s="320">
        <v>60.9</v>
      </c>
      <c r="G797" s="320">
        <v>60.9</v>
      </c>
      <c r="H797" s="320">
        <v>59.7</v>
      </c>
      <c r="I797" s="321">
        <v>32000</v>
      </c>
      <c r="J797" s="321">
        <v>1924300</v>
      </c>
      <c r="K797" s="320">
        <v>23</v>
      </c>
      <c r="L797" s="320">
        <v>60.2</v>
      </c>
      <c r="M797" s="320">
        <v>1</v>
      </c>
      <c r="N797" s="320">
        <v>60.5</v>
      </c>
      <c r="O797" s="320">
        <v>5</v>
      </c>
      <c r="P797" s="321">
        <v>69514149</v>
      </c>
      <c r="Q797" s="320">
        <v>66.5</v>
      </c>
      <c r="R797" s="320">
        <v>54.5</v>
      </c>
    </row>
    <row r="798" spans="2:18">
      <c r="B798" s="319">
        <v>8085</v>
      </c>
      <c r="C798" s="319" t="s">
        <v>1217</v>
      </c>
      <c r="D798" s="320">
        <v>19.5</v>
      </c>
      <c r="E798" s="320">
        <v>0.8</v>
      </c>
      <c r="F798" s="320">
        <v>18.75</v>
      </c>
      <c r="G798" s="320">
        <v>20.100000000000001</v>
      </c>
      <c r="H798" s="320">
        <v>18.75</v>
      </c>
      <c r="I798" s="321">
        <v>3360000</v>
      </c>
      <c r="J798" s="321">
        <v>65494750</v>
      </c>
      <c r="K798" s="321">
        <v>1079</v>
      </c>
      <c r="L798" s="320">
        <v>19.5</v>
      </c>
      <c r="M798" s="320">
        <v>14</v>
      </c>
      <c r="N798" s="320">
        <v>19.55</v>
      </c>
      <c r="O798" s="320">
        <v>17</v>
      </c>
      <c r="P798" s="321">
        <v>139983060</v>
      </c>
      <c r="Q798" s="320">
        <v>21.45</v>
      </c>
      <c r="R798" s="320">
        <v>17.55</v>
      </c>
    </row>
    <row r="799" spans="2:18">
      <c r="B799" s="319">
        <v>8086</v>
      </c>
      <c r="C799" s="319" t="s">
        <v>1218</v>
      </c>
      <c r="D799" s="320">
        <v>143</v>
      </c>
      <c r="E799" s="320">
        <v>0.5</v>
      </c>
      <c r="F799" s="320">
        <v>145</v>
      </c>
      <c r="G799" s="320">
        <v>147</v>
      </c>
      <c r="H799" s="320">
        <v>142.5</v>
      </c>
      <c r="I799" s="321">
        <v>3113000</v>
      </c>
      <c r="J799" s="321">
        <v>448640000</v>
      </c>
      <c r="K799" s="321">
        <v>2111</v>
      </c>
      <c r="L799" s="320">
        <v>142.5</v>
      </c>
      <c r="M799" s="320">
        <v>96</v>
      </c>
      <c r="N799" s="320">
        <v>143</v>
      </c>
      <c r="O799" s="320">
        <v>16</v>
      </c>
      <c r="P799" s="321">
        <v>196516123</v>
      </c>
      <c r="Q799" s="320">
        <v>157</v>
      </c>
      <c r="R799" s="320">
        <v>129</v>
      </c>
    </row>
    <row r="800" spans="2:18">
      <c r="B800" s="319">
        <v>8087</v>
      </c>
      <c r="C800" s="319" t="s">
        <v>1219</v>
      </c>
      <c r="D800" s="320">
        <v>25.1</v>
      </c>
      <c r="E800" s="320">
        <v>0.1</v>
      </c>
      <c r="F800" s="320">
        <v>24.95</v>
      </c>
      <c r="G800" s="320">
        <v>25.1</v>
      </c>
      <c r="H800" s="320">
        <v>24.5</v>
      </c>
      <c r="I800" s="321">
        <v>45000</v>
      </c>
      <c r="J800" s="321">
        <v>1114950</v>
      </c>
      <c r="K800" s="320">
        <v>22</v>
      </c>
      <c r="L800" s="320">
        <v>24.5</v>
      </c>
      <c r="M800" s="320">
        <v>3</v>
      </c>
      <c r="N800" s="320">
        <v>25.15</v>
      </c>
      <c r="O800" s="320">
        <v>2</v>
      </c>
      <c r="P800" s="321">
        <v>29068965</v>
      </c>
      <c r="Q800" s="320">
        <v>27.6</v>
      </c>
      <c r="R800" s="320">
        <v>22.6</v>
      </c>
    </row>
    <row r="801" spans="2:18">
      <c r="B801" s="319">
        <v>8088</v>
      </c>
      <c r="C801" s="319" t="s">
        <v>1220</v>
      </c>
      <c r="D801" s="320">
        <v>24.65</v>
      </c>
      <c r="E801" s="320">
        <v>-0.15</v>
      </c>
      <c r="F801" s="320">
        <v>24.8</v>
      </c>
      <c r="G801" s="320">
        <v>25</v>
      </c>
      <c r="H801" s="320">
        <v>24.65</v>
      </c>
      <c r="I801" s="321">
        <v>384000</v>
      </c>
      <c r="J801" s="321">
        <v>9537550</v>
      </c>
      <c r="K801" s="320">
        <v>255</v>
      </c>
      <c r="L801" s="320">
        <v>24.6</v>
      </c>
      <c r="M801" s="320">
        <v>37</v>
      </c>
      <c r="N801" s="320">
        <v>24.7</v>
      </c>
      <c r="O801" s="320">
        <v>6</v>
      </c>
      <c r="P801" s="321">
        <v>60921749</v>
      </c>
      <c r="Q801" s="320">
        <v>27.1</v>
      </c>
      <c r="R801" s="320">
        <v>22.2</v>
      </c>
    </row>
    <row r="802" spans="2:18">
      <c r="B802" s="319">
        <v>8089</v>
      </c>
      <c r="C802" s="319" t="s">
        <v>1221</v>
      </c>
      <c r="D802" s="320">
        <v>34.049999999999997</v>
      </c>
      <c r="E802" s="320">
        <v>1.55</v>
      </c>
      <c r="F802" s="320">
        <v>33</v>
      </c>
      <c r="G802" s="320">
        <v>34.200000000000003</v>
      </c>
      <c r="H802" s="320">
        <v>32.299999999999997</v>
      </c>
      <c r="I802" s="321">
        <v>944000</v>
      </c>
      <c r="J802" s="321">
        <v>31529700</v>
      </c>
      <c r="K802" s="320">
        <v>621</v>
      </c>
      <c r="L802" s="320">
        <v>34</v>
      </c>
      <c r="M802" s="320">
        <v>15</v>
      </c>
      <c r="N802" s="320">
        <v>34.049999999999997</v>
      </c>
      <c r="O802" s="320">
        <v>5</v>
      </c>
      <c r="P802" s="321">
        <v>57296327</v>
      </c>
      <c r="Q802" s="320">
        <v>37.450000000000003</v>
      </c>
      <c r="R802" s="320">
        <v>30.65</v>
      </c>
    </row>
    <row r="803" spans="2:18">
      <c r="B803" s="319">
        <v>8091</v>
      </c>
      <c r="C803" s="319" t="s">
        <v>1222</v>
      </c>
      <c r="D803" s="320">
        <v>74.3</v>
      </c>
      <c r="E803" s="320">
        <v>-1</v>
      </c>
      <c r="F803" s="320">
        <v>76</v>
      </c>
      <c r="G803" s="320">
        <v>76</v>
      </c>
      <c r="H803" s="320">
        <v>74.2</v>
      </c>
      <c r="I803" s="321">
        <v>370000</v>
      </c>
      <c r="J803" s="321">
        <v>27728900</v>
      </c>
      <c r="K803" s="320">
        <v>260</v>
      </c>
      <c r="L803" s="320">
        <v>74.3</v>
      </c>
      <c r="M803" s="320">
        <v>6</v>
      </c>
      <c r="N803" s="320">
        <v>74.400000000000006</v>
      </c>
      <c r="O803" s="320">
        <v>1</v>
      </c>
      <c r="P803" s="321">
        <v>45511614</v>
      </c>
      <c r="Q803" s="320">
        <v>81.7</v>
      </c>
      <c r="R803" s="320">
        <v>66.900000000000006</v>
      </c>
    </row>
    <row r="804" spans="2:18">
      <c r="B804" s="319">
        <v>8092</v>
      </c>
      <c r="C804" s="319" t="s">
        <v>1223</v>
      </c>
      <c r="D804" s="320">
        <v>13</v>
      </c>
      <c r="E804" s="320">
        <v>-0.35</v>
      </c>
      <c r="F804" s="320">
        <v>13.35</v>
      </c>
      <c r="G804" s="320">
        <v>14</v>
      </c>
      <c r="H804" s="320">
        <v>13</v>
      </c>
      <c r="I804" s="321">
        <v>1583000</v>
      </c>
      <c r="J804" s="321">
        <v>21203850</v>
      </c>
      <c r="K804" s="320">
        <v>729</v>
      </c>
      <c r="L804" s="320">
        <v>13</v>
      </c>
      <c r="M804" s="320">
        <v>104</v>
      </c>
      <c r="N804" s="320">
        <v>13.05</v>
      </c>
      <c r="O804" s="320">
        <v>2</v>
      </c>
      <c r="P804" s="321">
        <v>38850616</v>
      </c>
      <c r="Q804" s="320">
        <v>14.3</v>
      </c>
      <c r="R804" s="320">
        <v>11.7</v>
      </c>
    </row>
    <row r="805" spans="2:18">
      <c r="B805" s="319">
        <v>8093</v>
      </c>
      <c r="C805" s="319" t="s">
        <v>1224</v>
      </c>
      <c r="D805" s="320">
        <v>8.35</v>
      </c>
      <c r="E805" s="320">
        <v>0.24</v>
      </c>
      <c r="F805" s="320">
        <v>8.1</v>
      </c>
      <c r="G805" s="320">
        <v>8.5</v>
      </c>
      <c r="H805" s="320">
        <v>8</v>
      </c>
      <c r="I805" s="321">
        <v>488000</v>
      </c>
      <c r="J805" s="321">
        <v>3984010</v>
      </c>
      <c r="K805" s="320">
        <v>172</v>
      </c>
      <c r="L805" s="320">
        <v>8.35</v>
      </c>
      <c r="M805" s="320">
        <v>4</v>
      </c>
      <c r="N805" s="320">
        <v>8.3800000000000008</v>
      </c>
      <c r="O805" s="320">
        <v>6</v>
      </c>
      <c r="P805" s="321">
        <v>64208493</v>
      </c>
      <c r="Q805" s="320">
        <v>9.18</v>
      </c>
      <c r="R805" s="320">
        <v>7.52</v>
      </c>
    </row>
    <row r="806" spans="2:18">
      <c r="B806" s="319">
        <v>8096</v>
      </c>
      <c r="C806" s="319" t="s">
        <v>1225</v>
      </c>
      <c r="D806" s="320">
        <v>15.3</v>
      </c>
      <c r="E806" s="320">
        <v>-0.2</v>
      </c>
      <c r="F806" s="320">
        <v>15.65</v>
      </c>
      <c r="G806" s="320">
        <v>15.85</v>
      </c>
      <c r="H806" s="320">
        <v>15.3</v>
      </c>
      <c r="I806" s="321">
        <v>2832000</v>
      </c>
      <c r="J806" s="321">
        <v>43836400</v>
      </c>
      <c r="K806" s="321">
        <v>1103</v>
      </c>
      <c r="L806" s="320">
        <v>15.3</v>
      </c>
      <c r="M806" s="320">
        <v>10</v>
      </c>
      <c r="N806" s="320">
        <v>15.35</v>
      </c>
      <c r="O806" s="320">
        <v>7</v>
      </c>
      <c r="P806" s="321">
        <v>145264758</v>
      </c>
      <c r="Q806" s="320">
        <v>16.8</v>
      </c>
      <c r="R806" s="320">
        <v>13.8</v>
      </c>
    </row>
    <row r="807" spans="2:18">
      <c r="B807" s="319">
        <v>8097</v>
      </c>
      <c r="C807" s="319" t="s">
        <v>1226</v>
      </c>
      <c r="D807" s="320">
        <v>30.6</v>
      </c>
      <c r="E807" s="320">
        <v>-0.85</v>
      </c>
      <c r="F807" s="320">
        <v>31.45</v>
      </c>
      <c r="G807" s="320">
        <v>31.9</v>
      </c>
      <c r="H807" s="320">
        <v>30.6</v>
      </c>
      <c r="I807" s="321">
        <v>441000</v>
      </c>
      <c r="J807" s="321">
        <v>13617450</v>
      </c>
      <c r="K807" s="320">
        <v>291</v>
      </c>
      <c r="L807" s="320">
        <v>30.6</v>
      </c>
      <c r="M807" s="320">
        <v>11</v>
      </c>
      <c r="N807" s="320">
        <v>30.65</v>
      </c>
      <c r="O807" s="320">
        <v>3</v>
      </c>
      <c r="P807" s="321">
        <v>38674306</v>
      </c>
      <c r="Q807" s="320">
        <v>33.65</v>
      </c>
      <c r="R807" s="320">
        <v>27.55</v>
      </c>
    </row>
    <row r="808" spans="2:18">
      <c r="B808" s="319">
        <v>8099</v>
      </c>
      <c r="C808" s="319" t="s">
        <v>1227</v>
      </c>
      <c r="D808" s="320">
        <v>39.549999999999997</v>
      </c>
      <c r="E808" s="320">
        <v>-0.05</v>
      </c>
      <c r="F808" s="320">
        <v>39.799999999999997</v>
      </c>
      <c r="G808" s="320">
        <v>40.5</v>
      </c>
      <c r="H808" s="320">
        <v>39.35</v>
      </c>
      <c r="I808" s="321">
        <v>61000</v>
      </c>
      <c r="J808" s="321">
        <v>2430850</v>
      </c>
      <c r="K808" s="320">
        <v>51</v>
      </c>
      <c r="L808" s="320">
        <v>39.549999999999997</v>
      </c>
      <c r="M808" s="320">
        <v>3</v>
      </c>
      <c r="N808" s="320">
        <v>39.799999999999997</v>
      </c>
      <c r="O808" s="320">
        <v>3</v>
      </c>
      <c r="P808" s="321">
        <v>88560000</v>
      </c>
      <c r="Q808" s="320">
        <v>43.5</v>
      </c>
      <c r="R808" s="320">
        <v>35.6</v>
      </c>
    </row>
    <row r="809" spans="2:18">
      <c r="B809" s="319">
        <v>8107</v>
      </c>
      <c r="C809" s="319" t="s">
        <v>1228</v>
      </c>
      <c r="D809" s="320">
        <v>19.45</v>
      </c>
      <c r="E809" s="320">
        <v>0.15</v>
      </c>
      <c r="F809" s="320">
        <v>19.8</v>
      </c>
      <c r="G809" s="320">
        <v>19.850000000000001</v>
      </c>
      <c r="H809" s="320">
        <v>19.350000000000001</v>
      </c>
      <c r="I809" s="321">
        <v>257000</v>
      </c>
      <c r="J809" s="321">
        <v>5018650</v>
      </c>
      <c r="K809" s="320">
        <v>151</v>
      </c>
      <c r="L809" s="320">
        <v>19.399999999999999</v>
      </c>
      <c r="M809" s="320">
        <v>15</v>
      </c>
      <c r="N809" s="320">
        <v>19.45</v>
      </c>
      <c r="O809" s="320">
        <v>2</v>
      </c>
      <c r="P809" s="321">
        <v>75000000</v>
      </c>
      <c r="Q809" s="320">
        <v>21.35</v>
      </c>
      <c r="R809" s="320">
        <v>17.55</v>
      </c>
    </row>
    <row r="810" spans="2:18">
      <c r="B810" s="319">
        <v>8109</v>
      </c>
      <c r="C810" s="319" t="s">
        <v>1229</v>
      </c>
      <c r="D810" s="320">
        <v>75.400000000000006</v>
      </c>
      <c r="E810" s="320">
        <v>0.3</v>
      </c>
      <c r="F810" s="320">
        <v>75.099999999999994</v>
      </c>
      <c r="G810" s="320">
        <v>75.400000000000006</v>
      </c>
      <c r="H810" s="320">
        <v>75</v>
      </c>
      <c r="I810" s="321">
        <v>56000</v>
      </c>
      <c r="J810" s="321">
        <v>4209300</v>
      </c>
      <c r="K810" s="320">
        <v>42</v>
      </c>
      <c r="L810" s="320">
        <v>75.3</v>
      </c>
      <c r="M810" s="320">
        <v>2</v>
      </c>
      <c r="N810" s="320">
        <v>75.400000000000006</v>
      </c>
      <c r="O810" s="320">
        <v>7</v>
      </c>
      <c r="P810" s="321">
        <v>77609404</v>
      </c>
      <c r="Q810" s="320">
        <v>82.9</v>
      </c>
      <c r="R810" s="320">
        <v>67.900000000000006</v>
      </c>
    </row>
    <row r="811" spans="2:18">
      <c r="B811" s="319">
        <v>8111</v>
      </c>
      <c r="C811" s="319" t="s">
        <v>1230</v>
      </c>
      <c r="D811" s="320">
        <v>30</v>
      </c>
      <c r="E811" s="320">
        <v>-0.6</v>
      </c>
      <c r="F811" s="320">
        <v>30.6</v>
      </c>
      <c r="G811" s="320">
        <v>30.85</v>
      </c>
      <c r="H811" s="320">
        <v>30</v>
      </c>
      <c r="I811" s="321">
        <v>3865000</v>
      </c>
      <c r="J811" s="321">
        <v>116967150</v>
      </c>
      <c r="K811" s="321">
        <v>1938</v>
      </c>
      <c r="L811" s="320">
        <v>29.95</v>
      </c>
      <c r="M811" s="320">
        <v>114</v>
      </c>
      <c r="N811" s="320">
        <v>30</v>
      </c>
      <c r="O811" s="320">
        <v>66</v>
      </c>
      <c r="P811" s="321">
        <v>109102223</v>
      </c>
      <c r="Q811" s="320">
        <v>33</v>
      </c>
      <c r="R811" s="320">
        <v>27</v>
      </c>
    </row>
    <row r="812" spans="2:18">
      <c r="B812" s="319">
        <v>8121</v>
      </c>
      <c r="C812" s="319" t="s">
        <v>1231</v>
      </c>
      <c r="D812" s="320">
        <v>56</v>
      </c>
      <c r="E812" s="320">
        <v>2</v>
      </c>
      <c r="F812" s="320">
        <v>56</v>
      </c>
      <c r="G812" s="320">
        <v>59.4</v>
      </c>
      <c r="H812" s="320">
        <v>55.6</v>
      </c>
      <c r="I812" s="321">
        <v>17971000</v>
      </c>
      <c r="J812" s="321">
        <v>1033801700</v>
      </c>
      <c r="K812" s="321">
        <v>8526</v>
      </c>
      <c r="L812" s="320">
        <v>56</v>
      </c>
      <c r="M812" s="320">
        <v>128</v>
      </c>
      <c r="N812" s="320">
        <v>56.1</v>
      </c>
      <c r="O812" s="320">
        <v>13</v>
      </c>
      <c r="P812" s="321">
        <v>182993743</v>
      </c>
      <c r="Q812" s="320">
        <v>61.6</v>
      </c>
      <c r="R812" s="320">
        <v>50.4</v>
      </c>
    </row>
    <row r="813" spans="2:18">
      <c r="B813" s="319">
        <v>8147</v>
      </c>
      <c r="C813" s="319" t="s">
        <v>1232</v>
      </c>
      <c r="D813" s="320">
        <v>63.6</v>
      </c>
      <c r="E813" s="320">
        <v>2.2000000000000002</v>
      </c>
      <c r="F813" s="320">
        <v>62.6</v>
      </c>
      <c r="G813" s="320">
        <v>64.7</v>
      </c>
      <c r="H813" s="320">
        <v>61.2</v>
      </c>
      <c r="I813" s="321">
        <v>606000</v>
      </c>
      <c r="J813" s="321">
        <v>37800500</v>
      </c>
      <c r="K813" s="320">
        <v>382</v>
      </c>
      <c r="L813" s="320">
        <v>63.3</v>
      </c>
      <c r="M813" s="320">
        <v>1</v>
      </c>
      <c r="N813" s="320">
        <v>63.6</v>
      </c>
      <c r="O813" s="320">
        <v>1</v>
      </c>
      <c r="P813" s="321">
        <v>30627656</v>
      </c>
      <c r="Q813" s="320">
        <v>69.900000000000006</v>
      </c>
      <c r="R813" s="320">
        <v>57.3</v>
      </c>
    </row>
    <row r="814" spans="2:18">
      <c r="B814" s="319">
        <v>8155</v>
      </c>
      <c r="C814" s="319" t="s">
        <v>1233</v>
      </c>
      <c r="D814" s="320">
        <v>165.5</v>
      </c>
      <c r="E814" s="320">
        <v>2</v>
      </c>
      <c r="F814" s="320">
        <v>167</v>
      </c>
      <c r="G814" s="320">
        <v>171</v>
      </c>
      <c r="H814" s="320">
        <v>163</v>
      </c>
      <c r="I814" s="321">
        <v>4370000</v>
      </c>
      <c r="J814" s="321">
        <v>728893000</v>
      </c>
      <c r="K814" s="321">
        <v>3172</v>
      </c>
      <c r="L814" s="320">
        <v>165</v>
      </c>
      <c r="M814" s="320">
        <v>1</v>
      </c>
      <c r="N814" s="320">
        <v>165.5</v>
      </c>
      <c r="O814" s="320">
        <v>63</v>
      </c>
      <c r="P814" s="321">
        <v>49756000</v>
      </c>
      <c r="Q814" s="320">
        <v>182</v>
      </c>
      <c r="R814" s="320">
        <v>149</v>
      </c>
    </row>
    <row r="815" spans="2:18">
      <c r="B815" s="319">
        <v>8171</v>
      </c>
      <c r="C815" s="319" t="s">
        <v>1234</v>
      </c>
      <c r="D815" s="320">
        <v>52.5</v>
      </c>
      <c r="E815" s="320">
        <v>0.2</v>
      </c>
      <c r="F815" s="320">
        <v>52.4</v>
      </c>
      <c r="G815" s="320">
        <v>53.4</v>
      </c>
      <c r="H815" s="320">
        <v>52.2</v>
      </c>
      <c r="I815" s="321">
        <v>580000</v>
      </c>
      <c r="J815" s="321">
        <v>30589400</v>
      </c>
      <c r="K815" s="320">
        <v>398</v>
      </c>
      <c r="L815" s="320">
        <v>52.5</v>
      </c>
      <c r="M815" s="320">
        <v>6</v>
      </c>
      <c r="N815" s="320">
        <v>52.6</v>
      </c>
      <c r="O815" s="320">
        <v>4</v>
      </c>
      <c r="P815" s="321">
        <v>58723230</v>
      </c>
      <c r="Q815" s="320">
        <v>57.7</v>
      </c>
      <c r="R815" s="320">
        <v>47.25</v>
      </c>
    </row>
    <row r="816" spans="2:18">
      <c r="B816" s="319">
        <v>8176</v>
      </c>
      <c r="C816" s="319" t="s">
        <v>1235</v>
      </c>
      <c r="D816" s="320">
        <v>8.94</v>
      </c>
      <c r="E816" s="320">
        <v>0.03</v>
      </c>
      <c r="F816" s="320">
        <v>8.89</v>
      </c>
      <c r="G816" s="320">
        <v>8.99</v>
      </c>
      <c r="H816" s="320">
        <v>8.89</v>
      </c>
      <c r="I816" s="321">
        <v>23000</v>
      </c>
      <c r="J816" s="321">
        <v>206240</v>
      </c>
      <c r="K816" s="320">
        <v>13</v>
      </c>
      <c r="L816" s="320">
        <v>8.9</v>
      </c>
      <c r="M816" s="320">
        <v>5</v>
      </c>
      <c r="N816" s="320">
        <v>8.98</v>
      </c>
      <c r="O816" s="320">
        <v>6</v>
      </c>
      <c r="P816" s="321">
        <v>72500000</v>
      </c>
      <c r="Q816" s="320">
        <v>9.83</v>
      </c>
      <c r="R816" s="320">
        <v>8.0500000000000007</v>
      </c>
    </row>
    <row r="817" spans="2:18">
      <c r="B817" s="319">
        <v>8182</v>
      </c>
      <c r="C817" s="319" t="s">
        <v>1236</v>
      </c>
      <c r="D817" s="320">
        <v>54.2</v>
      </c>
      <c r="E817" s="320">
        <v>-0.8</v>
      </c>
      <c r="F817" s="320">
        <v>55.6</v>
      </c>
      <c r="G817" s="320">
        <v>55.7</v>
      </c>
      <c r="H817" s="320">
        <v>54.2</v>
      </c>
      <c r="I817" s="321">
        <v>593000</v>
      </c>
      <c r="J817" s="321">
        <v>32400400</v>
      </c>
      <c r="K817" s="320">
        <v>431</v>
      </c>
      <c r="L817" s="320">
        <v>54.2</v>
      </c>
      <c r="M817" s="320">
        <v>55</v>
      </c>
      <c r="N817" s="320">
        <v>54.3</v>
      </c>
      <c r="O817" s="320">
        <v>3</v>
      </c>
      <c r="P817" s="321">
        <v>107041215</v>
      </c>
      <c r="Q817" s="320">
        <v>59.6</v>
      </c>
      <c r="R817" s="320">
        <v>48.8</v>
      </c>
    </row>
    <row r="818" spans="2:18">
      <c r="B818" s="319">
        <v>8183</v>
      </c>
      <c r="C818" s="319" t="s">
        <v>1237</v>
      </c>
      <c r="D818" s="320">
        <v>64.3</v>
      </c>
      <c r="E818" s="320">
        <v>-1</v>
      </c>
      <c r="F818" s="320">
        <v>65.7</v>
      </c>
      <c r="G818" s="320">
        <v>67</v>
      </c>
      <c r="H818" s="320">
        <v>64.2</v>
      </c>
      <c r="I818" s="321">
        <v>8623000</v>
      </c>
      <c r="J818" s="321">
        <v>566116100</v>
      </c>
      <c r="K818" s="321">
        <v>5283</v>
      </c>
      <c r="L818" s="320">
        <v>64.3</v>
      </c>
      <c r="M818" s="320">
        <v>5</v>
      </c>
      <c r="N818" s="320">
        <v>64.400000000000006</v>
      </c>
      <c r="O818" s="320">
        <v>8</v>
      </c>
      <c r="P818" s="321">
        <v>121251068</v>
      </c>
      <c r="Q818" s="320">
        <v>70.7</v>
      </c>
      <c r="R818" s="320">
        <v>57.9</v>
      </c>
    </row>
    <row r="819" spans="2:18">
      <c r="B819" s="319">
        <v>8234</v>
      </c>
      <c r="C819" s="319" t="s">
        <v>1238</v>
      </c>
      <c r="D819" s="320">
        <v>24.25</v>
      </c>
      <c r="E819" s="320">
        <v>0.05</v>
      </c>
      <c r="F819" s="320">
        <v>24.5</v>
      </c>
      <c r="G819" s="320">
        <v>24.5</v>
      </c>
      <c r="H819" s="320">
        <v>24.1</v>
      </c>
      <c r="I819" s="321">
        <v>76000</v>
      </c>
      <c r="J819" s="321">
        <v>1840850</v>
      </c>
      <c r="K819" s="320">
        <v>48</v>
      </c>
      <c r="L819" s="320">
        <v>24.1</v>
      </c>
      <c r="M819" s="320">
        <v>4</v>
      </c>
      <c r="N819" s="320">
        <v>24.3</v>
      </c>
      <c r="O819" s="320">
        <v>2</v>
      </c>
      <c r="P819" s="321">
        <v>141226472</v>
      </c>
      <c r="Q819" s="320">
        <v>26.65</v>
      </c>
      <c r="R819" s="320">
        <v>21.85</v>
      </c>
    </row>
    <row r="820" spans="2:18">
      <c r="B820" s="319">
        <v>8240</v>
      </c>
      <c r="C820" s="319" t="s">
        <v>1239</v>
      </c>
      <c r="D820" s="320">
        <v>31.95</v>
      </c>
      <c r="E820" s="320">
        <v>-0.2</v>
      </c>
      <c r="F820" s="320">
        <v>32.299999999999997</v>
      </c>
      <c r="G820" s="320">
        <v>32.299999999999997</v>
      </c>
      <c r="H820" s="320">
        <v>31.8</v>
      </c>
      <c r="I820" s="321">
        <v>129000</v>
      </c>
      <c r="J820" s="321">
        <v>4109600</v>
      </c>
      <c r="K820" s="320">
        <v>74</v>
      </c>
      <c r="L820" s="320">
        <v>31.9</v>
      </c>
      <c r="M820" s="320">
        <v>1</v>
      </c>
      <c r="N820" s="320">
        <v>31.95</v>
      </c>
      <c r="O820" s="320">
        <v>2</v>
      </c>
      <c r="P820" s="321">
        <v>100004414</v>
      </c>
      <c r="Q820" s="320">
        <v>35.1</v>
      </c>
      <c r="R820" s="320">
        <v>28.8</v>
      </c>
    </row>
    <row r="821" spans="2:18">
      <c r="B821" s="319">
        <v>8255</v>
      </c>
      <c r="C821" s="319" t="s">
        <v>1240</v>
      </c>
      <c r="D821" s="320">
        <v>246.5</v>
      </c>
      <c r="E821" s="320">
        <v>0</v>
      </c>
      <c r="F821" s="320">
        <v>252.5</v>
      </c>
      <c r="G821" s="320">
        <v>259.5</v>
      </c>
      <c r="H821" s="320">
        <v>246.5</v>
      </c>
      <c r="I821" s="321">
        <v>10097000</v>
      </c>
      <c r="J821" s="321">
        <v>2561059500</v>
      </c>
      <c r="K821" s="321">
        <v>7534</v>
      </c>
      <c r="L821" s="320">
        <v>246.5</v>
      </c>
      <c r="M821" s="320">
        <v>76</v>
      </c>
      <c r="N821" s="320">
        <v>247</v>
      </c>
      <c r="O821" s="320">
        <v>6</v>
      </c>
      <c r="P821" s="321">
        <v>91457000</v>
      </c>
      <c r="Q821" s="320">
        <v>271</v>
      </c>
      <c r="R821" s="320">
        <v>222</v>
      </c>
    </row>
    <row r="822" spans="2:18">
      <c r="B822" s="319">
        <v>8277</v>
      </c>
      <c r="C822" s="319" t="s">
        <v>1241</v>
      </c>
      <c r="D822" s="320">
        <v>13.85</v>
      </c>
      <c r="E822" s="320">
        <v>0.8</v>
      </c>
      <c r="F822" s="320">
        <v>13.3</v>
      </c>
      <c r="G822" s="320">
        <v>14.3</v>
      </c>
      <c r="H822" s="320">
        <v>13.3</v>
      </c>
      <c r="I822" s="321">
        <v>2959000</v>
      </c>
      <c r="J822" s="321">
        <v>41223650</v>
      </c>
      <c r="K822" s="321">
        <v>1419</v>
      </c>
      <c r="L822" s="320">
        <v>13.85</v>
      </c>
      <c r="M822" s="320">
        <v>3</v>
      </c>
      <c r="N822" s="320">
        <v>13.9</v>
      </c>
      <c r="O822" s="320">
        <v>88</v>
      </c>
      <c r="P822" s="321">
        <v>91628833</v>
      </c>
      <c r="Q822" s="320">
        <v>15.2</v>
      </c>
      <c r="R822" s="320">
        <v>12.5</v>
      </c>
    </row>
    <row r="823" spans="2:18">
      <c r="B823" s="319">
        <v>8279</v>
      </c>
      <c r="C823" s="319" t="s">
        <v>1242</v>
      </c>
      <c r="D823" s="320">
        <v>112.5</v>
      </c>
      <c r="E823" s="320">
        <v>-0.5</v>
      </c>
      <c r="F823" s="320">
        <v>113</v>
      </c>
      <c r="G823" s="320">
        <v>113</v>
      </c>
      <c r="H823" s="320">
        <v>112</v>
      </c>
      <c r="I823" s="321">
        <v>28000</v>
      </c>
      <c r="J823" s="321">
        <v>3145000</v>
      </c>
      <c r="K823" s="320">
        <v>19</v>
      </c>
      <c r="L823" s="320">
        <v>112</v>
      </c>
      <c r="M823" s="320">
        <v>5</v>
      </c>
      <c r="N823" s="320">
        <v>112.5</v>
      </c>
      <c r="O823" s="320">
        <v>6</v>
      </c>
      <c r="P823" s="321">
        <v>27100851</v>
      </c>
      <c r="Q823" s="320">
        <v>123.5</v>
      </c>
      <c r="R823" s="320">
        <v>101.5</v>
      </c>
    </row>
    <row r="824" spans="2:18">
      <c r="B824" s="319">
        <v>8284</v>
      </c>
      <c r="C824" s="319" t="s">
        <v>1243</v>
      </c>
      <c r="D824" s="320">
        <v>45.8</v>
      </c>
      <c r="E824" s="320">
        <v>-0.3</v>
      </c>
      <c r="F824" s="320">
        <v>46</v>
      </c>
      <c r="G824" s="320">
        <v>46</v>
      </c>
      <c r="H824" s="320">
        <v>45.65</v>
      </c>
      <c r="I824" s="321">
        <v>21000</v>
      </c>
      <c r="J824" s="321">
        <v>961150</v>
      </c>
      <c r="K824" s="320">
        <v>14</v>
      </c>
      <c r="L824" s="320">
        <v>45.8</v>
      </c>
      <c r="M824" s="320">
        <v>1</v>
      </c>
      <c r="N824" s="320">
        <v>46</v>
      </c>
      <c r="O824" s="320">
        <v>2</v>
      </c>
      <c r="P824" s="321">
        <v>46342000</v>
      </c>
      <c r="Q824" s="320">
        <v>50.3</v>
      </c>
      <c r="R824" s="320">
        <v>41.25</v>
      </c>
    </row>
    <row r="825" spans="2:18">
      <c r="B825" s="319">
        <v>8289</v>
      </c>
      <c r="C825" s="319" t="s">
        <v>1244</v>
      </c>
      <c r="D825" s="320">
        <v>38.6</v>
      </c>
      <c r="E825" s="320">
        <v>-0.3</v>
      </c>
      <c r="F825" s="320">
        <v>39.25</v>
      </c>
      <c r="G825" s="320">
        <v>39.700000000000003</v>
      </c>
      <c r="H825" s="320">
        <v>38.6</v>
      </c>
      <c r="I825" s="321">
        <v>872000</v>
      </c>
      <c r="J825" s="321">
        <v>34071350</v>
      </c>
      <c r="K825" s="320">
        <v>606</v>
      </c>
      <c r="L825" s="320">
        <v>38.6</v>
      </c>
      <c r="M825" s="320">
        <v>55</v>
      </c>
      <c r="N825" s="320">
        <v>38.65</v>
      </c>
      <c r="O825" s="320">
        <v>16</v>
      </c>
      <c r="P825" s="321">
        <v>68333765</v>
      </c>
      <c r="Q825" s="320">
        <v>42.45</v>
      </c>
      <c r="R825" s="320">
        <v>34.75</v>
      </c>
    </row>
    <row r="826" spans="2:18">
      <c r="B826" s="319">
        <v>8291</v>
      </c>
      <c r="C826" s="319" t="s">
        <v>1245</v>
      </c>
      <c r="D826" s="320" t="s">
        <v>478</v>
      </c>
      <c r="E826" s="320" t="s">
        <v>479</v>
      </c>
      <c r="F826" s="320" t="s">
        <v>478</v>
      </c>
      <c r="G826" s="320" t="s">
        <v>478</v>
      </c>
      <c r="H826" s="320" t="s">
        <v>478</v>
      </c>
      <c r="I826" s="320">
        <v>0</v>
      </c>
      <c r="J826" s="320">
        <v>0</v>
      </c>
      <c r="K826" s="320">
        <v>0</v>
      </c>
      <c r="L826" s="320">
        <v>6.41</v>
      </c>
      <c r="M826" s="320">
        <v>2</v>
      </c>
      <c r="N826" s="320">
        <v>6.95</v>
      </c>
      <c r="O826" s="320">
        <v>1</v>
      </c>
      <c r="P826" s="321">
        <v>47312000</v>
      </c>
      <c r="Q826" s="320">
        <v>7.64</v>
      </c>
      <c r="R826" s="320">
        <v>6.26</v>
      </c>
    </row>
    <row r="827" spans="2:18">
      <c r="B827" s="319">
        <v>8299</v>
      </c>
      <c r="C827" s="319" t="s">
        <v>1246</v>
      </c>
      <c r="D827" s="320">
        <v>499</v>
      </c>
      <c r="E827" s="320">
        <v>-0.5</v>
      </c>
      <c r="F827" s="320">
        <v>500</v>
      </c>
      <c r="G827" s="320">
        <v>505</v>
      </c>
      <c r="H827" s="320">
        <v>496.5</v>
      </c>
      <c r="I827" s="321">
        <v>3019000</v>
      </c>
      <c r="J827" s="321">
        <v>1511444500</v>
      </c>
      <c r="K827" s="321">
        <v>2463</v>
      </c>
      <c r="L827" s="320">
        <v>498.5</v>
      </c>
      <c r="M827" s="320">
        <v>21</v>
      </c>
      <c r="N827" s="320">
        <v>499</v>
      </c>
      <c r="O827" s="320">
        <v>8</v>
      </c>
      <c r="P827" s="321">
        <v>197073993</v>
      </c>
      <c r="Q827" s="320">
        <v>548</v>
      </c>
      <c r="R827" s="320">
        <v>449.5</v>
      </c>
    </row>
    <row r="828" spans="2:18">
      <c r="B828" s="319">
        <v>8342</v>
      </c>
      <c r="C828" s="319" t="s">
        <v>1247</v>
      </c>
      <c r="D828" s="320" t="s">
        <v>478</v>
      </c>
      <c r="E828" s="320" t="s">
        <v>479</v>
      </c>
      <c r="F828" s="320" t="s">
        <v>478</v>
      </c>
      <c r="G828" s="320" t="s">
        <v>478</v>
      </c>
      <c r="H828" s="320" t="s">
        <v>478</v>
      </c>
      <c r="I828" s="320">
        <v>0</v>
      </c>
      <c r="J828" s="320">
        <v>0</v>
      </c>
      <c r="K828" s="320">
        <v>0</v>
      </c>
      <c r="L828" s="320">
        <v>51.7</v>
      </c>
      <c r="M828" s="320">
        <v>1</v>
      </c>
      <c r="N828" s="320">
        <v>52.1</v>
      </c>
      <c r="O828" s="320">
        <v>2</v>
      </c>
      <c r="P828" s="321">
        <v>33536692</v>
      </c>
      <c r="Q828" s="320">
        <v>57</v>
      </c>
      <c r="R828" s="320">
        <v>46.75</v>
      </c>
    </row>
    <row r="829" spans="2:18">
      <c r="B829" s="319">
        <v>8349</v>
      </c>
      <c r="C829" s="319" t="s">
        <v>1248</v>
      </c>
      <c r="D829" s="320">
        <v>59.6</v>
      </c>
      <c r="E829" s="320">
        <v>0.1</v>
      </c>
      <c r="F829" s="320">
        <v>59</v>
      </c>
      <c r="G829" s="320">
        <v>59.7</v>
      </c>
      <c r="H829" s="320">
        <v>58.7</v>
      </c>
      <c r="I829" s="321">
        <v>44000</v>
      </c>
      <c r="J829" s="321">
        <v>2608200</v>
      </c>
      <c r="K829" s="320">
        <v>37</v>
      </c>
      <c r="L829" s="320">
        <v>59.3</v>
      </c>
      <c r="M829" s="320">
        <v>2</v>
      </c>
      <c r="N829" s="320">
        <v>59.6</v>
      </c>
      <c r="O829" s="320">
        <v>2</v>
      </c>
      <c r="P829" s="321">
        <v>119290196</v>
      </c>
      <c r="Q829" s="320">
        <v>65.5</v>
      </c>
      <c r="R829" s="320">
        <v>53.7</v>
      </c>
    </row>
    <row r="830" spans="2:18">
      <c r="B830" s="319" t="s">
        <v>1249</v>
      </c>
      <c r="C830" s="319" t="s">
        <v>1250</v>
      </c>
      <c r="D830" s="320">
        <v>44.9</v>
      </c>
      <c r="E830" s="320">
        <v>0.05</v>
      </c>
      <c r="F830" s="320">
        <v>44.85</v>
      </c>
      <c r="G830" s="320">
        <v>44.9</v>
      </c>
      <c r="H830" s="320">
        <v>44.8</v>
      </c>
      <c r="I830" s="321">
        <v>56000</v>
      </c>
      <c r="J830" s="321">
        <v>2509350</v>
      </c>
      <c r="K830" s="320">
        <v>17</v>
      </c>
      <c r="L830" s="320">
        <v>44.8</v>
      </c>
      <c r="M830" s="320">
        <v>2</v>
      </c>
      <c r="N830" s="320">
        <v>44.95</v>
      </c>
      <c r="O830" s="320">
        <v>1</v>
      </c>
      <c r="P830" s="321">
        <v>10000000</v>
      </c>
      <c r="Q830" s="320">
        <v>49.35</v>
      </c>
      <c r="R830" s="320">
        <v>40.450000000000003</v>
      </c>
    </row>
    <row r="831" spans="2:18">
      <c r="B831" s="319">
        <v>8354</v>
      </c>
      <c r="C831" s="319" t="s">
        <v>1251</v>
      </c>
      <c r="D831" s="320">
        <v>14.85</v>
      </c>
      <c r="E831" s="320">
        <v>0.05</v>
      </c>
      <c r="F831" s="320">
        <v>14.8</v>
      </c>
      <c r="G831" s="320">
        <v>14.95</v>
      </c>
      <c r="H831" s="320">
        <v>14.8</v>
      </c>
      <c r="I831" s="321">
        <v>45000</v>
      </c>
      <c r="J831" s="321">
        <v>667750</v>
      </c>
      <c r="K831" s="320">
        <v>21</v>
      </c>
      <c r="L831" s="320">
        <v>14.8</v>
      </c>
      <c r="M831" s="320">
        <v>1</v>
      </c>
      <c r="N831" s="320">
        <v>14.9</v>
      </c>
      <c r="O831" s="320">
        <v>7</v>
      </c>
      <c r="P831" s="321">
        <v>78532263</v>
      </c>
      <c r="Q831" s="320">
        <v>16.3</v>
      </c>
      <c r="R831" s="320">
        <v>13.4</v>
      </c>
    </row>
    <row r="832" spans="2:18">
      <c r="B832" s="319">
        <v>8358</v>
      </c>
      <c r="C832" s="319" t="s">
        <v>1252</v>
      </c>
      <c r="D832" s="320">
        <v>77.599999999999994</v>
      </c>
      <c r="E832" s="320">
        <v>0</v>
      </c>
      <c r="F832" s="320">
        <v>79</v>
      </c>
      <c r="G832" s="320">
        <v>80</v>
      </c>
      <c r="H832" s="320">
        <v>77.599999999999994</v>
      </c>
      <c r="I832" s="321">
        <v>7943000</v>
      </c>
      <c r="J832" s="321">
        <v>624995900</v>
      </c>
      <c r="K832" s="321">
        <v>4992</v>
      </c>
      <c r="L832" s="320">
        <v>77.599999999999994</v>
      </c>
      <c r="M832" s="320">
        <v>85</v>
      </c>
      <c r="N832" s="320">
        <v>77.7</v>
      </c>
      <c r="O832" s="320">
        <v>2</v>
      </c>
      <c r="P832" s="321">
        <v>252588000</v>
      </c>
      <c r="Q832" s="320">
        <v>85.3</v>
      </c>
      <c r="R832" s="320">
        <v>69.900000000000006</v>
      </c>
    </row>
    <row r="833" spans="2:18">
      <c r="B833" s="319">
        <v>8383</v>
      </c>
      <c r="C833" s="319" t="s">
        <v>1253</v>
      </c>
      <c r="D833" s="320">
        <v>40.700000000000003</v>
      </c>
      <c r="E833" s="320">
        <v>0.1</v>
      </c>
      <c r="F833" s="320">
        <v>41</v>
      </c>
      <c r="G833" s="320">
        <v>41</v>
      </c>
      <c r="H833" s="320">
        <v>40.700000000000003</v>
      </c>
      <c r="I833" s="321">
        <v>111000</v>
      </c>
      <c r="J833" s="321">
        <v>4522300</v>
      </c>
      <c r="K833" s="320">
        <v>93</v>
      </c>
      <c r="L833" s="320">
        <v>40.700000000000003</v>
      </c>
      <c r="M833" s="320">
        <v>6</v>
      </c>
      <c r="N833" s="320">
        <v>40.75</v>
      </c>
      <c r="O833" s="320">
        <v>9</v>
      </c>
      <c r="P833" s="321">
        <v>118192482</v>
      </c>
      <c r="Q833" s="320">
        <v>44.75</v>
      </c>
      <c r="R833" s="320">
        <v>36.65</v>
      </c>
    </row>
    <row r="834" spans="2:18">
      <c r="B834" s="319">
        <v>8390</v>
      </c>
      <c r="C834" s="319" t="s">
        <v>1254</v>
      </c>
      <c r="D834" s="320">
        <v>34.25</v>
      </c>
      <c r="E834" s="320">
        <v>-0.3</v>
      </c>
      <c r="F834" s="320">
        <v>34.549999999999997</v>
      </c>
      <c r="G834" s="320">
        <v>34.799999999999997</v>
      </c>
      <c r="H834" s="320">
        <v>34.25</v>
      </c>
      <c r="I834" s="321">
        <v>278000</v>
      </c>
      <c r="J834" s="321">
        <v>9603800</v>
      </c>
      <c r="K834" s="320">
        <v>176</v>
      </c>
      <c r="L834" s="320">
        <v>34.25</v>
      </c>
      <c r="M834" s="320">
        <v>14</v>
      </c>
      <c r="N834" s="320">
        <v>34.299999999999997</v>
      </c>
      <c r="O834" s="320">
        <v>3</v>
      </c>
      <c r="P834" s="321">
        <v>119922660</v>
      </c>
      <c r="Q834" s="320">
        <v>37.65</v>
      </c>
      <c r="R834" s="320">
        <v>30.85</v>
      </c>
    </row>
    <row r="835" spans="2:18">
      <c r="B835" s="319">
        <v>8401</v>
      </c>
      <c r="C835" s="319" t="s">
        <v>1255</v>
      </c>
      <c r="D835" s="320">
        <v>15.65</v>
      </c>
      <c r="E835" s="320">
        <v>0.1</v>
      </c>
      <c r="F835" s="320">
        <v>15.6</v>
      </c>
      <c r="G835" s="320">
        <v>15.9</v>
      </c>
      <c r="H835" s="320">
        <v>15.45</v>
      </c>
      <c r="I835" s="321">
        <v>163000</v>
      </c>
      <c r="J835" s="321">
        <v>2552950</v>
      </c>
      <c r="K835" s="320">
        <v>68</v>
      </c>
      <c r="L835" s="320">
        <v>15.5</v>
      </c>
      <c r="M835" s="320">
        <v>1</v>
      </c>
      <c r="N835" s="320">
        <v>15.65</v>
      </c>
      <c r="O835" s="320">
        <v>11</v>
      </c>
      <c r="P835" s="321">
        <v>60041680</v>
      </c>
      <c r="Q835" s="320">
        <v>17.2</v>
      </c>
      <c r="R835" s="320">
        <v>14.1</v>
      </c>
    </row>
    <row r="836" spans="2:18">
      <c r="B836" s="319">
        <v>8403</v>
      </c>
      <c r="C836" s="319" t="s">
        <v>1256</v>
      </c>
      <c r="D836" s="320">
        <v>26.9</v>
      </c>
      <c r="E836" s="320">
        <v>0.05</v>
      </c>
      <c r="F836" s="320">
        <v>26.95</v>
      </c>
      <c r="G836" s="320">
        <v>27</v>
      </c>
      <c r="H836" s="320">
        <v>26.85</v>
      </c>
      <c r="I836" s="321">
        <v>152000</v>
      </c>
      <c r="J836" s="321">
        <v>4093500</v>
      </c>
      <c r="K836" s="320">
        <v>104</v>
      </c>
      <c r="L836" s="320">
        <v>26.9</v>
      </c>
      <c r="M836" s="320">
        <v>7</v>
      </c>
      <c r="N836" s="320">
        <v>26.95</v>
      </c>
      <c r="O836" s="320">
        <v>3</v>
      </c>
      <c r="P836" s="321">
        <v>114325868</v>
      </c>
      <c r="Q836" s="320">
        <v>29.55</v>
      </c>
      <c r="R836" s="320">
        <v>24.25</v>
      </c>
    </row>
    <row r="837" spans="2:18">
      <c r="B837" s="319">
        <v>8406</v>
      </c>
      <c r="C837" s="319" t="s">
        <v>1257</v>
      </c>
      <c r="D837" s="320">
        <v>265.5</v>
      </c>
      <c r="E837" s="320">
        <v>1.5</v>
      </c>
      <c r="F837" s="320">
        <v>265</v>
      </c>
      <c r="G837" s="320">
        <v>266</v>
      </c>
      <c r="H837" s="320">
        <v>265</v>
      </c>
      <c r="I837" s="321">
        <v>249000</v>
      </c>
      <c r="J837" s="321">
        <v>66026500</v>
      </c>
      <c r="K837" s="320">
        <v>160</v>
      </c>
      <c r="L837" s="320">
        <v>265.5</v>
      </c>
      <c r="M837" s="320">
        <v>9</v>
      </c>
      <c r="N837" s="320">
        <v>266</v>
      </c>
      <c r="O837" s="320">
        <v>16</v>
      </c>
      <c r="P837" s="321">
        <v>97072996</v>
      </c>
      <c r="Q837" s="320">
        <v>292</v>
      </c>
      <c r="R837" s="320">
        <v>239</v>
      </c>
    </row>
    <row r="838" spans="2:18">
      <c r="B838" s="319">
        <v>8409</v>
      </c>
      <c r="C838" s="319" t="s">
        <v>1258</v>
      </c>
      <c r="D838" s="320">
        <v>17.45</v>
      </c>
      <c r="E838" s="320">
        <v>0.25</v>
      </c>
      <c r="F838" s="320">
        <v>17.5</v>
      </c>
      <c r="G838" s="320">
        <v>17.8</v>
      </c>
      <c r="H838" s="320">
        <v>17.399999999999999</v>
      </c>
      <c r="I838" s="321">
        <v>103000</v>
      </c>
      <c r="J838" s="321">
        <v>1813300</v>
      </c>
      <c r="K838" s="320">
        <v>78</v>
      </c>
      <c r="L838" s="320">
        <v>17.45</v>
      </c>
      <c r="M838" s="320">
        <v>3</v>
      </c>
      <c r="N838" s="320">
        <v>17.7</v>
      </c>
      <c r="O838" s="320">
        <v>1</v>
      </c>
      <c r="P838" s="321">
        <v>32000000</v>
      </c>
      <c r="Q838" s="320">
        <v>19.149999999999999</v>
      </c>
      <c r="R838" s="320">
        <v>15.75</v>
      </c>
    </row>
    <row r="839" spans="2:18">
      <c r="B839" s="319">
        <v>8410</v>
      </c>
      <c r="C839" s="319" t="s">
        <v>1259</v>
      </c>
      <c r="D839" s="320">
        <v>32.549999999999997</v>
      </c>
      <c r="E839" s="320">
        <v>0.05</v>
      </c>
      <c r="F839" s="320">
        <v>32.950000000000003</v>
      </c>
      <c r="G839" s="320">
        <v>32.950000000000003</v>
      </c>
      <c r="H839" s="320">
        <v>32.1</v>
      </c>
      <c r="I839" s="321">
        <v>21000</v>
      </c>
      <c r="J839" s="321">
        <v>683900</v>
      </c>
      <c r="K839" s="320">
        <v>18</v>
      </c>
      <c r="L839" s="320">
        <v>32.4</v>
      </c>
      <c r="M839" s="320">
        <v>2</v>
      </c>
      <c r="N839" s="320">
        <v>32.549999999999997</v>
      </c>
      <c r="O839" s="320">
        <v>1</v>
      </c>
      <c r="P839" s="321">
        <v>36589200</v>
      </c>
      <c r="Q839" s="320">
        <v>35.799999999999997</v>
      </c>
      <c r="R839" s="320">
        <v>29.3</v>
      </c>
    </row>
    <row r="840" spans="2:18">
      <c r="B840" s="319">
        <v>8415</v>
      </c>
      <c r="C840" s="319" t="s">
        <v>1260</v>
      </c>
      <c r="D840" s="320">
        <v>38.4</v>
      </c>
      <c r="E840" s="320">
        <v>0.2</v>
      </c>
      <c r="F840" s="320">
        <v>38.25</v>
      </c>
      <c r="G840" s="320">
        <v>38.4</v>
      </c>
      <c r="H840" s="320">
        <v>38.049999999999997</v>
      </c>
      <c r="I840" s="321">
        <v>1363000</v>
      </c>
      <c r="J840" s="321">
        <v>52096850</v>
      </c>
      <c r="K840" s="320">
        <v>741</v>
      </c>
      <c r="L840" s="320">
        <v>38.25</v>
      </c>
      <c r="M840" s="320">
        <v>12</v>
      </c>
      <c r="N840" s="320">
        <v>38.4</v>
      </c>
      <c r="O840" s="320">
        <v>2</v>
      </c>
      <c r="P840" s="321">
        <v>1031500000</v>
      </c>
      <c r="Q840" s="320">
        <v>42.2</v>
      </c>
      <c r="R840" s="320">
        <v>34.6</v>
      </c>
    </row>
    <row r="841" spans="2:18">
      <c r="B841" s="319">
        <v>8416</v>
      </c>
      <c r="C841" s="319" t="s">
        <v>1261</v>
      </c>
      <c r="D841" s="320">
        <v>122.5</v>
      </c>
      <c r="E841" s="320">
        <v>1.5</v>
      </c>
      <c r="F841" s="320">
        <v>122.5</v>
      </c>
      <c r="G841" s="320">
        <v>123</v>
      </c>
      <c r="H841" s="320">
        <v>122</v>
      </c>
      <c r="I841" s="321">
        <v>38000</v>
      </c>
      <c r="J841" s="321">
        <v>4649500</v>
      </c>
      <c r="K841" s="320">
        <v>31</v>
      </c>
      <c r="L841" s="320">
        <v>122</v>
      </c>
      <c r="M841" s="320">
        <v>3</v>
      </c>
      <c r="N841" s="320">
        <v>122.5</v>
      </c>
      <c r="O841" s="320">
        <v>1</v>
      </c>
      <c r="P841" s="321">
        <v>28210710</v>
      </c>
      <c r="Q841" s="320">
        <v>134.5</v>
      </c>
      <c r="R841" s="320">
        <v>110.5</v>
      </c>
    </row>
    <row r="842" spans="2:18">
      <c r="B842" s="319">
        <v>8418</v>
      </c>
      <c r="C842" s="319" t="s">
        <v>1262</v>
      </c>
      <c r="D842" s="320">
        <v>10.5</v>
      </c>
      <c r="E842" s="320">
        <v>0.15</v>
      </c>
      <c r="F842" s="320">
        <v>10.4</v>
      </c>
      <c r="G842" s="320">
        <v>10.5</v>
      </c>
      <c r="H842" s="320">
        <v>10.4</v>
      </c>
      <c r="I842" s="321">
        <v>4000</v>
      </c>
      <c r="J842" s="321">
        <v>41700</v>
      </c>
      <c r="K842" s="320">
        <v>3</v>
      </c>
      <c r="L842" s="320">
        <v>10.4</v>
      </c>
      <c r="M842" s="320">
        <v>7</v>
      </c>
      <c r="N842" s="320">
        <v>10.55</v>
      </c>
      <c r="O842" s="320">
        <v>2</v>
      </c>
      <c r="P842" s="321">
        <v>78359000</v>
      </c>
      <c r="Q842" s="320">
        <v>11.55</v>
      </c>
      <c r="R842" s="320">
        <v>9.4499999999999993</v>
      </c>
    </row>
    <row r="843" spans="2:18">
      <c r="B843" s="319">
        <v>8420</v>
      </c>
      <c r="C843" s="319" t="s">
        <v>1263</v>
      </c>
      <c r="D843" s="320">
        <v>38.4</v>
      </c>
      <c r="E843" s="320">
        <v>0.15</v>
      </c>
      <c r="F843" s="320">
        <v>38.25</v>
      </c>
      <c r="G843" s="320">
        <v>38.85</v>
      </c>
      <c r="H843" s="320">
        <v>37.85</v>
      </c>
      <c r="I843" s="321">
        <v>50000</v>
      </c>
      <c r="J843" s="321">
        <v>1906450</v>
      </c>
      <c r="K843" s="320">
        <v>42</v>
      </c>
      <c r="L843" s="320">
        <v>38.25</v>
      </c>
      <c r="M843" s="320">
        <v>2</v>
      </c>
      <c r="N843" s="320">
        <v>38.4</v>
      </c>
      <c r="O843" s="320">
        <v>6</v>
      </c>
      <c r="P843" s="321">
        <v>50990000</v>
      </c>
      <c r="Q843" s="320">
        <v>42.2</v>
      </c>
      <c r="R843" s="320">
        <v>34.6</v>
      </c>
    </row>
    <row r="844" spans="2:18">
      <c r="B844" s="319">
        <v>8421</v>
      </c>
      <c r="C844" s="319" t="s">
        <v>1264</v>
      </c>
      <c r="D844" s="320">
        <v>14.1</v>
      </c>
      <c r="E844" s="320">
        <v>-0.25</v>
      </c>
      <c r="F844" s="320">
        <v>14.35</v>
      </c>
      <c r="G844" s="320">
        <v>14.5</v>
      </c>
      <c r="H844" s="320">
        <v>13.4</v>
      </c>
      <c r="I844" s="321">
        <v>708000</v>
      </c>
      <c r="J844" s="321">
        <v>9896650</v>
      </c>
      <c r="K844" s="320">
        <v>361</v>
      </c>
      <c r="L844" s="320">
        <v>14.1</v>
      </c>
      <c r="M844" s="320">
        <v>21</v>
      </c>
      <c r="N844" s="320">
        <v>14.35</v>
      </c>
      <c r="O844" s="320">
        <v>4</v>
      </c>
      <c r="P844" s="321">
        <v>54817140</v>
      </c>
      <c r="Q844" s="320">
        <v>15.5</v>
      </c>
      <c r="R844" s="320">
        <v>12.7</v>
      </c>
    </row>
    <row r="845" spans="2:18">
      <c r="B845" s="319">
        <v>8423</v>
      </c>
      <c r="C845" s="319" t="s">
        <v>1265</v>
      </c>
      <c r="D845" s="320">
        <v>18.5</v>
      </c>
      <c r="E845" s="320">
        <v>-0.3</v>
      </c>
      <c r="F845" s="320">
        <v>18.649999999999999</v>
      </c>
      <c r="G845" s="320">
        <v>18.649999999999999</v>
      </c>
      <c r="H845" s="320">
        <v>18.45</v>
      </c>
      <c r="I845" s="321">
        <v>7000</v>
      </c>
      <c r="J845" s="321">
        <v>129800</v>
      </c>
      <c r="K845" s="320">
        <v>7</v>
      </c>
      <c r="L845" s="320">
        <v>18.5</v>
      </c>
      <c r="M845" s="320">
        <v>5</v>
      </c>
      <c r="N845" s="320">
        <v>18.75</v>
      </c>
      <c r="O845" s="320">
        <v>1</v>
      </c>
      <c r="P845" s="321">
        <v>24105900</v>
      </c>
      <c r="Q845" s="320">
        <v>20.350000000000001</v>
      </c>
      <c r="R845" s="320">
        <v>16.649999999999999</v>
      </c>
    </row>
    <row r="846" spans="2:18">
      <c r="B846" s="319">
        <v>8424</v>
      </c>
      <c r="C846" s="319" t="s">
        <v>1266</v>
      </c>
      <c r="D846" s="320">
        <v>61.2</v>
      </c>
      <c r="E846" s="320">
        <v>-0.1</v>
      </c>
      <c r="F846" s="320">
        <v>61.4</v>
      </c>
      <c r="G846" s="320">
        <v>61.4</v>
      </c>
      <c r="H846" s="320">
        <v>61.2</v>
      </c>
      <c r="I846" s="321">
        <v>15000</v>
      </c>
      <c r="J846" s="321">
        <v>920300</v>
      </c>
      <c r="K846" s="320">
        <v>13</v>
      </c>
      <c r="L846" s="320">
        <v>61.1</v>
      </c>
      <c r="M846" s="320">
        <v>8</v>
      </c>
      <c r="N846" s="320">
        <v>61.3</v>
      </c>
      <c r="O846" s="320">
        <v>1</v>
      </c>
      <c r="P846" s="321">
        <v>36054368</v>
      </c>
      <c r="Q846" s="320">
        <v>67.3</v>
      </c>
      <c r="R846" s="320">
        <v>55.1</v>
      </c>
    </row>
    <row r="847" spans="2:18">
      <c r="B847" s="319">
        <v>8426</v>
      </c>
      <c r="C847" s="319" t="s">
        <v>1267</v>
      </c>
      <c r="D847" s="320">
        <v>16.45</v>
      </c>
      <c r="E847" s="320">
        <v>0</v>
      </c>
      <c r="F847" s="320">
        <v>16.45</v>
      </c>
      <c r="G847" s="320">
        <v>16.45</v>
      </c>
      <c r="H847" s="320">
        <v>16.45</v>
      </c>
      <c r="I847" s="321">
        <v>9000</v>
      </c>
      <c r="J847" s="321">
        <v>148050</v>
      </c>
      <c r="K847" s="320">
        <v>3</v>
      </c>
      <c r="L847" s="320">
        <v>16.45</v>
      </c>
      <c r="M847" s="320">
        <v>3</v>
      </c>
      <c r="N847" s="320">
        <v>16.600000000000001</v>
      </c>
      <c r="O847" s="320">
        <v>1</v>
      </c>
      <c r="P847" s="321">
        <v>50242500</v>
      </c>
      <c r="Q847" s="320">
        <v>18.05</v>
      </c>
      <c r="R847" s="320">
        <v>14.85</v>
      </c>
    </row>
    <row r="848" spans="2:18">
      <c r="B848" s="319">
        <v>8431</v>
      </c>
      <c r="C848" s="319" t="s">
        <v>1268</v>
      </c>
      <c r="D848" s="320">
        <v>76.5</v>
      </c>
      <c r="E848" s="320">
        <v>4.5</v>
      </c>
      <c r="F848" s="320">
        <v>78.900000000000006</v>
      </c>
      <c r="G848" s="320">
        <v>79.2</v>
      </c>
      <c r="H848" s="320">
        <v>76.2</v>
      </c>
      <c r="I848" s="321">
        <v>9037000</v>
      </c>
      <c r="J848" s="321">
        <v>709369600</v>
      </c>
      <c r="K848" s="321">
        <v>4929</v>
      </c>
      <c r="L848" s="320">
        <v>76.5</v>
      </c>
      <c r="M848" s="320">
        <v>10</v>
      </c>
      <c r="N848" s="320">
        <v>77.5</v>
      </c>
      <c r="O848" s="320">
        <v>1</v>
      </c>
      <c r="P848" s="321">
        <v>44455482</v>
      </c>
      <c r="Q848" s="320">
        <v>84.1</v>
      </c>
      <c r="R848" s="320">
        <v>68.900000000000006</v>
      </c>
    </row>
    <row r="849" spans="2:18">
      <c r="B849" s="319">
        <v>8432</v>
      </c>
      <c r="C849" s="319" t="s">
        <v>1269</v>
      </c>
      <c r="D849" s="320">
        <v>43.9</v>
      </c>
      <c r="E849" s="320">
        <v>-0.05</v>
      </c>
      <c r="F849" s="320">
        <v>44.4</v>
      </c>
      <c r="G849" s="320">
        <v>44.4</v>
      </c>
      <c r="H849" s="320">
        <v>43.6</v>
      </c>
      <c r="I849" s="321">
        <v>47000</v>
      </c>
      <c r="J849" s="321">
        <v>2060300</v>
      </c>
      <c r="K849" s="320">
        <v>40</v>
      </c>
      <c r="L849" s="320">
        <v>43.8</v>
      </c>
      <c r="M849" s="320">
        <v>2</v>
      </c>
      <c r="N849" s="320">
        <v>43.9</v>
      </c>
      <c r="O849" s="320">
        <v>3</v>
      </c>
      <c r="P849" s="321">
        <v>38398140</v>
      </c>
      <c r="Q849" s="320">
        <v>48.25</v>
      </c>
      <c r="R849" s="320">
        <v>39.549999999999997</v>
      </c>
    </row>
    <row r="850" spans="2:18">
      <c r="B850" s="319">
        <v>8433</v>
      </c>
      <c r="C850" s="319" t="s">
        <v>1270</v>
      </c>
      <c r="D850" s="320">
        <v>44.2</v>
      </c>
      <c r="E850" s="320">
        <v>0.1</v>
      </c>
      <c r="F850" s="320">
        <v>43.4</v>
      </c>
      <c r="G850" s="320">
        <v>45</v>
      </c>
      <c r="H850" s="320">
        <v>43.3</v>
      </c>
      <c r="I850" s="321">
        <v>34000</v>
      </c>
      <c r="J850" s="321">
        <v>1500900</v>
      </c>
      <c r="K850" s="320">
        <v>20</v>
      </c>
      <c r="L850" s="320">
        <v>43.7</v>
      </c>
      <c r="M850" s="320">
        <v>1</v>
      </c>
      <c r="N850" s="320">
        <v>44.2</v>
      </c>
      <c r="O850" s="320">
        <v>1</v>
      </c>
      <c r="P850" s="321">
        <v>52081600</v>
      </c>
      <c r="Q850" s="320">
        <v>48.6</v>
      </c>
      <c r="R850" s="320">
        <v>39.799999999999997</v>
      </c>
    </row>
    <row r="851" spans="2:18">
      <c r="B851" s="319">
        <v>8435</v>
      </c>
      <c r="C851" s="319" t="s">
        <v>1271</v>
      </c>
      <c r="D851" s="320">
        <v>59.2</v>
      </c>
      <c r="E851" s="320">
        <v>0.2</v>
      </c>
      <c r="F851" s="320">
        <v>59</v>
      </c>
      <c r="G851" s="320">
        <v>59.2</v>
      </c>
      <c r="H851" s="320">
        <v>59</v>
      </c>
      <c r="I851" s="321">
        <v>32000</v>
      </c>
      <c r="J851" s="321">
        <v>1890500</v>
      </c>
      <c r="K851" s="320">
        <v>28</v>
      </c>
      <c r="L851" s="320">
        <v>59.1</v>
      </c>
      <c r="M851" s="320">
        <v>1</v>
      </c>
      <c r="N851" s="320">
        <v>59.2</v>
      </c>
      <c r="O851" s="320">
        <v>6</v>
      </c>
      <c r="P851" s="321">
        <v>31700450</v>
      </c>
      <c r="Q851" s="320">
        <v>65.099999999999994</v>
      </c>
      <c r="R851" s="320">
        <v>53.3</v>
      </c>
    </row>
    <row r="852" spans="2:18">
      <c r="B852" s="319">
        <v>8436</v>
      </c>
      <c r="C852" s="319" t="s">
        <v>1272</v>
      </c>
      <c r="D852" s="320">
        <v>207.5</v>
      </c>
      <c r="E852" s="320">
        <v>1</v>
      </c>
      <c r="F852" s="320">
        <v>207.5</v>
      </c>
      <c r="G852" s="320">
        <v>208</v>
      </c>
      <c r="H852" s="320">
        <v>206.5</v>
      </c>
      <c r="I852" s="321">
        <v>277000</v>
      </c>
      <c r="J852" s="321">
        <v>57437500</v>
      </c>
      <c r="K852" s="320">
        <v>215</v>
      </c>
      <c r="L852" s="320">
        <v>207.5</v>
      </c>
      <c r="M852" s="320">
        <v>6</v>
      </c>
      <c r="N852" s="320">
        <v>208</v>
      </c>
      <c r="O852" s="320">
        <v>36</v>
      </c>
      <c r="P852" s="321">
        <v>118239830</v>
      </c>
      <c r="Q852" s="320">
        <v>228</v>
      </c>
      <c r="R852" s="320">
        <v>187</v>
      </c>
    </row>
    <row r="853" spans="2:18">
      <c r="B853" s="319">
        <v>8437</v>
      </c>
      <c r="C853" s="319" t="s">
        <v>1273</v>
      </c>
      <c r="D853" s="320">
        <v>141.5</v>
      </c>
      <c r="E853" s="320">
        <v>0.5</v>
      </c>
      <c r="F853" s="320">
        <v>140.5</v>
      </c>
      <c r="G853" s="320">
        <v>142.5</v>
      </c>
      <c r="H853" s="320">
        <v>140.5</v>
      </c>
      <c r="I853" s="321">
        <v>10000</v>
      </c>
      <c r="J853" s="321">
        <v>1416000</v>
      </c>
      <c r="K853" s="320">
        <v>10</v>
      </c>
      <c r="L853" s="320">
        <v>141</v>
      </c>
      <c r="M853" s="320">
        <v>3</v>
      </c>
      <c r="N853" s="320">
        <v>142</v>
      </c>
      <c r="O853" s="320">
        <v>1</v>
      </c>
      <c r="P853" s="321">
        <v>47851070</v>
      </c>
      <c r="Q853" s="320">
        <v>155.5</v>
      </c>
      <c r="R853" s="320">
        <v>127.5</v>
      </c>
    </row>
    <row r="854" spans="2:18">
      <c r="B854" s="319">
        <v>8440</v>
      </c>
      <c r="C854" s="319" t="s">
        <v>1274</v>
      </c>
      <c r="D854" s="320">
        <v>28.05</v>
      </c>
      <c r="E854" s="320">
        <v>2.5499999999999998</v>
      </c>
      <c r="F854" s="320">
        <v>28.05</v>
      </c>
      <c r="G854" s="320">
        <v>28.05</v>
      </c>
      <c r="H854" s="320">
        <v>26.2</v>
      </c>
      <c r="I854" s="321">
        <v>8519000</v>
      </c>
      <c r="J854" s="321">
        <v>235584000</v>
      </c>
      <c r="K854" s="321">
        <v>3611</v>
      </c>
      <c r="L854" s="320">
        <v>28.05</v>
      </c>
      <c r="M854" s="320">
        <v>153</v>
      </c>
      <c r="N854" s="320">
        <v>0</v>
      </c>
      <c r="O854" s="320">
        <v>0</v>
      </c>
      <c r="P854" s="321">
        <v>38000225</v>
      </c>
      <c r="Q854" s="320">
        <v>30.85</v>
      </c>
      <c r="R854" s="320">
        <v>25.25</v>
      </c>
    </row>
    <row r="855" spans="2:18">
      <c r="B855" s="319">
        <v>8444</v>
      </c>
      <c r="C855" s="319" t="s">
        <v>1275</v>
      </c>
      <c r="D855" s="320">
        <v>134</v>
      </c>
      <c r="E855" s="320">
        <v>0</v>
      </c>
      <c r="F855" s="320">
        <v>134</v>
      </c>
      <c r="G855" s="320">
        <v>135</v>
      </c>
      <c r="H855" s="320">
        <v>133</v>
      </c>
      <c r="I855" s="321">
        <v>32000</v>
      </c>
      <c r="J855" s="321">
        <v>4284500</v>
      </c>
      <c r="K855" s="320">
        <v>30</v>
      </c>
      <c r="L855" s="320">
        <v>134</v>
      </c>
      <c r="M855" s="320">
        <v>1</v>
      </c>
      <c r="N855" s="320">
        <v>134.5</v>
      </c>
      <c r="O855" s="320">
        <v>9</v>
      </c>
      <c r="P855" s="321">
        <v>89766845</v>
      </c>
      <c r="Q855" s="320">
        <v>147</v>
      </c>
      <c r="R855" s="320">
        <v>121</v>
      </c>
    </row>
    <row r="856" spans="2:18">
      <c r="B856" s="319">
        <v>8446</v>
      </c>
      <c r="C856" s="319" t="s">
        <v>1276</v>
      </c>
      <c r="D856" s="320">
        <v>88.2</v>
      </c>
      <c r="E856" s="320">
        <v>-0.1</v>
      </c>
      <c r="F856" s="320">
        <v>88.2</v>
      </c>
      <c r="G856" s="320">
        <v>88.5</v>
      </c>
      <c r="H856" s="320">
        <v>88.2</v>
      </c>
      <c r="I856" s="321">
        <v>46000</v>
      </c>
      <c r="J856" s="321">
        <v>4061000</v>
      </c>
      <c r="K856" s="320">
        <v>40</v>
      </c>
      <c r="L856" s="320">
        <v>88.1</v>
      </c>
      <c r="M856" s="320">
        <v>9</v>
      </c>
      <c r="N856" s="320">
        <v>88.4</v>
      </c>
      <c r="O856" s="320">
        <v>1</v>
      </c>
      <c r="P856" s="321">
        <v>52914405</v>
      </c>
      <c r="Q856" s="320">
        <v>97</v>
      </c>
      <c r="R856" s="320">
        <v>79.400000000000006</v>
      </c>
    </row>
    <row r="857" spans="2:18">
      <c r="B857" s="319">
        <v>8450</v>
      </c>
      <c r="C857" s="319" t="s">
        <v>1277</v>
      </c>
      <c r="D857" s="320">
        <v>47.85</v>
      </c>
      <c r="E857" s="320">
        <v>0.95</v>
      </c>
      <c r="F857" s="320">
        <v>49</v>
      </c>
      <c r="G857" s="320">
        <v>49</v>
      </c>
      <c r="H857" s="320">
        <v>47.8</v>
      </c>
      <c r="I857" s="321">
        <v>176000</v>
      </c>
      <c r="J857" s="321">
        <v>8487250</v>
      </c>
      <c r="K857" s="320">
        <v>141</v>
      </c>
      <c r="L857" s="320">
        <v>47.85</v>
      </c>
      <c r="M857" s="320">
        <v>3</v>
      </c>
      <c r="N857" s="320">
        <v>47.9</v>
      </c>
      <c r="O857" s="320">
        <v>3</v>
      </c>
      <c r="P857" s="321">
        <v>51309947</v>
      </c>
      <c r="Q857" s="320">
        <v>52.6</v>
      </c>
      <c r="R857" s="320">
        <v>43.1</v>
      </c>
    </row>
    <row r="858" spans="2:18">
      <c r="B858" s="319">
        <v>8455</v>
      </c>
      <c r="C858" s="319" t="s">
        <v>1278</v>
      </c>
      <c r="D858" s="320">
        <v>23.85</v>
      </c>
      <c r="E858" s="320">
        <v>-1.05</v>
      </c>
      <c r="F858" s="320">
        <v>24</v>
      </c>
      <c r="G858" s="320">
        <v>24.7</v>
      </c>
      <c r="H858" s="320">
        <v>23.85</v>
      </c>
      <c r="I858" s="321">
        <v>15000</v>
      </c>
      <c r="J858" s="321">
        <v>362000</v>
      </c>
      <c r="K858" s="320">
        <v>13</v>
      </c>
      <c r="L858" s="320">
        <v>23.8</v>
      </c>
      <c r="M858" s="320">
        <v>3</v>
      </c>
      <c r="N858" s="320">
        <v>24.25</v>
      </c>
      <c r="O858" s="320">
        <v>1</v>
      </c>
      <c r="P858" s="321">
        <v>25219056</v>
      </c>
      <c r="Q858" s="320">
        <v>26.2</v>
      </c>
      <c r="R858" s="320">
        <v>21.5</v>
      </c>
    </row>
    <row r="859" spans="2:18">
      <c r="B859" s="319">
        <v>8472</v>
      </c>
      <c r="C859" s="319" t="s">
        <v>1279</v>
      </c>
      <c r="D859" s="320" t="s">
        <v>478</v>
      </c>
      <c r="E859" s="320" t="s">
        <v>479</v>
      </c>
      <c r="F859" s="320" t="s">
        <v>478</v>
      </c>
      <c r="G859" s="320" t="s">
        <v>478</v>
      </c>
      <c r="H859" s="320" t="s">
        <v>478</v>
      </c>
      <c r="I859" s="320">
        <v>0</v>
      </c>
      <c r="J859" s="320">
        <v>0</v>
      </c>
      <c r="K859" s="320">
        <v>0</v>
      </c>
      <c r="L859" s="320">
        <v>49.2</v>
      </c>
      <c r="M859" s="320">
        <v>1</v>
      </c>
      <c r="N859" s="320">
        <v>50</v>
      </c>
      <c r="O859" s="320">
        <v>2</v>
      </c>
      <c r="P859" s="321">
        <v>17735800</v>
      </c>
      <c r="Q859" s="320">
        <v>55</v>
      </c>
      <c r="R859" s="320">
        <v>45</v>
      </c>
    </row>
    <row r="860" spans="2:18">
      <c r="B860" s="319">
        <v>8476</v>
      </c>
      <c r="C860" s="319" t="s">
        <v>1280</v>
      </c>
      <c r="D860" s="320">
        <v>58.6</v>
      </c>
      <c r="E860" s="320">
        <v>-0.9</v>
      </c>
      <c r="F860" s="320">
        <v>59.5</v>
      </c>
      <c r="G860" s="320">
        <v>59.5</v>
      </c>
      <c r="H860" s="320">
        <v>58.1</v>
      </c>
      <c r="I860" s="321">
        <v>263000</v>
      </c>
      <c r="J860" s="321">
        <v>15430800</v>
      </c>
      <c r="K860" s="320">
        <v>177</v>
      </c>
      <c r="L860" s="320">
        <v>58.6</v>
      </c>
      <c r="M860" s="320">
        <v>6</v>
      </c>
      <c r="N860" s="320">
        <v>58.7</v>
      </c>
      <c r="O860" s="320">
        <v>1</v>
      </c>
      <c r="P860" s="321">
        <v>70510337</v>
      </c>
      <c r="Q860" s="320">
        <v>64.400000000000006</v>
      </c>
      <c r="R860" s="320">
        <v>52.8</v>
      </c>
    </row>
    <row r="861" spans="2:18">
      <c r="B861" s="319">
        <v>8477</v>
      </c>
      <c r="C861" s="319" t="s">
        <v>1281</v>
      </c>
      <c r="D861" s="320">
        <v>32.4</v>
      </c>
      <c r="E861" s="320">
        <v>-0.05</v>
      </c>
      <c r="F861" s="320">
        <v>32.5</v>
      </c>
      <c r="G861" s="320">
        <v>33.200000000000003</v>
      </c>
      <c r="H861" s="320">
        <v>32.200000000000003</v>
      </c>
      <c r="I861" s="321">
        <v>61000</v>
      </c>
      <c r="J861" s="321">
        <v>1973450</v>
      </c>
      <c r="K861" s="320">
        <v>46</v>
      </c>
      <c r="L861" s="320">
        <v>32.35</v>
      </c>
      <c r="M861" s="320">
        <v>3</v>
      </c>
      <c r="N861" s="320">
        <v>32.4</v>
      </c>
      <c r="O861" s="320">
        <v>2</v>
      </c>
      <c r="P861" s="321">
        <v>31592838</v>
      </c>
      <c r="Q861" s="320">
        <v>35.6</v>
      </c>
      <c r="R861" s="320">
        <v>29.2</v>
      </c>
    </row>
    <row r="862" spans="2:18">
      <c r="B862" s="319">
        <v>8489</v>
      </c>
      <c r="C862" s="319" t="s">
        <v>1282</v>
      </c>
      <c r="D862" s="320">
        <v>37.35</v>
      </c>
      <c r="E862" s="320">
        <v>-1</v>
      </c>
      <c r="F862" s="320">
        <v>38.35</v>
      </c>
      <c r="G862" s="320">
        <v>38.5</v>
      </c>
      <c r="H862" s="320">
        <v>36.25</v>
      </c>
      <c r="I862" s="321">
        <v>1350000</v>
      </c>
      <c r="J862" s="321">
        <v>50237500</v>
      </c>
      <c r="K862" s="320">
        <v>908</v>
      </c>
      <c r="L862" s="320">
        <v>37.35</v>
      </c>
      <c r="M862" s="320">
        <v>3</v>
      </c>
      <c r="N862" s="320">
        <v>37.4</v>
      </c>
      <c r="O862" s="320">
        <v>21</v>
      </c>
      <c r="P862" s="321">
        <v>37752414</v>
      </c>
      <c r="Q862" s="320">
        <v>41.05</v>
      </c>
      <c r="R862" s="320">
        <v>33.65</v>
      </c>
    </row>
    <row r="863" spans="2:18">
      <c r="B863" s="319">
        <v>8905</v>
      </c>
      <c r="C863" s="319" t="s">
        <v>1283</v>
      </c>
      <c r="D863" s="320">
        <v>21.7</v>
      </c>
      <c r="E863" s="320">
        <v>-0.15</v>
      </c>
      <c r="F863" s="320">
        <v>21.7</v>
      </c>
      <c r="G863" s="320">
        <v>21.8</v>
      </c>
      <c r="H863" s="320">
        <v>21.6</v>
      </c>
      <c r="I863" s="321">
        <v>117000</v>
      </c>
      <c r="J863" s="321">
        <v>2538600</v>
      </c>
      <c r="K863" s="320">
        <v>61</v>
      </c>
      <c r="L863" s="320">
        <v>21.65</v>
      </c>
      <c r="M863" s="320">
        <v>16</v>
      </c>
      <c r="N863" s="320">
        <v>21.7</v>
      </c>
      <c r="O863" s="320">
        <v>5</v>
      </c>
      <c r="P863" s="321">
        <v>119440000</v>
      </c>
      <c r="Q863" s="320">
        <v>23.85</v>
      </c>
      <c r="R863" s="320">
        <v>19.55</v>
      </c>
    </row>
    <row r="864" spans="2:18">
      <c r="B864" s="319">
        <v>8906</v>
      </c>
      <c r="C864" s="319" t="s">
        <v>1284</v>
      </c>
      <c r="D864" s="320">
        <v>18.399999999999999</v>
      </c>
      <c r="E864" s="320">
        <v>-0.2</v>
      </c>
      <c r="F864" s="320">
        <v>18.5</v>
      </c>
      <c r="G864" s="320">
        <v>18.649999999999999</v>
      </c>
      <c r="H864" s="320">
        <v>18.2</v>
      </c>
      <c r="I864" s="321">
        <v>78000</v>
      </c>
      <c r="J864" s="321">
        <v>1435950</v>
      </c>
      <c r="K864" s="320">
        <v>44</v>
      </c>
      <c r="L864" s="320">
        <v>18.399999999999999</v>
      </c>
      <c r="M864" s="320">
        <v>2</v>
      </c>
      <c r="N864" s="320">
        <v>18.45</v>
      </c>
      <c r="O864" s="320">
        <v>2</v>
      </c>
      <c r="P864" s="321">
        <v>34037370</v>
      </c>
      <c r="Q864" s="320">
        <v>20.2</v>
      </c>
      <c r="R864" s="320">
        <v>16.600000000000001</v>
      </c>
    </row>
    <row r="865" spans="2:18">
      <c r="B865" s="319">
        <v>8908</v>
      </c>
      <c r="C865" s="319" t="s">
        <v>1285</v>
      </c>
      <c r="D865" s="320">
        <v>57</v>
      </c>
      <c r="E865" s="320">
        <v>0.1</v>
      </c>
      <c r="F865" s="320">
        <v>56.9</v>
      </c>
      <c r="G865" s="320">
        <v>57.1</v>
      </c>
      <c r="H865" s="320">
        <v>56.9</v>
      </c>
      <c r="I865" s="321">
        <v>22000</v>
      </c>
      <c r="J865" s="321">
        <v>1253800</v>
      </c>
      <c r="K865" s="320">
        <v>15</v>
      </c>
      <c r="L865" s="320">
        <v>57.1</v>
      </c>
      <c r="M865" s="320">
        <v>1</v>
      </c>
      <c r="N865" s="320">
        <v>57.2</v>
      </c>
      <c r="O865" s="320">
        <v>5</v>
      </c>
      <c r="P865" s="321">
        <v>224087464</v>
      </c>
      <c r="Q865" s="320">
        <v>62.7</v>
      </c>
      <c r="R865" s="320">
        <v>51.3</v>
      </c>
    </row>
    <row r="866" spans="2:18">
      <c r="B866" s="319">
        <v>8916</v>
      </c>
      <c r="C866" s="319" t="s">
        <v>1286</v>
      </c>
      <c r="D866" s="320">
        <v>40.25</v>
      </c>
      <c r="E866" s="320">
        <v>-0.05</v>
      </c>
      <c r="F866" s="320">
        <v>40.4</v>
      </c>
      <c r="G866" s="320">
        <v>40.4</v>
      </c>
      <c r="H866" s="320">
        <v>40.25</v>
      </c>
      <c r="I866" s="321">
        <v>40000</v>
      </c>
      <c r="J866" s="321">
        <v>1612500</v>
      </c>
      <c r="K866" s="320">
        <v>31</v>
      </c>
      <c r="L866" s="320">
        <v>40.25</v>
      </c>
      <c r="M866" s="320">
        <v>16</v>
      </c>
      <c r="N866" s="320">
        <v>40.299999999999997</v>
      </c>
      <c r="O866" s="320">
        <v>1</v>
      </c>
      <c r="P866" s="321">
        <v>131308831</v>
      </c>
      <c r="Q866" s="320">
        <v>44.25</v>
      </c>
      <c r="R866" s="320">
        <v>36.25</v>
      </c>
    </row>
    <row r="867" spans="2:18">
      <c r="B867" s="319" t="s">
        <v>1287</v>
      </c>
      <c r="C867" s="319" t="s">
        <v>1288</v>
      </c>
      <c r="D867" s="320">
        <v>49.4</v>
      </c>
      <c r="E867" s="320">
        <v>0</v>
      </c>
      <c r="F867" s="320">
        <v>49.35</v>
      </c>
      <c r="G867" s="320">
        <v>49.45</v>
      </c>
      <c r="H867" s="320">
        <v>49.3</v>
      </c>
      <c r="I867" s="321">
        <v>23000</v>
      </c>
      <c r="J867" s="321">
        <v>1135350</v>
      </c>
      <c r="K867" s="320">
        <v>11</v>
      </c>
      <c r="L867" s="320">
        <v>49.3</v>
      </c>
      <c r="M867" s="320">
        <v>11</v>
      </c>
      <c r="N867" s="320">
        <v>49.4</v>
      </c>
      <c r="O867" s="320">
        <v>3</v>
      </c>
      <c r="P867" s="321">
        <v>18200000</v>
      </c>
      <c r="Q867" s="320">
        <v>54.3</v>
      </c>
      <c r="R867" s="320">
        <v>44.5</v>
      </c>
    </row>
    <row r="868" spans="2:18">
      <c r="B868" s="319">
        <v>8917</v>
      </c>
      <c r="C868" s="319" t="s">
        <v>1289</v>
      </c>
      <c r="D868" s="320">
        <v>88.5</v>
      </c>
      <c r="E868" s="320">
        <v>0.1</v>
      </c>
      <c r="F868" s="320">
        <v>88.5</v>
      </c>
      <c r="G868" s="320">
        <v>88.5</v>
      </c>
      <c r="H868" s="320">
        <v>88.5</v>
      </c>
      <c r="I868" s="321">
        <v>1000</v>
      </c>
      <c r="J868" s="321">
        <v>88500</v>
      </c>
      <c r="K868" s="320">
        <v>1</v>
      </c>
      <c r="L868" s="320">
        <v>88.4</v>
      </c>
      <c r="M868" s="320">
        <v>4</v>
      </c>
      <c r="N868" s="320">
        <v>88.5</v>
      </c>
      <c r="O868" s="320">
        <v>4</v>
      </c>
      <c r="P868" s="321">
        <v>147865872</v>
      </c>
      <c r="Q868" s="320">
        <v>97.3</v>
      </c>
      <c r="R868" s="320">
        <v>79.7</v>
      </c>
    </row>
    <row r="869" spans="2:18">
      <c r="B869" s="319">
        <v>8921</v>
      </c>
      <c r="C869" s="319" t="s">
        <v>1290</v>
      </c>
      <c r="D869" s="320">
        <v>14.5</v>
      </c>
      <c r="E869" s="320">
        <v>-0.05</v>
      </c>
      <c r="F869" s="320">
        <v>14.5</v>
      </c>
      <c r="G869" s="320">
        <v>14.5</v>
      </c>
      <c r="H869" s="320">
        <v>14.5</v>
      </c>
      <c r="I869" s="321">
        <v>8000</v>
      </c>
      <c r="J869" s="321">
        <v>116000</v>
      </c>
      <c r="K869" s="320">
        <v>5</v>
      </c>
      <c r="L869" s="320">
        <v>14.2</v>
      </c>
      <c r="M869" s="320">
        <v>3</v>
      </c>
      <c r="N869" s="320">
        <v>14.5</v>
      </c>
      <c r="O869" s="320">
        <v>5</v>
      </c>
      <c r="P869" s="321">
        <v>46592159</v>
      </c>
      <c r="Q869" s="320">
        <v>15.95</v>
      </c>
      <c r="R869" s="320">
        <v>13.05</v>
      </c>
    </row>
    <row r="870" spans="2:18">
      <c r="B870" s="319">
        <v>8923</v>
      </c>
      <c r="C870" s="319" t="s">
        <v>1291</v>
      </c>
      <c r="D870" s="320" t="s">
        <v>478</v>
      </c>
      <c r="E870" s="320" t="s">
        <v>479</v>
      </c>
      <c r="F870" s="320" t="s">
        <v>478</v>
      </c>
      <c r="G870" s="320" t="s">
        <v>478</v>
      </c>
      <c r="H870" s="320" t="s">
        <v>478</v>
      </c>
      <c r="I870" s="320">
        <v>0</v>
      </c>
      <c r="J870" s="320">
        <v>0</v>
      </c>
      <c r="K870" s="320">
        <v>0</v>
      </c>
      <c r="L870" s="320">
        <v>16.5</v>
      </c>
      <c r="M870" s="320">
        <v>1</v>
      </c>
      <c r="N870" s="320">
        <v>18.75</v>
      </c>
      <c r="O870" s="320">
        <v>1</v>
      </c>
      <c r="P870" s="321">
        <v>30375800</v>
      </c>
      <c r="Q870" s="320">
        <v>18.8</v>
      </c>
      <c r="R870" s="320">
        <v>15.4</v>
      </c>
    </row>
    <row r="871" spans="2:18">
      <c r="B871" s="319">
        <v>8924</v>
      </c>
      <c r="C871" s="319" t="s">
        <v>1292</v>
      </c>
      <c r="D871" s="320">
        <v>148</v>
      </c>
      <c r="E871" s="320">
        <v>1</v>
      </c>
      <c r="F871" s="320">
        <v>148</v>
      </c>
      <c r="G871" s="320">
        <v>148.5</v>
      </c>
      <c r="H871" s="320">
        <v>147.5</v>
      </c>
      <c r="I871" s="321">
        <v>324000</v>
      </c>
      <c r="J871" s="321">
        <v>47913000</v>
      </c>
      <c r="K871" s="320">
        <v>202</v>
      </c>
      <c r="L871" s="320">
        <v>147.5</v>
      </c>
      <c r="M871" s="320">
        <v>16</v>
      </c>
      <c r="N871" s="320">
        <v>148</v>
      </c>
      <c r="O871" s="320">
        <v>9</v>
      </c>
      <c r="P871" s="321">
        <v>83800000</v>
      </c>
      <c r="Q871" s="320">
        <v>162.5</v>
      </c>
      <c r="R871" s="320">
        <v>133.5</v>
      </c>
    </row>
    <row r="872" spans="2:18">
      <c r="B872" s="319">
        <v>8927</v>
      </c>
      <c r="C872" s="319" t="s">
        <v>33</v>
      </c>
      <c r="D872" s="320">
        <v>31.75</v>
      </c>
      <c r="E872" s="320">
        <v>1.1499999999999999</v>
      </c>
      <c r="F872" s="320">
        <v>30.6</v>
      </c>
      <c r="G872" s="320">
        <v>32.25</v>
      </c>
      <c r="H872" s="320">
        <v>30.6</v>
      </c>
      <c r="I872" s="321">
        <v>794000</v>
      </c>
      <c r="J872" s="321">
        <v>25108800</v>
      </c>
      <c r="K872" s="320">
        <v>450</v>
      </c>
      <c r="L872" s="320">
        <v>31.75</v>
      </c>
      <c r="M872" s="320">
        <v>21</v>
      </c>
      <c r="N872" s="320">
        <v>31.85</v>
      </c>
      <c r="O872" s="320">
        <v>15</v>
      </c>
      <c r="P872" s="321">
        <v>246237765</v>
      </c>
      <c r="Q872" s="320">
        <v>34.9</v>
      </c>
      <c r="R872" s="320">
        <v>28.6</v>
      </c>
    </row>
    <row r="873" spans="2:18">
      <c r="B873" s="319">
        <v>8928</v>
      </c>
      <c r="C873" s="319" t="s">
        <v>1293</v>
      </c>
      <c r="D873" s="320">
        <v>34.75</v>
      </c>
      <c r="E873" s="320">
        <v>0</v>
      </c>
      <c r="F873" s="320">
        <v>34.85</v>
      </c>
      <c r="G873" s="320">
        <v>34.85</v>
      </c>
      <c r="H873" s="320">
        <v>34.65</v>
      </c>
      <c r="I873" s="321">
        <v>42000</v>
      </c>
      <c r="J873" s="321">
        <v>1457400</v>
      </c>
      <c r="K873" s="320">
        <v>20</v>
      </c>
      <c r="L873" s="320">
        <v>34.700000000000003</v>
      </c>
      <c r="M873" s="320">
        <v>1</v>
      </c>
      <c r="N873" s="320">
        <v>34.799999999999997</v>
      </c>
      <c r="O873" s="320">
        <v>23</v>
      </c>
      <c r="P873" s="321">
        <v>50854015</v>
      </c>
      <c r="Q873" s="320">
        <v>38.200000000000003</v>
      </c>
      <c r="R873" s="320">
        <v>31.3</v>
      </c>
    </row>
    <row r="874" spans="2:18">
      <c r="B874" s="319">
        <v>8929</v>
      </c>
      <c r="C874" s="319" t="s">
        <v>1294</v>
      </c>
      <c r="D874" s="320">
        <v>21.8</v>
      </c>
      <c r="E874" s="320">
        <v>0.15</v>
      </c>
      <c r="F874" s="320">
        <v>21.9</v>
      </c>
      <c r="G874" s="320">
        <v>21.9</v>
      </c>
      <c r="H874" s="320">
        <v>21.8</v>
      </c>
      <c r="I874" s="321">
        <v>39000</v>
      </c>
      <c r="J874" s="321">
        <v>852000</v>
      </c>
      <c r="K874" s="320">
        <v>36</v>
      </c>
      <c r="L874" s="320">
        <v>21.8</v>
      </c>
      <c r="M874" s="320">
        <v>1</v>
      </c>
      <c r="N874" s="320">
        <v>21.9</v>
      </c>
      <c r="O874" s="320">
        <v>5</v>
      </c>
      <c r="P874" s="321">
        <v>50580862</v>
      </c>
      <c r="Q874" s="320">
        <v>23.95</v>
      </c>
      <c r="R874" s="320">
        <v>19.649999999999999</v>
      </c>
    </row>
    <row r="875" spans="2:18">
      <c r="B875" s="319">
        <v>8930</v>
      </c>
      <c r="C875" s="319" t="s">
        <v>1295</v>
      </c>
      <c r="D875" s="320">
        <v>15.15</v>
      </c>
      <c r="E875" s="320">
        <v>-0.05</v>
      </c>
      <c r="F875" s="320">
        <v>15.25</v>
      </c>
      <c r="G875" s="320">
        <v>15.25</v>
      </c>
      <c r="H875" s="320">
        <v>15.1</v>
      </c>
      <c r="I875" s="321">
        <v>101000</v>
      </c>
      <c r="J875" s="321">
        <v>1534950</v>
      </c>
      <c r="K875" s="320">
        <v>39</v>
      </c>
      <c r="L875" s="320">
        <v>15.15</v>
      </c>
      <c r="M875" s="320">
        <v>2</v>
      </c>
      <c r="N875" s="320">
        <v>15.2</v>
      </c>
      <c r="O875" s="320">
        <v>4</v>
      </c>
      <c r="P875" s="321">
        <v>81809406</v>
      </c>
      <c r="Q875" s="320">
        <v>16.649999999999999</v>
      </c>
      <c r="R875" s="320">
        <v>13.65</v>
      </c>
    </row>
    <row r="876" spans="2:18">
      <c r="B876" s="319">
        <v>8931</v>
      </c>
      <c r="C876" s="319" t="s">
        <v>1296</v>
      </c>
      <c r="D876" s="320">
        <v>31.55</v>
      </c>
      <c r="E876" s="320">
        <v>0.05</v>
      </c>
      <c r="F876" s="320">
        <v>31.6</v>
      </c>
      <c r="G876" s="320">
        <v>31.65</v>
      </c>
      <c r="H876" s="320">
        <v>31.55</v>
      </c>
      <c r="I876" s="321">
        <v>48000</v>
      </c>
      <c r="J876" s="321">
        <v>1516200</v>
      </c>
      <c r="K876" s="320">
        <v>42</v>
      </c>
      <c r="L876" s="320">
        <v>31.55</v>
      </c>
      <c r="M876" s="320">
        <v>4</v>
      </c>
      <c r="N876" s="320">
        <v>31.6</v>
      </c>
      <c r="O876" s="320">
        <v>1</v>
      </c>
      <c r="P876" s="321">
        <v>122254862</v>
      </c>
      <c r="Q876" s="320">
        <v>34.700000000000003</v>
      </c>
      <c r="R876" s="320">
        <v>28.4</v>
      </c>
    </row>
    <row r="877" spans="2:18">
      <c r="B877" s="319">
        <v>8932</v>
      </c>
      <c r="C877" s="319" t="s">
        <v>1297</v>
      </c>
      <c r="D877" s="320">
        <v>26.7</v>
      </c>
      <c r="E877" s="320">
        <v>0</v>
      </c>
      <c r="F877" s="320">
        <v>26.75</v>
      </c>
      <c r="G877" s="320">
        <v>26.75</v>
      </c>
      <c r="H877" s="320">
        <v>26.6</v>
      </c>
      <c r="I877" s="321">
        <v>9000</v>
      </c>
      <c r="J877" s="321">
        <v>239950</v>
      </c>
      <c r="K877" s="320">
        <v>9</v>
      </c>
      <c r="L877" s="320">
        <v>26.7</v>
      </c>
      <c r="M877" s="320">
        <v>3</v>
      </c>
      <c r="N877" s="320">
        <v>26.75</v>
      </c>
      <c r="O877" s="320">
        <v>5</v>
      </c>
      <c r="P877" s="321">
        <v>60050000</v>
      </c>
      <c r="Q877" s="320">
        <v>29.35</v>
      </c>
      <c r="R877" s="320">
        <v>24.05</v>
      </c>
    </row>
    <row r="878" spans="2:18">
      <c r="B878" s="319">
        <v>8933</v>
      </c>
      <c r="C878" s="319" t="s">
        <v>1298</v>
      </c>
      <c r="D878" s="320">
        <v>13.15</v>
      </c>
      <c r="E878" s="320">
        <v>-0.1</v>
      </c>
      <c r="F878" s="320">
        <v>13.3</v>
      </c>
      <c r="G878" s="320">
        <v>13.4</v>
      </c>
      <c r="H878" s="320">
        <v>13.15</v>
      </c>
      <c r="I878" s="321">
        <v>1410000</v>
      </c>
      <c r="J878" s="321">
        <v>18673050</v>
      </c>
      <c r="K878" s="320">
        <v>560</v>
      </c>
      <c r="L878" s="320">
        <v>13.15</v>
      </c>
      <c r="M878" s="320">
        <v>126</v>
      </c>
      <c r="N878" s="320">
        <v>13.2</v>
      </c>
      <c r="O878" s="320">
        <v>3</v>
      </c>
      <c r="P878" s="321">
        <v>299593383</v>
      </c>
      <c r="Q878" s="320">
        <v>14.45</v>
      </c>
      <c r="R878" s="320">
        <v>11.85</v>
      </c>
    </row>
    <row r="879" spans="2:18">
      <c r="B879" s="319">
        <v>8935</v>
      </c>
      <c r="C879" s="319" t="s">
        <v>1299</v>
      </c>
      <c r="D879" s="320">
        <v>12.95</v>
      </c>
      <c r="E879" s="320">
        <v>0.2</v>
      </c>
      <c r="F879" s="320">
        <v>12.8</v>
      </c>
      <c r="G879" s="320">
        <v>13.05</v>
      </c>
      <c r="H879" s="320">
        <v>12.75</v>
      </c>
      <c r="I879" s="321">
        <v>165000</v>
      </c>
      <c r="J879" s="321">
        <v>2129600</v>
      </c>
      <c r="K879" s="320">
        <v>88</v>
      </c>
      <c r="L879" s="320">
        <v>12.9</v>
      </c>
      <c r="M879" s="320">
        <v>3</v>
      </c>
      <c r="N879" s="320">
        <v>12.95</v>
      </c>
      <c r="O879" s="320">
        <v>1</v>
      </c>
      <c r="P879" s="321">
        <v>84300000</v>
      </c>
      <c r="Q879" s="320">
        <v>14.2</v>
      </c>
      <c r="R879" s="320">
        <v>11.7</v>
      </c>
    </row>
    <row r="880" spans="2:18">
      <c r="B880" s="319">
        <v>8936</v>
      </c>
      <c r="C880" s="319" t="s">
        <v>1300</v>
      </c>
      <c r="D880" s="320">
        <v>21.7</v>
      </c>
      <c r="E880" s="320">
        <v>-0.15</v>
      </c>
      <c r="F880" s="320">
        <v>21.85</v>
      </c>
      <c r="G880" s="320">
        <v>22.05</v>
      </c>
      <c r="H880" s="320">
        <v>21.65</v>
      </c>
      <c r="I880" s="321">
        <v>565000</v>
      </c>
      <c r="J880" s="321">
        <v>12284200</v>
      </c>
      <c r="K880" s="320">
        <v>286</v>
      </c>
      <c r="L880" s="320">
        <v>21.65</v>
      </c>
      <c r="M880" s="320">
        <v>40</v>
      </c>
      <c r="N880" s="320">
        <v>21.7</v>
      </c>
      <c r="O880" s="320">
        <v>16</v>
      </c>
      <c r="P880" s="321">
        <v>248078157</v>
      </c>
      <c r="Q880" s="320">
        <v>23.85</v>
      </c>
      <c r="R880" s="320">
        <v>19.55</v>
      </c>
    </row>
    <row r="881" spans="2:18">
      <c r="B881" s="319">
        <v>8937</v>
      </c>
      <c r="C881" s="319" t="s">
        <v>1301</v>
      </c>
      <c r="D881" s="320">
        <v>13.6</v>
      </c>
      <c r="E881" s="320">
        <v>-0.05</v>
      </c>
      <c r="F881" s="320">
        <v>13.65</v>
      </c>
      <c r="G881" s="320">
        <v>13.65</v>
      </c>
      <c r="H881" s="320">
        <v>13.6</v>
      </c>
      <c r="I881" s="321">
        <v>7000</v>
      </c>
      <c r="J881" s="321">
        <v>95400</v>
      </c>
      <c r="K881" s="320">
        <v>6</v>
      </c>
      <c r="L881" s="320">
        <v>13.6</v>
      </c>
      <c r="M881" s="320">
        <v>2</v>
      </c>
      <c r="N881" s="320">
        <v>13.65</v>
      </c>
      <c r="O881" s="320">
        <v>1</v>
      </c>
      <c r="P881" s="321">
        <v>72478800</v>
      </c>
      <c r="Q881" s="320">
        <v>14.95</v>
      </c>
      <c r="R881" s="320">
        <v>12.25</v>
      </c>
    </row>
    <row r="882" spans="2:18">
      <c r="B882" s="319">
        <v>8938</v>
      </c>
      <c r="C882" s="319" t="s">
        <v>1302</v>
      </c>
      <c r="D882" s="320">
        <v>74.8</v>
      </c>
      <c r="E882" s="320">
        <v>0.7</v>
      </c>
      <c r="F882" s="320">
        <v>74.5</v>
      </c>
      <c r="G882" s="320">
        <v>74.8</v>
      </c>
      <c r="H882" s="320">
        <v>74</v>
      </c>
      <c r="I882" s="321">
        <v>215000</v>
      </c>
      <c r="J882" s="321">
        <v>15986700</v>
      </c>
      <c r="K882" s="320">
        <v>145</v>
      </c>
      <c r="L882" s="320">
        <v>74.5</v>
      </c>
      <c r="M882" s="320">
        <v>5</v>
      </c>
      <c r="N882" s="320">
        <v>74.8</v>
      </c>
      <c r="O882" s="320">
        <v>12</v>
      </c>
      <c r="P882" s="321">
        <v>135312722</v>
      </c>
      <c r="Q882" s="320">
        <v>82.2</v>
      </c>
      <c r="R882" s="320">
        <v>67.400000000000006</v>
      </c>
    </row>
    <row r="883" spans="2:18">
      <c r="B883" s="319">
        <v>8941</v>
      </c>
      <c r="C883" s="319" t="s">
        <v>1303</v>
      </c>
      <c r="D883" s="320">
        <v>38</v>
      </c>
      <c r="E883" s="320">
        <v>0</v>
      </c>
      <c r="F883" s="320">
        <v>38</v>
      </c>
      <c r="G883" s="320">
        <v>38</v>
      </c>
      <c r="H883" s="320">
        <v>38</v>
      </c>
      <c r="I883" s="321">
        <v>7000</v>
      </c>
      <c r="J883" s="321">
        <v>266000</v>
      </c>
      <c r="K883" s="320">
        <v>4</v>
      </c>
      <c r="L883" s="320">
        <v>37.75</v>
      </c>
      <c r="M883" s="320">
        <v>1</v>
      </c>
      <c r="N883" s="320">
        <v>38</v>
      </c>
      <c r="O883" s="320">
        <v>7</v>
      </c>
      <c r="P883" s="321">
        <v>30410497</v>
      </c>
      <c r="Q883" s="320">
        <v>41.8</v>
      </c>
      <c r="R883" s="320">
        <v>34.200000000000003</v>
      </c>
    </row>
    <row r="884" spans="2:18">
      <c r="B884" s="319">
        <v>8942</v>
      </c>
      <c r="C884" s="319" t="s">
        <v>1304</v>
      </c>
      <c r="D884" s="320">
        <v>67.5</v>
      </c>
      <c r="E884" s="320">
        <v>0</v>
      </c>
      <c r="F884" s="320">
        <v>67.5</v>
      </c>
      <c r="G884" s="320">
        <v>67.7</v>
      </c>
      <c r="H884" s="320">
        <v>67.5</v>
      </c>
      <c r="I884" s="321">
        <v>107000</v>
      </c>
      <c r="J884" s="321">
        <v>7230700</v>
      </c>
      <c r="K884" s="320">
        <v>93</v>
      </c>
      <c r="L884" s="320">
        <v>67.5</v>
      </c>
      <c r="M884" s="320">
        <v>12</v>
      </c>
      <c r="N884" s="320">
        <v>67.599999999999994</v>
      </c>
      <c r="O884" s="320">
        <v>3</v>
      </c>
      <c r="P884" s="321">
        <v>165840080</v>
      </c>
      <c r="Q884" s="320">
        <v>74.2</v>
      </c>
      <c r="R884" s="320">
        <v>60.8</v>
      </c>
    </row>
    <row r="885" spans="2:18">
      <c r="B885" s="319">
        <v>9949</v>
      </c>
      <c r="C885" s="319" t="s">
        <v>1305</v>
      </c>
      <c r="D885" s="320">
        <v>13.15</v>
      </c>
      <c r="E885" s="320">
        <v>-0.25</v>
      </c>
      <c r="F885" s="320">
        <v>12.2</v>
      </c>
      <c r="G885" s="320">
        <v>13.2</v>
      </c>
      <c r="H885" s="320">
        <v>12.1</v>
      </c>
      <c r="I885" s="321">
        <v>713000</v>
      </c>
      <c r="J885" s="321">
        <v>8800750</v>
      </c>
      <c r="K885" s="320">
        <v>400</v>
      </c>
      <c r="L885" s="320">
        <v>13.15</v>
      </c>
      <c r="M885" s="320">
        <v>1</v>
      </c>
      <c r="N885" s="320">
        <v>13.2</v>
      </c>
      <c r="O885" s="320">
        <v>8</v>
      </c>
      <c r="P885" s="321">
        <v>44033360</v>
      </c>
      <c r="Q885" s="320">
        <v>14.45</v>
      </c>
      <c r="R885" s="320">
        <v>11.85</v>
      </c>
    </row>
    <row r="886" spans="2:18">
      <c r="B886" s="319">
        <v>9950</v>
      </c>
      <c r="C886" s="319" t="s">
        <v>1306</v>
      </c>
      <c r="D886" s="320">
        <v>9.6999999999999993</v>
      </c>
      <c r="E886" s="320">
        <v>0.06</v>
      </c>
      <c r="F886" s="320">
        <v>9.31</v>
      </c>
      <c r="G886" s="320">
        <v>9.6999999999999993</v>
      </c>
      <c r="H886" s="320">
        <v>9.31</v>
      </c>
      <c r="I886" s="321">
        <v>16000</v>
      </c>
      <c r="J886" s="321">
        <v>152980</v>
      </c>
      <c r="K886" s="320">
        <v>8</v>
      </c>
      <c r="L886" s="320">
        <v>9.5399999999999991</v>
      </c>
      <c r="M886" s="320">
        <v>1</v>
      </c>
      <c r="N886" s="320">
        <v>10.15</v>
      </c>
      <c r="O886" s="320">
        <v>1</v>
      </c>
      <c r="P886" s="321">
        <v>147716000</v>
      </c>
      <c r="Q886" s="320">
        <v>10.65</v>
      </c>
      <c r="R886" s="320">
        <v>8.73</v>
      </c>
    </row>
    <row r="887" spans="2:18">
      <c r="B887" s="319">
        <v>9951</v>
      </c>
      <c r="C887" s="319" t="s">
        <v>1307</v>
      </c>
      <c r="D887" s="320">
        <v>78.3</v>
      </c>
      <c r="E887" s="320">
        <v>-0.4</v>
      </c>
      <c r="F887" s="320">
        <v>78.7</v>
      </c>
      <c r="G887" s="320">
        <v>78.7</v>
      </c>
      <c r="H887" s="320">
        <v>78.3</v>
      </c>
      <c r="I887" s="321">
        <v>41000</v>
      </c>
      <c r="J887" s="321">
        <v>3214600</v>
      </c>
      <c r="K887" s="320">
        <v>38</v>
      </c>
      <c r="L887" s="320">
        <v>78.3</v>
      </c>
      <c r="M887" s="320">
        <v>13</v>
      </c>
      <c r="N887" s="320">
        <v>78.400000000000006</v>
      </c>
      <c r="O887" s="320">
        <v>1</v>
      </c>
      <c r="P887" s="321">
        <v>74900000</v>
      </c>
      <c r="Q887" s="320">
        <v>86.1</v>
      </c>
      <c r="R887" s="320">
        <v>70.5</v>
      </c>
    </row>
    <row r="888" spans="2:18">
      <c r="B888" s="319">
        <v>9960</v>
      </c>
      <c r="C888" s="319" t="s">
        <v>1308</v>
      </c>
      <c r="D888" s="320">
        <v>27.85</v>
      </c>
      <c r="E888" s="320">
        <v>0.6</v>
      </c>
      <c r="F888" s="320">
        <v>27.3</v>
      </c>
      <c r="G888" s="320">
        <v>28.2</v>
      </c>
      <c r="H888" s="320">
        <v>27.3</v>
      </c>
      <c r="I888" s="321">
        <v>58000</v>
      </c>
      <c r="J888" s="321">
        <v>1612600</v>
      </c>
      <c r="K888" s="320">
        <v>52</v>
      </c>
      <c r="L888" s="320">
        <v>27.8</v>
      </c>
      <c r="M888" s="320">
        <v>4</v>
      </c>
      <c r="N888" s="320">
        <v>27.85</v>
      </c>
      <c r="O888" s="320">
        <v>1</v>
      </c>
      <c r="P888" s="321">
        <v>33592500</v>
      </c>
      <c r="Q888" s="320">
        <v>30.6</v>
      </c>
      <c r="R888" s="320">
        <v>25.1</v>
      </c>
    </row>
    <row r="889" spans="2:18">
      <c r="B889" s="319">
        <v>9962</v>
      </c>
      <c r="C889" s="319" t="s">
        <v>1309</v>
      </c>
      <c r="D889" s="320">
        <v>18.100000000000001</v>
      </c>
      <c r="E889" s="320">
        <v>-0.1</v>
      </c>
      <c r="F889" s="320">
        <v>18.3</v>
      </c>
      <c r="G889" s="320">
        <v>18.399999999999999</v>
      </c>
      <c r="H889" s="320">
        <v>18.05</v>
      </c>
      <c r="I889" s="321">
        <v>531000</v>
      </c>
      <c r="J889" s="321">
        <v>9632800</v>
      </c>
      <c r="K889" s="320">
        <v>278</v>
      </c>
      <c r="L889" s="320">
        <v>18.100000000000001</v>
      </c>
      <c r="M889" s="320">
        <v>25</v>
      </c>
      <c r="N889" s="320">
        <v>18.149999999999999</v>
      </c>
      <c r="O889" s="320">
        <v>5</v>
      </c>
      <c r="P889" s="321">
        <v>90220260</v>
      </c>
      <c r="Q889" s="320">
        <v>19.899999999999999</v>
      </c>
      <c r="R889" s="320">
        <v>16.3</v>
      </c>
    </row>
    <row r="890" spans="2:18">
      <c r="B890" s="319">
        <v>20001</v>
      </c>
      <c r="C890" s="319" t="s">
        <v>1310</v>
      </c>
      <c r="D890" s="320">
        <v>9.7200000000000006</v>
      </c>
      <c r="E890" s="320">
        <v>0.12</v>
      </c>
      <c r="F890" s="320">
        <v>9.67</v>
      </c>
      <c r="G890" s="320">
        <v>9.7200000000000006</v>
      </c>
      <c r="H890" s="320">
        <v>9.67</v>
      </c>
      <c r="I890" s="321">
        <v>7000</v>
      </c>
      <c r="J890" s="321">
        <v>67890</v>
      </c>
      <c r="K890" s="320">
        <v>5</v>
      </c>
      <c r="L890" s="320">
        <v>9.69</v>
      </c>
      <c r="M890" s="320">
        <v>100</v>
      </c>
      <c r="N890" s="320">
        <v>9.7100000000000009</v>
      </c>
      <c r="O890" s="320">
        <v>100</v>
      </c>
      <c r="P890" s="321">
        <v>40000000</v>
      </c>
      <c r="Q890" s="320">
        <v>10.69</v>
      </c>
      <c r="R890" s="320">
        <v>8.75</v>
      </c>
    </row>
    <row r="891" spans="2:18">
      <c r="B891" s="319">
        <v>20003</v>
      </c>
      <c r="C891" s="319" t="s">
        <v>1311</v>
      </c>
      <c r="D891" s="320">
        <v>16.850000000000001</v>
      </c>
      <c r="E891" s="320">
        <v>-0.01</v>
      </c>
      <c r="F891" s="320">
        <v>16.829999999999998</v>
      </c>
      <c r="G891" s="320">
        <v>16.850000000000001</v>
      </c>
      <c r="H891" s="320">
        <v>16.829999999999998</v>
      </c>
      <c r="I891" s="321">
        <v>4000</v>
      </c>
      <c r="J891" s="321">
        <v>67380</v>
      </c>
      <c r="K891" s="320">
        <v>2</v>
      </c>
      <c r="L891" s="320">
        <v>16.86</v>
      </c>
      <c r="M891" s="320">
        <v>496</v>
      </c>
      <c r="N891" s="320">
        <v>16.87</v>
      </c>
      <c r="O891" s="320">
        <v>284</v>
      </c>
      <c r="P891" s="321">
        <v>20000000</v>
      </c>
      <c r="Q891" s="320">
        <v>18.53</v>
      </c>
      <c r="R891" s="320">
        <v>15.17</v>
      </c>
    </row>
    <row r="892" spans="2:18">
      <c r="B892" s="319">
        <v>20009</v>
      </c>
      <c r="C892" s="319" t="s">
        <v>1312</v>
      </c>
      <c r="D892" s="320" t="s">
        <v>478</v>
      </c>
      <c r="E892" s="320" t="s">
        <v>479</v>
      </c>
      <c r="F892" s="320" t="s">
        <v>478</v>
      </c>
      <c r="G892" s="320" t="s">
        <v>478</v>
      </c>
      <c r="H892" s="320" t="s">
        <v>478</v>
      </c>
      <c r="I892" s="320">
        <v>0</v>
      </c>
      <c r="J892" s="320">
        <v>0</v>
      </c>
      <c r="K892" s="320">
        <v>0</v>
      </c>
      <c r="L892" s="320">
        <v>26.94</v>
      </c>
      <c r="M892" s="320">
        <v>499</v>
      </c>
      <c r="N892" s="320">
        <v>26.95</v>
      </c>
      <c r="O892" s="320">
        <v>499</v>
      </c>
      <c r="P892" s="321">
        <v>10000000</v>
      </c>
      <c r="Q892" s="322">
        <v>9999.9500000000007</v>
      </c>
      <c r="R892" s="320">
        <v>0.01</v>
      </c>
    </row>
    <row r="893" spans="2:18">
      <c r="B893" s="319">
        <v>20010</v>
      </c>
      <c r="C893" s="319" t="s">
        <v>1313</v>
      </c>
      <c r="D893" s="320" t="s">
        <v>478</v>
      </c>
      <c r="E893" s="320" t="s">
        <v>479</v>
      </c>
      <c r="F893" s="320" t="s">
        <v>478</v>
      </c>
      <c r="G893" s="320" t="s">
        <v>478</v>
      </c>
      <c r="H893" s="320" t="s">
        <v>478</v>
      </c>
      <c r="I893" s="320">
        <v>0</v>
      </c>
      <c r="J893" s="320">
        <v>0</v>
      </c>
      <c r="K893" s="320">
        <v>0</v>
      </c>
      <c r="L893" s="320">
        <v>18.510000000000002</v>
      </c>
      <c r="M893" s="320">
        <v>100</v>
      </c>
      <c r="N893" s="320">
        <v>18.600000000000001</v>
      </c>
      <c r="O893" s="320">
        <v>100</v>
      </c>
      <c r="P893" s="321">
        <v>20000000</v>
      </c>
      <c r="Q893" s="320">
        <v>20.36</v>
      </c>
      <c r="R893" s="320">
        <v>16.66</v>
      </c>
    </row>
    <row r="894" spans="2:18">
      <c r="B894" s="319">
        <v>20013</v>
      </c>
      <c r="C894" s="319" t="s">
        <v>1314</v>
      </c>
      <c r="D894" s="320" t="s">
        <v>478</v>
      </c>
      <c r="E894" s="320" t="s">
        <v>479</v>
      </c>
      <c r="F894" s="320" t="s">
        <v>478</v>
      </c>
      <c r="G894" s="320" t="s">
        <v>478</v>
      </c>
      <c r="H894" s="320" t="s">
        <v>478</v>
      </c>
      <c r="I894" s="320">
        <v>0</v>
      </c>
      <c r="J894" s="320">
        <v>0</v>
      </c>
      <c r="K894" s="320">
        <v>0</v>
      </c>
      <c r="L894" s="320">
        <v>15.36</v>
      </c>
      <c r="M894" s="320">
        <v>300</v>
      </c>
      <c r="N894" s="320">
        <v>15.38</v>
      </c>
      <c r="O894" s="320">
        <v>300</v>
      </c>
      <c r="P894" s="321">
        <v>20000000</v>
      </c>
      <c r="Q894" s="322">
        <v>9999.9500000000007</v>
      </c>
      <c r="R894" s="320">
        <v>0.01</v>
      </c>
    </row>
    <row r="895" spans="2:18">
      <c r="B895" s="319">
        <v>20014</v>
      </c>
      <c r="C895" s="319" t="s">
        <v>1315</v>
      </c>
      <c r="D895" s="320" t="s">
        <v>478</v>
      </c>
      <c r="E895" s="320" t="s">
        <v>479</v>
      </c>
      <c r="F895" s="320" t="s">
        <v>478</v>
      </c>
      <c r="G895" s="320" t="s">
        <v>478</v>
      </c>
      <c r="H895" s="320" t="s">
        <v>478</v>
      </c>
      <c r="I895" s="320">
        <v>0</v>
      </c>
      <c r="J895" s="320">
        <v>0</v>
      </c>
      <c r="K895" s="320">
        <v>0</v>
      </c>
      <c r="L895" s="320">
        <v>8.5500000000000007</v>
      </c>
      <c r="M895" s="320">
        <v>100</v>
      </c>
      <c r="N895" s="320">
        <v>8.57</v>
      </c>
      <c r="O895" s="320">
        <v>100</v>
      </c>
      <c r="P895" s="321">
        <v>60000000</v>
      </c>
      <c r="Q895" s="320">
        <v>9.4</v>
      </c>
      <c r="R895" s="320">
        <v>7.7</v>
      </c>
    </row>
    <row r="896" spans="2:18">
      <c r="B896" s="319">
        <v>20021</v>
      </c>
      <c r="C896" s="319" t="s">
        <v>1316</v>
      </c>
      <c r="D896" s="320">
        <v>6.88</v>
      </c>
      <c r="E896" s="320">
        <v>-0.04</v>
      </c>
      <c r="F896" s="320">
        <v>6.98</v>
      </c>
      <c r="G896" s="320">
        <v>6.98</v>
      </c>
      <c r="H896" s="320">
        <v>6.83</v>
      </c>
      <c r="I896" s="321">
        <v>231000</v>
      </c>
      <c r="J896" s="321">
        <v>1585980</v>
      </c>
      <c r="K896" s="320">
        <v>61</v>
      </c>
      <c r="L896" s="320">
        <v>6.88</v>
      </c>
      <c r="M896" s="320">
        <v>1</v>
      </c>
      <c r="N896" s="320">
        <v>6.89</v>
      </c>
      <c r="O896" s="320">
        <v>292</v>
      </c>
      <c r="P896" s="321">
        <v>150000000</v>
      </c>
      <c r="Q896" s="322">
        <v>9999.9500000000007</v>
      </c>
      <c r="R896" s="320">
        <v>0.01</v>
      </c>
    </row>
    <row r="897" spans="2:18">
      <c r="B897" s="319">
        <v>20023</v>
      </c>
      <c r="C897" s="319" t="s">
        <v>1317</v>
      </c>
      <c r="D897" s="320">
        <v>7.79</v>
      </c>
      <c r="E897" s="320">
        <v>0.03</v>
      </c>
      <c r="F897" s="320">
        <v>7.8</v>
      </c>
      <c r="G897" s="320">
        <v>7.85</v>
      </c>
      <c r="H897" s="320">
        <v>7.79</v>
      </c>
      <c r="I897" s="321">
        <v>234000</v>
      </c>
      <c r="J897" s="321">
        <v>1828110</v>
      </c>
      <c r="K897" s="320">
        <v>32</v>
      </c>
      <c r="L897" s="320">
        <v>7.79</v>
      </c>
      <c r="M897" s="320">
        <v>99</v>
      </c>
      <c r="N897" s="320">
        <v>7.8</v>
      </c>
      <c r="O897" s="320">
        <v>100</v>
      </c>
      <c r="P897" s="321">
        <v>200000000</v>
      </c>
      <c r="Q897" s="320">
        <v>8.56</v>
      </c>
      <c r="R897" s="320">
        <v>7.02</v>
      </c>
    </row>
    <row r="898" spans="2:18">
      <c r="B898" s="319">
        <v>20024</v>
      </c>
      <c r="C898" s="319" t="s">
        <v>1318</v>
      </c>
      <c r="D898" s="320" t="s">
        <v>478</v>
      </c>
      <c r="E898" s="320" t="s">
        <v>479</v>
      </c>
      <c r="F898" s="320" t="s">
        <v>478</v>
      </c>
      <c r="G898" s="320" t="s">
        <v>478</v>
      </c>
      <c r="H898" s="320" t="s">
        <v>478</v>
      </c>
      <c r="I898" s="320">
        <v>0</v>
      </c>
      <c r="J898" s="320">
        <v>0</v>
      </c>
      <c r="K898" s="320">
        <v>0</v>
      </c>
      <c r="L898" s="320">
        <v>6.82</v>
      </c>
      <c r="M898" s="320">
        <v>200</v>
      </c>
      <c r="N898" s="320">
        <v>6.83</v>
      </c>
      <c r="O898" s="320">
        <v>111</v>
      </c>
      <c r="P898" s="321">
        <v>40000000</v>
      </c>
      <c r="Q898" s="320">
        <v>7.5</v>
      </c>
      <c r="R898" s="320">
        <v>6.14</v>
      </c>
    </row>
    <row r="899" spans="2:18">
      <c r="B899" s="319">
        <v>20025</v>
      </c>
      <c r="C899" s="319" t="s">
        <v>2670</v>
      </c>
      <c r="D899" s="320">
        <v>8.93</v>
      </c>
      <c r="E899" s="320">
        <v>0.04</v>
      </c>
      <c r="F899" s="320">
        <v>8.94</v>
      </c>
      <c r="G899" s="320">
        <v>8.9499999999999993</v>
      </c>
      <c r="H899" s="320">
        <v>8.8800000000000008</v>
      </c>
      <c r="I899" s="321">
        <v>392000</v>
      </c>
      <c r="J899" s="321">
        <v>3501610</v>
      </c>
      <c r="K899" s="320">
        <v>69</v>
      </c>
      <c r="L899" s="320">
        <v>8.93</v>
      </c>
      <c r="M899" s="320">
        <v>499</v>
      </c>
      <c r="N899" s="320">
        <v>8.94</v>
      </c>
      <c r="O899" s="320">
        <v>3</v>
      </c>
      <c r="P899" s="321">
        <v>200000000</v>
      </c>
      <c r="Q899" s="322">
        <v>9999.9500000000007</v>
      </c>
      <c r="R899" s="320">
        <v>0.01</v>
      </c>
    </row>
    <row r="900" spans="2:18">
      <c r="B900" s="319">
        <v>20026</v>
      </c>
      <c r="C900" s="319" t="s">
        <v>1319</v>
      </c>
      <c r="D900" s="320" t="s">
        <v>478</v>
      </c>
      <c r="E900" s="320" t="s">
        <v>479</v>
      </c>
      <c r="F900" s="320" t="s">
        <v>478</v>
      </c>
      <c r="G900" s="320" t="s">
        <v>478</v>
      </c>
      <c r="H900" s="320" t="s">
        <v>478</v>
      </c>
      <c r="I900" s="320">
        <v>0</v>
      </c>
      <c r="J900" s="320">
        <v>0</v>
      </c>
      <c r="K900" s="320">
        <v>0</v>
      </c>
      <c r="L900" s="320">
        <v>5.99</v>
      </c>
      <c r="M900" s="320">
        <v>499</v>
      </c>
      <c r="N900" s="320">
        <v>6</v>
      </c>
      <c r="O900" s="320">
        <v>499</v>
      </c>
      <c r="P900" s="321">
        <v>40000000</v>
      </c>
      <c r="Q900" s="320">
        <v>6.58</v>
      </c>
      <c r="R900" s="320">
        <v>5.4</v>
      </c>
    </row>
    <row r="901" spans="2:18" ht="17.25" thickBot="1">
      <c r="B901" s="319">
        <v>20027</v>
      </c>
      <c r="C901" s="319" t="s">
        <v>1320</v>
      </c>
      <c r="D901" s="320">
        <v>5.66</v>
      </c>
      <c r="E901" s="320">
        <v>0.03</v>
      </c>
      <c r="F901" s="320">
        <v>5.66</v>
      </c>
      <c r="G901" s="320">
        <v>5.69</v>
      </c>
      <c r="H901" s="320">
        <v>5.65</v>
      </c>
      <c r="I901" s="321">
        <v>253000</v>
      </c>
      <c r="J901" s="321">
        <v>1432690</v>
      </c>
      <c r="K901" s="320">
        <v>49</v>
      </c>
      <c r="L901" s="320">
        <v>5.65</v>
      </c>
      <c r="M901" s="320">
        <v>100</v>
      </c>
      <c r="N901" s="320">
        <v>5.66</v>
      </c>
      <c r="O901" s="320">
        <v>100</v>
      </c>
      <c r="P901" s="321">
        <v>400000000</v>
      </c>
      <c r="Q901" s="320">
        <v>6.22</v>
      </c>
      <c r="R901" s="320">
        <v>5.0999999999999996</v>
      </c>
    </row>
    <row r="902" spans="2:18">
      <c r="B902" s="354" t="s">
        <v>3121</v>
      </c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</row>
  </sheetData>
  <mergeCells count="2">
    <mergeCell ref="B3:R3"/>
    <mergeCell ref="B902:P90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590550</xdr:colOff>
                <xdr:row>2</xdr:row>
                <xdr:rowOff>123825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Z1379"/>
  <sheetViews>
    <sheetView workbookViewId="0">
      <selection activeCell="B1" sqref="B1:B1048576"/>
    </sheetView>
  </sheetViews>
  <sheetFormatPr defaultColWidth="9" defaultRowHeight="16.5"/>
  <cols>
    <col min="1" max="1" width="9.5" style="6" bestFit="1" customWidth="1"/>
    <col min="2" max="2" width="81" bestFit="1" customWidth="1"/>
    <col min="3" max="26" width="8.75" customWidth="1"/>
    <col min="27" max="16384" width="9" style="6"/>
  </cols>
  <sheetData>
    <row r="1" spans="1:7">
      <c r="B1" t="s">
        <v>3150</v>
      </c>
    </row>
    <row r="2" spans="1:7">
      <c r="B2" t="s">
        <v>1329</v>
      </c>
      <c r="C2" t="s">
        <v>1330</v>
      </c>
      <c r="D2" t="s">
        <v>1331</v>
      </c>
      <c r="E2" t="s">
        <v>1332</v>
      </c>
      <c r="F2" t="s">
        <v>1333</v>
      </c>
      <c r="G2" t="s">
        <v>1334</v>
      </c>
    </row>
    <row r="3" spans="1:7">
      <c r="B3" t="s">
        <v>1335</v>
      </c>
      <c r="C3" s="8">
        <v>20831.23</v>
      </c>
      <c r="D3" t="s">
        <v>1362</v>
      </c>
      <c r="E3">
        <v>164.81</v>
      </c>
      <c r="F3">
        <v>0.8</v>
      </c>
    </row>
    <row r="4" spans="1:7">
      <c r="A4" s="7">
        <f>VALUE(A5&amp;"/"&amp;A6&amp;"/"&amp;A7)</f>
        <v>44558</v>
      </c>
      <c r="B4" t="s">
        <v>1336</v>
      </c>
      <c r="C4" s="8">
        <v>18196.810000000001</v>
      </c>
      <c r="D4" t="s">
        <v>1362</v>
      </c>
      <c r="E4">
        <v>147.87</v>
      </c>
      <c r="F4">
        <v>0.82</v>
      </c>
    </row>
    <row r="5" spans="1:7">
      <c r="A5" s="6">
        <f>LEFT(B1,3)+1911</f>
        <v>2021</v>
      </c>
      <c r="B5" t="s">
        <v>1337</v>
      </c>
      <c r="C5" s="8">
        <v>10545.99</v>
      </c>
      <c r="D5" t="s">
        <v>1362</v>
      </c>
      <c r="E5">
        <v>119.59</v>
      </c>
      <c r="F5">
        <v>1.1499999999999999</v>
      </c>
    </row>
    <row r="6" spans="1:7">
      <c r="A6" s="6" t="str">
        <f>MID(B1,5,2)</f>
        <v>12</v>
      </c>
      <c r="B6" t="s">
        <v>1338</v>
      </c>
      <c r="C6" s="8">
        <v>14270.5</v>
      </c>
      <c r="D6" t="s">
        <v>1362</v>
      </c>
      <c r="E6">
        <v>165.47</v>
      </c>
      <c r="F6">
        <v>1.17</v>
      </c>
    </row>
    <row r="7" spans="1:7">
      <c r="A7" s="6" t="str">
        <f>MID(B1,8,2)</f>
        <v>28</v>
      </c>
      <c r="B7" t="s">
        <v>1339</v>
      </c>
      <c r="C7" s="8">
        <v>13511.18</v>
      </c>
      <c r="D7" t="s">
        <v>1362</v>
      </c>
      <c r="E7">
        <v>142.76</v>
      </c>
      <c r="F7">
        <v>1.07</v>
      </c>
    </row>
    <row r="8" spans="1:7">
      <c r="B8" t="s">
        <v>1340</v>
      </c>
      <c r="C8" s="8">
        <v>14958.25</v>
      </c>
      <c r="D8" t="s">
        <v>1362</v>
      </c>
      <c r="E8">
        <v>55.34</v>
      </c>
      <c r="F8">
        <v>0.37</v>
      </c>
    </row>
    <row r="9" spans="1:7">
      <c r="A9" s="6" t="str">
        <f>TEXT(TWN!A10,"0000")</f>
        <v>2021</v>
      </c>
      <c r="B9" t="s">
        <v>1341</v>
      </c>
      <c r="C9" s="8">
        <v>24931.35</v>
      </c>
      <c r="D9" t="s">
        <v>1362</v>
      </c>
      <c r="E9">
        <v>310.04000000000002</v>
      </c>
      <c r="F9">
        <v>1.26</v>
      </c>
    </row>
    <row r="10" spans="1:7">
      <c r="A10" s="6" t="str">
        <f>TEXT(TWN!A11,"00")</f>
        <v>12</v>
      </c>
      <c r="B10" t="s">
        <v>1342</v>
      </c>
      <c r="C10" s="8">
        <v>11606.94</v>
      </c>
      <c r="D10" t="s">
        <v>1362</v>
      </c>
      <c r="E10">
        <v>39.909999999999997</v>
      </c>
      <c r="F10">
        <v>0.35</v>
      </c>
    </row>
    <row r="11" spans="1:7">
      <c r="A11" s="6" t="str">
        <f>TEXT(TWN!A12,"dd")</f>
        <v>28</v>
      </c>
      <c r="B11" t="s">
        <v>1343</v>
      </c>
      <c r="C11" s="8">
        <v>7906.09</v>
      </c>
      <c r="D11" t="s">
        <v>1362</v>
      </c>
      <c r="E11">
        <v>53.09</v>
      </c>
      <c r="F11">
        <v>0.68</v>
      </c>
    </row>
    <row r="12" spans="1:7">
      <c r="B12" t="s">
        <v>1344</v>
      </c>
      <c r="C12" s="8">
        <v>10546.48</v>
      </c>
      <c r="D12" t="s">
        <v>1362</v>
      </c>
      <c r="E12">
        <v>68.56</v>
      </c>
      <c r="F12">
        <v>0.65</v>
      </c>
    </row>
    <row r="13" spans="1:7">
      <c r="B13" t="s">
        <v>1345</v>
      </c>
      <c r="C13" s="8">
        <v>9712.86</v>
      </c>
      <c r="D13" t="s">
        <v>1362</v>
      </c>
      <c r="E13">
        <v>70.650000000000006</v>
      </c>
      <c r="F13">
        <v>0.73</v>
      </c>
    </row>
    <row r="14" spans="1:7">
      <c r="B14" t="s">
        <v>1346</v>
      </c>
      <c r="C14" s="8">
        <v>15847.77</v>
      </c>
      <c r="D14" t="s">
        <v>1362</v>
      </c>
      <c r="E14">
        <v>129.72</v>
      </c>
      <c r="F14">
        <v>0.83</v>
      </c>
    </row>
    <row r="15" spans="1:7">
      <c r="B15" t="s">
        <v>1347</v>
      </c>
      <c r="C15" s="8">
        <v>20148.39</v>
      </c>
      <c r="D15" t="s">
        <v>1362</v>
      </c>
      <c r="E15">
        <v>107.91</v>
      </c>
      <c r="F15">
        <v>0.54</v>
      </c>
    </row>
    <row r="16" spans="1:7">
      <c r="B16" t="s">
        <v>1348</v>
      </c>
      <c r="C16" s="8">
        <v>17103.34</v>
      </c>
      <c r="D16" t="s">
        <v>1362</v>
      </c>
      <c r="E16">
        <v>75.08</v>
      </c>
      <c r="F16">
        <v>0.44</v>
      </c>
    </row>
    <row r="17" spans="2:6">
      <c r="B17" t="s">
        <v>1349</v>
      </c>
      <c r="C17" s="8">
        <v>9494.08</v>
      </c>
      <c r="D17" t="s">
        <v>1362</v>
      </c>
      <c r="E17">
        <v>3.15</v>
      </c>
      <c r="F17">
        <v>0.03</v>
      </c>
    </row>
    <row r="18" spans="2:6">
      <c r="B18" t="s">
        <v>1350</v>
      </c>
      <c r="C18">
        <v>723.68</v>
      </c>
      <c r="D18" t="s">
        <v>1362</v>
      </c>
      <c r="E18">
        <v>0.85</v>
      </c>
      <c r="F18">
        <v>0.12</v>
      </c>
    </row>
    <row r="19" spans="2:6">
      <c r="B19" t="s">
        <v>1351</v>
      </c>
      <c r="C19">
        <v>948.46</v>
      </c>
      <c r="D19" t="s">
        <v>1362</v>
      </c>
      <c r="E19">
        <v>3.21</v>
      </c>
      <c r="F19">
        <v>0.34</v>
      </c>
    </row>
    <row r="20" spans="2:6">
      <c r="B20" t="s">
        <v>1352</v>
      </c>
      <c r="C20" s="8">
        <v>4868.41</v>
      </c>
      <c r="D20" t="s">
        <v>1362</v>
      </c>
      <c r="E20">
        <v>47.32</v>
      </c>
      <c r="F20">
        <v>0.98</v>
      </c>
    </row>
    <row r="21" spans="2:6">
      <c r="B21" t="s">
        <v>1353</v>
      </c>
      <c r="C21">
        <v>184.78</v>
      </c>
      <c r="D21" t="s">
        <v>1362</v>
      </c>
      <c r="E21">
        <v>0.28000000000000003</v>
      </c>
      <c r="F21">
        <v>0.15</v>
      </c>
    </row>
    <row r="22" spans="2:6">
      <c r="B22" t="s">
        <v>1354</v>
      </c>
      <c r="C22" s="8">
        <v>1910.46</v>
      </c>
      <c r="D22" t="s">
        <v>1362</v>
      </c>
      <c r="E22">
        <v>14.89</v>
      </c>
      <c r="F22">
        <v>0.79</v>
      </c>
    </row>
    <row r="23" spans="2:6">
      <c r="B23" t="s">
        <v>1355</v>
      </c>
      <c r="C23">
        <v>286.66000000000003</v>
      </c>
      <c r="D23" t="s">
        <v>1362</v>
      </c>
      <c r="E23">
        <v>1.03</v>
      </c>
      <c r="F23">
        <v>0.36</v>
      </c>
    </row>
    <row r="24" spans="2:6">
      <c r="B24" t="s">
        <v>1356</v>
      </c>
      <c r="C24">
        <v>648.66</v>
      </c>
      <c r="D24" t="s">
        <v>1</v>
      </c>
      <c r="E24">
        <v>0.26</v>
      </c>
      <c r="F24">
        <v>-0.04</v>
      </c>
    </row>
    <row r="25" spans="2:6">
      <c r="B25" t="s">
        <v>1357</v>
      </c>
      <c r="C25">
        <v>246.46</v>
      </c>
      <c r="D25" t="s">
        <v>1362</v>
      </c>
      <c r="E25">
        <v>1.75</v>
      </c>
      <c r="F25">
        <v>0.72</v>
      </c>
    </row>
    <row r="26" spans="2:6">
      <c r="B26" t="s">
        <v>1358</v>
      </c>
      <c r="C26">
        <v>81.56</v>
      </c>
      <c r="D26" t="s">
        <v>1362</v>
      </c>
      <c r="E26">
        <v>0.38</v>
      </c>
      <c r="F26">
        <v>0.47</v>
      </c>
    </row>
    <row r="27" spans="2:6">
      <c r="B27" t="s">
        <v>1359</v>
      </c>
      <c r="C27">
        <v>118.15</v>
      </c>
      <c r="D27" t="s">
        <v>1362</v>
      </c>
      <c r="E27">
        <v>0.84</v>
      </c>
      <c r="F27">
        <v>0.72</v>
      </c>
    </row>
    <row r="28" spans="2:6">
      <c r="B28" t="s">
        <v>1360</v>
      </c>
      <c r="C28">
        <v>144.69</v>
      </c>
      <c r="D28" t="s">
        <v>1362</v>
      </c>
      <c r="E28">
        <v>1.7</v>
      </c>
      <c r="F28">
        <v>1.19</v>
      </c>
    </row>
    <row r="29" spans="2:6">
      <c r="B29" t="s">
        <v>1361</v>
      </c>
      <c r="C29">
        <v>65.069999999999993</v>
      </c>
      <c r="D29" t="s">
        <v>1362</v>
      </c>
      <c r="E29">
        <v>7.0000000000000007E-2</v>
      </c>
      <c r="F29">
        <v>0.11</v>
      </c>
    </row>
    <row r="30" spans="2:6">
      <c r="B30" t="s">
        <v>1363</v>
      </c>
      <c r="C30">
        <v>68.959999999999994</v>
      </c>
      <c r="D30" t="s">
        <v>1</v>
      </c>
      <c r="E30">
        <v>0.04</v>
      </c>
      <c r="F30">
        <v>-0.06</v>
      </c>
    </row>
    <row r="31" spans="2:6">
      <c r="B31" t="s">
        <v>1364</v>
      </c>
      <c r="C31">
        <v>416.56</v>
      </c>
      <c r="D31" t="s">
        <v>1</v>
      </c>
      <c r="E31">
        <v>5.35</v>
      </c>
      <c r="F31">
        <v>-1.27</v>
      </c>
    </row>
    <row r="32" spans="2:6">
      <c r="B32" t="s">
        <v>1365</v>
      </c>
      <c r="C32">
        <v>172.96</v>
      </c>
      <c r="D32" t="s">
        <v>1362</v>
      </c>
      <c r="E32">
        <v>0.21</v>
      </c>
      <c r="F32">
        <v>0.12</v>
      </c>
    </row>
    <row r="33" spans="2:6">
      <c r="B33" t="s">
        <v>1366</v>
      </c>
      <c r="C33">
        <v>296.5</v>
      </c>
      <c r="D33" t="s">
        <v>1</v>
      </c>
      <c r="E33">
        <v>1.56</v>
      </c>
      <c r="F33">
        <v>-0.52</v>
      </c>
    </row>
    <row r="34" spans="2:6">
      <c r="B34" t="s">
        <v>1367</v>
      </c>
      <c r="C34">
        <v>333.04</v>
      </c>
      <c r="D34" t="s">
        <v>1362</v>
      </c>
      <c r="E34">
        <v>0.2</v>
      </c>
      <c r="F34">
        <v>0.06</v>
      </c>
    </row>
    <row r="35" spans="2:6">
      <c r="B35" t="s">
        <v>1368</v>
      </c>
      <c r="C35">
        <v>874.88</v>
      </c>
      <c r="D35" t="s">
        <v>1362</v>
      </c>
      <c r="E35">
        <v>8.58</v>
      </c>
      <c r="F35">
        <v>0.99</v>
      </c>
    </row>
    <row r="36" spans="2:6">
      <c r="B36" t="s">
        <v>1369</v>
      </c>
      <c r="C36">
        <v>439.69</v>
      </c>
      <c r="D36" t="s">
        <v>1362</v>
      </c>
      <c r="E36">
        <v>5.79</v>
      </c>
      <c r="F36">
        <v>1.33</v>
      </c>
    </row>
    <row r="37" spans="2:6">
      <c r="B37" t="s">
        <v>1370</v>
      </c>
      <c r="C37">
        <v>147.99</v>
      </c>
      <c r="D37" t="s">
        <v>1362</v>
      </c>
      <c r="E37">
        <v>1.28</v>
      </c>
      <c r="F37">
        <v>0.87</v>
      </c>
    </row>
    <row r="38" spans="2:6">
      <c r="B38" t="s">
        <v>1371</v>
      </c>
      <c r="C38">
        <v>44.55</v>
      </c>
      <c r="D38" t="s">
        <v>1</v>
      </c>
      <c r="E38">
        <v>0.21</v>
      </c>
      <c r="F38">
        <v>-0.47</v>
      </c>
    </row>
    <row r="39" spans="2:6">
      <c r="B39" t="s">
        <v>1372</v>
      </c>
      <c r="C39">
        <v>133.21</v>
      </c>
      <c r="D39" t="s">
        <v>1362</v>
      </c>
      <c r="E39">
        <v>0.14000000000000001</v>
      </c>
      <c r="F39">
        <v>0.11</v>
      </c>
    </row>
    <row r="40" spans="2:6">
      <c r="B40" t="s">
        <v>1373</v>
      </c>
      <c r="C40">
        <v>200.12</v>
      </c>
      <c r="D40" t="s">
        <v>1362</v>
      </c>
      <c r="E40">
        <v>0.53</v>
      </c>
      <c r="F40">
        <v>0.27</v>
      </c>
    </row>
    <row r="41" spans="2:6">
      <c r="B41" t="s">
        <v>1374</v>
      </c>
      <c r="C41">
        <v>188.92</v>
      </c>
      <c r="D41" t="s">
        <v>1362</v>
      </c>
      <c r="E41">
        <v>1.51</v>
      </c>
      <c r="F41">
        <v>0.81</v>
      </c>
    </row>
    <row r="42" spans="2:6">
      <c r="B42" t="s">
        <v>1375</v>
      </c>
      <c r="C42">
        <v>128.69</v>
      </c>
      <c r="D42" t="s">
        <v>1</v>
      </c>
      <c r="E42">
        <v>0.06</v>
      </c>
      <c r="F42">
        <v>-0.05</v>
      </c>
    </row>
    <row r="43" spans="2:6">
      <c r="B43" t="s">
        <v>1376</v>
      </c>
      <c r="C43">
        <v>100.45</v>
      </c>
      <c r="D43" t="s">
        <v>1362</v>
      </c>
      <c r="E43">
        <v>0.63</v>
      </c>
      <c r="F43">
        <v>0.63</v>
      </c>
    </row>
    <row r="44" spans="2:6">
      <c r="B44" t="s">
        <v>1377</v>
      </c>
      <c r="C44">
        <v>366.58</v>
      </c>
      <c r="D44" t="s">
        <v>1</v>
      </c>
      <c r="E44">
        <v>0.7</v>
      </c>
      <c r="F44">
        <v>-0.19</v>
      </c>
    </row>
    <row r="45" spans="2:6">
      <c r="B45" t="s">
        <v>1378</v>
      </c>
      <c r="C45">
        <v>277.33999999999997</v>
      </c>
      <c r="D45" t="s">
        <v>1362</v>
      </c>
      <c r="E45">
        <v>3.74</v>
      </c>
      <c r="F45">
        <v>1.37</v>
      </c>
    </row>
    <row r="46" spans="2:6">
      <c r="B46" t="s">
        <v>1379</v>
      </c>
      <c r="C46">
        <v>95.75</v>
      </c>
      <c r="D46" t="s">
        <v>1362</v>
      </c>
      <c r="E46">
        <v>0.41</v>
      </c>
      <c r="F46">
        <v>0.43</v>
      </c>
    </row>
    <row r="47" spans="2:6">
      <c r="B47" t="s">
        <v>1380</v>
      </c>
      <c r="C47" s="8">
        <v>1704.52</v>
      </c>
      <c r="D47" t="s">
        <v>1362</v>
      </c>
      <c r="E47">
        <v>13.04</v>
      </c>
      <c r="F47">
        <v>0.77</v>
      </c>
    </row>
    <row r="48" spans="2:6">
      <c r="B48" t="s">
        <v>1381</v>
      </c>
      <c r="C48">
        <v>375.72</v>
      </c>
      <c r="D48" t="s">
        <v>1362</v>
      </c>
      <c r="E48">
        <v>0.03</v>
      </c>
      <c r="F48">
        <v>0.01</v>
      </c>
    </row>
    <row r="49" spans="2:7">
      <c r="B49" t="s">
        <v>1382</v>
      </c>
      <c r="C49">
        <v>126.09</v>
      </c>
      <c r="D49" t="s">
        <v>1</v>
      </c>
      <c r="E49">
        <v>0.13</v>
      </c>
      <c r="F49">
        <v>-0.1</v>
      </c>
    </row>
    <row r="50" spans="2:7">
      <c r="B50" t="s">
        <v>1383</v>
      </c>
      <c r="C50">
        <v>398.32</v>
      </c>
      <c r="D50" t="s">
        <v>1362</v>
      </c>
      <c r="E50">
        <v>2.76</v>
      </c>
      <c r="F50">
        <v>0.7</v>
      </c>
    </row>
    <row r="51" spans="2:7">
      <c r="B51" t="s">
        <v>1384</v>
      </c>
      <c r="C51" s="8">
        <v>43050.53</v>
      </c>
      <c r="D51" t="s">
        <v>1362</v>
      </c>
      <c r="E51">
        <v>694.03</v>
      </c>
      <c r="F51">
        <v>1.64</v>
      </c>
    </row>
    <row r="52" spans="2:7">
      <c r="B52" t="s">
        <v>1385</v>
      </c>
      <c r="C52" s="8">
        <v>3908.62</v>
      </c>
      <c r="D52" t="s">
        <v>1</v>
      </c>
      <c r="E52">
        <v>32.29</v>
      </c>
      <c r="F52">
        <v>-0.82</v>
      </c>
    </row>
    <row r="53" spans="2:7">
      <c r="B53" t="s">
        <v>1386</v>
      </c>
      <c r="C53" s="8">
        <v>44504.22</v>
      </c>
      <c r="D53" t="s">
        <v>1362</v>
      </c>
      <c r="E53">
        <v>864.43</v>
      </c>
      <c r="F53">
        <v>1.98</v>
      </c>
    </row>
    <row r="54" spans="2:7">
      <c r="B54" t="s">
        <v>1387</v>
      </c>
      <c r="C54" s="8">
        <v>3470.25</v>
      </c>
      <c r="D54" t="s">
        <v>1</v>
      </c>
      <c r="E54">
        <v>34.71</v>
      </c>
      <c r="F54">
        <v>-0.99</v>
      </c>
    </row>
    <row r="55" spans="2:7">
      <c r="B55" t="s">
        <v>1321</v>
      </c>
    </row>
    <row r="56" spans="2:7">
      <c r="B56" t="s">
        <v>1329</v>
      </c>
      <c r="C56" t="s">
        <v>1330</v>
      </c>
      <c r="D56" t="s">
        <v>1331</v>
      </c>
      <c r="E56" t="s">
        <v>1332</v>
      </c>
      <c r="F56" t="s">
        <v>1333</v>
      </c>
      <c r="G56" t="s">
        <v>1334</v>
      </c>
    </row>
    <row r="57" spans="2:7">
      <c r="B57" t="s">
        <v>1388</v>
      </c>
      <c r="C57" s="8">
        <v>4538.68</v>
      </c>
      <c r="D57" t="s">
        <v>1362</v>
      </c>
      <c r="E57">
        <v>43.8</v>
      </c>
      <c r="F57">
        <v>0.97</v>
      </c>
    </row>
    <row r="58" spans="2:7">
      <c r="B58" t="s">
        <v>1389</v>
      </c>
      <c r="C58" s="8">
        <v>8538.73</v>
      </c>
      <c r="D58" t="s">
        <v>1362</v>
      </c>
      <c r="E58">
        <v>27.21</v>
      </c>
      <c r="F58">
        <v>0.32</v>
      </c>
    </row>
    <row r="59" spans="2:7">
      <c r="B59" t="s">
        <v>1390</v>
      </c>
      <c r="C59" s="8">
        <v>8111.21</v>
      </c>
      <c r="D59" t="s">
        <v>1362</v>
      </c>
      <c r="E59">
        <v>32.1</v>
      </c>
      <c r="F59">
        <v>0.4</v>
      </c>
    </row>
    <row r="60" spans="2:7">
      <c r="B60" t="s">
        <v>2698</v>
      </c>
      <c r="C60" s="8">
        <v>4041.66</v>
      </c>
      <c r="D60" t="s">
        <v>1362</v>
      </c>
      <c r="E60">
        <v>19.989999999999998</v>
      </c>
      <c r="F60">
        <v>0.5</v>
      </c>
    </row>
    <row r="61" spans="2:7">
      <c r="B61" t="s">
        <v>1392</v>
      </c>
      <c r="C61" s="8">
        <v>8875</v>
      </c>
      <c r="D61" t="s">
        <v>1362</v>
      </c>
      <c r="E61">
        <v>31.58</v>
      </c>
      <c r="F61">
        <v>0.36</v>
      </c>
    </row>
    <row r="62" spans="2:7">
      <c r="B62" t="s">
        <v>1393</v>
      </c>
      <c r="C62" s="8">
        <v>7295.14</v>
      </c>
      <c r="D62" t="s">
        <v>1362</v>
      </c>
      <c r="E62">
        <v>85.41</v>
      </c>
      <c r="F62">
        <v>1.18</v>
      </c>
    </row>
    <row r="63" spans="2:7">
      <c r="B63" t="s">
        <v>1394</v>
      </c>
      <c r="C63" s="8">
        <v>6224.59</v>
      </c>
      <c r="D63" t="s">
        <v>1362</v>
      </c>
      <c r="E63">
        <v>53.5</v>
      </c>
      <c r="F63">
        <v>0.87</v>
      </c>
    </row>
    <row r="64" spans="2:7">
      <c r="B64" t="s">
        <v>1395</v>
      </c>
      <c r="C64" s="8">
        <v>6982.4</v>
      </c>
      <c r="D64" t="s">
        <v>1362</v>
      </c>
      <c r="E64">
        <v>75.760000000000005</v>
      </c>
      <c r="F64">
        <v>1.1000000000000001</v>
      </c>
    </row>
    <row r="65" spans="2:7">
      <c r="B65" t="s">
        <v>1396</v>
      </c>
      <c r="C65" s="8">
        <v>5400.75</v>
      </c>
      <c r="D65" t="s">
        <v>1362</v>
      </c>
      <c r="E65">
        <v>62.79</v>
      </c>
      <c r="F65">
        <v>1.18</v>
      </c>
    </row>
    <row r="66" spans="2:7">
      <c r="B66" t="s">
        <v>1397</v>
      </c>
      <c r="C66" s="8">
        <v>5980.48</v>
      </c>
      <c r="D66" t="s">
        <v>1362</v>
      </c>
      <c r="E66">
        <v>49.23</v>
      </c>
      <c r="F66">
        <v>0.83</v>
      </c>
    </row>
    <row r="67" spans="2:7">
      <c r="B67" t="s">
        <v>2673</v>
      </c>
      <c r="C67" s="8">
        <v>5160.16</v>
      </c>
      <c r="D67" t="s">
        <v>1362</v>
      </c>
      <c r="E67">
        <v>37.229999999999997</v>
      </c>
      <c r="F67">
        <v>0.73</v>
      </c>
    </row>
    <row r="68" spans="2:7">
      <c r="B68" t="s">
        <v>2674</v>
      </c>
      <c r="C68" s="8">
        <v>5248.39</v>
      </c>
      <c r="D68" t="s">
        <v>1362</v>
      </c>
      <c r="E68">
        <v>53.99</v>
      </c>
      <c r="F68">
        <v>1.04</v>
      </c>
    </row>
    <row r="69" spans="2:7">
      <c r="B69" t="s">
        <v>2786</v>
      </c>
      <c r="C69" s="8">
        <v>5578.27</v>
      </c>
      <c r="D69" t="s">
        <v>1362</v>
      </c>
      <c r="E69">
        <v>65.61</v>
      </c>
      <c r="F69">
        <v>1.19</v>
      </c>
    </row>
    <row r="70" spans="2:7">
      <c r="B70" t="s">
        <v>3062</v>
      </c>
      <c r="C70" s="8">
        <v>5409.5</v>
      </c>
      <c r="D70" t="s">
        <v>1362</v>
      </c>
      <c r="E70">
        <v>19.91</v>
      </c>
      <c r="F70">
        <v>0.37</v>
      </c>
    </row>
    <row r="71" spans="2:7">
      <c r="B71" t="s">
        <v>3063</v>
      </c>
      <c r="C71" s="8">
        <v>5624.68</v>
      </c>
      <c r="D71" t="s">
        <v>1362</v>
      </c>
      <c r="E71">
        <v>54.05</v>
      </c>
      <c r="F71">
        <v>0.97</v>
      </c>
    </row>
    <row r="72" spans="2:7">
      <c r="B72" t="s">
        <v>1322</v>
      </c>
    </row>
    <row r="73" spans="2:7">
      <c r="B73" t="s">
        <v>1329</v>
      </c>
      <c r="C73" t="s">
        <v>1330</v>
      </c>
      <c r="D73" t="s">
        <v>1331</v>
      </c>
      <c r="E73" t="s">
        <v>1332</v>
      </c>
      <c r="F73" t="s">
        <v>1333</v>
      </c>
      <c r="G73" t="s">
        <v>1334</v>
      </c>
    </row>
    <row r="74" spans="2:7">
      <c r="B74" t="s">
        <v>1398</v>
      </c>
      <c r="C74" s="8">
        <v>33137.58</v>
      </c>
      <c r="D74" t="s">
        <v>1362</v>
      </c>
      <c r="E74">
        <v>503.17</v>
      </c>
      <c r="F74">
        <v>1.54</v>
      </c>
    </row>
    <row r="75" spans="2:7">
      <c r="B75" t="s">
        <v>1399</v>
      </c>
      <c r="C75" s="8">
        <v>4623.1000000000004</v>
      </c>
      <c r="D75" t="s">
        <v>1</v>
      </c>
      <c r="E75">
        <v>35.92</v>
      </c>
      <c r="F75">
        <v>-0.77</v>
      </c>
    </row>
    <row r="76" spans="2:7">
      <c r="B76" t="s">
        <v>1400</v>
      </c>
      <c r="C76" s="8">
        <v>9360.31</v>
      </c>
      <c r="D76" t="s">
        <v>1362</v>
      </c>
      <c r="E76">
        <v>51.4</v>
      </c>
      <c r="F76">
        <v>0.55000000000000004</v>
      </c>
    </row>
    <row r="77" spans="2:7">
      <c r="B77" t="s">
        <v>1401</v>
      </c>
      <c r="C77" s="8">
        <v>8019.46</v>
      </c>
      <c r="D77" t="s">
        <v>1362</v>
      </c>
      <c r="E77">
        <v>44.66</v>
      </c>
      <c r="F77">
        <v>0.56000000000000005</v>
      </c>
    </row>
    <row r="78" spans="2:7">
      <c r="B78" t="s">
        <v>1402</v>
      </c>
      <c r="C78" s="8">
        <v>9105.14</v>
      </c>
      <c r="D78" t="s">
        <v>1362</v>
      </c>
      <c r="E78">
        <v>94.88</v>
      </c>
      <c r="F78">
        <v>1.05</v>
      </c>
    </row>
    <row r="79" spans="2:7">
      <c r="B79" t="s">
        <v>1403</v>
      </c>
      <c r="C79" s="8">
        <v>10406.57</v>
      </c>
      <c r="D79" t="s">
        <v>1362</v>
      </c>
      <c r="E79">
        <v>102.06</v>
      </c>
      <c r="F79">
        <v>0.99</v>
      </c>
    </row>
    <row r="80" spans="2:7">
      <c r="B80" t="s">
        <v>1404</v>
      </c>
      <c r="C80" s="8">
        <v>9595.2999999999993</v>
      </c>
      <c r="D80" t="s">
        <v>1362</v>
      </c>
      <c r="E80">
        <v>51.62</v>
      </c>
      <c r="F80">
        <v>0.54</v>
      </c>
    </row>
    <row r="81" spans="2:7">
      <c r="B81" t="s">
        <v>1405</v>
      </c>
      <c r="C81" s="8">
        <v>7314.57</v>
      </c>
      <c r="D81" t="s">
        <v>1362</v>
      </c>
      <c r="E81">
        <v>56.11</v>
      </c>
      <c r="F81">
        <v>0.77</v>
      </c>
    </row>
    <row r="82" spans="2:7">
      <c r="B82" t="s">
        <v>1406</v>
      </c>
      <c r="C82" s="8">
        <v>7495.98</v>
      </c>
      <c r="D82" t="s">
        <v>1362</v>
      </c>
      <c r="E82">
        <v>17.34</v>
      </c>
      <c r="F82">
        <v>0.23</v>
      </c>
    </row>
    <row r="83" spans="2:7">
      <c r="B83" t="s">
        <v>1407</v>
      </c>
      <c r="C83" s="8">
        <v>7920.08</v>
      </c>
      <c r="D83" t="s">
        <v>1362</v>
      </c>
      <c r="E83">
        <v>19.48</v>
      </c>
      <c r="F83">
        <v>0.25</v>
      </c>
    </row>
    <row r="84" spans="2:7">
      <c r="B84" t="s">
        <v>1408</v>
      </c>
      <c r="C84" s="8">
        <v>16556.57</v>
      </c>
      <c r="D84" t="s">
        <v>1362</v>
      </c>
      <c r="E84">
        <v>40.74</v>
      </c>
      <c r="F84">
        <v>0.25</v>
      </c>
    </row>
    <row r="85" spans="2:7">
      <c r="B85" t="s">
        <v>1409</v>
      </c>
      <c r="C85" s="8">
        <v>7479.2</v>
      </c>
      <c r="D85" t="s">
        <v>1362</v>
      </c>
      <c r="E85">
        <v>13.08</v>
      </c>
      <c r="F85">
        <v>0.18</v>
      </c>
    </row>
    <row r="86" spans="2:7">
      <c r="B86" t="s">
        <v>1410</v>
      </c>
      <c r="C86" s="8">
        <v>9211.44</v>
      </c>
      <c r="D86" t="s">
        <v>1362</v>
      </c>
      <c r="E86">
        <v>100.32</v>
      </c>
      <c r="F86">
        <v>1.1000000000000001</v>
      </c>
    </row>
    <row r="87" spans="2:7">
      <c r="B87" t="s">
        <v>1411</v>
      </c>
      <c r="C87" s="8">
        <v>6172.5</v>
      </c>
      <c r="D87" t="s">
        <v>1362</v>
      </c>
      <c r="E87">
        <v>8.89</v>
      </c>
      <c r="F87">
        <v>0.14000000000000001</v>
      </c>
    </row>
    <row r="88" spans="2:7">
      <c r="B88" t="s">
        <v>1412</v>
      </c>
      <c r="C88" s="8">
        <v>8941.0499999999993</v>
      </c>
      <c r="D88" t="s">
        <v>1362</v>
      </c>
      <c r="E88">
        <v>62.14</v>
      </c>
      <c r="F88">
        <v>0.7</v>
      </c>
    </row>
    <row r="89" spans="2:7">
      <c r="B89" t="s">
        <v>1413</v>
      </c>
      <c r="C89" s="8">
        <v>9637.69</v>
      </c>
      <c r="D89" t="s">
        <v>1362</v>
      </c>
      <c r="E89">
        <v>22.27</v>
      </c>
      <c r="F89">
        <v>0.23</v>
      </c>
    </row>
    <row r="90" spans="2:7">
      <c r="B90" t="s">
        <v>1414</v>
      </c>
      <c r="C90" s="8">
        <v>8147.7</v>
      </c>
      <c r="D90" t="s">
        <v>1362</v>
      </c>
      <c r="E90">
        <v>64.84</v>
      </c>
      <c r="F90">
        <v>0.8</v>
      </c>
    </row>
    <row r="91" spans="2:7">
      <c r="B91" t="s">
        <v>1415</v>
      </c>
      <c r="C91" s="8">
        <v>6171.14</v>
      </c>
      <c r="D91" t="s">
        <v>1362</v>
      </c>
      <c r="E91">
        <v>62.22</v>
      </c>
      <c r="F91">
        <v>1.02</v>
      </c>
    </row>
    <row r="92" spans="2:7">
      <c r="B92" t="s">
        <v>2699</v>
      </c>
      <c r="C92" s="8">
        <v>9020.68</v>
      </c>
      <c r="D92" t="s">
        <v>1362</v>
      </c>
      <c r="E92">
        <v>68.87</v>
      </c>
      <c r="F92">
        <v>0.77</v>
      </c>
    </row>
    <row r="93" spans="2:7">
      <c r="B93" t="s">
        <v>1416</v>
      </c>
      <c r="C93" s="8">
        <v>7453.37</v>
      </c>
      <c r="D93" t="s">
        <v>1362</v>
      </c>
      <c r="E93">
        <v>45.22</v>
      </c>
      <c r="F93">
        <v>0.61</v>
      </c>
    </row>
    <row r="94" spans="2:7">
      <c r="B94" t="s">
        <v>1417</v>
      </c>
      <c r="C94" s="8">
        <v>7167.01</v>
      </c>
      <c r="D94" t="s">
        <v>1362</v>
      </c>
      <c r="E94">
        <v>70.69</v>
      </c>
      <c r="F94">
        <v>1</v>
      </c>
    </row>
    <row r="95" spans="2:7">
      <c r="B95" t="s">
        <v>1323</v>
      </c>
    </row>
    <row r="96" spans="2:7">
      <c r="B96" t="s">
        <v>1418</v>
      </c>
      <c r="C96" t="s">
        <v>1330</v>
      </c>
      <c r="D96" t="s">
        <v>1331</v>
      </c>
      <c r="E96" t="s">
        <v>1332</v>
      </c>
      <c r="F96" t="s">
        <v>1333</v>
      </c>
      <c r="G96" t="s">
        <v>1334</v>
      </c>
    </row>
    <row r="97" spans="2:6">
      <c r="B97" t="s">
        <v>1419</v>
      </c>
      <c r="C97" s="8">
        <v>27832.36</v>
      </c>
      <c r="D97" t="s">
        <v>1362</v>
      </c>
      <c r="E97">
        <v>220.19</v>
      </c>
      <c r="F97">
        <v>0.8</v>
      </c>
    </row>
    <row r="98" spans="2:6">
      <c r="B98" t="s">
        <v>1420</v>
      </c>
      <c r="C98" s="8">
        <v>36094.769999999997</v>
      </c>
      <c r="D98" t="s">
        <v>1362</v>
      </c>
      <c r="E98">
        <v>293.31</v>
      </c>
      <c r="F98">
        <v>0.82</v>
      </c>
    </row>
    <row r="99" spans="2:6">
      <c r="B99" t="s">
        <v>1421</v>
      </c>
      <c r="C99" s="8">
        <v>13805.21</v>
      </c>
      <c r="D99" t="s">
        <v>1362</v>
      </c>
      <c r="E99">
        <v>156.54</v>
      </c>
      <c r="F99">
        <v>1.1499999999999999</v>
      </c>
    </row>
    <row r="100" spans="2:6">
      <c r="B100" t="s">
        <v>1422</v>
      </c>
      <c r="C100" s="8">
        <v>28618.67</v>
      </c>
      <c r="D100" t="s">
        <v>1362</v>
      </c>
      <c r="E100">
        <v>331.83</v>
      </c>
      <c r="F100">
        <v>1.17</v>
      </c>
    </row>
    <row r="101" spans="2:6">
      <c r="B101" t="s">
        <v>1423</v>
      </c>
      <c r="C101" s="8">
        <v>27189.78</v>
      </c>
      <c r="D101" t="s">
        <v>1362</v>
      </c>
      <c r="E101">
        <v>287.29000000000002</v>
      </c>
      <c r="F101">
        <v>1.07</v>
      </c>
    </row>
    <row r="102" spans="2:6">
      <c r="B102" t="s">
        <v>1424</v>
      </c>
      <c r="C102" s="8">
        <v>27826.79</v>
      </c>
      <c r="D102" t="s">
        <v>1362</v>
      </c>
      <c r="E102">
        <v>102.96</v>
      </c>
      <c r="F102">
        <v>0.37</v>
      </c>
    </row>
    <row r="103" spans="2:6">
      <c r="B103" t="s">
        <v>2787</v>
      </c>
      <c r="C103" s="8">
        <v>47219.44</v>
      </c>
      <c r="D103" t="s">
        <v>1362</v>
      </c>
      <c r="E103">
        <v>587.22</v>
      </c>
      <c r="F103">
        <v>1.26</v>
      </c>
    </row>
    <row r="104" spans="2:6">
      <c r="B104" t="s">
        <v>1425</v>
      </c>
      <c r="C104" s="8">
        <v>21012.25</v>
      </c>
      <c r="D104" t="s">
        <v>1362</v>
      </c>
      <c r="E104">
        <v>72.25</v>
      </c>
      <c r="F104">
        <v>0.35</v>
      </c>
    </row>
    <row r="105" spans="2:6">
      <c r="B105" t="s">
        <v>1426</v>
      </c>
      <c r="C105" s="8">
        <v>19802.14</v>
      </c>
      <c r="D105" t="s">
        <v>1362</v>
      </c>
      <c r="E105">
        <v>132.97</v>
      </c>
      <c r="F105">
        <v>0.68</v>
      </c>
    </row>
    <row r="106" spans="2:6">
      <c r="B106" t="s">
        <v>1427</v>
      </c>
      <c r="C106" s="8">
        <v>15620.31</v>
      </c>
      <c r="D106" t="s">
        <v>1362</v>
      </c>
      <c r="E106">
        <v>101.53</v>
      </c>
      <c r="F106">
        <v>0.65</v>
      </c>
    </row>
    <row r="107" spans="2:6">
      <c r="B107" t="s">
        <v>1428</v>
      </c>
      <c r="C107" s="8">
        <v>13132.29</v>
      </c>
      <c r="D107" t="s">
        <v>1362</v>
      </c>
      <c r="E107">
        <v>95.52</v>
      </c>
      <c r="F107">
        <v>0.73</v>
      </c>
    </row>
    <row r="108" spans="2:6">
      <c r="B108" t="s">
        <v>1429</v>
      </c>
      <c r="C108" s="8">
        <v>34279.96</v>
      </c>
      <c r="D108" t="s">
        <v>1362</v>
      </c>
      <c r="E108">
        <v>150.47</v>
      </c>
      <c r="F108">
        <v>0.44</v>
      </c>
    </row>
    <row r="109" spans="2:6">
      <c r="B109" t="s">
        <v>1430</v>
      </c>
      <c r="C109" s="8">
        <v>11966.2</v>
      </c>
      <c r="D109" t="s">
        <v>1362</v>
      </c>
      <c r="E109">
        <v>3.96</v>
      </c>
      <c r="F109">
        <v>0.03</v>
      </c>
    </row>
    <row r="110" spans="2:6">
      <c r="B110" t="s">
        <v>1431</v>
      </c>
      <c r="C110">
        <v>351.31</v>
      </c>
      <c r="D110" t="s">
        <v>1362</v>
      </c>
      <c r="E110">
        <v>0.53</v>
      </c>
      <c r="F110">
        <v>0.15</v>
      </c>
    </row>
    <row r="111" spans="2:6">
      <c r="B111" t="s">
        <v>1432</v>
      </c>
      <c r="C111" s="8">
        <v>2876.41</v>
      </c>
      <c r="D111" t="s">
        <v>1362</v>
      </c>
      <c r="E111">
        <v>22.42</v>
      </c>
      <c r="F111">
        <v>0.79</v>
      </c>
    </row>
    <row r="112" spans="2:6">
      <c r="B112" t="s">
        <v>1433</v>
      </c>
      <c r="C112">
        <v>485.4</v>
      </c>
      <c r="D112" t="s">
        <v>1362</v>
      </c>
      <c r="E112">
        <v>1.74</v>
      </c>
      <c r="F112">
        <v>0.36</v>
      </c>
    </row>
    <row r="113" spans="2:6">
      <c r="B113" t="s">
        <v>1434</v>
      </c>
      <c r="C113" s="8">
        <v>1018.99</v>
      </c>
      <c r="D113" t="s">
        <v>1</v>
      </c>
      <c r="E113">
        <v>0.41</v>
      </c>
      <c r="F113">
        <v>-0.04</v>
      </c>
    </row>
    <row r="114" spans="2:6">
      <c r="B114" t="s">
        <v>1435</v>
      </c>
      <c r="C114">
        <v>363.1</v>
      </c>
      <c r="D114" t="s">
        <v>1362</v>
      </c>
      <c r="E114">
        <v>2.57</v>
      </c>
      <c r="F114">
        <v>0.71</v>
      </c>
    </row>
    <row r="115" spans="2:6">
      <c r="B115" t="s">
        <v>1436</v>
      </c>
      <c r="C115">
        <v>119.93</v>
      </c>
      <c r="D115" t="s">
        <v>1362</v>
      </c>
      <c r="E115">
        <v>0.55000000000000004</v>
      </c>
      <c r="F115">
        <v>0.46</v>
      </c>
    </row>
    <row r="116" spans="2:6">
      <c r="B116" t="s">
        <v>1437</v>
      </c>
      <c r="C116">
        <v>179.83</v>
      </c>
      <c r="D116" t="s">
        <v>1362</v>
      </c>
      <c r="E116">
        <v>1.28</v>
      </c>
      <c r="F116">
        <v>0.72</v>
      </c>
    </row>
    <row r="117" spans="2:6">
      <c r="B117" t="s">
        <v>1438</v>
      </c>
      <c r="C117">
        <v>234.97</v>
      </c>
      <c r="D117" t="s">
        <v>1362</v>
      </c>
      <c r="E117">
        <v>2.76</v>
      </c>
      <c r="F117">
        <v>1.19</v>
      </c>
    </row>
    <row r="118" spans="2:6">
      <c r="B118" t="s">
        <v>1439</v>
      </c>
      <c r="C118">
        <v>89.77</v>
      </c>
      <c r="D118" t="s">
        <v>1362</v>
      </c>
      <c r="E118">
        <v>0.09</v>
      </c>
      <c r="F118">
        <v>0.1</v>
      </c>
    </row>
    <row r="119" spans="2:6">
      <c r="B119" t="s">
        <v>1440</v>
      </c>
      <c r="C119">
        <v>80.17</v>
      </c>
      <c r="D119" t="s">
        <v>1</v>
      </c>
      <c r="E119">
        <v>0.04</v>
      </c>
      <c r="F119">
        <v>-0.05</v>
      </c>
    </row>
    <row r="120" spans="2:6">
      <c r="B120" t="s">
        <v>1441</v>
      </c>
      <c r="C120">
        <v>613.94000000000005</v>
      </c>
      <c r="D120" t="s">
        <v>1</v>
      </c>
      <c r="E120">
        <v>7.89</v>
      </c>
      <c r="F120">
        <v>-1.27</v>
      </c>
    </row>
    <row r="121" spans="2:6">
      <c r="B121" t="s">
        <v>1442</v>
      </c>
      <c r="C121">
        <v>268.95999999999998</v>
      </c>
      <c r="D121" t="s">
        <v>1362</v>
      </c>
      <c r="E121">
        <v>0.33</v>
      </c>
      <c r="F121">
        <v>0.12</v>
      </c>
    </row>
    <row r="122" spans="2:6">
      <c r="B122" t="s">
        <v>1443</v>
      </c>
      <c r="C122">
        <v>455.01</v>
      </c>
      <c r="D122" t="s">
        <v>1</v>
      </c>
      <c r="E122">
        <v>2.4</v>
      </c>
      <c r="F122">
        <v>-0.52</v>
      </c>
    </row>
    <row r="123" spans="2:6">
      <c r="B123" t="s">
        <v>1444</v>
      </c>
      <c r="C123">
        <v>515.91</v>
      </c>
      <c r="D123" t="s">
        <v>1362</v>
      </c>
      <c r="E123">
        <v>0.32</v>
      </c>
      <c r="F123">
        <v>0.06</v>
      </c>
    </row>
    <row r="124" spans="2:6">
      <c r="B124" t="s">
        <v>1445</v>
      </c>
      <c r="C124" s="8">
        <v>1581.91</v>
      </c>
      <c r="D124" t="s">
        <v>1362</v>
      </c>
      <c r="E124">
        <v>15.51</v>
      </c>
      <c r="F124">
        <v>0.99</v>
      </c>
    </row>
    <row r="125" spans="2:6">
      <c r="B125" t="s">
        <v>1446</v>
      </c>
      <c r="C125">
        <v>750.61</v>
      </c>
      <c r="D125" t="s">
        <v>1362</v>
      </c>
      <c r="E125">
        <v>9.8800000000000008</v>
      </c>
      <c r="F125">
        <v>1.33</v>
      </c>
    </row>
    <row r="126" spans="2:6">
      <c r="B126" t="s">
        <v>1447</v>
      </c>
      <c r="C126">
        <v>304.14999999999998</v>
      </c>
      <c r="D126" t="s">
        <v>1362</v>
      </c>
      <c r="E126">
        <v>2.61</v>
      </c>
      <c r="F126">
        <v>0.87</v>
      </c>
    </row>
    <row r="127" spans="2:6">
      <c r="B127" t="s">
        <v>1448</v>
      </c>
      <c r="C127">
        <v>62.41</v>
      </c>
      <c r="D127" t="s">
        <v>1</v>
      </c>
      <c r="E127">
        <v>0.28000000000000003</v>
      </c>
      <c r="F127">
        <v>-0.45</v>
      </c>
    </row>
    <row r="128" spans="2:6">
      <c r="B128" t="s">
        <v>1449</v>
      </c>
      <c r="C128">
        <v>270.29000000000002</v>
      </c>
      <c r="D128" t="s">
        <v>1362</v>
      </c>
      <c r="E128">
        <v>0.28999999999999998</v>
      </c>
      <c r="F128">
        <v>0.11</v>
      </c>
    </row>
    <row r="129" spans="2:7">
      <c r="B129" t="s">
        <v>1450</v>
      </c>
      <c r="C129">
        <v>358.91</v>
      </c>
      <c r="D129" t="s">
        <v>1362</v>
      </c>
      <c r="E129">
        <v>0.95</v>
      </c>
      <c r="F129">
        <v>0.27</v>
      </c>
    </row>
    <row r="130" spans="2:7">
      <c r="B130" t="s">
        <v>1451</v>
      </c>
      <c r="C130">
        <v>421.08</v>
      </c>
      <c r="D130" t="s">
        <v>1362</v>
      </c>
      <c r="E130">
        <v>3.37</v>
      </c>
      <c r="F130">
        <v>0.81</v>
      </c>
    </row>
    <row r="131" spans="2:7">
      <c r="B131" t="s">
        <v>1452</v>
      </c>
      <c r="C131">
        <v>282.86</v>
      </c>
      <c r="D131" t="s">
        <v>1</v>
      </c>
      <c r="E131">
        <v>0.14000000000000001</v>
      </c>
      <c r="F131">
        <v>-0.05</v>
      </c>
    </row>
    <row r="132" spans="2:7">
      <c r="B132" t="s">
        <v>1453</v>
      </c>
      <c r="C132">
        <v>154.87</v>
      </c>
      <c r="D132" t="s">
        <v>1362</v>
      </c>
      <c r="E132">
        <v>0.97</v>
      </c>
      <c r="F132">
        <v>0.63</v>
      </c>
    </row>
    <row r="133" spans="2:7">
      <c r="B133" t="s">
        <v>1454</v>
      </c>
      <c r="C133">
        <v>696.32</v>
      </c>
      <c r="D133" t="s">
        <v>1</v>
      </c>
      <c r="E133">
        <v>1.32</v>
      </c>
      <c r="F133">
        <v>-0.19</v>
      </c>
    </row>
    <row r="134" spans="2:7">
      <c r="B134" t="s">
        <v>1455</v>
      </c>
      <c r="C134">
        <v>392.53</v>
      </c>
      <c r="D134" t="s">
        <v>1362</v>
      </c>
      <c r="E134">
        <v>5.29</v>
      </c>
      <c r="F134">
        <v>1.37</v>
      </c>
    </row>
    <row r="135" spans="2:7">
      <c r="B135" t="s">
        <v>1456</v>
      </c>
      <c r="C135">
        <v>129.77000000000001</v>
      </c>
      <c r="D135" t="s">
        <v>1362</v>
      </c>
      <c r="E135">
        <v>0.55000000000000004</v>
      </c>
      <c r="F135">
        <v>0.43</v>
      </c>
    </row>
    <row r="136" spans="2:7">
      <c r="B136" t="s">
        <v>1457</v>
      </c>
      <c r="C136" s="8">
        <v>2820.51</v>
      </c>
      <c r="D136" t="s">
        <v>1362</v>
      </c>
      <c r="E136">
        <v>21.59</v>
      </c>
      <c r="F136">
        <v>0.77</v>
      </c>
    </row>
    <row r="137" spans="2:7">
      <c r="B137" t="s">
        <v>1458</v>
      </c>
      <c r="C137">
        <v>566.05999999999995</v>
      </c>
      <c r="D137" t="s">
        <v>1362</v>
      </c>
      <c r="E137">
        <v>0.04</v>
      </c>
      <c r="F137">
        <v>0.01</v>
      </c>
    </row>
    <row r="138" spans="2:7">
      <c r="B138" t="s">
        <v>1459</v>
      </c>
      <c r="C138">
        <v>191.49</v>
      </c>
      <c r="D138" t="s">
        <v>1</v>
      </c>
      <c r="E138">
        <v>0.19</v>
      </c>
      <c r="F138">
        <v>-0.1</v>
      </c>
    </row>
    <row r="139" spans="2:7">
      <c r="B139" t="s">
        <v>1460</v>
      </c>
      <c r="C139">
        <v>652.41</v>
      </c>
      <c r="D139" t="s">
        <v>1362</v>
      </c>
      <c r="E139">
        <v>4.5199999999999996</v>
      </c>
      <c r="F139">
        <v>0.7</v>
      </c>
    </row>
    <row r="140" spans="2:7">
      <c r="B140" t="s">
        <v>1324</v>
      </c>
    </row>
    <row r="141" spans="2:7">
      <c r="B141" t="s">
        <v>1418</v>
      </c>
      <c r="C141" t="s">
        <v>1330</v>
      </c>
      <c r="D141" t="s">
        <v>1331</v>
      </c>
      <c r="E141" t="s">
        <v>1332</v>
      </c>
      <c r="F141" t="s">
        <v>1333</v>
      </c>
      <c r="G141" t="s">
        <v>1334</v>
      </c>
    </row>
    <row r="142" spans="2:7">
      <c r="B142" t="s">
        <v>1461</v>
      </c>
      <c r="C142" s="8">
        <v>4943.43</v>
      </c>
      <c r="D142" t="s">
        <v>1362</v>
      </c>
      <c r="E142">
        <v>47.71</v>
      </c>
      <c r="F142">
        <v>0.97</v>
      </c>
    </row>
    <row r="143" spans="2:7">
      <c r="B143" t="s">
        <v>1462</v>
      </c>
      <c r="C143" s="8">
        <v>10641.06</v>
      </c>
      <c r="D143" t="s">
        <v>1362</v>
      </c>
      <c r="E143">
        <v>33.909999999999997</v>
      </c>
      <c r="F143">
        <v>0.32</v>
      </c>
    </row>
    <row r="144" spans="2:7">
      <c r="B144" t="s">
        <v>1463</v>
      </c>
      <c r="C144" s="8">
        <v>9055.73</v>
      </c>
      <c r="D144" t="s">
        <v>1362</v>
      </c>
      <c r="E144">
        <v>35.840000000000003</v>
      </c>
      <c r="F144">
        <v>0.4</v>
      </c>
    </row>
    <row r="145" spans="2:6">
      <c r="B145" t="s">
        <v>2700</v>
      </c>
      <c r="C145" s="8">
        <v>4388.8900000000003</v>
      </c>
      <c r="D145" t="s">
        <v>1362</v>
      </c>
      <c r="E145">
        <v>21.74</v>
      </c>
      <c r="F145">
        <v>0.5</v>
      </c>
    </row>
    <row r="146" spans="2:6">
      <c r="B146" t="s">
        <v>2701</v>
      </c>
      <c r="C146" s="8">
        <v>7700.54</v>
      </c>
      <c r="D146" t="s">
        <v>1362</v>
      </c>
      <c r="E146">
        <v>56.45</v>
      </c>
      <c r="F146">
        <v>0.74</v>
      </c>
    </row>
    <row r="147" spans="2:6">
      <c r="B147" t="s">
        <v>1464</v>
      </c>
      <c r="C147" s="8">
        <v>10757.51</v>
      </c>
      <c r="D147" t="s">
        <v>1362</v>
      </c>
      <c r="E147">
        <v>108.44</v>
      </c>
      <c r="F147">
        <v>1.02</v>
      </c>
    </row>
    <row r="148" spans="2:6">
      <c r="B148" t="s">
        <v>1465</v>
      </c>
      <c r="C148" s="8">
        <v>9669.75</v>
      </c>
      <c r="D148" t="s">
        <v>1362</v>
      </c>
      <c r="E148">
        <v>34.409999999999997</v>
      </c>
      <c r="F148">
        <v>0.36</v>
      </c>
    </row>
    <row r="149" spans="2:6">
      <c r="B149" t="s">
        <v>1466</v>
      </c>
      <c r="C149" s="8">
        <v>7001.01</v>
      </c>
      <c r="D149" t="s">
        <v>1362</v>
      </c>
      <c r="E149">
        <v>26.17</v>
      </c>
      <c r="F149">
        <v>0.38</v>
      </c>
    </row>
    <row r="150" spans="2:6">
      <c r="B150" t="s">
        <v>1467</v>
      </c>
      <c r="C150" s="8">
        <v>7551.31</v>
      </c>
      <c r="D150" t="s">
        <v>1362</v>
      </c>
      <c r="E150">
        <v>88.4</v>
      </c>
      <c r="F150">
        <v>1.18</v>
      </c>
    </row>
    <row r="151" spans="2:6">
      <c r="B151" t="s">
        <v>1468</v>
      </c>
      <c r="C151" s="8">
        <v>6398.36</v>
      </c>
      <c r="D151" t="s">
        <v>1362</v>
      </c>
      <c r="E151">
        <v>55</v>
      </c>
      <c r="F151">
        <v>0.87</v>
      </c>
    </row>
    <row r="152" spans="2:6">
      <c r="B152" t="s">
        <v>1469</v>
      </c>
      <c r="C152" s="8">
        <v>7157.23</v>
      </c>
      <c r="D152" t="s">
        <v>1362</v>
      </c>
      <c r="E152">
        <v>77.66</v>
      </c>
      <c r="F152">
        <v>1.1000000000000001</v>
      </c>
    </row>
    <row r="153" spans="2:6">
      <c r="B153" t="s">
        <v>1470</v>
      </c>
      <c r="C153" s="8">
        <v>5568.74</v>
      </c>
      <c r="D153" t="s">
        <v>1362</v>
      </c>
      <c r="E153">
        <v>64.75</v>
      </c>
      <c r="F153">
        <v>1.18</v>
      </c>
    </row>
    <row r="154" spans="2:6">
      <c r="B154" t="s">
        <v>1471</v>
      </c>
      <c r="C154" s="8">
        <v>5543.1</v>
      </c>
      <c r="D154" t="s">
        <v>1362</v>
      </c>
      <c r="E154">
        <v>36.18</v>
      </c>
      <c r="F154">
        <v>0.66</v>
      </c>
    </row>
    <row r="155" spans="2:6">
      <c r="B155" t="s">
        <v>1472</v>
      </c>
      <c r="C155" s="8">
        <v>6119.61</v>
      </c>
      <c r="D155" t="s">
        <v>1362</v>
      </c>
      <c r="E155">
        <v>50.37</v>
      </c>
      <c r="F155">
        <v>0.83</v>
      </c>
    </row>
    <row r="156" spans="2:6">
      <c r="B156" t="s">
        <v>2675</v>
      </c>
      <c r="C156" s="8">
        <v>5308.26</v>
      </c>
      <c r="D156" t="s">
        <v>1362</v>
      </c>
      <c r="E156">
        <v>38.299999999999997</v>
      </c>
      <c r="F156">
        <v>0.73</v>
      </c>
    </row>
    <row r="157" spans="2:6">
      <c r="B157" t="s">
        <v>2676</v>
      </c>
      <c r="C157" s="8">
        <v>5376.92</v>
      </c>
      <c r="D157" t="s">
        <v>1362</v>
      </c>
      <c r="E157">
        <v>55.32</v>
      </c>
      <c r="F157">
        <v>1.04</v>
      </c>
    </row>
    <row r="158" spans="2:6">
      <c r="B158" t="s">
        <v>2788</v>
      </c>
      <c r="C158" s="8">
        <v>5636.16</v>
      </c>
      <c r="D158" t="s">
        <v>1362</v>
      </c>
      <c r="E158">
        <v>66.290000000000006</v>
      </c>
      <c r="F158">
        <v>1.19</v>
      </c>
    </row>
    <row r="159" spans="2:6">
      <c r="B159" t="s">
        <v>3064</v>
      </c>
      <c r="C159" s="8">
        <v>5412.3</v>
      </c>
      <c r="D159" t="s">
        <v>1362</v>
      </c>
      <c r="E159">
        <v>19.920000000000002</v>
      </c>
      <c r="F159">
        <v>0.37</v>
      </c>
    </row>
    <row r="160" spans="2:6">
      <c r="B160" t="s">
        <v>3065</v>
      </c>
      <c r="C160" s="8">
        <v>5630.54</v>
      </c>
      <c r="D160" t="s">
        <v>1362</v>
      </c>
      <c r="E160">
        <v>54.1</v>
      </c>
      <c r="F160">
        <v>0.97</v>
      </c>
    </row>
    <row r="161" spans="2:7">
      <c r="B161" t="s">
        <v>1325</v>
      </c>
    </row>
    <row r="162" spans="2:7">
      <c r="B162" t="s">
        <v>1418</v>
      </c>
      <c r="C162" t="s">
        <v>1330</v>
      </c>
      <c r="D162" t="s">
        <v>1331</v>
      </c>
      <c r="E162" t="s">
        <v>1332</v>
      </c>
      <c r="F162" t="s">
        <v>1333</v>
      </c>
      <c r="G162" t="s">
        <v>1334</v>
      </c>
    </row>
    <row r="163" spans="2:7">
      <c r="B163" t="s">
        <v>1473</v>
      </c>
      <c r="C163" s="8">
        <v>11872.22</v>
      </c>
      <c r="D163" t="s">
        <v>1362</v>
      </c>
      <c r="E163">
        <v>65.19</v>
      </c>
      <c r="F163">
        <v>0.55000000000000004</v>
      </c>
    </row>
    <row r="164" spans="2:7">
      <c r="B164" t="s">
        <v>1474</v>
      </c>
      <c r="C164" s="8">
        <v>10230.84</v>
      </c>
      <c r="D164" t="s">
        <v>1362</v>
      </c>
      <c r="E164">
        <v>56.98</v>
      </c>
      <c r="F164">
        <v>0.56000000000000005</v>
      </c>
    </row>
    <row r="165" spans="2:7">
      <c r="B165" t="s">
        <v>1475</v>
      </c>
      <c r="C165" s="8">
        <v>11041.29</v>
      </c>
      <c r="D165" t="s">
        <v>1362</v>
      </c>
      <c r="E165">
        <v>115.05</v>
      </c>
      <c r="F165">
        <v>1.05</v>
      </c>
    </row>
    <row r="166" spans="2:7">
      <c r="B166" t="s">
        <v>1476</v>
      </c>
      <c r="C166" s="8">
        <v>12539.89</v>
      </c>
      <c r="D166" t="s">
        <v>1362</v>
      </c>
      <c r="E166">
        <v>122.98</v>
      </c>
      <c r="F166">
        <v>0.99</v>
      </c>
    </row>
    <row r="167" spans="2:7">
      <c r="B167" t="s">
        <v>1477</v>
      </c>
      <c r="C167" s="8">
        <v>11456.94</v>
      </c>
      <c r="D167" t="s">
        <v>1362</v>
      </c>
      <c r="E167">
        <v>61.63</v>
      </c>
      <c r="F167">
        <v>0.54</v>
      </c>
    </row>
    <row r="168" spans="2:7">
      <c r="B168" t="s">
        <v>1478</v>
      </c>
      <c r="C168" s="8">
        <v>9097.39</v>
      </c>
      <c r="D168" t="s">
        <v>1362</v>
      </c>
      <c r="E168">
        <v>69.790000000000006</v>
      </c>
      <c r="F168">
        <v>0.77</v>
      </c>
    </row>
    <row r="169" spans="2:7">
      <c r="B169" t="s">
        <v>1479</v>
      </c>
      <c r="C169" s="8">
        <v>9271.73</v>
      </c>
      <c r="D169" t="s">
        <v>1362</v>
      </c>
      <c r="E169">
        <v>21.45</v>
      </c>
      <c r="F169">
        <v>0.23</v>
      </c>
    </row>
    <row r="170" spans="2:7">
      <c r="B170" t="s">
        <v>1480</v>
      </c>
      <c r="C170" s="8">
        <v>10065.99</v>
      </c>
      <c r="D170" t="s">
        <v>1362</v>
      </c>
      <c r="E170">
        <v>24.76</v>
      </c>
      <c r="F170">
        <v>0.25</v>
      </c>
    </row>
    <row r="171" spans="2:7">
      <c r="B171" t="s">
        <v>1481</v>
      </c>
      <c r="C171" s="8">
        <v>18825.28</v>
      </c>
      <c r="D171" t="s">
        <v>1362</v>
      </c>
      <c r="E171">
        <v>46.32</v>
      </c>
      <c r="F171">
        <v>0.25</v>
      </c>
    </row>
    <row r="172" spans="2:7">
      <c r="B172" t="s">
        <v>1482</v>
      </c>
      <c r="C172" s="8">
        <v>9634.58</v>
      </c>
      <c r="D172" t="s">
        <v>1362</v>
      </c>
      <c r="E172">
        <v>16.86</v>
      </c>
      <c r="F172">
        <v>0.18</v>
      </c>
    </row>
    <row r="173" spans="2:7">
      <c r="B173" t="s">
        <v>1483</v>
      </c>
      <c r="C173" s="8">
        <v>11166.19</v>
      </c>
      <c r="D173" t="s">
        <v>1362</v>
      </c>
      <c r="E173">
        <v>121.61</v>
      </c>
      <c r="F173">
        <v>1.1000000000000001</v>
      </c>
    </row>
    <row r="174" spans="2:7">
      <c r="B174" t="s">
        <v>1484</v>
      </c>
      <c r="C174" s="8">
        <v>7531.54</v>
      </c>
      <c r="D174" t="s">
        <v>1362</v>
      </c>
      <c r="E174">
        <v>10.84</v>
      </c>
      <c r="F174">
        <v>0.14000000000000001</v>
      </c>
    </row>
    <row r="175" spans="2:7">
      <c r="B175" t="s">
        <v>1485</v>
      </c>
      <c r="C175" s="8">
        <v>11095.54</v>
      </c>
      <c r="D175" t="s">
        <v>1362</v>
      </c>
      <c r="E175">
        <v>77.11</v>
      </c>
      <c r="F175">
        <v>0.7</v>
      </c>
    </row>
    <row r="176" spans="2:7">
      <c r="B176" t="s">
        <v>1486</v>
      </c>
      <c r="C176" s="8">
        <v>10540.83</v>
      </c>
      <c r="D176" t="s">
        <v>1362</v>
      </c>
      <c r="E176">
        <v>117.71</v>
      </c>
      <c r="F176">
        <v>1.1299999999999999</v>
      </c>
    </row>
    <row r="177" spans="2:6">
      <c r="B177" t="s">
        <v>1487</v>
      </c>
      <c r="C177" s="8">
        <v>8669.2099999999991</v>
      </c>
      <c r="D177" t="s">
        <v>1362</v>
      </c>
      <c r="E177">
        <v>64.040000000000006</v>
      </c>
      <c r="F177">
        <v>0.74</v>
      </c>
    </row>
    <row r="178" spans="2:6">
      <c r="B178" t="s">
        <v>1488</v>
      </c>
      <c r="C178" s="8">
        <v>10738.28</v>
      </c>
      <c r="D178" t="s">
        <v>1362</v>
      </c>
      <c r="E178">
        <v>24.81</v>
      </c>
      <c r="F178">
        <v>0.23</v>
      </c>
    </row>
    <row r="179" spans="2:6">
      <c r="B179" t="s">
        <v>1489</v>
      </c>
      <c r="C179" s="8">
        <v>6904.81</v>
      </c>
      <c r="D179" t="s">
        <v>1362</v>
      </c>
      <c r="E179">
        <v>11.89</v>
      </c>
      <c r="F179">
        <v>0.17</v>
      </c>
    </row>
    <row r="180" spans="2:6">
      <c r="B180" t="s">
        <v>1490</v>
      </c>
      <c r="C180" s="8">
        <v>10459.89</v>
      </c>
      <c r="D180" t="s">
        <v>1362</v>
      </c>
      <c r="E180">
        <v>83.16</v>
      </c>
      <c r="F180">
        <v>0.8</v>
      </c>
    </row>
    <row r="181" spans="2:6">
      <c r="B181" t="s">
        <v>1491</v>
      </c>
      <c r="C181" s="8">
        <v>9230.1299999999992</v>
      </c>
      <c r="D181" t="s">
        <v>1362</v>
      </c>
      <c r="E181">
        <v>73.45</v>
      </c>
      <c r="F181">
        <v>0.8</v>
      </c>
    </row>
    <row r="182" spans="2:6">
      <c r="B182" t="s">
        <v>1492</v>
      </c>
      <c r="C182" s="8">
        <v>7417.91</v>
      </c>
      <c r="D182" t="s">
        <v>1362</v>
      </c>
      <c r="E182">
        <v>40.32</v>
      </c>
      <c r="F182">
        <v>0.55000000000000004</v>
      </c>
    </row>
    <row r="183" spans="2:6">
      <c r="B183" t="s">
        <v>1493</v>
      </c>
      <c r="C183" s="8">
        <v>6804.71</v>
      </c>
      <c r="D183" t="s">
        <v>1362</v>
      </c>
      <c r="E183">
        <v>25.99</v>
      </c>
      <c r="F183">
        <v>0.38</v>
      </c>
    </row>
    <row r="184" spans="2:6">
      <c r="B184" t="s">
        <v>1494</v>
      </c>
      <c r="C184" s="8">
        <v>6680.33</v>
      </c>
      <c r="D184" t="s">
        <v>1362</v>
      </c>
      <c r="E184">
        <v>67.349999999999994</v>
      </c>
      <c r="F184">
        <v>1.02</v>
      </c>
    </row>
    <row r="185" spans="2:6">
      <c r="B185" t="s">
        <v>1495</v>
      </c>
      <c r="C185" s="8">
        <v>16077.5</v>
      </c>
      <c r="D185" t="s">
        <v>1362</v>
      </c>
      <c r="E185">
        <v>235.79</v>
      </c>
      <c r="F185">
        <v>1.49</v>
      </c>
    </row>
    <row r="186" spans="2:6">
      <c r="B186" t="s">
        <v>1496</v>
      </c>
      <c r="C186" s="8">
        <v>6836.59</v>
      </c>
      <c r="D186" t="s">
        <v>1</v>
      </c>
      <c r="E186">
        <v>51.26</v>
      </c>
      <c r="F186">
        <v>-0.74</v>
      </c>
    </row>
    <row r="187" spans="2:6">
      <c r="B187" t="s">
        <v>1497</v>
      </c>
      <c r="C187" s="8">
        <v>9851.51</v>
      </c>
      <c r="D187" t="s">
        <v>1362</v>
      </c>
      <c r="E187">
        <v>30.23</v>
      </c>
      <c r="F187">
        <v>0.31</v>
      </c>
    </row>
    <row r="188" spans="2:6">
      <c r="B188" t="s">
        <v>1498</v>
      </c>
      <c r="C188" s="8">
        <v>8005.58</v>
      </c>
      <c r="D188" t="s">
        <v>1362</v>
      </c>
      <c r="E188">
        <v>48.57</v>
      </c>
      <c r="F188">
        <v>0.61</v>
      </c>
    </row>
    <row r="189" spans="2:6">
      <c r="B189" t="s">
        <v>1499</v>
      </c>
      <c r="C189" s="8">
        <v>9038.09</v>
      </c>
      <c r="D189" t="s">
        <v>1362</v>
      </c>
      <c r="E189">
        <v>129.22999999999999</v>
      </c>
      <c r="F189">
        <v>1.45</v>
      </c>
    </row>
    <row r="190" spans="2:6">
      <c r="B190" t="s">
        <v>1500</v>
      </c>
      <c r="C190" s="8">
        <v>7412.76</v>
      </c>
      <c r="D190" t="s">
        <v>1362</v>
      </c>
      <c r="E190">
        <v>73.11</v>
      </c>
      <c r="F190">
        <v>1</v>
      </c>
    </row>
    <row r="191" spans="2:6">
      <c r="B191" t="s">
        <v>1501</v>
      </c>
      <c r="C191" s="8">
        <v>5336.84</v>
      </c>
      <c r="D191" t="s">
        <v>1362</v>
      </c>
      <c r="E191">
        <v>58.09</v>
      </c>
      <c r="F191">
        <v>1.1000000000000001</v>
      </c>
    </row>
    <row r="192" spans="2:6">
      <c r="B192" t="s">
        <v>1502</v>
      </c>
      <c r="C192" s="8">
        <v>5884.64</v>
      </c>
      <c r="D192" t="s">
        <v>1362</v>
      </c>
      <c r="E192">
        <v>47.16</v>
      </c>
      <c r="F192">
        <v>0.81</v>
      </c>
    </row>
    <row r="193" spans="2:6">
      <c r="B193" t="s">
        <v>1503</v>
      </c>
      <c r="C193" s="8">
        <v>6368.23</v>
      </c>
      <c r="D193" t="s">
        <v>1362</v>
      </c>
      <c r="E193">
        <v>50.89</v>
      </c>
      <c r="F193">
        <v>0.81</v>
      </c>
    </row>
    <row r="194" spans="2:6">
      <c r="B194" t="s">
        <v>3151</v>
      </c>
    </row>
    <row r="195" spans="2:6">
      <c r="B195" t="s">
        <v>1504</v>
      </c>
      <c r="C195" t="s">
        <v>4</v>
      </c>
      <c r="D195" t="s">
        <v>1505</v>
      </c>
      <c r="E195" t="s">
        <v>5</v>
      </c>
    </row>
    <row r="196" spans="2:6">
      <c r="B196" t="s">
        <v>1506</v>
      </c>
      <c r="C196" s="3">
        <v>249960765071</v>
      </c>
      <c r="D196" s="3">
        <v>3954990483</v>
      </c>
      <c r="E196" s="3">
        <v>1895431</v>
      </c>
    </row>
    <row r="197" spans="2:6">
      <c r="B197" t="s">
        <v>1507</v>
      </c>
      <c r="C197" s="3">
        <v>31760504</v>
      </c>
      <c r="D197" s="3">
        <v>6288271</v>
      </c>
      <c r="E197" s="3">
        <v>1697</v>
      </c>
    </row>
    <row r="198" spans="2:6">
      <c r="B198" t="s">
        <v>1508</v>
      </c>
      <c r="C198">
        <v>0</v>
      </c>
      <c r="D198">
        <v>0</v>
      </c>
      <c r="E198">
        <v>0</v>
      </c>
    </row>
    <row r="199" spans="2:6">
      <c r="B199" t="s">
        <v>1509</v>
      </c>
      <c r="C199" s="3">
        <v>10435247120</v>
      </c>
      <c r="D199" s="3">
        <v>457158306</v>
      </c>
      <c r="E199" s="3">
        <v>108937</v>
      </c>
    </row>
    <row r="200" spans="2:6">
      <c r="B200" t="s">
        <v>1510</v>
      </c>
      <c r="C200" s="3">
        <v>17322481</v>
      </c>
      <c r="D200" s="3">
        <v>1485037</v>
      </c>
      <c r="E200">
        <v>131</v>
      </c>
    </row>
    <row r="201" spans="2:6">
      <c r="B201" t="s">
        <v>1511</v>
      </c>
      <c r="C201" s="3">
        <v>36352144</v>
      </c>
      <c r="D201" s="3">
        <v>6476789</v>
      </c>
      <c r="E201" s="3">
        <v>1941</v>
      </c>
    </row>
    <row r="202" spans="2:6">
      <c r="B202" t="s">
        <v>1512</v>
      </c>
      <c r="C202" s="3">
        <v>2391438070</v>
      </c>
      <c r="D202" s="3">
        <v>1854243000</v>
      </c>
      <c r="E202" s="3">
        <v>69627</v>
      </c>
    </row>
    <row r="203" spans="2:6">
      <c r="B203" t="s">
        <v>1513</v>
      </c>
      <c r="C203">
        <v>0</v>
      </c>
      <c r="D203">
        <v>0</v>
      </c>
      <c r="E203">
        <v>0</v>
      </c>
    </row>
    <row r="204" spans="2:6">
      <c r="B204" t="s">
        <v>1514</v>
      </c>
      <c r="C204">
        <v>0</v>
      </c>
      <c r="D204">
        <v>0</v>
      </c>
      <c r="E204">
        <v>0</v>
      </c>
    </row>
    <row r="205" spans="2:6">
      <c r="B205" t="s">
        <v>1515</v>
      </c>
      <c r="C205">
        <v>0</v>
      </c>
      <c r="D205">
        <v>0</v>
      </c>
      <c r="E205">
        <v>0</v>
      </c>
    </row>
    <row r="206" spans="2:6">
      <c r="B206" t="s">
        <v>1516</v>
      </c>
      <c r="C206">
        <v>0</v>
      </c>
      <c r="D206">
        <v>0</v>
      </c>
      <c r="E206">
        <v>0</v>
      </c>
    </row>
    <row r="207" spans="2:6">
      <c r="B207" t="s">
        <v>1517</v>
      </c>
      <c r="C207">
        <v>0</v>
      </c>
      <c r="D207">
        <v>0</v>
      </c>
      <c r="E207">
        <v>0</v>
      </c>
    </row>
    <row r="208" spans="2:6">
      <c r="B208" t="s">
        <v>1518</v>
      </c>
      <c r="C208" s="3">
        <v>46010580</v>
      </c>
      <c r="D208" s="3">
        <v>7837000</v>
      </c>
      <c r="E208" s="3">
        <v>1338</v>
      </c>
    </row>
    <row r="209" spans="2:5">
      <c r="B209" t="s">
        <v>1519</v>
      </c>
      <c r="C209">
        <v>0</v>
      </c>
      <c r="D209">
        <v>0</v>
      </c>
      <c r="E209">
        <v>0</v>
      </c>
    </row>
    <row r="210" spans="2:5">
      <c r="B210" t="s">
        <v>1520</v>
      </c>
      <c r="C210">
        <v>0</v>
      </c>
      <c r="D210">
        <v>0</v>
      </c>
      <c r="E210">
        <v>0</v>
      </c>
    </row>
    <row r="211" spans="2:5">
      <c r="B211" t="s">
        <v>1521</v>
      </c>
      <c r="C211" s="3">
        <v>249997117215</v>
      </c>
      <c r="D211" s="3">
        <v>3961467272</v>
      </c>
      <c r="E211" s="3">
        <v>1897372</v>
      </c>
    </row>
    <row r="212" spans="2:5">
      <c r="B212" t="s">
        <v>1522</v>
      </c>
      <c r="C212" s="3">
        <v>262918895970</v>
      </c>
      <c r="D212" s="3">
        <v>6288478886</v>
      </c>
      <c r="E212" s="3">
        <v>2079102</v>
      </c>
    </row>
    <row r="213" spans="2:5">
      <c r="B213" t="s">
        <v>1326</v>
      </c>
    </row>
    <row r="214" spans="2:5">
      <c r="B214" t="s">
        <v>1523</v>
      </c>
      <c r="C214" t="s">
        <v>1524</v>
      </c>
      <c r="D214" t="s">
        <v>1525</v>
      </c>
    </row>
    <row r="215" spans="2:5">
      <c r="B215" t="s">
        <v>1526</v>
      </c>
      <c r="C215" t="s">
        <v>3153</v>
      </c>
      <c r="D215" t="s">
        <v>3154</v>
      </c>
    </row>
    <row r="216" spans="2:5">
      <c r="B216" t="s">
        <v>1527</v>
      </c>
      <c r="C216" t="s">
        <v>3155</v>
      </c>
      <c r="D216" t="s">
        <v>3156</v>
      </c>
    </row>
    <row r="217" spans="2:5">
      <c r="B217" t="s">
        <v>1528</v>
      </c>
      <c r="C217">
        <v>807</v>
      </c>
      <c r="D217">
        <v>114</v>
      </c>
    </row>
    <row r="218" spans="2:5">
      <c r="B218" t="s">
        <v>1529</v>
      </c>
      <c r="C218" s="3">
        <v>13061</v>
      </c>
      <c r="D218">
        <v>3</v>
      </c>
    </row>
    <row r="219" spans="2:5">
      <c r="B219" t="s">
        <v>1530</v>
      </c>
      <c r="C219" s="3">
        <v>2679</v>
      </c>
      <c r="D219">
        <v>1</v>
      </c>
    </row>
    <row r="220" spans="2:5">
      <c r="B220" t="s">
        <v>1327</v>
      </c>
    </row>
    <row r="221" spans="2:5">
      <c r="B221" t="s">
        <v>1531</v>
      </c>
    </row>
    <row r="222" spans="2:5">
      <c r="B222" t="s">
        <v>1532</v>
      </c>
    </row>
    <row r="223" spans="2:5">
      <c r="B223" t="s">
        <v>2789</v>
      </c>
    </row>
    <row r="225" spans="2:17">
      <c r="B225" t="s">
        <v>3152</v>
      </c>
    </row>
    <row r="226" spans="2:17">
      <c r="B226" t="s">
        <v>1533</v>
      </c>
      <c r="C226" t="s">
        <v>1534</v>
      </c>
      <c r="N226" t="s">
        <v>1535</v>
      </c>
    </row>
    <row r="227" spans="2:17">
      <c r="B227" t="s">
        <v>1536</v>
      </c>
      <c r="C227" t="s">
        <v>1537</v>
      </c>
      <c r="D227" t="s">
        <v>6</v>
      </c>
      <c r="E227" t="s">
        <v>5</v>
      </c>
      <c r="F227" t="s">
        <v>1538</v>
      </c>
      <c r="G227" t="s">
        <v>1539</v>
      </c>
      <c r="H227" t="s">
        <v>1540</v>
      </c>
      <c r="I227" t="s">
        <v>1541</v>
      </c>
      <c r="J227" t="s">
        <v>1542</v>
      </c>
      <c r="K227" t="s">
        <v>1331</v>
      </c>
      <c r="L227" t="s">
        <v>1543</v>
      </c>
      <c r="M227" t="s">
        <v>1544</v>
      </c>
      <c r="N227" t="s">
        <v>1545</v>
      </c>
      <c r="O227" t="s">
        <v>1546</v>
      </c>
      <c r="P227" t="s">
        <v>1547</v>
      </c>
      <c r="Q227" t="s">
        <v>1548</v>
      </c>
    </row>
    <row r="228" spans="2:17">
      <c r="B228" t="str">
        <f>"0050"</f>
        <v>0050</v>
      </c>
      <c r="C228" t="s">
        <v>1549</v>
      </c>
      <c r="D228" s="3">
        <v>22888176</v>
      </c>
      <c r="E228" s="3">
        <v>9328</v>
      </c>
      <c r="F228" s="3">
        <v>3315969575</v>
      </c>
      <c r="G228">
        <v>144.30000000000001</v>
      </c>
      <c r="H228">
        <v>145.30000000000001</v>
      </c>
      <c r="I228">
        <v>144.30000000000001</v>
      </c>
      <c r="J228">
        <v>145.30000000000001</v>
      </c>
      <c r="K228" t="s">
        <v>1362</v>
      </c>
      <c r="L228">
        <v>1.1499999999999999</v>
      </c>
      <c r="M228">
        <v>145.25</v>
      </c>
      <c r="N228">
        <v>11</v>
      </c>
      <c r="O228">
        <v>145.30000000000001</v>
      </c>
      <c r="P228">
        <v>180</v>
      </c>
      <c r="Q228">
        <v>0</v>
      </c>
    </row>
    <row r="229" spans="2:17">
      <c r="B229" t="str">
        <f>"0051"</f>
        <v>0051</v>
      </c>
      <c r="C229" t="s">
        <v>1550</v>
      </c>
      <c r="D229" s="3">
        <v>97747</v>
      </c>
      <c r="E229">
        <v>134</v>
      </c>
      <c r="F229" s="3">
        <v>5929835</v>
      </c>
      <c r="G229">
        <v>60.65</v>
      </c>
      <c r="H229">
        <v>60.7</v>
      </c>
      <c r="I229">
        <v>60.65</v>
      </c>
      <c r="J229">
        <v>60.7</v>
      </c>
      <c r="K229" t="s">
        <v>1362</v>
      </c>
      <c r="L229">
        <v>0.05</v>
      </c>
      <c r="M229">
        <v>60.65</v>
      </c>
      <c r="N229">
        <v>1</v>
      </c>
      <c r="O229">
        <v>60.7</v>
      </c>
      <c r="P229">
        <v>3</v>
      </c>
      <c r="Q229">
        <v>0</v>
      </c>
    </row>
    <row r="230" spans="2:17">
      <c r="B230" t="str">
        <f>"0052"</f>
        <v>0052</v>
      </c>
      <c r="C230" t="s">
        <v>1551</v>
      </c>
      <c r="D230" s="3">
        <v>477053</v>
      </c>
      <c r="E230">
        <v>500</v>
      </c>
      <c r="F230" s="3">
        <v>63690811</v>
      </c>
      <c r="G230">
        <v>132.80000000000001</v>
      </c>
      <c r="H230">
        <v>133.75</v>
      </c>
      <c r="I230">
        <v>132.80000000000001</v>
      </c>
      <c r="J230">
        <v>133.69999999999999</v>
      </c>
      <c r="K230" t="s">
        <v>1362</v>
      </c>
      <c r="L230">
        <v>1.2</v>
      </c>
      <c r="M230">
        <v>133.65</v>
      </c>
      <c r="N230">
        <v>12</v>
      </c>
      <c r="O230">
        <v>133.69999999999999</v>
      </c>
      <c r="P230">
        <v>4</v>
      </c>
      <c r="Q230">
        <v>0</v>
      </c>
    </row>
    <row r="231" spans="2:17">
      <c r="B231" t="str">
        <f>"0053"</f>
        <v>0053</v>
      </c>
      <c r="C231" t="s">
        <v>1552</v>
      </c>
      <c r="D231" s="3">
        <v>15552</v>
      </c>
      <c r="E231">
        <v>68</v>
      </c>
      <c r="F231" s="3">
        <v>1084699</v>
      </c>
      <c r="G231">
        <v>70</v>
      </c>
      <c r="H231">
        <v>70</v>
      </c>
      <c r="I231">
        <v>69.7</v>
      </c>
      <c r="J231">
        <v>69.8</v>
      </c>
      <c r="K231" t="s">
        <v>1362</v>
      </c>
      <c r="L231">
        <v>0.3</v>
      </c>
      <c r="M231">
        <v>69.8</v>
      </c>
      <c r="N231">
        <v>29</v>
      </c>
      <c r="O231">
        <v>69.900000000000006</v>
      </c>
      <c r="P231">
        <v>1</v>
      </c>
      <c r="Q231">
        <v>0</v>
      </c>
    </row>
    <row r="232" spans="2:17">
      <c r="B232" t="str">
        <f>"0054"</f>
        <v>0054</v>
      </c>
      <c r="C232" t="s">
        <v>1553</v>
      </c>
      <c r="D232" s="3">
        <v>4041</v>
      </c>
      <c r="E232">
        <v>45</v>
      </c>
      <c r="F232" s="3">
        <v>127493</v>
      </c>
      <c r="G232">
        <v>31.73</v>
      </c>
      <c r="H232">
        <v>31.74</v>
      </c>
      <c r="I232">
        <v>31.66</v>
      </c>
      <c r="J232">
        <v>31.66</v>
      </c>
      <c r="K232" t="s">
        <v>1362</v>
      </c>
      <c r="L232">
        <v>0.14000000000000001</v>
      </c>
      <c r="M232">
        <v>31.66</v>
      </c>
      <c r="N232">
        <v>1</v>
      </c>
      <c r="O232">
        <v>31.7</v>
      </c>
      <c r="P232">
        <v>3</v>
      </c>
      <c r="Q232">
        <v>0</v>
      </c>
    </row>
    <row r="233" spans="2:17">
      <c r="B233" t="str">
        <f>"0055"</f>
        <v>0055</v>
      </c>
      <c r="C233" t="s">
        <v>1554</v>
      </c>
      <c r="D233" s="3">
        <v>636095</v>
      </c>
      <c r="E233">
        <v>565</v>
      </c>
      <c r="F233" s="3">
        <v>15576811</v>
      </c>
      <c r="G233">
        <v>24.42</v>
      </c>
      <c r="H233">
        <v>24.54</v>
      </c>
      <c r="I233">
        <v>24.42</v>
      </c>
      <c r="J233">
        <v>24.54</v>
      </c>
      <c r="K233" t="s">
        <v>1362</v>
      </c>
      <c r="L233">
        <v>0.14000000000000001</v>
      </c>
      <c r="M233">
        <v>24.53</v>
      </c>
      <c r="N233">
        <v>21</v>
      </c>
      <c r="O233">
        <v>24.54</v>
      </c>
      <c r="P233">
        <v>35</v>
      </c>
      <c r="Q233">
        <v>0</v>
      </c>
    </row>
    <row r="234" spans="2:17">
      <c r="B234" t="str">
        <f>"0056"</f>
        <v>0056</v>
      </c>
      <c r="C234" t="s">
        <v>1555</v>
      </c>
      <c r="D234" s="3">
        <v>18055025</v>
      </c>
      <c r="E234" s="3">
        <v>9518</v>
      </c>
      <c r="F234" s="3">
        <v>605455289</v>
      </c>
      <c r="G234">
        <v>33.46</v>
      </c>
      <c r="H234">
        <v>33.6</v>
      </c>
      <c r="I234">
        <v>33.450000000000003</v>
      </c>
      <c r="J234">
        <v>33.56</v>
      </c>
      <c r="K234" t="s">
        <v>1362</v>
      </c>
      <c r="L234">
        <v>0.18</v>
      </c>
      <c r="M234">
        <v>33.56</v>
      </c>
      <c r="N234">
        <v>141</v>
      </c>
      <c r="O234">
        <v>33.57</v>
      </c>
      <c r="P234">
        <v>52</v>
      </c>
      <c r="Q234">
        <v>0</v>
      </c>
    </row>
    <row r="235" spans="2:17">
      <c r="B235" t="str">
        <f>"0057"</f>
        <v>0057</v>
      </c>
      <c r="C235" t="s">
        <v>1556</v>
      </c>
      <c r="D235" s="3">
        <v>27131</v>
      </c>
      <c r="E235">
        <v>54</v>
      </c>
      <c r="F235" s="3">
        <v>2711404</v>
      </c>
      <c r="G235">
        <v>99.6</v>
      </c>
      <c r="H235">
        <v>100.1</v>
      </c>
      <c r="I235">
        <v>99.6</v>
      </c>
      <c r="J235">
        <v>100.1</v>
      </c>
      <c r="K235" t="s">
        <v>1362</v>
      </c>
      <c r="L235">
        <v>0.9</v>
      </c>
      <c r="M235">
        <v>99.7</v>
      </c>
      <c r="N235">
        <v>55</v>
      </c>
      <c r="O235">
        <v>99.9</v>
      </c>
      <c r="P235">
        <v>1</v>
      </c>
      <c r="Q235">
        <v>0</v>
      </c>
    </row>
    <row r="236" spans="2:17">
      <c r="B236" t="str">
        <f>"0061"</f>
        <v>0061</v>
      </c>
      <c r="C236" t="s">
        <v>1557</v>
      </c>
      <c r="D236" s="3">
        <v>88802</v>
      </c>
      <c r="E236">
        <v>76</v>
      </c>
      <c r="F236" s="3">
        <v>2027240</v>
      </c>
      <c r="G236">
        <v>22.73</v>
      </c>
      <c r="H236">
        <v>22.93</v>
      </c>
      <c r="I236">
        <v>22.73</v>
      </c>
      <c r="J236">
        <v>22.88</v>
      </c>
      <c r="K236" t="s">
        <v>1362</v>
      </c>
      <c r="L236">
        <v>0.15</v>
      </c>
      <c r="M236">
        <v>22.83</v>
      </c>
      <c r="N236">
        <v>36</v>
      </c>
      <c r="O236">
        <v>22.89</v>
      </c>
      <c r="P236">
        <v>6</v>
      </c>
      <c r="Q236">
        <v>0</v>
      </c>
    </row>
    <row r="237" spans="2:17">
      <c r="B237" t="str">
        <f>"006203"</f>
        <v>006203</v>
      </c>
      <c r="C237" t="s">
        <v>1558</v>
      </c>
      <c r="D237" s="3">
        <v>9577</v>
      </c>
      <c r="E237">
        <v>36</v>
      </c>
      <c r="F237" s="3">
        <v>665023</v>
      </c>
      <c r="G237">
        <v>69.599999999999994</v>
      </c>
      <c r="H237">
        <v>69.599999999999994</v>
      </c>
      <c r="I237">
        <v>69.400000000000006</v>
      </c>
      <c r="J237">
        <v>69.45</v>
      </c>
      <c r="K237" t="s">
        <v>1362</v>
      </c>
      <c r="L237">
        <v>0.3</v>
      </c>
      <c r="M237">
        <v>69.45</v>
      </c>
      <c r="N237">
        <v>39</v>
      </c>
      <c r="O237">
        <v>69.599999999999994</v>
      </c>
      <c r="P237">
        <v>1</v>
      </c>
      <c r="Q237">
        <v>0</v>
      </c>
    </row>
    <row r="238" spans="2:17">
      <c r="B238" t="str">
        <f>"006204"</f>
        <v>006204</v>
      </c>
      <c r="C238" t="s">
        <v>1559</v>
      </c>
      <c r="D238" s="3">
        <v>23539</v>
      </c>
      <c r="E238">
        <v>69</v>
      </c>
      <c r="F238" s="3">
        <v>2140477</v>
      </c>
      <c r="G238">
        <v>90.85</v>
      </c>
      <c r="H238">
        <v>91</v>
      </c>
      <c r="I238">
        <v>90.85</v>
      </c>
      <c r="J238">
        <v>90.95</v>
      </c>
      <c r="K238" t="s">
        <v>1362</v>
      </c>
      <c r="L238">
        <v>0.3</v>
      </c>
      <c r="M238">
        <v>90.95</v>
      </c>
      <c r="N238">
        <v>49</v>
      </c>
      <c r="O238">
        <v>91.05</v>
      </c>
      <c r="P238">
        <v>2</v>
      </c>
      <c r="Q238">
        <v>0</v>
      </c>
    </row>
    <row r="239" spans="2:17">
      <c r="B239" t="str">
        <f>"006205"</f>
        <v>006205</v>
      </c>
      <c r="C239" t="s">
        <v>1560</v>
      </c>
      <c r="D239" s="3">
        <v>856571</v>
      </c>
      <c r="E239">
        <v>144</v>
      </c>
      <c r="F239" s="3">
        <v>31719590</v>
      </c>
      <c r="G239">
        <v>36.99</v>
      </c>
      <c r="H239">
        <v>37.19</v>
      </c>
      <c r="I239">
        <v>36.96</v>
      </c>
      <c r="J239">
        <v>36.99</v>
      </c>
      <c r="K239" t="s">
        <v>1362</v>
      </c>
      <c r="L239">
        <v>0.01</v>
      </c>
      <c r="M239">
        <v>36.99</v>
      </c>
      <c r="N239">
        <v>84</v>
      </c>
      <c r="O239">
        <v>37.03</v>
      </c>
      <c r="P239">
        <v>8</v>
      </c>
      <c r="Q239">
        <v>0</v>
      </c>
    </row>
    <row r="240" spans="2:17">
      <c r="B240" t="str">
        <f>"006206"</f>
        <v>006206</v>
      </c>
      <c r="C240" t="s">
        <v>1561</v>
      </c>
      <c r="D240" s="3">
        <v>215770</v>
      </c>
      <c r="E240">
        <v>69</v>
      </c>
      <c r="F240" s="3">
        <v>7782520</v>
      </c>
      <c r="G240">
        <v>36</v>
      </c>
      <c r="H240">
        <v>36.200000000000003</v>
      </c>
      <c r="I240">
        <v>36</v>
      </c>
      <c r="J240">
        <v>36.11</v>
      </c>
      <c r="K240" t="s">
        <v>1362</v>
      </c>
      <c r="L240">
        <v>0.09</v>
      </c>
      <c r="M240">
        <v>36.090000000000003</v>
      </c>
      <c r="N240">
        <v>2</v>
      </c>
      <c r="O240">
        <v>36.11</v>
      </c>
      <c r="P240">
        <v>5</v>
      </c>
      <c r="Q240">
        <v>0</v>
      </c>
    </row>
    <row r="241" spans="2:17">
      <c r="B241" t="str">
        <f>"006207"</f>
        <v>006207</v>
      </c>
      <c r="C241" t="s">
        <v>1562</v>
      </c>
      <c r="D241" s="3">
        <v>364456</v>
      </c>
      <c r="E241">
        <v>61</v>
      </c>
      <c r="F241" s="3">
        <v>10910659</v>
      </c>
      <c r="G241">
        <v>29.96</v>
      </c>
      <c r="H241">
        <v>30</v>
      </c>
      <c r="I241">
        <v>29.88</v>
      </c>
      <c r="J241">
        <v>29.94</v>
      </c>
      <c r="K241" t="s">
        <v>1362</v>
      </c>
      <c r="L241">
        <v>0.11</v>
      </c>
      <c r="M241">
        <v>29.92</v>
      </c>
      <c r="N241">
        <v>10</v>
      </c>
      <c r="O241">
        <v>29.94</v>
      </c>
      <c r="P241">
        <v>2</v>
      </c>
      <c r="Q241">
        <v>0</v>
      </c>
    </row>
    <row r="242" spans="2:17">
      <c r="B242" t="str">
        <f>"006208"</f>
        <v>006208</v>
      </c>
      <c r="C242" t="s">
        <v>1563</v>
      </c>
      <c r="D242" s="3">
        <v>2700926</v>
      </c>
      <c r="E242" s="3">
        <v>2743</v>
      </c>
      <c r="F242" s="3">
        <v>220239489</v>
      </c>
      <c r="G242">
        <v>81.2</v>
      </c>
      <c r="H242">
        <v>81.75</v>
      </c>
      <c r="I242">
        <v>81.2</v>
      </c>
      <c r="J242">
        <v>81.7</v>
      </c>
      <c r="K242" t="s">
        <v>1362</v>
      </c>
      <c r="L242">
        <v>0.65</v>
      </c>
      <c r="M242">
        <v>81.7</v>
      </c>
      <c r="N242">
        <v>1</v>
      </c>
      <c r="O242">
        <v>81.75</v>
      </c>
      <c r="P242">
        <v>150</v>
      </c>
      <c r="Q242">
        <v>0</v>
      </c>
    </row>
    <row r="243" spans="2:17">
      <c r="B243" t="str">
        <f>"00625K"</f>
        <v>00625K</v>
      </c>
      <c r="C243" t="s">
        <v>1564</v>
      </c>
      <c r="D243">
        <v>0</v>
      </c>
      <c r="E243">
        <v>0</v>
      </c>
      <c r="F243">
        <v>0</v>
      </c>
      <c r="G243" t="s">
        <v>1391</v>
      </c>
      <c r="H243" t="s">
        <v>1391</v>
      </c>
      <c r="I243" t="s">
        <v>1391</v>
      </c>
      <c r="J243" t="s">
        <v>1391</v>
      </c>
      <c r="K243" t="s">
        <v>1328</v>
      </c>
      <c r="L243">
        <v>0</v>
      </c>
      <c r="M243">
        <v>8.4600000000000009</v>
      </c>
      <c r="N243">
        <v>5</v>
      </c>
      <c r="O243">
        <v>8.68</v>
      </c>
      <c r="P243">
        <v>2</v>
      </c>
      <c r="Q243">
        <v>0</v>
      </c>
    </row>
    <row r="244" spans="2:17">
      <c r="B244" t="str">
        <f>"00631L"</f>
        <v>00631L</v>
      </c>
      <c r="C244" t="s">
        <v>1565</v>
      </c>
      <c r="D244" s="3">
        <v>1634651</v>
      </c>
      <c r="E244">
        <v>680</v>
      </c>
      <c r="F244" s="3">
        <v>236925010</v>
      </c>
      <c r="G244">
        <v>144.30000000000001</v>
      </c>
      <c r="H244">
        <v>145.65</v>
      </c>
      <c r="I244">
        <v>144.25</v>
      </c>
      <c r="J244">
        <v>145.65</v>
      </c>
      <c r="K244" t="s">
        <v>1362</v>
      </c>
      <c r="L244">
        <v>2.0499999999999998</v>
      </c>
      <c r="M244">
        <v>145.6</v>
      </c>
      <c r="N244">
        <v>9</v>
      </c>
      <c r="O244">
        <v>145.65</v>
      </c>
      <c r="P244">
        <v>215</v>
      </c>
      <c r="Q244">
        <v>0</v>
      </c>
    </row>
    <row r="245" spans="2:17">
      <c r="B245" t="str">
        <f>"00632R"</f>
        <v>00632R</v>
      </c>
      <c r="C245" t="s">
        <v>1566</v>
      </c>
      <c r="D245" s="3">
        <v>98099005</v>
      </c>
      <c r="E245" s="3">
        <v>6201</v>
      </c>
      <c r="F245" s="3">
        <v>505233226</v>
      </c>
      <c r="G245">
        <v>5.16</v>
      </c>
      <c r="H245">
        <v>5.17</v>
      </c>
      <c r="I245">
        <v>5.13</v>
      </c>
      <c r="J245">
        <v>5.13</v>
      </c>
      <c r="K245" t="s">
        <v>1</v>
      </c>
      <c r="L245">
        <v>0.04</v>
      </c>
      <c r="M245">
        <v>5.13</v>
      </c>
      <c r="N245" s="3">
        <v>25586</v>
      </c>
      <c r="O245">
        <v>5.14</v>
      </c>
      <c r="P245" s="3">
        <v>1087</v>
      </c>
      <c r="Q245">
        <v>0</v>
      </c>
    </row>
    <row r="246" spans="2:17">
      <c r="B246" t="str">
        <f>"00633L"</f>
        <v>00633L</v>
      </c>
      <c r="C246" t="s">
        <v>1567</v>
      </c>
      <c r="D246" s="3">
        <v>3132500</v>
      </c>
      <c r="E246">
        <v>577</v>
      </c>
      <c r="F246" s="3">
        <v>176965425</v>
      </c>
      <c r="G246">
        <v>56.5</v>
      </c>
      <c r="H246">
        <v>57</v>
      </c>
      <c r="I246">
        <v>56</v>
      </c>
      <c r="J246">
        <v>56.4</v>
      </c>
      <c r="K246" t="s">
        <v>1362</v>
      </c>
      <c r="L246">
        <v>0.5</v>
      </c>
      <c r="M246">
        <v>56.4</v>
      </c>
      <c r="N246">
        <v>6</v>
      </c>
      <c r="O246">
        <v>56.45</v>
      </c>
      <c r="P246">
        <v>289</v>
      </c>
      <c r="Q246">
        <v>0</v>
      </c>
    </row>
    <row r="247" spans="2:17">
      <c r="B247" t="str">
        <f>"00634R"</f>
        <v>00634R</v>
      </c>
      <c r="C247" t="s">
        <v>1568</v>
      </c>
      <c r="D247" s="3">
        <v>103000</v>
      </c>
      <c r="E247">
        <v>18</v>
      </c>
      <c r="F247" s="3">
        <v>400310</v>
      </c>
      <c r="G247">
        <v>3.88</v>
      </c>
      <c r="H247">
        <v>3.9</v>
      </c>
      <c r="I247">
        <v>3.88</v>
      </c>
      <c r="J247">
        <v>3.9</v>
      </c>
      <c r="K247" t="s">
        <v>1</v>
      </c>
      <c r="L247">
        <v>0.02</v>
      </c>
      <c r="M247">
        <v>3.88</v>
      </c>
      <c r="N247">
        <v>399</v>
      </c>
      <c r="O247">
        <v>3.9</v>
      </c>
      <c r="P247">
        <v>592</v>
      </c>
      <c r="Q247">
        <v>0</v>
      </c>
    </row>
    <row r="248" spans="2:17">
      <c r="B248" t="str">
        <f>"00635U"</f>
        <v>00635U</v>
      </c>
      <c r="C248" t="s">
        <v>1569</v>
      </c>
      <c r="D248" s="3">
        <v>2887376</v>
      </c>
      <c r="E248">
        <v>192</v>
      </c>
      <c r="F248" s="3">
        <v>69281381</v>
      </c>
      <c r="G248">
        <v>24.03</v>
      </c>
      <c r="H248">
        <v>24.05</v>
      </c>
      <c r="I248">
        <v>23.97</v>
      </c>
      <c r="J248">
        <v>23.97</v>
      </c>
      <c r="K248" t="s">
        <v>1</v>
      </c>
      <c r="L248">
        <v>0.04</v>
      </c>
      <c r="M248">
        <v>23.97</v>
      </c>
      <c r="N248">
        <v>493</v>
      </c>
      <c r="O248">
        <v>24</v>
      </c>
      <c r="P248">
        <v>1</v>
      </c>
      <c r="Q248">
        <v>0</v>
      </c>
    </row>
    <row r="249" spans="2:17">
      <c r="B249" t="str">
        <f>"00636"</f>
        <v>00636</v>
      </c>
      <c r="C249" t="s">
        <v>1570</v>
      </c>
      <c r="D249" s="3">
        <v>318101</v>
      </c>
      <c r="E249">
        <v>131</v>
      </c>
      <c r="F249" s="3">
        <v>8038523</v>
      </c>
      <c r="G249">
        <v>25.25</v>
      </c>
      <c r="H249">
        <v>25.36</v>
      </c>
      <c r="I249">
        <v>25.18</v>
      </c>
      <c r="J249">
        <v>25.25</v>
      </c>
      <c r="K249" t="s">
        <v>1362</v>
      </c>
      <c r="L249">
        <v>0.1</v>
      </c>
      <c r="M249">
        <v>25.24</v>
      </c>
      <c r="N249">
        <v>2</v>
      </c>
      <c r="O249">
        <v>25.25</v>
      </c>
      <c r="P249">
        <v>102</v>
      </c>
      <c r="Q249">
        <v>0</v>
      </c>
    </row>
    <row r="250" spans="2:17">
      <c r="B250" t="str">
        <f>"00636K"</f>
        <v>00636K</v>
      </c>
      <c r="C250" t="s">
        <v>1571</v>
      </c>
      <c r="D250">
        <v>200</v>
      </c>
      <c r="E250">
        <v>2</v>
      </c>
      <c r="F250" s="3">
        <v>1822</v>
      </c>
      <c r="G250">
        <v>9.11</v>
      </c>
      <c r="H250">
        <v>9.11</v>
      </c>
      <c r="I250">
        <v>9.11</v>
      </c>
      <c r="J250">
        <v>9.11</v>
      </c>
      <c r="K250" t="s">
        <v>1362</v>
      </c>
      <c r="L250">
        <v>0.03</v>
      </c>
      <c r="M250">
        <v>9.07</v>
      </c>
      <c r="N250">
        <v>10</v>
      </c>
      <c r="O250">
        <v>9.16</v>
      </c>
      <c r="P250">
        <v>10</v>
      </c>
      <c r="Q250">
        <v>0</v>
      </c>
    </row>
    <row r="251" spans="2:17">
      <c r="B251" t="str">
        <f>"00637L"</f>
        <v>00637L</v>
      </c>
      <c r="C251" t="s">
        <v>1573</v>
      </c>
      <c r="D251" s="3">
        <v>24469772</v>
      </c>
      <c r="E251" s="3">
        <v>3808</v>
      </c>
      <c r="F251" s="3">
        <v>549487094</v>
      </c>
      <c r="G251">
        <v>22.41</v>
      </c>
      <c r="H251">
        <v>22.62</v>
      </c>
      <c r="I251">
        <v>22.25</v>
      </c>
      <c r="J251">
        <v>22.43</v>
      </c>
      <c r="K251" t="s">
        <v>1362</v>
      </c>
      <c r="L251">
        <v>0.25</v>
      </c>
      <c r="M251">
        <v>22.43</v>
      </c>
      <c r="N251">
        <v>32</v>
      </c>
      <c r="O251">
        <v>22.44</v>
      </c>
      <c r="P251" s="3">
        <v>1404</v>
      </c>
      <c r="Q251">
        <v>0</v>
      </c>
    </row>
    <row r="252" spans="2:17">
      <c r="B252" t="str">
        <f>"00638R"</f>
        <v>00638R</v>
      </c>
      <c r="C252" t="s">
        <v>1574</v>
      </c>
      <c r="D252" s="3">
        <v>245120</v>
      </c>
      <c r="E252">
        <v>29</v>
      </c>
      <c r="F252" s="3">
        <v>1958778</v>
      </c>
      <c r="G252">
        <v>8.0500000000000007</v>
      </c>
      <c r="H252">
        <v>8.0500000000000007</v>
      </c>
      <c r="I252">
        <v>7.96</v>
      </c>
      <c r="J252">
        <v>7.99</v>
      </c>
      <c r="K252" t="s">
        <v>1</v>
      </c>
      <c r="L252">
        <v>7.0000000000000007E-2</v>
      </c>
      <c r="M252">
        <v>7.99</v>
      </c>
      <c r="N252">
        <v>74</v>
      </c>
      <c r="O252">
        <v>8</v>
      </c>
      <c r="P252">
        <v>509</v>
      </c>
      <c r="Q252">
        <v>0</v>
      </c>
    </row>
    <row r="253" spans="2:17">
      <c r="B253" t="str">
        <f>"00639"</f>
        <v>00639</v>
      </c>
      <c r="C253" t="s">
        <v>1575</v>
      </c>
      <c r="D253" s="3">
        <v>367860</v>
      </c>
      <c r="E253">
        <v>100</v>
      </c>
      <c r="F253" s="3">
        <v>6084105</v>
      </c>
      <c r="G253">
        <v>16.510000000000002</v>
      </c>
      <c r="H253">
        <v>16.62</v>
      </c>
      <c r="I253">
        <v>16.510000000000002</v>
      </c>
      <c r="J253">
        <v>16.57</v>
      </c>
      <c r="K253" t="s">
        <v>1362</v>
      </c>
      <c r="L253">
        <v>0.08</v>
      </c>
      <c r="M253">
        <v>16.55</v>
      </c>
      <c r="N253">
        <v>3</v>
      </c>
      <c r="O253">
        <v>16.57</v>
      </c>
      <c r="P253">
        <v>3</v>
      </c>
      <c r="Q253">
        <v>0</v>
      </c>
    </row>
    <row r="254" spans="2:17">
      <c r="B254" t="str">
        <f>"00640L"</f>
        <v>00640L</v>
      </c>
      <c r="C254" t="s">
        <v>1576</v>
      </c>
      <c r="D254" s="3">
        <v>200010</v>
      </c>
      <c r="E254">
        <v>95</v>
      </c>
      <c r="F254" s="3">
        <v>5991558</v>
      </c>
      <c r="G254">
        <v>30.08</v>
      </c>
      <c r="H254">
        <v>30.08</v>
      </c>
      <c r="I254">
        <v>29.85</v>
      </c>
      <c r="J254">
        <v>29.91</v>
      </c>
      <c r="K254" t="s">
        <v>1362</v>
      </c>
      <c r="L254">
        <v>0.43</v>
      </c>
      <c r="M254">
        <v>29.91</v>
      </c>
      <c r="N254">
        <v>2</v>
      </c>
      <c r="O254">
        <v>29.97</v>
      </c>
      <c r="P254">
        <v>60</v>
      </c>
      <c r="Q254">
        <v>0</v>
      </c>
    </row>
    <row r="255" spans="2:17">
      <c r="B255" t="str">
        <f>"00641R"</f>
        <v>00641R</v>
      </c>
      <c r="C255" t="s">
        <v>1577</v>
      </c>
      <c r="D255" s="3">
        <v>105000</v>
      </c>
      <c r="E255">
        <v>27</v>
      </c>
      <c r="F255" s="3">
        <v>1051810</v>
      </c>
      <c r="G255">
        <v>9.98</v>
      </c>
      <c r="H255">
        <v>10.050000000000001</v>
      </c>
      <c r="I255">
        <v>9.98</v>
      </c>
      <c r="J255">
        <v>10.01</v>
      </c>
      <c r="K255" t="s">
        <v>1</v>
      </c>
      <c r="L255">
        <v>0.11</v>
      </c>
      <c r="M255">
        <v>10.01</v>
      </c>
      <c r="N255">
        <v>116</v>
      </c>
      <c r="O255">
        <v>10.039999999999999</v>
      </c>
      <c r="P255">
        <v>100</v>
      </c>
      <c r="Q255">
        <v>0</v>
      </c>
    </row>
    <row r="256" spans="2:17">
      <c r="B256" t="str">
        <f>"00642U"</f>
        <v>00642U</v>
      </c>
      <c r="C256" t="s">
        <v>1578</v>
      </c>
      <c r="D256" s="3">
        <v>14799042</v>
      </c>
      <c r="E256" s="3">
        <v>2642</v>
      </c>
      <c r="F256" s="3">
        <v>198040231</v>
      </c>
      <c r="G256">
        <v>13.36</v>
      </c>
      <c r="H256">
        <v>13.42</v>
      </c>
      <c r="I256">
        <v>13.35</v>
      </c>
      <c r="J256">
        <v>13.38</v>
      </c>
      <c r="K256" t="s">
        <v>1362</v>
      </c>
      <c r="L256">
        <v>0.44</v>
      </c>
      <c r="M256">
        <v>13.38</v>
      </c>
      <c r="N256">
        <v>386</v>
      </c>
      <c r="O256">
        <v>13.39</v>
      </c>
      <c r="P256" s="3">
        <v>1357</v>
      </c>
      <c r="Q256">
        <v>0</v>
      </c>
    </row>
    <row r="257" spans="2:17">
      <c r="B257" t="str">
        <f>"00643"</f>
        <v>00643</v>
      </c>
      <c r="C257" t="s">
        <v>1579</v>
      </c>
      <c r="D257" s="3">
        <v>69039</v>
      </c>
      <c r="E257">
        <v>54</v>
      </c>
      <c r="F257" s="3">
        <v>1310295</v>
      </c>
      <c r="G257">
        <v>19</v>
      </c>
      <c r="H257">
        <v>19.010000000000002</v>
      </c>
      <c r="I257">
        <v>18.95</v>
      </c>
      <c r="J257">
        <v>19.010000000000002</v>
      </c>
      <c r="K257" t="s">
        <v>1362</v>
      </c>
      <c r="L257">
        <v>7.0000000000000007E-2</v>
      </c>
      <c r="M257">
        <v>18.95</v>
      </c>
      <c r="N257">
        <v>83</v>
      </c>
      <c r="O257">
        <v>19.010000000000002</v>
      </c>
      <c r="P257">
        <v>2</v>
      </c>
      <c r="Q257">
        <v>0</v>
      </c>
    </row>
    <row r="258" spans="2:17">
      <c r="B258" t="str">
        <f>"00643K"</f>
        <v>00643K</v>
      </c>
      <c r="C258" t="s">
        <v>1580</v>
      </c>
      <c r="D258">
        <v>0</v>
      </c>
      <c r="E258">
        <v>0</v>
      </c>
      <c r="F258">
        <v>0</v>
      </c>
      <c r="G258" t="s">
        <v>1391</v>
      </c>
      <c r="H258" t="s">
        <v>1391</v>
      </c>
      <c r="I258" t="s">
        <v>1391</v>
      </c>
      <c r="J258" t="s">
        <v>1391</v>
      </c>
      <c r="K258" t="s">
        <v>1328</v>
      </c>
      <c r="L258">
        <v>0</v>
      </c>
      <c r="M258">
        <v>4.3600000000000003</v>
      </c>
      <c r="N258">
        <v>2</v>
      </c>
      <c r="O258">
        <v>4.43</v>
      </c>
      <c r="P258">
        <v>1</v>
      </c>
      <c r="Q258">
        <v>0</v>
      </c>
    </row>
    <row r="259" spans="2:17">
      <c r="B259" t="str">
        <f>"00645"</f>
        <v>00645</v>
      </c>
      <c r="C259" t="s">
        <v>1581</v>
      </c>
      <c r="D259" s="3">
        <v>153581</v>
      </c>
      <c r="E259">
        <v>71</v>
      </c>
      <c r="F259" s="3">
        <v>4044684</v>
      </c>
      <c r="G259">
        <v>26.35</v>
      </c>
      <c r="H259">
        <v>26.35</v>
      </c>
      <c r="I259">
        <v>26.3</v>
      </c>
      <c r="J259">
        <v>26.34</v>
      </c>
      <c r="K259" t="s">
        <v>1362</v>
      </c>
      <c r="L259">
        <v>0.19</v>
      </c>
      <c r="M259">
        <v>26.33</v>
      </c>
      <c r="N259">
        <v>3</v>
      </c>
      <c r="O259">
        <v>26.35</v>
      </c>
      <c r="P259">
        <v>8</v>
      </c>
      <c r="Q259">
        <v>0</v>
      </c>
    </row>
    <row r="260" spans="2:17">
      <c r="B260" t="str">
        <f>"00646"</f>
        <v>00646</v>
      </c>
      <c r="C260" t="s">
        <v>1582</v>
      </c>
      <c r="D260" s="3">
        <v>450040</v>
      </c>
      <c r="E260">
        <v>399</v>
      </c>
      <c r="F260" s="3">
        <v>18322277</v>
      </c>
      <c r="G260">
        <v>40.840000000000003</v>
      </c>
      <c r="H260">
        <v>40.840000000000003</v>
      </c>
      <c r="I260">
        <v>40.64</v>
      </c>
      <c r="J260">
        <v>40.67</v>
      </c>
      <c r="K260" t="s">
        <v>1362</v>
      </c>
      <c r="L260">
        <v>0.34</v>
      </c>
      <c r="M260">
        <v>40.659999999999997</v>
      </c>
      <c r="N260">
        <v>36</v>
      </c>
      <c r="O260">
        <v>40.67</v>
      </c>
      <c r="P260">
        <v>22</v>
      </c>
      <c r="Q260">
        <v>0</v>
      </c>
    </row>
    <row r="261" spans="2:17">
      <c r="B261" t="str">
        <f>"00647L"</f>
        <v>00647L</v>
      </c>
      <c r="C261" t="s">
        <v>1583</v>
      </c>
      <c r="D261" s="3">
        <v>203087</v>
      </c>
      <c r="E261">
        <v>105</v>
      </c>
      <c r="F261" s="3">
        <v>16287514</v>
      </c>
      <c r="G261">
        <v>80.2</v>
      </c>
      <c r="H261">
        <v>80.25</v>
      </c>
      <c r="I261">
        <v>80.05</v>
      </c>
      <c r="J261">
        <v>80.25</v>
      </c>
      <c r="K261" t="s">
        <v>1362</v>
      </c>
      <c r="L261">
        <v>1.95</v>
      </c>
      <c r="M261">
        <v>80.2</v>
      </c>
      <c r="N261">
        <v>1</v>
      </c>
      <c r="O261">
        <v>80.25</v>
      </c>
      <c r="P261">
        <v>61</v>
      </c>
      <c r="Q261">
        <v>0</v>
      </c>
    </row>
    <row r="262" spans="2:17">
      <c r="B262" t="str">
        <f>"00648R"</f>
        <v>00648R</v>
      </c>
      <c r="C262" t="s">
        <v>1584</v>
      </c>
      <c r="D262" s="3">
        <v>2950000</v>
      </c>
      <c r="E262">
        <v>156</v>
      </c>
      <c r="F262" s="3">
        <v>18618130</v>
      </c>
      <c r="G262">
        <v>6.31</v>
      </c>
      <c r="H262">
        <v>6.32</v>
      </c>
      <c r="I262">
        <v>6.3</v>
      </c>
      <c r="J262">
        <v>6.3</v>
      </c>
      <c r="K262" t="s">
        <v>1</v>
      </c>
      <c r="L262">
        <v>7.0000000000000007E-2</v>
      </c>
      <c r="M262">
        <v>6.3</v>
      </c>
      <c r="N262" s="3">
        <v>1685</v>
      </c>
      <c r="O262">
        <v>6.31</v>
      </c>
      <c r="P262">
        <v>6</v>
      </c>
      <c r="Q262">
        <v>0</v>
      </c>
    </row>
    <row r="263" spans="2:17">
      <c r="B263" t="str">
        <f>"00650L"</f>
        <v>00650L</v>
      </c>
      <c r="C263" t="s">
        <v>1585</v>
      </c>
      <c r="D263" s="3">
        <v>2906465</v>
      </c>
      <c r="E263">
        <v>515</v>
      </c>
      <c r="F263" s="3">
        <v>57992870</v>
      </c>
      <c r="G263">
        <v>20.149999999999999</v>
      </c>
      <c r="H263">
        <v>20.190000000000001</v>
      </c>
      <c r="I263">
        <v>19.78</v>
      </c>
      <c r="J263">
        <v>19.989999999999998</v>
      </c>
      <c r="K263" t="s">
        <v>1</v>
      </c>
      <c r="L263">
        <v>0.01</v>
      </c>
      <c r="M263">
        <v>19.989999999999998</v>
      </c>
      <c r="N263">
        <v>25</v>
      </c>
      <c r="O263">
        <v>20</v>
      </c>
      <c r="P263">
        <v>8</v>
      </c>
      <c r="Q263">
        <v>0</v>
      </c>
    </row>
    <row r="264" spans="2:17">
      <c r="B264" t="str">
        <f>"00651R"</f>
        <v>00651R</v>
      </c>
      <c r="C264" t="s">
        <v>1586</v>
      </c>
      <c r="D264" s="3">
        <v>1181000</v>
      </c>
      <c r="E264">
        <v>50</v>
      </c>
      <c r="F264" s="3">
        <v>9553950</v>
      </c>
      <c r="G264">
        <v>7.97</v>
      </c>
      <c r="H264">
        <v>8.1199999999999992</v>
      </c>
      <c r="I264">
        <v>7.97</v>
      </c>
      <c r="J264">
        <v>8.06</v>
      </c>
      <c r="K264" t="s">
        <v>1362</v>
      </c>
      <c r="L264">
        <v>0.05</v>
      </c>
      <c r="M264">
        <v>8.06</v>
      </c>
      <c r="N264">
        <v>108</v>
      </c>
      <c r="O264">
        <v>8.08</v>
      </c>
      <c r="P264">
        <v>157</v>
      </c>
      <c r="Q264">
        <v>0</v>
      </c>
    </row>
    <row r="265" spans="2:17">
      <c r="B265" t="str">
        <f>"00652"</f>
        <v>00652</v>
      </c>
      <c r="C265" t="s">
        <v>1587</v>
      </c>
      <c r="D265" s="3">
        <v>84727</v>
      </c>
      <c r="E265">
        <v>106</v>
      </c>
      <c r="F265" s="3">
        <v>2398598</v>
      </c>
      <c r="G265">
        <v>28.41</v>
      </c>
      <c r="H265">
        <v>28.41</v>
      </c>
      <c r="I265">
        <v>28.27</v>
      </c>
      <c r="J265">
        <v>28.39</v>
      </c>
      <c r="K265" t="s">
        <v>1362</v>
      </c>
      <c r="L265">
        <v>0.28999999999999998</v>
      </c>
      <c r="M265">
        <v>28.37</v>
      </c>
      <c r="N265">
        <v>2</v>
      </c>
      <c r="O265">
        <v>28.39</v>
      </c>
      <c r="P265">
        <v>2</v>
      </c>
      <c r="Q265">
        <v>0</v>
      </c>
    </row>
    <row r="266" spans="2:17">
      <c r="B266" t="str">
        <f>"00653L"</f>
        <v>00653L</v>
      </c>
      <c r="C266" t="s">
        <v>1588</v>
      </c>
      <c r="D266" s="3">
        <v>589750</v>
      </c>
      <c r="E266">
        <v>249</v>
      </c>
      <c r="F266" s="3">
        <v>25799919</v>
      </c>
      <c r="G266">
        <v>43.67</v>
      </c>
      <c r="H266">
        <v>43.85</v>
      </c>
      <c r="I266">
        <v>43.62</v>
      </c>
      <c r="J266">
        <v>43.77</v>
      </c>
      <c r="K266" t="s">
        <v>1362</v>
      </c>
      <c r="L266">
        <v>1.01</v>
      </c>
      <c r="M266">
        <v>43.76</v>
      </c>
      <c r="N266">
        <v>1</v>
      </c>
      <c r="O266">
        <v>43.77</v>
      </c>
      <c r="P266">
        <v>2</v>
      </c>
      <c r="Q266">
        <v>0</v>
      </c>
    </row>
    <row r="267" spans="2:17">
      <c r="B267" t="str">
        <f>"00654R"</f>
        <v>00654R</v>
      </c>
      <c r="C267" t="s">
        <v>1589</v>
      </c>
      <c r="D267" s="3">
        <v>453000</v>
      </c>
      <c r="E267">
        <v>67</v>
      </c>
      <c r="F267" s="3">
        <v>3780540</v>
      </c>
      <c r="G267">
        <v>8.39</v>
      </c>
      <c r="H267">
        <v>8.39</v>
      </c>
      <c r="I267">
        <v>8.31</v>
      </c>
      <c r="J267">
        <v>8.34</v>
      </c>
      <c r="K267" t="s">
        <v>1</v>
      </c>
      <c r="L267">
        <v>0.11</v>
      </c>
      <c r="M267">
        <v>8.34</v>
      </c>
      <c r="N267">
        <v>92</v>
      </c>
      <c r="O267">
        <v>8.36</v>
      </c>
      <c r="P267">
        <v>1</v>
      </c>
      <c r="Q267">
        <v>0</v>
      </c>
    </row>
    <row r="268" spans="2:17">
      <c r="B268" t="str">
        <f>"00655L"</f>
        <v>00655L</v>
      </c>
      <c r="C268" t="s">
        <v>1590</v>
      </c>
      <c r="D268" s="3">
        <v>775000</v>
      </c>
      <c r="E268">
        <v>333</v>
      </c>
      <c r="F268" s="3">
        <v>33030990</v>
      </c>
      <c r="G268">
        <v>42.5</v>
      </c>
      <c r="H268">
        <v>42.98</v>
      </c>
      <c r="I268">
        <v>42.26</v>
      </c>
      <c r="J268">
        <v>42.59</v>
      </c>
      <c r="K268" t="s">
        <v>1362</v>
      </c>
      <c r="L268">
        <v>0.44</v>
      </c>
      <c r="M268">
        <v>42.57</v>
      </c>
      <c r="N268">
        <v>1</v>
      </c>
      <c r="O268">
        <v>42.59</v>
      </c>
      <c r="P268">
        <v>22</v>
      </c>
      <c r="Q268">
        <v>0</v>
      </c>
    </row>
    <row r="269" spans="2:17">
      <c r="B269" t="str">
        <f>"00656R"</f>
        <v>00656R</v>
      </c>
      <c r="C269" t="s">
        <v>1591</v>
      </c>
      <c r="D269" s="3">
        <v>64000</v>
      </c>
      <c r="E269">
        <v>7</v>
      </c>
      <c r="F269" s="3">
        <v>467840</v>
      </c>
      <c r="G269">
        <v>7.29</v>
      </c>
      <c r="H269">
        <v>7.33</v>
      </c>
      <c r="I269">
        <v>7.29</v>
      </c>
      <c r="J269">
        <v>7.33</v>
      </c>
      <c r="K269" t="s">
        <v>1</v>
      </c>
      <c r="L269">
        <v>0.04</v>
      </c>
      <c r="M269">
        <v>7.31</v>
      </c>
      <c r="N269">
        <v>110</v>
      </c>
      <c r="O269">
        <v>7.33</v>
      </c>
      <c r="P269">
        <v>249</v>
      </c>
      <c r="Q269">
        <v>0</v>
      </c>
    </row>
    <row r="270" spans="2:17">
      <c r="B270" t="str">
        <f>"00657"</f>
        <v>00657</v>
      </c>
      <c r="C270" t="s">
        <v>1592</v>
      </c>
      <c r="D270" s="3">
        <v>6117</v>
      </c>
      <c r="E270">
        <v>44</v>
      </c>
      <c r="F270" s="3">
        <v>210730</v>
      </c>
      <c r="G270">
        <v>34.630000000000003</v>
      </c>
      <c r="H270">
        <v>34.700000000000003</v>
      </c>
      <c r="I270">
        <v>34.6</v>
      </c>
      <c r="J270">
        <v>34.700000000000003</v>
      </c>
      <c r="K270" t="s">
        <v>1362</v>
      </c>
      <c r="L270">
        <v>0.28999999999999998</v>
      </c>
      <c r="M270">
        <v>34.64</v>
      </c>
      <c r="N270">
        <v>30</v>
      </c>
      <c r="O270">
        <v>34.700000000000003</v>
      </c>
      <c r="P270">
        <v>4</v>
      </c>
      <c r="Q270">
        <v>0</v>
      </c>
    </row>
    <row r="271" spans="2:17">
      <c r="B271" t="str">
        <f>"00657K"</f>
        <v>00657K</v>
      </c>
      <c r="C271" t="s">
        <v>1593</v>
      </c>
      <c r="D271">
        <v>200</v>
      </c>
      <c r="E271">
        <v>2</v>
      </c>
      <c r="F271" s="3">
        <v>2512</v>
      </c>
      <c r="G271">
        <v>12.56</v>
      </c>
      <c r="H271">
        <v>12.56</v>
      </c>
      <c r="I271">
        <v>12.56</v>
      </c>
      <c r="J271">
        <v>12.56</v>
      </c>
      <c r="K271" t="s">
        <v>1362</v>
      </c>
      <c r="L271">
        <v>0.14000000000000001</v>
      </c>
      <c r="M271">
        <v>12.51</v>
      </c>
      <c r="N271">
        <v>10</v>
      </c>
      <c r="O271">
        <v>12.58</v>
      </c>
      <c r="P271">
        <v>10</v>
      </c>
      <c r="Q271">
        <v>0</v>
      </c>
    </row>
    <row r="272" spans="2:17">
      <c r="B272" t="str">
        <f>"00660"</f>
        <v>00660</v>
      </c>
      <c r="C272" t="s">
        <v>1594</v>
      </c>
      <c r="D272" s="3">
        <v>2723</v>
      </c>
      <c r="E272">
        <v>12</v>
      </c>
      <c r="F272" s="3">
        <v>83009</v>
      </c>
      <c r="G272">
        <v>30.63</v>
      </c>
      <c r="H272">
        <v>30.63</v>
      </c>
      <c r="I272">
        <v>30.62</v>
      </c>
      <c r="J272">
        <v>30.62</v>
      </c>
      <c r="K272" t="s">
        <v>1362</v>
      </c>
      <c r="L272">
        <v>0.39</v>
      </c>
      <c r="M272">
        <v>30.51</v>
      </c>
      <c r="N272">
        <v>20</v>
      </c>
      <c r="O272">
        <v>30.62</v>
      </c>
      <c r="P272">
        <v>20</v>
      </c>
      <c r="Q272">
        <v>0</v>
      </c>
    </row>
    <row r="273" spans="2:17">
      <c r="B273" t="str">
        <f>"00661"</f>
        <v>00661</v>
      </c>
      <c r="C273" t="s">
        <v>1595</v>
      </c>
      <c r="D273" s="3">
        <v>9400</v>
      </c>
      <c r="E273">
        <v>45</v>
      </c>
      <c r="F273" s="3">
        <v>339655</v>
      </c>
      <c r="G273">
        <v>36.24</v>
      </c>
      <c r="H273">
        <v>36.25</v>
      </c>
      <c r="I273">
        <v>36.24</v>
      </c>
      <c r="J273">
        <v>36.24</v>
      </c>
      <c r="K273" t="s">
        <v>1362</v>
      </c>
      <c r="L273">
        <v>0.27</v>
      </c>
      <c r="M273">
        <v>36.159999999999997</v>
      </c>
      <c r="N273">
        <v>1</v>
      </c>
      <c r="O273">
        <v>36.25</v>
      </c>
      <c r="P273">
        <v>15</v>
      </c>
      <c r="Q273">
        <v>0</v>
      </c>
    </row>
    <row r="274" spans="2:17">
      <c r="B274" t="str">
        <f>"00662"</f>
        <v>00662</v>
      </c>
      <c r="C274" t="s">
        <v>1596</v>
      </c>
      <c r="D274" s="3">
        <v>666224</v>
      </c>
      <c r="E274">
        <v>307</v>
      </c>
      <c r="F274" s="3">
        <v>39316996</v>
      </c>
      <c r="G274">
        <v>59.05</v>
      </c>
      <c r="H274">
        <v>59.1</v>
      </c>
      <c r="I274">
        <v>58.95</v>
      </c>
      <c r="J274">
        <v>59.05</v>
      </c>
      <c r="K274" t="s">
        <v>1362</v>
      </c>
      <c r="L274">
        <v>0.65</v>
      </c>
      <c r="M274">
        <v>59</v>
      </c>
      <c r="N274">
        <v>40</v>
      </c>
      <c r="O274">
        <v>59.05</v>
      </c>
      <c r="P274">
        <v>31</v>
      </c>
      <c r="Q274">
        <v>0</v>
      </c>
    </row>
    <row r="275" spans="2:17">
      <c r="B275" t="str">
        <f>"00663L"</f>
        <v>00663L</v>
      </c>
      <c r="C275" t="s">
        <v>1597</v>
      </c>
      <c r="D275" s="3">
        <v>7116</v>
      </c>
      <c r="E275">
        <v>14</v>
      </c>
      <c r="F275" s="3">
        <v>936172</v>
      </c>
      <c r="G275">
        <v>131.19999999999999</v>
      </c>
      <c r="H275">
        <v>132.25</v>
      </c>
      <c r="I275">
        <v>131.19999999999999</v>
      </c>
      <c r="J275">
        <v>132.25</v>
      </c>
      <c r="K275" t="s">
        <v>1362</v>
      </c>
      <c r="L275">
        <v>1.7</v>
      </c>
      <c r="M275">
        <v>132.15</v>
      </c>
      <c r="N275">
        <v>1</v>
      </c>
      <c r="O275">
        <v>132.25</v>
      </c>
      <c r="P275">
        <v>49</v>
      </c>
      <c r="Q275">
        <v>0</v>
      </c>
    </row>
    <row r="276" spans="2:17">
      <c r="B276" t="str">
        <f>"00664R"</f>
        <v>00664R</v>
      </c>
      <c r="C276" t="s">
        <v>1598</v>
      </c>
      <c r="D276" s="3">
        <v>3567110</v>
      </c>
      <c r="E276">
        <v>488</v>
      </c>
      <c r="F276" s="3">
        <v>20778154</v>
      </c>
      <c r="G276">
        <v>5.84</v>
      </c>
      <c r="H276">
        <v>5.85</v>
      </c>
      <c r="I276">
        <v>5.81</v>
      </c>
      <c r="J276">
        <v>5.81</v>
      </c>
      <c r="K276" t="s">
        <v>1</v>
      </c>
      <c r="L276">
        <v>0.05</v>
      </c>
      <c r="M276">
        <v>5.81</v>
      </c>
      <c r="N276" s="3">
        <v>7057</v>
      </c>
      <c r="O276">
        <v>5.82</v>
      </c>
      <c r="P276">
        <v>711</v>
      </c>
      <c r="Q276">
        <v>0</v>
      </c>
    </row>
    <row r="277" spans="2:17">
      <c r="B277" t="str">
        <f>"00665L"</f>
        <v>00665L</v>
      </c>
      <c r="C277" t="s">
        <v>1599</v>
      </c>
      <c r="D277" s="3">
        <v>737080</v>
      </c>
      <c r="E277">
        <v>133</v>
      </c>
      <c r="F277" s="3">
        <v>10384663</v>
      </c>
      <c r="G277">
        <v>14.2</v>
      </c>
      <c r="H277">
        <v>14.24</v>
      </c>
      <c r="I277">
        <v>13.93</v>
      </c>
      <c r="J277">
        <v>14.06</v>
      </c>
      <c r="K277" t="s">
        <v>1</v>
      </c>
      <c r="L277">
        <v>0.09</v>
      </c>
      <c r="M277">
        <v>14.06</v>
      </c>
      <c r="N277">
        <v>100</v>
      </c>
      <c r="O277">
        <v>14.07</v>
      </c>
      <c r="P277">
        <v>2</v>
      </c>
      <c r="Q277">
        <v>0</v>
      </c>
    </row>
    <row r="278" spans="2:17">
      <c r="B278" t="str">
        <f>"00666R"</f>
        <v>00666R</v>
      </c>
      <c r="C278" t="s">
        <v>1600</v>
      </c>
      <c r="D278" s="3">
        <v>128000</v>
      </c>
      <c r="E278">
        <v>14</v>
      </c>
      <c r="F278" s="3">
        <v>1729490</v>
      </c>
      <c r="G278">
        <v>13.62</v>
      </c>
      <c r="H278">
        <v>13.62</v>
      </c>
      <c r="I278">
        <v>13.46</v>
      </c>
      <c r="J278">
        <v>13.5</v>
      </c>
      <c r="K278" t="s">
        <v>1</v>
      </c>
      <c r="L278">
        <v>0.16</v>
      </c>
      <c r="M278">
        <v>13.45</v>
      </c>
      <c r="N278">
        <v>33</v>
      </c>
      <c r="O278">
        <v>13.59</v>
      </c>
      <c r="P278">
        <v>108</v>
      </c>
      <c r="Q278">
        <v>0</v>
      </c>
    </row>
    <row r="279" spans="2:17">
      <c r="B279" t="str">
        <f>"00668"</f>
        <v>00668</v>
      </c>
      <c r="C279" t="s">
        <v>1601</v>
      </c>
      <c r="D279" s="3">
        <v>26538</v>
      </c>
      <c r="E279">
        <v>32</v>
      </c>
      <c r="F279" s="3">
        <v>965315</v>
      </c>
      <c r="G279">
        <v>36.39</v>
      </c>
      <c r="H279">
        <v>36.450000000000003</v>
      </c>
      <c r="I279">
        <v>36.36</v>
      </c>
      <c r="J279">
        <v>36.369999999999997</v>
      </c>
      <c r="K279" t="s">
        <v>1362</v>
      </c>
      <c r="L279">
        <v>0.21</v>
      </c>
      <c r="M279">
        <v>36.36</v>
      </c>
      <c r="N279">
        <v>48</v>
      </c>
      <c r="O279">
        <v>36.380000000000003</v>
      </c>
      <c r="P279">
        <v>1</v>
      </c>
      <c r="Q279">
        <v>0</v>
      </c>
    </row>
    <row r="280" spans="2:17">
      <c r="B280" t="str">
        <f>"00668K"</f>
        <v>00668K</v>
      </c>
      <c r="C280" t="s">
        <v>1602</v>
      </c>
      <c r="D280">
        <v>200</v>
      </c>
      <c r="E280">
        <v>2</v>
      </c>
      <c r="F280" s="3">
        <v>2624</v>
      </c>
      <c r="G280">
        <v>13.12</v>
      </c>
      <c r="H280">
        <v>13.12</v>
      </c>
      <c r="I280">
        <v>13.12</v>
      </c>
      <c r="J280">
        <v>13.12</v>
      </c>
      <c r="K280" t="s">
        <v>1362</v>
      </c>
      <c r="L280">
        <v>0.09</v>
      </c>
      <c r="M280">
        <v>13.08</v>
      </c>
      <c r="N280">
        <v>10</v>
      </c>
      <c r="O280">
        <v>13.17</v>
      </c>
      <c r="P280">
        <v>10</v>
      </c>
      <c r="Q280">
        <v>0</v>
      </c>
    </row>
    <row r="281" spans="2:17">
      <c r="B281" t="str">
        <f>"00669R"</f>
        <v>00669R</v>
      </c>
      <c r="C281" t="s">
        <v>1603</v>
      </c>
      <c r="D281" s="3">
        <v>2526300</v>
      </c>
      <c r="E281">
        <v>351</v>
      </c>
      <c r="F281" s="3">
        <v>18982927</v>
      </c>
      <c r="G281">
        <v>7.51</v>
      </c>
      <c r="H281">
        <v>7.53</v>
      </c>
      <c r="I281">
        <v>7.5</v>
      </c>
      <c r="J281">
        <v>7.51</v>
      </c>
      <c r="K281" t="s">
        <v>1</v>
      </c>
      <c r="L281">
        <v>7.0000000000000007E-2</v>
      </c>
      <c r="M281">
        <v>7.51</v>
      </c>
      <c r="N281">
        <v>641</v>
      </c>
      <c r="O281">
        <v>7.52</v>
      </c>
      <c r="P281" s="3">
        <v>1141</v>
      </c>
      <c r="Q281">
        <v>0</v>
      </c>
    </row>
    <row r="282" spans="2:17">
      <c r="B282" t="str">
        <f>"00670L"</f>
        <v>00670L</v>
      </c>
      <c r="C282" t="s">
        <v>1604</v>
      </c>
      <c r="D282" s="3">
        <v>855948</v>
      </c>
      <c r="E282">
        <v>334</v>
      </c>
      <c r="F282" s="3">
        <v>110450198</v>
      </c>
      <c r="G282">
        <v>129.1</v>
      </c>
      <c r="H282">
        <v>129.25</v>
      </c>
      <c r="I282">
        <v>128.85</v>
      </c>
      <c r="J282">
        <v>129.19999999999999</v>
      </c>
      <c r="K282" t="s">
        <v>1362</v>
      </c>
      <c r="L282">
        <v>3.15</v>
      </c>
      <c r="M282">
        <v>129.19999999999999</v>
      </c>
      <c r="N282">
        <v>5</v>
      </c>
      <c r="O282">
        <v>129.25</v>
      </c>
      <c r="P282">
        <v>4</v>
      </c>
      <c r="Q282">
        <v>0</v>
      </c>
    </row>
    <row r="283" spans="2:17">
      <c r="B283" t="str">
        <f>"00671R"</f>
        <v>00671R</v>
      </c>
      <c r="C283" t="s">
        <v>1605</v>
      </c>
      <c r="D283" s="3">
        <v>5334350</v>
      </c>
      <c r="E283">
        <v>464</v>
      </c>
      <c r="F283" s="3">
        <v>25646500</v>
      </c>
      <c r="G283">
        <v>4.8099999999999996</v>
      </c>
      <c r="H283">
        <v>4.82</v>
      </c>
      <c r="I283">
        <v>4.8</v>
      </c>
      <c r="J283">
        <v>4.8</v>
      </c>
      <c r="K283" t="s">
        <v>1</v>
      </c>
      <c r="L283">
        <v>7.0000000000000007E-2</v>
      </c>
      <c r="M283">
        <v>4.8</v>
      </c>
      <c r="N283" s="3">
        <v>1852</v>
      </c>
      <c r="O283">
        <v>4.8099999999999996</v>
      </c>
      <c r="P283" s="3">
        <v>1101</v>
      </c>
      <c r="Q283">
        <v>0</v>
      </c>
    </row>
    <row r="284" spans="2:17">
      <c r="B284" t="str">
        <f>"00673R"</f>
        <v>00673R</v>
      </c>
      <c r="C284" t="s">
        <v>1606</v>
      </c>
      <c r="D284" s="3">
        <v>6053149</v>
      </c>
      <c r="E284" s="3">
        <v>1096</v>
      </c>
      <c r="F284" s="3">
        <v>80270620</v>
      </c>
      <c r="G284">
        <v>13.29</v>
      </c>
      <c r="H284">
        <v>13.29</v>
      </c>
      <c r="I284">
        <v>13.23</v>
      </c>
      <c r="J284">
        <v>13.27</v>
      </c>
      <c r="K284" t="s">
        <v>1</v>
      </c>
      <c r="L284">
        <v>0.44</v>
      </c>
      <c r="M284">
        <v>13.26</v>
      </c>
      <c r="N284">
        <v>110</v>
      </c>
      <c r="O284">
        <v>13.27</v>
      </c>
      <c r="P284">
        <v>481</v>
      </c>
      <c r="Q284">
        <v>0</v>
      </c>
    </row>
    <row r="285" spans="2:17">
      <c r="B285" t="str">
        <f>"00674R"</f>
        <v>00674R</v>
      </c>
      <c r="C285" t="s">
        <v>1607</v>
      </c>
      <c r="D285" s="3">
        <v>38000</v>
      </c>
      <c r="E285">
        <v>7</v>
      </c>
      <c r="F285" s="3">
        <v>492880</v>
      </c>
      <c r="G285">
        <v>12.97</v>
      </c>
      <c r="H285">
        <v>12.98</v>
      </c>
      <c r="I285">
        <v>12.96</v>
      </c>
      <c r="J285">
        <v>12.96</v>
      </c>
      <c r="K285" t="s">
        <v>1</v>
      </c>
      <c r="L285">
        <v>0.01</v>
      </c>
      <c r="M285">
        <v>12.97</v>
      </c>
      <c r="N285">
        <v>5</v>
      </c>
      <c r="O285">
        <v>12.98</v>
      </c>
      <c r="P285">
        <v>261</v>
      </c>
      <c r="Q285">
        <v>0</v>
      </c>
    </row>
    <row r="286" spans="2:17">
      <c r="B286" t="str">
        <f>"00675L"</f>
        <v>00675L</v>
      </c>
      <c r="C286" t="s">
        <v>1608</v>
      </c>
      <c r="D286" s="3">
        <v>844020</v>
      </c>
      <c r="E286">
        <v>181</v>
      </c>
      <c r="F286" s="3">
        <v>47792456</v>
      </c>
      <c r="G286">
        <v>56.5</v>
      </c>
      <c r="H286">
        <v>56.95</v>
      </c>
      <c r="I286">
        <v>56.45</v>
      </c>
      <c r="J286">
        <v>56.9</v>
      </c>
      <c r="K286" t="s">
        <v>1362</v>
      </c>
      <c r="L286">
        <v>0.7</v>
      </c>
      <c r="M286">
        <v>56.85</v>
      </c>
      <c r="N286">
        <v>262</v>
      </c>
      <c r="O286">
        <v>56.9</v>
      </c>
      <c r="P286">
        <v>20</v>
      </c>
      <c r="Q286">
        <v>0</v>
      </c>
    </row>
    <row r="287" spans="2:17">
      <c r="B287" t="str">
        <f>"00676R"</f>
        <v>00676R</v>
      </c>
      <c r="C287" t="s">
        <v>1609</v>
      </c>
      <c r="D287" s="3">
        <v>5873600</v>
      </c>
      <c r="E287">
        <v>367</v>
      </c>
      <c r="F287" s="3">
        <v>18722890</v>
      </c>
      <c r="G287">
        <v>3.19</v>
      </c>
      <c r="H287">
        <v>3.2</v>
      </c>
      <c r="I287">
        <v>3.18</v>
      </c>
      <c r="J287">
        <v>3.18</v>
      </c>
      <c r="K287" t="s">
        <v>1</v>
      </c>
      <c r="L287">
        <v>0.02</v>
      </c>
      <c r="M287">
        <v>3.18</v>
      </c>
      <c r="N287">
        <v>40</v>
      </c>
      <c r="O287">
        <v>3.19</v>
      </c>
      <c r="P287" s="3">
        <v>2160</v>
      </c>
      <c r="Q287">
        <v>0</v>
      </c>
    </row>
    <row r="288" spans="2:17">
      <c r="B288" t="str">
        <f>"00678"</f>
        <v>00678</v>
      </c>
      <c r="C288" t="s">
        <v>1610</v>
      </c>
      <c r="D288" s="3">
        <v>418261</v>
      </c>
      <c r="E288">
        <v>112</v>
      </c>
      <c r="F288" s="3">
        <v>11213765</v>
      </c>
      <c r="G288">
        <v>27</v>
      </c>
      <c r="H288">
        <v>27</v>
      </c>
      <c r="I288">
        <v>26.8</v>
      </c>
      <c r="J288">
        <v>26.8</v>
      </c>
      <c r="K288" t="s">
        <v>1</v>
      </c>
      <c r="L288">
        <v>0.36</v>
      </c>
      <c r="M288">
        <v>26.8</v>
      </c>
      <c r="N288">
        <v>13</v>
      </c>
      <c r="O288">
        <v>26.81</v>
      </c>
      <c r="P288">
        <v>9</v>
      </c>
      <c r="Q288">
        <v>0</v>
      </c>
    </row>
    <row r="289" spans="2:17">
      <c r="B289" t="str">
        <f>"00680L"</f>
        <v>00680L</v>
      </c>
      <c r="C289" t="s">
        <v>1611</v>
      </c>
      <c r="D289" s="3">
        <v>17000</v>
      </c>
      <c r="E289">
        <v>11</v>
      </c>
      <c r="F289" s="3">
        <v>432930</v>
      </c>
      <c r="G289">
        <v>25.42</v>
      </c>
      <c r="H289">
        <v>25.51</v>
      </c>
      <c r="I289">
        <v>25.42</v>
      </c>
      <c r="J289">
        <v>25.51</v>
      </c>
      <c r="K289" t="s">
        <v>1362</v>
      </c>
      <c r="L289">
        <v>0.06</v>
      </c>
      <c r="M289">
        <v>25.46</v>
      </c>
      <c r="N289">
        <v>10</v>
      </c>
      <c r="O289">
        <v>25.51</v>
      </c>
      <c r="P289">
        <v>44</v>
      </c>
      <c r="Q289">
        <v>0</v>
      </c>
    </row>
    <row r="290" spans="2:17">
      <c r="B290" t="str">
        <f>"00681R"</f>
        <v>00681R</v>
      </c>
      <c r="C290" t="s">
        <v>1612</v>
      </c>
      <c r="D290" s="3">
        <v>140000</v>
      </c>
      <c r="E290">
        <v>14</v>
      </c>
      <c r="F290" s="3">
        <v>1821080</v>
      </c>
      <c r="G290">
        <v>13.01</v>
      </c>
      <c r="H290">
        <v>13.01</v>
      </c>
      <c r="I290">
        <v>12.99</v>
      </c>
      <c r="J290">
        <v>13.01</v>
      </c>
      <c r="K290" t="s">
        <v>1362</v>
      </c>
      <c r="L290">
        <v>0.02</v>
      </c>
      <c r="M290">
        <v>12.99</v>
      </c>
      <c r="N290">
        <v>16</v>
      </c>
      <c r="O290">
        <v>13.01</v>
      </c>
      <c r="P290">
        <v>91</v>
      </c>
      <c r="Q290">
        <v>0</v>
      </c>
    </row>
    <row r="291" spans="2:17">
      <c r="B291" t="str">
        <f>"00682U"</f>
        <v>00682U</v>
      </c>
      <c r="C291" t="s">
        <v>1613</v>
      </c>
      <c r="D291" s="3">
        <v>48000</v>
      </c>
      <c r="E291">
        <v>24</v>
      </c>
      <c r="F291" s="3">
        <v>908230</v>
      </c>
      <c r="G291">
        <v>18.920000000000002</v>
      </c>
      <c r="H291">
        <v>18.940000000000001</v>
      </c>
      <c r="I291">
        <v>18.91</v>
      </c>
      <c r="J291">
        <v>18.920000000000002</v>
      </c>
      <c r="K291" t="s">
        <v>1</v>
      </c>
      <c r="L291">
        <v>0.03</v>
      </c>
      <c r="M291">
        <v>18.91</v>
      </c>
      <c r="N291">
        <v>22</v>
      </c>
      <c r="O291">
        <v>18.93</v>
      </c>
      <c r="P291">
        <v>1</v>
      </c>
      <c r="Q291">
        <v>0</v>
      </c>
    </row>
    <row r="292" spans="2:17">
      <c r="B292" t="str">
        <f>"00683L"</f>
        <v>00683L</v>
      </c>
      <c r="C292" t="s">
        <v>1614</v>
      </c>
      <c r="D292" s="3">
        <v>212000</v>
      </c>
      <c r="E292">
        <v>65</v>
      </c>
      <c r="F292" s="3">
        <v>3935110</v>
      </c>
      <c r="G292">
        <v>18.52</v>
      </c>
      <c r="H292">
        <v>18.57</v>
      </c>
      <c r="I292">
        <v>18.52</v>
      </c>
      <c r="J292">
        <v>18.57</v>
      </c>
      <c r="K292" t="s">
        <v>1</v>
      </c>
      <c r="L292">
        <v>0.01</v>
      </c>
      <c r="M292">
        <v>18.55</v>
      </c>
      <c r="N292">
        <v>17</v>
      </c>
      <c r="O292">
        <v>18.57</v>
      </c>
      <c r="P292">
        <v>5</v>
      </c>
      <c r="Q292">
        <v>0</v>
      </c>
    </row>
    <row r="293" spans="2:17">
      <c r="B293" t="str">
        <f>"00684R"</f>
        <v>00684R</v>
      </c>
      <c r="C293" t="s">
        <v>1615</v>
      </c>
      <c r="D293">
        <v>0</v>
      </c>
      <c r="E293">
        <v>0</v>
      </c>
      <c r="F293">
        <v>0</v>
      </c>
      <c r="G293" t="s">
        <v>1391</v>
      </c>
      <c r="H293" t="s">
        <v>1391</v>
      </c>
      <c r="I293" t="s">
        <v>1391</v>
      </c>
      <c r="J293" t="s">
        <v>1391</v>
      </c>
      <c r="K293" t="s">
        <v>1328</v>
      </c>
      <c r="L293">
        <v>0</v>
      </c>
      <c r="M293">
        <v>17.82</v>
      </c>
      <c r="N293">
        <v>20</v>
      </c>
      <c r="O293">
        <v>17.87</v>
      </c>
      <c r="P293">
        <v>25</v>
      </c>
      <c r="Q293">
        <v>0</v>
      </c>
    </row>
    <row r="294" spans="2:17">
      <c r="B294" t="str">
        <f>"00685L"</f>
        <v>00685L</v>
      </c>
      <c r="C294" t="s">
        <v>1616</v>
      </c>
      <c r="D294" s="3">
        <v>4000</v>
      </c>
      <c r="E294">
        <v>4</v>
      </c>
      <c r="F294" s="3">
        <v>198730</v>
      </c>
      <c r="G294">
        <v>49.61</v>
      </c>
      <c r="H294">
        <v>49.95</v>
      </c>
      <c r="I294">
        <v>49.5</v>
      </c>
      <c r="J294">
        <v>49.95</v>
      </c>
      <c r="K294" t="s">
        <v>1362</v>
      </c>
      <c r="L294">
        <v>0.55000000000000004</v>
      </c>
      <c r="M294">
        <v>49.85</v>
      </c>
      <c r="N294">
        <v>1</v>
      </c>
      <c r="O294">
        <v>49.92</v>
      </c>
      <c r="P294">
        <v>11</v>
      </c>
      <c r="Q294">
        <v>0</v>
      </c>
    </row>
    <row r="295" spans="2:17">
      <c r="B295" t="str">
        <f>"00686R"</f>
        <v>00686R</v>
      </c>
      <c r="C295" t="s">
        <v>1617</v>
      </c>
      <c r="D295" s="3">
        <v>546000</v>
      </c>
      <c r="E295">
        <v>30</v>
      </c>
      <c r="F295" s="3">
        <v>1893880</v>
      </c>
      <c r="G295">
        <v>3.47</v>
      </c>
      <c r="H295">
        <v>3.47</v>
      </c>
      <c r="I295">
        <v>3.46</v>
      </c>
      <c r="J295">
        <v>3.46</v>
      </c>
      <c r="K295" t="s">
        <v>1</v>
      </c>
      <c r="L295">
        <v>0.02</v>
      </c>
      <c r="M295">
        <v>3.46</v>
      </c>
      <c r="N295">
        <v>2</v>
      </c>
      <c r="O295">
        <v>3.47</v>
      </c>
      <c r="P295">
        <v>98</v>
      </c>
      <c r="Q295">
        <v>0</v>
      </c>
    </row>
    <row r="296" spans="2:17">
      <c r="B296" t="str">
        <f>"00688L"</f>
        <v>00688L</v>
      </c>
      <c r="C296" t="s">
        <v>1618</v>
      </c>
      <c r="D296" s="3">
        <v>1000</v>
      </c>
      <c r="E296">
        <v>1</v>
      </c>
      <c r="F296" s="3">
        <v>25380</v>
      </c>
      <c r="G296">
        <v>25.38</v>
      </c>
      <c r="H296">
        <v>25.38</v>
      </c>
      <c r="I296">
        <v>25.38</v>
      </c>
      <c r="J296">
        <v>25.38</v>
      </c>
      <c r="K296" t="s">
        <v>1</v>
      </c>
      <c r="L296">
        <v>0.01</v>
      </c>
      <c r="M296">
        <v>25.44</v>
      </c>
      <c r="N296">
        <v>55</v>
      </c>
      <c r="O296">
        <v>25.5</v>
      </c>
      <c r="P296">
        <v>137</v>
      </c>
      <c r="Q296">
        <v>0</v>
      </c>
    </row>
    <row r="297" spans="2:17">
      <c r="B297" t="str">
        <f>"00689R"</f>
        <v>00689R</v>
      </c>
      <c r="C297" t="s">
        <v>1619</v>
      </c>
      <c r="D297" s="3">
        <v>3000</v>
      </c>
      <c r="E297">
        <v>2</v>
      </c>
      <c r="F297" s="3">
        <v>40960</v>
      </c>
      <c r="G297">
        <v>13.66</v>
      </c>
      <c r="H297">
        <v>13.66</v>
      </c>
      <c r="I297">
        <v>13.65</v>
      </c>
      <c r="J297">
        <v>13.65</v>
      </c>
      <c r="K297" t="s">
        <v>1</v>
      </c>
      <c r="L297">
        <v>0.01</v>
      </c>
      <c r="M297">
        <v>13.65</v>
      </c>
      <c r="N297">
        <v>1</v>
      </c>
      <c r="O297">
        <v>13.66</v>
      </c>
      <c r="P297">
        <v>99</v>
      </c>
      <c r="Q297">
        <v>0</v>
      </c>
    </row>
    <row r="298" spans="2:17">
      <c r="B298" t="str">
        <f>"00690"</f>
        <v>00690</v>
      </c>
      <c r="C298" t="s">
        <v>1620</v>
      </c>
      <c r="D298" s="3">
        <v>170649</v>
      </c>
      <c r="E298">
        <v>88</v>
      </c>
      <c r="F298" s="3">
        <v>5870625</v>
      </c>
      <c r="G298">
        <v>34.26</v>
      </c>
      <c r="H298">
        <v>34.46</v>
      </c>
      <c r="I298">
        <v>34.26</v>
      </c>
      <c r="J298">
        <v>34.43</v>
      </c>
      <c r="K298" t="s">
        <v>1362</v>
      </c>
      <c r="L298">
        <v>0.21</v>
      </c>
      <c r="M298">
        <v>34.43</v>
      </c>
      <c r="N298">
        <v>20</v>
      </c>
      <c r="O298">
        <v>34.450000000000003</v>
      </c>
      <c r="P298">
        <v>1</v>
      </c>
      <c r="Q298">
        <v>0</v>
      </c>
    </row>
    <row r="299" spans="2:17">
      <c r="B299" t="str">
        <f>"00692"</f>
        <v>00692</v>
      </c>
      <c r="C299" t="s">
        <v>1621</v>
      </c>
      <c r="D299" s="3">
        <v>2599294</v>
      </c>
      <c r="E299" s="3">
        <v>1567</v>
      </c>
      <c r="F299" s="3">
        <v>92947433</v>
      </c>
      <c r="G299">
        <v>35.64</v>
      </c>
      <c r="H299">
        <v>35.840000000000003</v>
      </c>
      <c r="I299">
        <v>35.64</v>
      </c>
      <c r="J299">
        <v>35.83</v>
      </c>
      <c r="K299" t="s">
        <v>1362</v>
      </c>
      <c r="L299">
        <v>0.27</v>
      </c>
      <c r="M299">
        <v>35.82</v>
      </c>
      <c r="N299">
        <v>59</v>
      </c>
      <c r="O299">
        <v>35.83</v>
      </c>
      <c r="P299">
        <v>25</v>
      </c>
      <c r="Q299">
        <v>0</v>
      </c>
    </row>
    <row r="300" spans="2:17">
      <c r="B300" t="str">
        <f>"00693U"</f>
        <v>00693U</v>
      </c>
      <c r="C300" t="s">
        <v>1622</v>
      </c>
      <c r="D300" s="3">
        <v>639402</v>
      </c>
      <c r="E300">
        <v>313</v>
      </c>
      <c r="F300" s="3">
        <v>13870397</v>
      </c>
      <c r="G300">
        <v>21.51</v>
      </c>
      <c r="H300">
        <v>21.77</v>
      </c>
      <c r="I300">
        <v>21.51</v>
      </c>
      <c r="J300">
        <v>21.77</v>
      </c>
      <c r="K300" t="s">
        <v>1362</v>
      </c>
      <c r="L300">
        <v>0.49</v>
      </c>
      <c r="M300">
        <v>21.76</v>
      </c>
      <c r="N300">
        <v>2</v>
      </c>
      <c r="O300">
        <v>21.77</v>
      </c>
      <c r="P300">
        <v>22</v>
      </c>
      <c r="Q300">
        <v>0</v>
      </c>
    </row>
    <row r="301" spans="2:17">
      <c r="B301" t="str">
        <f>"00700"</f>
        <v>00700</v>
      </c>
      <c r="C301" t="s">
        <v>1623</v>
      </c>
      <c r="D301" s="3">
        <v>352058</v>
      </c>
      <c r="E301">
        <v>75</v>
      </c>
      <c r="F301" s="3">
        <v>5158227</v>
      </c>
      <c r="G301">
        <v>14.71</v>
      </c>
      <c r="H301">
        <v>14.72</v>
      </c>
      <c r="I301">
        <v>14.58</v>
      </c>
      <c r="J301">
        <v>14.66</v>
      </c>
      <c r="K301" t="s">
        <v>1</v>
      </c>
      <c r="L301">
        <v>0.04</v>
      </c>
      <c r="M301">
        <v>14.64</v>
      </c>
      <c r="N301">
        <v>5</v>
      </c>
      <c r="O301">
        <v>14.7</v>
      </c>
      <c r="P301">
        <v>10</v>
      </c>
      <c r="Q301">
        <v>0</v>
      </c>
    </row>
    <row r="302" spans="2:17">
      <c r="B302" t="str">
        <f>"00701"</f>
        <v>00701</v>
      </c>
      <c r="C302" t="s">
        <v>1624</v>
      </c>
      <c r="D302" s="3">
        <v>543839</v>
      </c>
      <c r="E302">
        <v>495</v>
      </c>
      <c r="F302" s="3">
        <v>14574185</v>
      </c>
      <c r="G302">
        <v>26.71</v>
      </c>
      <c r="H302">
        <v>26.88</v>
      </c>
      <c r="I302">
        <v>26.71</v>
      </c>
      <c r="J302">
        <v>26.87</v>
      </c>
      <c r="K302" t="s">
        <v>1362</v>
      </c>
      <c r="L302">
        <v>0.16</v>
      </c>
      <c r="M302">
        <v>26.87</v>
      </c>
      <c r="N302">
        <v>5</v>
      </c>
      <c r="O302">
        <v>26.88</v>
      </c>
      <c r="P302">
        <v>9</v>
      </c>
      <c r="Q302">
        <v>0</v>
      </c>
    </row>
    <row r="303" spans="2:17">
      <c r="B303" t="str">
        <f>"00702"</f>
        <v>00702</v>
      </c>
      <c r="C303" t="s">
        <v>1625</v>
      </c>
      <c r="D303" s="3">
        <v>105344</v>
      </c>
      <c r="E303">
        <v>32</v>
      </c>
      <c r="F303" s="3">
        <v>2154240</v>
      </c>
      <c r="G303">
        <v>20.48</v>
      </c>
      <c r="H303">
        <v>20.48</v>
      </c>
      <c r="I303">
        <v>20.440000000000001</v>
      </c>
      <c r="J303">
        <v>20.46</v>
      </c>
      <c r="K303" t="s">
        <v>1362</v>
      </c>
      <c r="L303">
        <v>0.12</v>
      </c>
      <c r="M303">
        <v>20.440000000000001</v>
      </c>
      <c r="N303">
        <v>39</v>
      </c>
      <c r="O303">
        <v>20.48</v>
      </c>
      <c r="P303">
        <v>10</v>
      </c>
      <c r="Q303">
        <v>0</v>
      </c>
    </row>
    <row r="304" spans="2:17">
      <c r="B304" t="str">
        <f>"00703"</f>
        <v>00703</v>
      </c>
      <c r="C304" t="s">
        <v>1626</v>
      </c>
      <c r="D304" s="3">
        <v>53524</v>
      </c>
      <c r="E304">
        <v>72</v>
      </c>
      <c r="F304" s="3">
        <v>1011126</v>
      </c>
      <c r="G304">
        <v>18.940000000000001</v>
      </c>
      <c r="H304">
        <v>18.95</v>
      </c>
      <c r="I304">
        <v>18.68</v>
      </c>
      <c r="J304">
        <v>18.899999999999999</v>
      </c>
      <c r="K304" t="s">
        <v>1</v>
      </c>
      <c r="L304">
        <v>0.04</v>
      </c>
      <c r="M304">
        <v>18.75</v>
      </c>
      <c r="N304">
        <v>5</v>
      </c>
      <c r="O304">
        <v>18.829999999999998</v>
      </c>
      <c r="P304">
        <v>1</v>
      </c>
      <c r="Q304">
        <v>0</v>
      </c>
    </row>
    <row r="305" spans="2:17">
      <c r="B305" t="str">
        <f>"00706L"</f>
        <v>00706L</v>
      </c>
      <c r="C305" t="s">
        <v>1627</v>
      </c>
      <c r="D305" s="3">
        <v>144000</v>
      </c>
      <c r="E305">
        <v>38</v>
      </c>
      <c r="F305" s="3">
        <v>2074110</v>
      </c>
      <c r="G305">
        <v>14.41</v>
      </c>
      <c r="H305">
        <v>14.43</v>
      </c>
      <c r="I305">
        <v>14.38</v>
      </c>
      <c r="J305">
        <v>14.43</v>
      </c>
      <c r="K305" t="s">
        <v>1</v>
      </c>
      <c r="L305">
        <v>0.08</v>
      </c>
      <c r="M305">
        <v>14.42</v>
      </c>
      <c r="N305">
        <v>2</v>
      </c>
      <c r="O305">
        <v>14.43</v>
      </c>
      <c r="P305">
        <v>88</v>
      </c>
      <c r="Q305">
        <v>0</v>
      </c>
    </row>
    <row r="306" spans="2:17">
      <c r="B306" t="str">
        <f>"00707R"</f>
        <v>00707R</v>
      </c>
      <c r="C306" t="s">
        <v>1628</v>
      </c>
      <c r="D306" s="3">
        <v>62000</v>
      </c>
      <c r="E306">
        <v>31</v>
      </c>
      <c r="F306" s="3">
        <v>1270380</v>
      </c>
      <c r="G306">
        <v>20.49</v>
      </c>
      <c r="H306">
        <v>20.49</v>
      </c>
      <c r="I306">
        <v>20.49</v>
      </c>
      <c r="J306">
        <v>20.49</v>
      </c>
      <c r="K306" t="s">
        <v>1572</v>
      </c>
      <c r="L306">
        <v>0</v>
      </c>
      <c r="M306">
        <v>20.48</v>
      </c>
      <c r="N306">
        <v>23</v>
      </c>
      <c r="O306">
        <v>20.51</v>
      </c>
      <c r="P306">
        <v>10</v>
      </c>
      <c r="Q306">
        <v>0</v>
      </c>
    </row>
    <row r="307" spans="2:17">
      <c r="B307" t="str">
        <f>"00708L"</f>
        <v>00708L</v>
      </c>
      <c r="C307" t="s">
        <v>1629</v>
      </c>
      <c r="D307" s="3">
        <v>631140</v>
      </c>
      <c r="E307">
        <v>146</v>
      </c>
      <c r="F307" s="3">
        <v>16498146</v>
      </c>
      <c r="G307">
        <v>26.18</v>
      </c>
      <c r="H307">
        <v>26.18</v>
      </c>
      <c r="I307">
        <v>26.1</v>
      </c>
      <c r="J307">
        <v>26.16</v>
      </c>
      <c r="K307" t="s">
        <v>1362</v>
      </c>
      <c r="L307">
        <v>0.04</v>
      </c>
      <c r="M307">
        <v>26.16</v>
      </c>
      <c r="N307">
        <v>31</v>
      </c>
      <c r="O307">
        <v>26.17</v>
      </c>
      <c r="P307">
        <v>3</v>
      </c>
      <c r="Q307">
        <v>0</v>
      </c>
    </row>
    <row r="308" spans="2:17">
      <c r="B308" t="str">
        <f>"00709"</f>
        <v>00709</v>
      </c>
      <c r="C308" t="s">
        <v>1630</v>
      </c>
      <c r="D308" s="3">
        <v>111276</v>
      </c>
      <c r="E308">
        <v>57</v>
      </c>
      <c r="F308" s="3">
        <v>2665286</v>
      </c>
      <c r="G308">
        <v>23.95</v>
      </c>
      <c r="H308">
        <v>23.99</v>
      </c>
      <c r="I308">
        <v>23.89</v>
      </c>
      <c r="J308">
        <v>23.95</v>
      </c>
      <c r="K308" t="s">
        <v>1362</v>
      </c>
      <c r="L308">
        <v>0.12</v>
      </c>
      <c r="M308">
        <v>23.89</v>
      </c>
      <c r="N308">
        <v>27</v>
      </c>
      <c r="O308">
        <v>23.95</v>
      </c>
      <c r="P308">
        <v>5</v>
      </c>
      <c r="Q308">
        <v>0</v>
      </c>
    </row>
    <row r="309" spans="2:17">
      <c r="B309" t="str">
        <f>"00710B"</f>
        <v>00710B</v>
      </c>
      <c r="C309" t="s">
        <v>1631</v>
      </c>
      <c r="D309" s="3">
        <v>605971</v>
      </c>
      <c r="E309">
        <v>182</v>
      </c>
      <c r="F309" s="3">
        <v>10834147</v>
      </c>
      <c r="G309">
        <v>17.88</v>
      </c>
      <c r="H309">
        <v>17.89</v>
      </c>
      <c r="I309">
        <v>17.87</v>
      </c>
      <c r="J309">
        <v>17.89</v>
      </c>
      <c r="K309" t="s">
        <v>1362</v>
      </c>
      <c r="L309">
        <v>0.01</v>
      </c>
      <c r="M309">
        <v>17.88</v>
      </c>
      <c r="N309">
        <v>8</v>
      </c>
      <c r="O309">
        <v>17.89</v>
      </c>
      <c r="P309">
        <v>23</v>
      </c>
      <c r="Q309">
        <v>0</v>
      </c>
    </row>
    <row r="310" spans="2:17">
      <c r="B310" t="str">
        <f>"00711B"</f>
        <v>00711B</v>
      </c>
      <c r="C310" t="s">
        <v>1632</v>
      </c>
      <c r="D310" s="3">
        <v>106208</v>
      </c>
      <c r="E310">
        <v>33</v>
      </c>
      <c r="F310" s="3">
        <v>2135843</v>
      </c>
      <c r="G310">
        <v>20.14</v>
      </c>
      <c r="H310">
        <v>20.14</v>
      </c>
      <c r="I310">
        <v>20.100000000000001</v>
      </c>
      <c r="J310">
        <v>20.100000000000001</v>
      </c>
      <c r="K310" t="s">
        <v>1328</v>
      </c>
      <c r="L310">
        <v>0</v>
      </c>
      <c r="M310">
        <v>20.079999999999998</v>
      </c>
      <c r="N310">
        <v>199</v>
      </c>
      <c r="O310">
        <v>20.100000000000001</v>
      </c>
      <c r="P310">
        <v>1</v>
      </c>
      <c r="Q310">
        <v>0</v>
      </c>
    </row>
    <row r="311" spans="2:17">
      <c r="B311" t="str">
        <f>"00712"</f>
        <v>00712</v>
      </c>
      <c r="C311" t="s">
        <v>1633</v>
      </c>
      <c r="D311" s="3">
        <v>2775778</v>
      </c>
      <c r="E311" s="3">
        <v>1203</v>
      </c>
      <c r="F311" s="3">
        <v>37289974</v>
      </c>
      <c r="G311">
        <v>13.43</v>
      </c>
      <c r="H311">
        <v>13.46</v>
      </c>
      <c r="I311">
        <v>13.42</v>
      </c>
      <c r="J311">
        <v>13.44</v>
      </c>
      <c r="K311" t="s">
        <v>1362</v>
      </c>
      <c r="L311">
        <v>0.03</v>
      </c>
      <c r="M311">
        <v>13.43</v>
      </c>
      <c r="N311">
        <v>50</v>
      </c>
      <c r="O311">
        <v>13.44</v>
      </c>
      <c r="P311">
        <v>536</v>
      </c>
      <c r="Q311">
        <v>0</v>
      </c>
    </row>
    <row r="312" spans="2:17">
      <c r="B312" t="str">
        <f>"00713"</f>
        <v>00713</v>
      </c>
      <c r="C312" t="s">
        <v>1634</v>
      </c>
      <c r="D312" s="3">
        <v>1682941</v>
      </c>
      <c r="E312">
        <v>700</v>
      </c>
      <c r="F312" s="3">
        <v>71728800</v>
      </c>
      <c r="G312">
        <v>42.57</v>
      </c>
      <c r="H312">
        <v>42.67</v>
      </c>
      <c r="I312">
        <v>42.56</v>
      </c>
      <c r="J312">
        <v>42.63</v>
      </c>
      <c r="K312" t="s">
        <v>1362</v>
      </c>
      <c r="L312">
        <v>0.06</v>
      </c>
      <c r="M312">
        <v>42.63</v>
      </c>
      <c r="N312">
        <v>43</v>
      </c>
      <c r="O312">
        <v>42.64</v>
      </c>
      <c r="P312">
        <v>1</v>
      </c>
      <c r="Q312">
        <v>0</v>
      </c>
    </row>
    <row r="313" spans="2:17">
      <c r="B313" t="str">
        <f>"00714"</f>
        <v>00714</v>
      </c>
      <c r="C313" t="s">
        <v>1635</v>
      </c>
      <c r="D313" s="3">
        <v>271546</v>
      </c>
      <c r="E313">
        <v>57</v>
      </c>
      <c r="F313" s="3">
        <v>6379108</v>
      </c>
      <c r="G313">
        <v>23.49</v>
      </c>
      <c r="H313">
        <v>23.51</v>
      </c>
      <c r="I313">
        <v>23.48</v>
      </c>
      <c r="J313">
        <v>23.48</v>
      </c>
      <c r="K313" t="s">
        <v>1362</v>
      </c>
      <c r="L313">
        <v>0.28000000000000003</v>
      </c>
      <c r="M313">
        <v>23.48</v>
      </c>
      <c r="N313">
        <v>11</v>
      </c>
      <c r="O313">
        <v>23.49</v>
      </c>
      <c r="P313">
        <v>4</v>
      </c>
      <c r="Q313">
        <v>0</v>
      </c>
    </row>
    <row r="314" spans="2:17">
      <c r="B314" t="str">
        <f>"00715L"</f>
        <v>00715L</v>
      </c>
      <c r="C314" t="s">
        <v>1636</v>
      </c>
      <c r="D314" s="3">
        <v>56973510</v>
      </c>
      <c r="E314" s="3">
        <v>5698</v>
      </c>
      <c r="F314" s="3">
        <v>583794738</v>
      </c>
      <c r="G314">
        <v>10.18</v>
      </c>
      <c r="H314">
        <v>10.29</v>
      </c>
      <c r="I314">
        <v>10.17</v>
      </c>
      <c r="J314">
        <v>10.24</v>
      </c>
      <c r="K314" t="s">
        <v>1362</v>
      </c>
      <c r="L314">
        <v>0.56999999999999995</v>
      </c>
      <c r="M314">
        <v>10.23</v>
      </c>
      <c r="N314" s="3">
        <v>1962</v>
      </c>
      <c r="O314">
        <v>10.24</v>
      </c>
      <c r="P314">
        <v>493</v>
      </c>
      <c r="Q314">
        <v>0</v>
      </c>
    </row>
    <row r="315" spans="2:17">
      <c r="B315" t="str">
        <f>"00717"</f>
        <v>00717</v>
      </c>
      <c r="C315" t="s">
        <v>1637</v>
      </c>
      <c r="D315" s="3">
        <v>666112</v>
      </c>
      <c r="E315">
        <v>195</v>
      </c>
      <c r="F315" s="3">
        <v>11043564</v>
      </c>
      <c r="G315">
        <v>16.559999999999999</v>
      </c>
      <c r="H315">
        <v>16.600000000000001</v>
      </c>
      <c r="I315">
        <v>16.559999999999999</v>
      </c>
      <c r="J315">
        <v>16.579999999999998</v>
      </c>
      <c r="K315" t="s">
        <v>1</v>
      </c>
      <c r="L315">
        <v>0.02</v>
      </c>
      <c r="M315">
        <v>16.57</v>
      </c>
      <c r="N315">
        <v>162</v>
      </c>
      <c r="O315">
        <v>16.579999999999998</v>
      </c>
      <c r="P315">
        <v>4</v>
      </c>
      <c r="Q315">
        <v>0</v>
      </c>
    </row>
    <row r="316" spans="2:17">
      <c r="B316" t="str">
        <f>"00728"</f>
        <v>00728</v>
      </c>
      <c r="C316" t="s">
        <v>1638</v>
      </c>
      <c r="D316" s="3">
        <v>491680</v>
      </c>
      <c r="E316">
        <v>308</v>
      </c>
      <c r="F316" s="3">
        <v>15424595</v>
      </c>
      <c r="G316">
        <v>31.17</v>
      </c>
      <c r="H316">
        <v>31.45</v>
      </c>
      <c r="I316">
        <v>31.17</v>
      </c>
      <c r="J316">
        <v>31.45</v>
      </c>
      <c r="K316" t="s">
        <v>1362</v>
      </c>
      <c r="L316">
        <v>0.28000000000000003</v>
      </c>
      <c r="M316">
        <v>31.44</v>
      </c>
      <c r="N316">
        <v>1</v>
      </c>
      <c r="O316">
        <v>31.45</v>
      </c>
      <c r="P316">
        <v>3</v>
      </c>
      <c r="Q316">
        <v>0</v>
      </c>
    </row>
    <row r="317" spans="2:17">
      <c r="B317" t="str">
        <f>"00730"</f>
        <v>00730</v>
      </c>
      <c r="C317" t="s">
        <v>1639</v>
      </c>
      <c r="D317" s="3">
        <v>322171</v>
      </c>
      <c r="E317">
        <v>234</v>
      </c>
      <c r="F317" s="3">
        <v>6356993</v>
      </c>
      <c r="G317">
        <v>19.75</v>
      </c>
      <c r="H317">
        <v>19.760000000000002</v>
      </c>
      <c r="I317">
        <v>19.71</v>
      </c>
      <c r="J317">
        <v>19.72</v>
      </c>
      <c r="K317" t="s">
        <v>1362</v>
      </c>
      <c r="L317">
        <v>0.01</v>
      </c>
      <c r="M317">
        <v>19.72</v>
      </c>
      <c r="N317">
        <v>3</v>
      </c>
      <c r="O317">
        <v>19.73</v>
      </c>
      <c r="P317">
        <v>2</v>
      </c>
      <c r="Q317">
        <v>0</v>
      </c>
    </row>
    <row r="318" spans="2:17">
      <c r="B318" t="str">
        <f>"00731"</f>
        <v>00731</v>
      </c>
      <c r="C318" t="s">
        <v>1640</v>
      </c>
      <c r="D318" s="3">
        <v>1372143</v>
      </c>
      <c r="E318">
        <v>368</v>
      </c>
      <c r="F318" s="3">
        <v>80824817</v>
      </c>
      <c r="G318">
        <v>58.75</v>
      </c>
      <c r="H318">
        <v>59</v>
      </c>
      <c r="I318">
        <v>58.75</v>
      </c>
      <c r="J318">
        <v>59</v>
      </c>
      <c r="K318" t="s">
        <v>1362</v>
      </c>
      <c r="L318">
        <v>0.3</v>
      </c>
      <c r="M318">
        <v>58.95</v>
      </c>
      <c r="N318">
        <v>33</v>
      </c>
      <c r="O318">
        <v>59</v>
      </c>
      <c r="P318">
        <v>16</v>
      </c>
      <c r="Q318">
        <v>0</v>
      </c>
    </row>
    <row r="319" spans="2:17">
      <c r="B319" t="str">
        <f>"00732"</f>
        <v>00732</v>
      </c>
      <c r="C319" t="s">
        <v>1641</v>
      </c>
      <c r="D319" s="3">
        <v>100000</v>
      </c>
      <c r="E319">
        <v>2</v>
      </c>
      <c r="F319" s="3">
        <v>4007000</v>
      </c>
      <c r="G319">
        <v>40.07</v>
      </c>
      <c r="H319">
        <v>40.07</v>
      </c>
      <c r="I319">
        <v>40.07</v>
      </c>
      <c r="J319">
        <v>40.07</v>
      </c>
      <c r="K319" t="s">
        <v>1</v>
      </c>
      <c r="L319">
        <v>7.0000000000000007E-2</v>
      </c>
      <c r="M319">
        <v>39.89</v>
      </c>
      <c r="N319">
        <v>21</v>
      </c>
      <c r="O319">
        <v>40.15</v>
      </c>
      <c r="P319">
        <v>4</v>
      </c>
      <c r="Q319">
        <v>0</v>
      </c>
    </row>
    <row r="320" spans="2:17">
      <c r="B320" t="str">
        <f>"00733"</f>
        <v>00733</v>
      </c>
      <c r="C320" t="s">
        <v>1642</v>
      </c>
      <c r="D320" s="3">
        <v>333450</v>
      </c>
      <c r="E320">
        <v>226</v>
      </c>
      <c r="F320" s="3">
        <v>13985297</v>
      </c>
      <c r="G320">
        <v>42</v>
      </c>
      <c r="H320">
        <v>42.04</v>
      </c>
      <c r="I320">
        <v>41.91</v>
      </c>
      <c r="J320">
        <v>41.93</v>
      </c>
      <c r="K320" t="s">
        <v>1362</v>
      </c>
      <c r="L320">
        <v>0.09</v>
      </c>
      <c r="M320">
        <v>41.93</v>
      </c>
      <c r="N320">
        <v>17</v>
      </c>
      <c r="O320">
        <v>41.95</v>
      </c>
      <c r="P320">
        <v>21</v>
      </c>
      <c r="Q320">
        <v>0</v>
      </c>
    </row>
    <row r="321" spans="2:17">
      <c r="B321" t="str">
        <f>"00735"</f>
        <v>00735</v>
      </c>
      <c r="C321" t="s">
        <v>1643</v>
      </c>
      <c r="D321" s="3">
        <v>113173</v>
      </c>
      <c r="E321">
        <v>33</v>
      </c>
      <c r="F321" s="3">
        <v>3779853</v>
      </c>
      <c r="G321">
        <v>33.4</v>
      </c>
      <c r="H321">
        <v>33.47</v>
      </c>
      <c r="I321">
        <v>33.4</v>
      </c>
      <c r="J321">
        <v>33.47</v>
      </c>
      <c r="K321" t="s">
        <v>1362</v>
      </c>
      <c r="L321">
        <v>0.06</v>
      </c>
      <c r="M321">
        <v>33.39</v>
      </c>
      <c r="N321">
        <v>1</v>
      </c>
      <c r="O321">
        <v>33.51</v>
      </c>
      <c r="P321">
        <v>20</v>
      </c>
      <c r="Q321">
        <v>0</v>
      </c>
    </row>
    <row r="322" spans="2:17">
      <c r="B322" t="str">
        <f>"00736"</f>
        <v>00736</v>
      </c>
      <c r="C322" t="s">
        <v>1644</v>
      </c>
      <c r="D322" s="3">
        <v>172767</v>
      </c>
      <c r="E322">
        <v>43</v>
      </c>
      <c r="F322" s="3">
        <v>3766716</v>
      </c>
      <c r="G322">
        <v>21.79</v>
      </c>
      <c r="H322">
        <v>21.82</v>
      </c>
      <c r="I322">
        <v>21.79</v>
      </c>
      <c r="J322">
        <v>21.82</v>
      </c>
      <c r="K322" t="s">
        <v>1328</v>
      </c>
      <c r="L322">
        <v>0</v>
      </c>
      <c r="M322">
        <v>21.82</v>
      </c>
      <c r="N322">
        <v>1</v>
      </c>
      <c r="O322">
        <v>21.86</v>
      </c>
      <c r="P322">
        <v>20</v>
      </c>
      <c r="Q322">
        <v>0</v>
      </c>
    </row>
    <row r="323" spans="2:17">
      <c r="B323" t="str">
        <f>"00737"</f>
        <v>00737</v>
      </c>
      <c r="C323" t="s">
        <v>1645</v>
      </c>
      <c r="D323" s="3">
        <v>361600</v>
      </c>
      <c r="E323">
        <v>96</v>
      </c>
      <c r="F323" s="3">
        <v>12238564</v>
      </c>
      <c r="G323">
        <v>33.770000000000003</v>
      </c>
      <c r="H323">
        <v>33.86</v>
      </c>
      <c r="I323">
        <v>33.770000000000003</v>
      </c>
      <c r="J323">
        <v>33.840000000000003</v>
      </c>
      <c r="K323" t="s">
        <v>1362</v>
      </c>
      <c r="L323">
        <v>0.25</v>
      </c>
      <c r="M323">
        <v>33.840000000000003</v>
      </c>
      <c r="N323">
        <v>50</v>
      </c>
      <c r="O323">
        <v>33.85</v>
      </c>
      <c r="P323">
        <v>5</v>
      </c>
      <c r="Q323">
        <v>0</v>
      </c>
    </row>
    <row r="324" spans="2:17">
      <c r="B324" t="str">
        <f>"00738U"</f>
        <v>00738U</v>
      </c>
      <c r="C324" t="s">
        <v>1646</v>
      </c>
      <c r="D324" s="3">
        <v>575601</v>
      </c>
      <c r="E324">
        <v>222</v>
      </c>
      <c r="F324" s="3">
        <v>13476889</v>
      </c>
      <c r="G324">
        <v>23.41</v>
      </c>
      <c r="H324">
        <v>23.45</v>
      </c>
      <c r="I324">
        <v>23.38</v>
      </c>
      <c r="J324">
        <v>23.43</v>
      </c>
      <c r="K324" t="s">
        <v>1362</v>
      </c>
      <c r="L324">
        <v>0.27</v>
      </c>
      <c r="M324">
        <v>23.43</v>
      </c>
      <c r="N324">
        <v>2</v>
      </c>
      <c r="O324">
        <v>23.44</v>
      </c>
      <c r="P324">
        <v>6</v>
      </c>
      <c r="Q324">
        <v>0</v>
      </c>
    </row>
    <row r="325" spans="2:17">
      <c r="B325" t="str">
        <f>"00739"</f>
        <v>00739</v>
      </c>
      <c r="C325" t="s">
        <v>1647</v>
      </c>
      <c r="D325" s="3">
        <v>103742</v>
      </c>
      <c r="E325">
        <v>56</v>
      </c>
      <c r="F325" s="3">
        <v>2923378</v>
      </c>
      <c r="G325">
        <v>28.09</v>
      </c>
      <c r="H325">
        <v>28.25</v>
      </c>
      <c r="I325">
        <v>28.09</v>
      </c>
      <c r="J325">
        <v>28.17</v>
      </c>
      <c r="K325" t="s">
        <v>1362</v>
      </c>
      <c r="L325">
        <v>0.08</v>
      </c>
      <c r="M325">
        <v>28.1</v>
      </c>
      <c r="N325">
        <v>50</v>
      </c>
      <c r="O325">
        <v>28.17</v>
      </c>
      <c r="P325">
        <v>65</v>
      </c>
      <c r="Q325">
        <v>0</v>
      </c>
    </row>
    <row r="326" spans="2:17">
      <c r="B326" t="str">
        <f>"00742"</f>
        <v>00742</v>
      </c>
      <c r="C326" t="s">
        <v>1648</v>
      </c>
      <c r="D326" s="3">
        <v>127254</v>
      </c>
      <c r="E326">
        <v>114</v>
      </c>
      <c r="F326" s="3">
        <v>3036911</v>
      </c>
      <c r="G326">
        <v>23.88</v>
      </c>
      <c r="H326">
        <v>23.92</v>
      </c>
      <c r="I326">
        <v>23.84</v>
      </c>
      <c r="J326">
        <v>23.92</v>
      </c>
      <c r="K326" t="s">
        <v>1362</v>
      </c>
      <c r="L326">
        <v>0.04</v>
      </c>
      <c r="M326">
        <v>23.92</v>
      </c>
      <c r="N326">
        <v>2</v>
      </c>
      <c r="O326">
        <v>23.94</v>
      </c>
      <c r="P326">
        <v>1</v>
      </c>
      <c r="Q326">
        <v>0</v>
      </c>
    </row>
    <row r="327" spans="2:17">
      <c r="B327" t="str">
        <f>"00743"</f>
        <v>00743</v>
      </c>
      <c r="C327" t="s">
        <v>1649</v>
      </c>
      <c r="D327" s="3">
        <v>5359</v>
      </c>
      <c r="E327">
        <v>46</v>
      </c>
      <c r="F327" s="3">
        <v>160527</v>
      </c>
      <c r="G327">
        <v>30.12</v>
      </c>
      <c r="H327">
        <v>30.12</v>
      </c>
      <c r="I327">
        <v>30.02</v>
      </c>
      <c r="J327">
        <v>30.02</v>
      </c>
      <c r="K327" t="s">
        <v>1362</v>
      </c>
      <c r="L327">
        <v>0.42</v>
      </c>
      <c r="M327">
        <v>29.62</v>
      </c>
      <c r="N327">
        <v>1</v>
      </c>
      <c r="O327">
        <v>30</v>
      </c>
      <c r="P327">
        <v>3</v>
      </c>
      <c r="Q327">
        <v>0</v>
      </c>
    </row>
    <row r="328" spans="2:17">
      <c r="B328" t="str">
        <f>"00752"</f>
        <v>00752</v>
      </c>
      <c r="C328" t="s">
        <v>1650</v>
      </c>
      <c r="D328" s="3">
        <v>3068248</v>
      </c>
      <c r="E328" s="3">
        <v>1559</v>
      </c>
      <c r="F328" s="3">
        <v>64646396</v>
      </c>
      <c r="G328">
        <v>21.27</v>
      </c>
      <c r="H328">
        <v>21.34</v>
      </c>
      <c r="I328">
        <v>20.97</v>
      </c>
      <c r="J328">
        <v>21.07</v>
      </c>
      <c r="K328" t="s">
        <v>1</v>
      </c>
      <c r="L328">
        <v>0.2</v>
      </c>
      <c r="M328">
        <v>21.06</v>
      </c>
      <c r="N328">
        <v>62</v>
      </c>
      <c r="O328">
        <v>21.07</v>
      </c>
      <c r="P328">
        <v>45</v>
      </c>
      <c r="Q328">
        <v>0</v>
      </c>
    </row>
    <row r="329" spans="2:17">
      <c r="B329" t="str">
        <f>"00753L"</f>
        <v>00753L</v>
      </c>
      <c r="C329" t="s">
        <v>1651</v>
      </c>
      <c r="D329" s="3">
        <v>1219543</v>
      </c>
      <c r="E329">
        <v>416</v>
      </c>
      <c r="F329" s="3">
        <v>25280124</v>
      </c>
      <c r="G329">
        <v>20.91</v>
      </c>
      <c r="H329">
        <v>21.06</v>
      </c>
      <c r="I329">
        <v>20.53</v>
      </c>
      <c r="J329">
        <v>20.68</v>
      </c>
      <c r="K329" t="s">
        <v>1</v>
      </c>
      <c r="L329">
        <v>0.11</v>
      </c>
      <c r="M329">
        <v>20.67</v>
      </c>
      <c r="N329">
        <v>22</v>
      </c>
      <c r="O329">
        <v>20.68</v>
      </c>
      <c r="P329">
        <v>8</v>
      </c>
      <c r="Q329">
        <v>0</v>
      </c>
    </row>
    <row r="330" spans="2:17">
      <c r="B330" t="str">
        <f>"00757"</f>
        <v>00757</v>
      </c>
      <c r="C330" t="s">
        <v>1652</v>
      </c>
      <c r="D330" s="3">
        <v>1390361</v>
      </c>
      <c r="E330">
        <v>889</v>
      </c>
      <c r="F330" s="3">
        <v>71321323</v>
      </c>
      <c r="G330">
        <v>51.45</v>
      </c>
      <c r="H330">
        <v>51.45</v>
      </c>
      <c r="I330">
        <v>51.2</v>
      </c>
      <c r="J330">
        <v>51.25</v>
      </c>
      <c r="K330" t="s">
        <v>1362</v>
      </c>
      <c r="L330">
        <v>0.25</v>
      </c>
      <c r="M330">
        <v>51.25</v>
      </c>
      <c r="N330">
        <v>16</v>
      </c>
      <c r="O330">
        <v>51.3</v>
      </c>
      <c r="P330">
        <v>163</v>
      </c>
      <c r="Q330">
        <v>0</v>
      </c>
    </row>
    <row r="331" spans="2:17">
      <c r="B331" t="str">
        <f>"00762"</f>
        <v>00762</v>
      </c>
      <c r="C331" t="s">
        <v>1653</v>
      </c>
      <c r="D331" s="3">
        <v>382029</v>
      </c>
      <c r="E331">
        <v>145</v>
      </c>
      <c r="F331" s="3">
        <v>17485890</v>
      </c>
      <c r="G331">
        <v>45.79</v>
      </c>
      <c r="H331">
        <v>45.82</v>
      </c>
      <c r="I331">
        <v>45.73</v>
      </c>
      <c r="J331">
        <v>45.78</v>
      </c>
      <c r="K331" t="s">
        <v>1362</v>
      </c>
      <c r="L331">
        <v>0.6</v>
      </c>
      <c r="M331">
        <v>45.77</v>
      </c>
      <c r="N331">
        <v>1</v>
      </c>
      <c r="O331">
        <v>45.78</v>
      </c>
      <c r="P331">
        <v>12</v>
      </c>
      <c r="Q331">
        <v>0</v>
      </c>
    </row>
    <row r="332" spans="2:17">
      <c r="B332" t="str">
        <f>"00763U"</f>
        <v>00763U</v>
      </c>
      <c r="C332" t="s">
        <v>1654</v>
      </c>
      <c r="D332" s="3">
        <v>95300</v>
      </c>
      <c r="E332">
        <v>49</v>
      </c>
      <c r="F332" s="3">
        <v>2719490</v>
      </c>
      <c r="G332">
        <v>28.62</v>
      </c>
      <c r="H332">
        <v>28.62</v>
      </c>
      <c r="I332">
        <v>28.51</v>
      </c>
      <c r="J332">
        <v>28.55</v>
      </c>
      <c r="K332" t="s">
        <v>1362</v>
      </c>
      <c r="L332">
        <v>0.38</v>
      </c>
      <c r="M332">
        <v>28.54</v>
      </c>
      <c r="N332">
        <v>5</v>
      </c>
      <c r="O332">
        <v>28.56</v>
      </c>
      <c r="P332">
        <v>1</v>
      </c>
      <c r="Q332">
        <v>0</v>
      </c>
    </row>
    <row r="333" spans="2:17">
      <c r="B333" t="str">
        <f>"00770"</f>
        <v>00770</v>
      </c>
      <c r="C333" t="s">
        <v>1655</v>
      </c>
      <c r="D333" s="3">
        <v>112500</v>
      </c>
      <c r="E333">
        <v>48</v>
      </c>
      <c r="F333" s="3">
        <v>4604596</v>
      </c>
      <c r="G333">
        <v>40.950000000000003</v>
      </c>
      <c r="H333">
        <v>40.98</v>
      </c>
      <c r="I333">
        <v>40.93</v>
      </c>
      <c r="J333">
        <v>40.96</v>
      </c>
      <c r="K333" t="s">
        <v>1362</v>
      </c>
      <c r="L333">
        <v>0.45</v>
      </c>
      <c r="M333">
        <v>40.950000000000003</v>
      </c>
      <c r="N333">
        <v>100</v>
      </c>
      <c r="O333">
        <v>40.96</v>
      </c>
      <c r="P333">
        <v>1</v>
      </c>
      <c r="Q333">
        <v>0</v>
      </c>
    </row>
    <row r="334" spans="2:17">
      <c r="B334" t="str">
        <f>"00771"</f>
        <v>00771</v>
      </c>
      <c r="C334" t="s">
        <v>1656</v>
      </c>
      <c r="D334" s="3">
        <v>44707</v>
      </c>
      <c r="E334">
        <v>27</v>
      </c>
      <c r="F334" s="3">
        <v>840664</v>
      </c>
      <c r="G334">
        <v>18.78</v>
      </c>
      <c r="H334">
        <v>18.82</v>
      </c>
      <c r="I334">
        <v>18.739999999999998</v>
      </c>
      <c r="J334">
        <v>18.809999999999999</v>
      </c>
      <c r="K334" t="s">
        <v>1</v>
      </c>
      <c r="L334">
        <v>0.01</v>
      </c>
      <c r="M334">
        <v>18.809999999999999</v>
      </c>
      <c r="N334">
        <v>1</v>
      </c>
      <c r="O334">
        <v>18.82</v>
      </c>
      <c r="P334">
        <v>20</v>
      </c>
      <c r="Q334">
        <v>0</v>
      </c>
    </row>
    <row r="335" spans="2:17">
      <c r="B335" t="str">
        <f>"00774B"</f>
        <v>00774B</v>
      </c>
      <c r="C335" t="s">
        <v>1657</v>
      </c>
      <c r="D335" s="3">
        <v>2823</v>
      </c>
      <c r="E335">
        <v>42</v>
      </c>
      <c r="F335" s="3">
        <v>112752</v>
      </c>
      <c r="G335">
        <v>40.200000000000003</v>
      </c>
      <c r="H335">
        <v>40.200000000000003</v>
      </c>
      <c r="I335">
        <v>40.200000000000003</v>
      </c>
      <c r="J335">
        <v>40.200000000000003</v>
      </c>
      <c r="K335" t="s">
        <v>1</v>
      </c>
      <c r="L335">
        <v>0.23</v>
      </c>
      <c r="M335">
        <v>39.96</v>
      </c>
      <c r="N335">
        <v>10</v>
      </c>
      <c r="O335">
        <v>40.369999999999997</v>
      </c>
      <c r="P335">
        <v>10</v>
      </c>
      <c r="Q335">
        <v>0</v>
      </c>
    </row>
    <row r="336" spans="2:17">
      <c r="B336" t="str">
        <f>"00774C"</f>
        <v>00774C</v>
      </c>
      <c r="C336" t="s">
        <v>1658</v>
      </c>
      <c r="D336">
        <v>0</v>
      </c>
      <c r="E336">
        <v>0</v>
      </c>
      <c r="F336">
        <v>0</v>
      </c>
      <c r="G336" t="s">
        <v>1391</v>
      </c>
      <c r="H336" t="s">
        <v>1391</v>
      </c>
      <c r="I336" t="s">
        <v>1391</v>
      </c>
      <c r="J336" t="s">
        <v>1391</v>
      </c>
      <c r="K336" t="s">
        <v>1328</v>
      </c>
      <c r="L336">
        <v>0</v>
      </c>
      <c r="M336">
        <v>9.19</v>
      </c>
      <c r="N336">
        <v>5</v>
      </c>
      <c r="O336">
        <v>9.3000000000000007</v>
      </c>
      <c r="P336">
        <v>2</v>
      </c>
      <c r="Q336">
        <v>0</v>
      </c>
    </row>
    <row r="337" spans="2:17">
      <c r="B337" t="str">
        <f>"00775B"</f>
        <v>00775B</v>
      </c>
      <c r="C337" t="s">
        <v>1659</v>
      </c>
      <c r="D337" s="3">
        <v>2522</v>
      </c>
      <c r="E337">
        <v>42</v>
      </c>
      <c r="F337" s="3">
        <v>105066</v>
      </c>
      <c r="G337">
        <v>41.85</v>
      </c>
      <c r="H337">
        <v>41.85</v>
      </c>
      <c r="I337">
        <v>41.85</v>
      </c>
      <c r="J337">
        <v>41.85</v>
      </c>
      <c r="K337" t="s">
        <v>1</v>
      </c>
      <c r="L337">
        <v>0.18</v>
      </c>
      <c r="M337">
        <v>41.85</v>
      </c>
      <c r="N337">
        <v>100</v>
      </c>
      <c r="O337">
        <v>41.89</v>
      </c>
      <c r="P337">
        <v>5</v>
      </c>
      <c r="Q337">
        <v>0</v>
      </c>
    </row>
    <row r="338" spans="2:17">
      <c r="B338" t="str">
        <f>"00783"</f>
        <v>00783</v>
      </c>
      <c r="C338" t="s">
        <v>1660</v>
      </c>
      <c r="D338" s="3">
        <v>313599</v>
      </c>
      <c r="E338">
        <v>45</v>
      </c>
      <c r="F338" s="3">
        <v>7621359</v>
      </c>
      <c r="G338">
        <v>24.39</v>
      </c>
      <c r="H338">
        <v>24.39</v>
      </c>
      <c r="I338">
        <v>24.26</v>
      </c>
      <c r="J338">
        <v>24.34</v>
      </c>
      <c r="K338" t="s">
        <v>1</v>
      </c>
      <c r="L338">
        <v>7.0000000000000007E-2</v>
      </c>
      <c r="M338">
        <v>24.25</v>
      </c>
      <c r="N338">
        <v>50</v>
      </c>
      <c r="O338">
        <v>24.34</v>
      </c>
      <c r="P338">
        <v>1</v>
      </c>
      <c r="Q338">
        <v>0</v>
      </c>
    </row>
    <row r="339" spans="2:17">
      <c r="B339" t="str">
        <f>"008201"</f>
        <v>008201</v>
      </c>
      <c r="C339" t="s">
        <v>1661</v>
      </c>
      <c r="D339">
        <v>100</v>
      </c>
      <c r="E339">
        <v>1</v>
      </c>
      <c r="F339" s="3">
        <v>11905</v>
      </c>
      <c r="G339">
        <v>119.05</v>
      </c>
      <c r="H339">
        <v>119.05</v>
      </c>
      <c r="I339">
        <v>119.05</v>
      </c>
      <c r="J339">
        <v>119.05</v>
      </c>
      <c r="K339" t="s">
        <v>1</v>
      </c>
      <c r="L339">
        <v>0.95</v>
      </c>
      <c r="M339">
        <v>118.95</v>
      </c>
      <c r="N339">
        <v>4</v>
      </c>
      <c r="O339">
        <v>119.95</v>
      </c>
      <c r="P339">
        <v>3</v>
      </c>
      <c r="Q339">
        <v>0</v>
      </c>
    </row>
    <row r="340" spans="2:17">
      <c r="B340" t="str">
        <f>"00830"</f>
        <v>00830</v>
      </c>
      <c r="C340" t="s">
        <v>1662</v>
      </c>
      <c r="D340" s="3">
        <v>2330723</v>
      </c>
      <c r="E340">
        <v>535</v>
      </c>
      <c r="F340" s="3">
        <v>82233228</v>
      </c>
      <c r="G340">
        <v>35.299999999999997</v>
      </c>
      <c r="H340">
        <v>35.31</v>
      </c>
      <c r="I340">
        <v>35.25</v>
      </c>
      <c r="J340">
        <v>35.28</v>
      </c>
      <c r="K340" t="s">
        <v>1362</v>
      </c>
      <c r="L340">
        <v>0.7</v>
      </c>
      <c r="M340">
        <v>35.270000000000003</v>
      </c>
      <c r="N340">
        <v>103</v>
      </c>
      <c r="O340">
        <v>35.28</v>
      </c>
      <c r="P340">
        <v>5</v>
      </c>
      <c r="Q340">
        <v>0</v>
      </c>
    </row>
    <row r="341" spans="2:17">
      <c r="B341" t="str">
        <f>"00850"</f>
        <v>00850</v>
      </c>
      <c r="C341" t="s">
        <v>1663</v>
      </c>
      <c r="D341" s="3">
        <v>1112531</v>
      </c>
      <c r="E341">
        <v>986</v>
      </c>
      <c r="F341" s="3">
        <v>39875900</v>
      </c>
      <c r="G341">
        <v>35.72</v>
      </c>
      <c r="H341">
        <v>35.94</v>
      </c>
      <c r="I341">
        <v>35.72</v>
      </c>
      <c r="J341">
        <v>35.92</v>
      </c>
      <c r="K341" t="s">
        <v>1362</v>
      </c>
      <c r="L341">
        <v>0.25</v>
      </c>
      <c r="M341">
        <v>35.92</v>
      </c>
      <c r="N341">
        <v>43</v>
      </c>
      <c r="O341">
        <v>35.93</v>
      </c>
      <c r="P341">
        <v>18</v>
      </c>
      <c r="Q341">
        <v>0</v>
      </c>
    </row>
    <row r="342" spans="2:17">
      <c r="B342" t="str">
        <f>"00851"</f>
        <v>00851</v>
      </c>
      <c r="C342" t="s">
        <v>1664</v>
      </c>
      <c r="D342" s="3">
        <v>28314</v>
      </c>
      <c r="E342">
        <v>58</v>
      </c>
      <c r="F342" s="3">
        <v>1027559</v>
      </c>
      <c r="G342">
        <v>36.380000000000003</v>
      </c>
      <c r="H342">
        <v>36.380000000000003</v>
      </c>
      <c r="I342">
        <v>36.26</v>
      </c>
      <c r="J342">
        <v>36.270000000000003</v>
      </c>
      <c r="K342" t="s">
        <v>1362</v>
      </c>
      <c r="L342">
        <v>0.26</v>
      </c>
      <c r="M342">
        <v>36.270000000000003</v>
      </c>
      <c r="N342">
        <v>20</v>
      </c>
      <c r="O342">
        <v>36.299999999999997</v>
      </c>
      <c r="P342">
        <v>1</v>
      </c>
      <c r="Q342">
        <v>0</v>
      </c>
    </row>
    <row r="343" spans="2:17">
      <c r="B343" t="str">
        <f>"00852L"</f>
        <v>00852L</v>
      </c>
      <c r="C343" t="s">
        <v>1665</v>
      </c>
      <c r="D343" s="3">
        <v>972000</v>
      </c>
      <c r="E343">
        <v>101</v>
      </c>
      <c r="F343" s="3">
        <v>22113320</v>
      </c>
      <c r="G343">
        <v>22.78</v>
      </c>
      <c r="H343">
        <v>22.78</v>
      </c>
      <c r="I343">
        <v>22.69</v>
      </c>
      <c r="J343">
        <v>22.74</v>
      </c>
      <c r="K343" t="s">
        <v>1362</v>
      </c>
      <c r="L343">
        <v>0.35</v>
      </c>
      <c r="M343">
        <v>22.73</v>
      </c>
      <c r="N343">
        <v>9</v>
      </c>
      <c r="O343">
        <v>22.74</v>
      </c>
      <c r="P343">
        <v>3</v>
      </c>
      <c r="Q343">
        <v>0</v>
      </c>
    </row>
    <row r="344" spans="2:17">
      <c r="B344" t="str">
        <f>"00861"</f>
        <v>00861</v>
      </c>
      <c r="C344" t="s">
        <v>1666</v>
      </c>
      <c r="D344" s="3">
        <v>854953</v>
      </c>
      <c r="E344">
        <v>364</v>
      </c>
      <c r="F344" s="3">
        <v>28210369</v>
      </c>
      <c r="G344">
        <v>32.950000000000003</v>
      </c>
      <c r="H344">
        <v>33.020000000000003</v>
      </c>
      <c r="I344">
        <v>32.950000000000003</v>
      </c>
      <c r="J344">
        <v>33</v>
      </c>
      <c r="K344" t="s">
        <v>1362</v>
      </c>
      <c r="L344">
        <v>0.39</v>
      </c>
      <c r="M344">
        <v>32.99</v>
      </c>
      <c r="N344">
        <v>80</v>
      </c>
      <c r="O344">
        <v>33</v>
      </c>
      <c r="P344">
        <v>59</v>
      </c>
      <c r="Q344">
        <v>0</v>
      </c>
    </row>
    <row r="345" spans="2:17">
      <c r="B345" t="str">
        <f>"00865B"</f>
        <v>00865B</v>
      </c>
      <c r="C345" t="s">
        <v>1667</v>
      </c>
      <c r="D345" s="3">
        <v>100647</v>
      </c>
      <c r="E345">
        <v>42</v>
      </c>
      <c r="F345" s="3">
        <v>3654961</v>
      </c>
      <c r="G345">
        <v>36.32</v>
      </c>
      <c r="H345">
        <v>36.32</v>
      </c>
      <c r="I345">
        <v>36.32</v>
      </c>
      <c r="J345">
        <v>36.32</v>
      </c>
      <c r="K345" t="s">
        <v>1</v>
      </c>
      <c r="L345">
        <v>0.06</v>
      </c>
      <c r="M345">
        <v>36.32</v>
      </c>
      <c r="N345">
        <v>56</v>
      </c>
      <c r="O345">
        <v>36.380000000000003</v>
      </c>
      <c r="P345">
        <v>5</v>
      </c>
      <c r="Q345">
        <v>0</v>
      </c>
    </row>
    <row r="346" spans="2:17">
      <c r="B346" t="str">
        <f>"00875"</f>
        <v>00875</v>
      </c>
      <c r="C346" t="s">
        <v>37</v>
      </c>
      <c r="D346" s="3">
        <v>220876</v>
      </c>
      <c r="E346">
        <v>111</v>
      </c>
      <c r="F346" s="3">
        <v>6900350</v>
      </c>
      <c r="G346">
        <v>31.25</v>
      </c>
      <c r="H346">
        <v>31.25</v>
      </c>
      <c r="I346">
        <v>31.22</v>
      </c>
      <c r="J346">
        <v>31.24</v>
      </c>
      <c r="K346" t="s">
        <v>1362</v>
      </c>
      <c r="L346">
        <v>0.25</v>
      </c>
      <c r="M346">
        <v>31.24</v>
      </c>
      <c r="N346">
        <v>28</v>
      </c>
      <c r="O346">
        <v>31.25</v>
      </c>
      <c r="P346">
        <v>34</v>
      </c>
      <c r="Q346">
        <v>0</v>
      </c>
    </row>
    <row r="347" spans="2:17">
      <c r="B347" t="str">
        <f>"00876"</f>
        <v>00876</v>
      </c>
      <c r="C347" t="s">
        <v>1668</v>
      </c>
      <c r="D347" s="3">
        <v>1645024</v>
      </c>
      <c r="E347">
        <v>496</v>
      </c>
      <c r="F347" s="3">
        <v>55347978</v>
      </c>
      <c r="G347">
        <v>33.6</v>
      </c>
      <c r="H347">
        <v>33.68</v>
      </c>
      <c r="I347">
        <v>33.6</v>
      </c>
      <c r="J347">
        <v>33.64</v>
      </c>
      <c r="K347" t="s">
        <v>1362</v>
      </c>
      <c r="L347">
        <v>0.38</v>
      </c>
      <c r="M347">
        <v>33.64</v>
      </c>
      <c r="N347">
        <v>46</v>
      </c>
      <c r="O347">
        <v>33.65</v>
      </c>
      <c r="P347">
        <v>85</v>
      </c>
      <c r="Q347">
        <v>0</v>
      </c>
    </row>
    <row r="348" spans="2:17">
      <c r="B348" t="str">
        <f>"00878"</f>
        <v>00878</v>
      </c>
      <c r="C348" t="s">
        <v>1669</v>
      </c>
      <c r="D348" s="3">
        <v>11391516</v>
      </c>
      <c r="E348" s="3">
        <v>4395</v>
      </c>
      <c r="F348" s="3">
        <v>217378424</v>
      </c>
      <c r="G348">
        <v>19.05</v>
      </c>
      <c r="H348">
        <v>19.11</v>
      </c>
      <c r="I348">
        <v>19.05</v>
      </c>
      <c r="J348">
        <v>19.100000000000001</v>
      </c>
      <c r="K348" t="s">
        <v>1362</v>
      </c>
      <c r="L348">
        <v>0.08</v>
      </c>
      <c r="M348">
        <v>19.100000000000001</v>
      </c>
      <c r="N348">
        <v>56</v>
      </c>
      <c r="O348">
        <v>19.11</v>
      </c>
      <c r="P348">
        <v>568</v>
      </c>
      <c r="Q348">
        <v>0</v>
      </c>
    </row>
    <row r="349" spans="2:17">
      <c r="B349" t="str">
        <f>"00881"</f>
        <v>00881</v>
      </c>
      <c r="C349" t="s">
        <v>1670</v>
      </c>
      <c r="D349" s="3">
        <v>18380816</v>
      </c>
      <c r="E349" s="3">
        <v>7543</v>
      </c>
      <c r="F349" s="3">
        <v>348077291</v>
      </c>
      <c r="G349">
        <v>18.89</v>
      </c>
      <c r="H349">
        <v>18.98</v>
      </c>
      <c r="I349">
        <v>18.89</v>
      </c>
      <c r="J349">
        <v>18.96</v>
      </c>
      <c r="K349" t="s">
        <v>1362</v>
      </c>
      <c r="L349">
        <v>0.16</v>
      </c>
      <c r="M349">
        <v>18.95</v>
      </c>
      <c r="N349">
        <v>816</v>
      </c>
      <c r="O349">
        <v>18.96</v>
      </c>
      <c r="P349">
        <v>166</v>
      </c>
      <c r="Q349">
        <v>0</v>
      </c>
    </row>
    <row r="350" spans="2:17">
      <c r="B350" t="str">
        <f>"00882"</f>
        <v>00882</v>
      </c>
      <c r="C350" t="s">
        <v>1671</v>
      </c>
      <c r="D350" s="3">
        <v>6989569</v>
      </c>
      <c r="E350" s="3">
        <v>2336</v>
      </c>
      <c r="F350" s="3">
        <v>101284801</v>
      </c>
      <c r="G350">
        <v>14.56</v>
      </c>
      <c r="H350">
        <v>14.56</v>
      </c>
      <c r="I350">
        <v>14.42</v>
      </c>
      <c r="J350">
        <v>14.47</v>
      </c>
      <c r="K350" t="s">
        <v>1</v>
      </c>
      <c r="L350">
        <v>0.09</v>
      </c>
      <c r="M350">
        <v>14.47</v>
      </c>
      <c r="N350">
        <v>44</v>
      </c>
      <c r="O350">
        <v>14.48</v>
      </c>
      <c r="P350">
        <v>70</v>
      </c>
      <c r="Q350">
        <v>0</v>
      </c>
    </row>
    <row r="351" spans="2:17">
      <c r="B351" t="str">
        <f>"00885"</f>
        <v>00885</v>
      </c>
      <c r="C351" t="s">
        <v>1672</v>
      </c>
      <c r="D351" s="3">
        <v>10836994</v>
      </c>
      <c r="E351" s="3">
        <v>1760</v>
      </c>
      <c r="F351" s="3">
        <v>192027309</v>
      </c>
      <c r="G351">
        <v>17.63</v>
      </c>
      <c r="H351">
        <v>17.75</v>
      </c>
      <c r="I351">
        <v>17.63</v>
      </c>
      <c r="J351">
        <v>17.73</v>
      </c>
      <c r="K351" t="s">
        <v>1362</v>
      </c>
      <c r="L351">
        <v>0.2</v>
      </c>
      <c r="M351">
        <v>17.73</v>
      </c>
      <c r="N351">
        <v>165</v>
      </c>
      <c r="O351">
        <v>17.739999999999998</v>
      </c>
      <c r="P351">
        <v>113</v>
      </c>
      <c r="Q351">
        <v>0</v>
      </c>
    </row>
    <row r="352" spans="2:17">
      <c r="B352" t="str">
        <f>"00891"</f>
        <v>00891</v>
      </c>
      <c r="C352" t="s">
        <v>1673</v>
      </c>
      <c r="D352" s="3">
        <v>11036706</v>
      </c>
      <c r="E352" s="3">
        <v>3260</v>
      </c>
      <c r="F352" s="3">
        <v>193220452</v>
      </c>
      <c r="G352">
        <v>17.5</v>
      </c>
      <c r="H352">
        <v>17.559999999999999</v>
      </c>
      <c r="I352">
        <v>17.45</v>
      </c>
      <c r="J352">
        <v>17.52</v>
      </c>
      <c r="K352" t="s">
        <v>1362</v>
      </c>
      <c r="L352">
        <v>0.16</v>
      </c>
      <c r="M352">
        <v>17.52</v>
      </c>
      <c r="N352">
        <v>36</v>
      </c>
      <c r="O352">
        <v>17.53</v>
      </c>
      <c r="P352">
        <v>41</v>
      </c>
      <c r="Q352">
        <v>0</v>
      </c>
    </row>
    <row r="353" spans="2:17">
      <c r="B353" t="str">
        <f>"00892"</f>
        <v>00892</v>
      </c>
      <c r="C353" t="s">
        <v>1674</v>
      </c>
      <c r="D353" s="3">
        <v>5198813</v>
      </c>
      <c r="E353" s="3">
        <v>1664</v>
      </c>
      <c r="F353" s="3">
        <v>89590233</v>
      </c>
      <c r="G353">
        <v>17.16</v>
      </c>
      <c r="H353">
        <v>17.260000000000002</v>
      </c>
      <c r="I353">
        <v>17.16</v>
      </c>
      <c r="J353">
        <v>17.23</v>
      </c>
      <c r="K353" t="s">
        <v>1362</v>
      </c>
      <c r="L353">
        <v>0.14000000000000001</v>
      </c>
      <c r="M353">
        <v>17.23</v>
      </c>
      <c r="N353">
        <v>26</v>
      </c>
      <c r="O353">
        <v>17.239999999999998</v>
      </c>
      <c r="P353">
        <v>76</v>
      </c>
      <c r="Q353">
        <v>0</v>
      </c>
    </row>
    <row r="354" spans="2:17">
      <c r="B354" t="str">
        <f>"00893"</f>
        <v>00893</v>
      </c>
      <c r="C354" t="s">
        <v>1675</v>
      </c>
      <c r="D354" s="3">
        <v>13490445</v>
      </c>
      <c r="E354" s="3">
        <v>4011</v>
      </c>
      <c r="F354" s="3">
        <v>228064590</v>
      </c>
      <c r="G354">
        <v>16.899999999999999</v>
      </c>
      <c r="H354">
        <v>16.940000000000001</v>
      </c>
      <c r="I354">
        <v>16.88</v>
      </c>
      <c r="J354">
        <v>16.91</v>
      </c>
      <c r="K354" t="s">
        <v>1362</v>
      </c>
      <c r="L354">
        <v>0.2</v>
      </c>
      <c r="M354">
        <v>16.91</v>
      </c>
      <c r="N354">
        <v>97</v>
      </c>
      <c r="O354">
        <v>16.920000000000002</v>
      </c>
      <c r="P354">
        <v>567</v>
      </c>
      <c r="Q354">
        <v>0</v>
      </c>
    </row>
    <row r="355" spans="2:17">
      <c r="B355" t="str">
        <f>"00894"</f>
        <v>00894</v>
      </c>
      <c r="C355" t="s">
        <v>2697</v>
      </c>
      <c r="D355" s="3">
        <v>1253140</v>
      </c>
      <c r="E355">
        <v>399</v>
      </c>
      <c r="F355" s="3">
        <v>20587850</v>
      </c>
      <c r="G355">
        <v>16.43</v>
      </c>
      <c r="H355">
        <v>16.45</v>
      </c>
      <c r="I355">
        <v>16.399999999999999</v>
      </c>
      <c r="J355">
        <v>16.43</v>
      </c>
      <c r="K355" t="s">
        <v>1362</v>
      </c>
      <c r="L355">
        <v>0.08</v>
      </c>
      <c r="M355">
        <v>16.43</v>
      </c>
      <c r="N355">
        <v>443</v>
      </c>
      <c r="O355">
        <v>16.440000000000001</v>
      </c>
      <c r="P355">
        <v>78</v>
      </c>
      <c r="Q355">
        <v>0</v>
      </c>
    </row>
    <row r="356" spans="2:17">
      <c r="B356" t="str">
        <f>"00895"</f>
        <v>00895</v>
      </c>
      <c r="C356" t="s">
        <v>2696</v>
      </c>
      <c r="D356" s="3">
        <v>8329510</v>
      </c>
      <c r="E356" s="3">
        <v>2646</v>
      </c>
      <c r="F356" s="3">
        <v>152987883</v>
      </c>
      <c r="G356">
        <v>18.309999999999999</v>
      </c>
      <c r="H356">
        <v>18.399999999999999</v>
      </c>
      <c r="I356">
        <v>18.309999999999999</v>
      </c>
      <c r="J356">
        <v>18.37</v>
      </c>
      <c r="K356" t="s">
        <v>1362</v>
      </c>
      <c r="L356">
        <v>0.3</v>
      </c>
      <c r="M356">
        <v>18.37</v>
      </c>
      <c r="N356">
        <v>16</v>
      </c>
      <c r="O356">
        <v>18.38</v>
      </c>
      <c r="P356">
        <v>369</v>
      </c>
      <c r="Q356">
        <v>0</v>
      </c>
    </row>
    <row r="357" spans="2:17">
      <c r="B357" t="str">
        <f>"00896"</f>
        <v>00896</v>
      </c>
      <c r="C357" t="s">
        <v>2790</v>
      </c>
      <c r="D357" s="3">
        <v>5772845</v>
      </c>
      <c r="E357" s="3">
        <v>1835</v>
      </c>
      <c r="F357" s="3">
        <v>89489668</v>
      </c>
      <c r="G357">
        <v>15.49</v>
      </c>
      <c r="H357">
        <v>15.53</v>
      </c>
      <c r="I357">
        <v>15.47</v>
      </c>
      <c r="J357">
        <v>15.53</v>
      </c>
      <c r="K357" t="s">
        <v>1362</v>
      </c>
      <c r="L357">
        <v>0.1</v>
      </c>
      <c r="M357">
        <v>15.52</v>
      </c>
      <c r="N357">
        <v>149</v>
      </c>
      <c r="O357">
        <v>15.53</v>
      </c>
      <c r="P357">
        <v>215</v>
      </c>
      <c r="Q357">
        <v>0</v>
      </c>
    </row>
    <row r="358" spans="2:17">
      <c r="B358" t="str">
        <f>"00897"</f>
        <v>00897</v>
      </c>
      <c r="C358" t="s">
        <v>2826</v>
      </c>
      <c r="D358" s="3">
        <v>3979321</v>
      </c>
      <c r="E358" s="3">
        <v>1353</v>
      </c>
      <c r="F358" s="3">
        <v>52237658</v>
      </c>
      <c r="G358">
        <v>13.22</v>
      </c>
      <c r="H358">
        <v>13.22</v>
      </c>
      <c r="I358">
        <v>13.1</v>
      </c>
      <c r="J358">
        <v>13.12</v>
      </c>
      <c r="K358" t="s">
        <v>1</v>
      </c>
      <c r="L358">
        <v>0.22</v>
      </c>
      <c r="M358">
        <v>13.11</v>
      </c>
      <c r="N358">
        <v>175</v>
      </c>
      <c r="O358">
        <v>13.12</v>
      </c>
      <c r="P358">
        <v>17</v>
      </c>
      <c r="Q358">
        <v>0</v>
      </c>
    </row>
    <row r="359" spans="2:17">
      <c r="B359" t="str">
        <f>"00898"</f>
        <v>00898</v>
      </c>
      <c r="C359" t="s">
        <v>3072</v>
      </c>
      <c r="D359" s="3">
        <v>4199929</v>
      </c>
      <c r="E359" s="3">
        <v>1402</v>
      </c>
      <c r="F359" s="3">
        <v>39582246</v>
      </c>
      <c r="G359">
        <v>9.5</v>
      </c>
      <c r="H359">
        <v>9.5</v>
      </c>
      <c r="I359">
        <v>9.4</v>
      </c>
      <c r="J359">
        <v>9.4</v>
      </c>
      <c r="K359" t="s">
        <v>1</v>
      </c>
      <c r="L359">
        <v>0.18</v>
      </c>
      <c r="M359">
        <v>9.4</v>
      </c>
      <c r="N359">
        <v>676</v>
      </c>
      <c r="O359">
        <v>9.41</v>
      </c>
      <c r="P359">
        <v>72</v>
      </c>
      <c r="Q359">
        <v>0</v>
      </c>
    </row>
    <row r="360" spans="2:17">
      <c r="B360" t="str">
        <f>"00900"</f>
        <v>00900</v>
      </c>
      <c r="C360" t="s">
        <v>3122</v>
      </c>
      <c r="D360" s="3">
        <v>33519201</v>
      </c>
      <c r="E360" s="3">
        <v>11795</v>
      </c>
      <c r="F360" s="3">
        <v>514543380</v>
      </c>
      <c r="G360">
        <v>15.31</v>
      </c>
      <c r="H360">
        <v>15.37</v>
      </c>
      <c r="I360">
        <v>15.31</v>
      </c>
      <c r="J360">
        <v>15.35</v>
      </c>
      <c r="K360" t="s">
        <v>1362</v>
      </c>
      <c r="L360">
        <v>0.06</v>
      </c>
      <c r="M360">
        <v>15.35</v>
      </c>
      <c r="N360">
        <v>64</v>
      </c>
      <c r="O360">
        <v>15.36</v>
      </c>
      <c r="P360">
        <v>287</v>
      </c>
      <c r="Q360">
        <v>0</v>
      </c>
    </row>
    <row r="361" spans="2:17">
      <c r="B361" t="str">
        <f>"00901"</f>
        <v>00901</v>
      </c>
      <c r="C361" t="s">
        <v>3123</v>
      </c>
      <c r="D361" s="3">
        <v>5542046</v>
      </c>
      <c r="E361" s="3">
        <v>1672</v>
      </c>
      <c r="F361" s="3">
        <v>85918669</v>
      </c>
      <c r="G361">
        <v>15.45</v>
      </c>
      <c r="H361">
        <v>15.53</v>
      </c>
      <c r="I361">
        <v>15.45</v>
      </c>
      <c r="J361">
        <v>15.51</v>
      </c>
      <c r="K361" t="s">
        <v>1362</v>
      </c>
      <c r="L361">
        <v>0.11</v>
      </c>
      <c r="M361">
        <v>15.5</v>
      </c>
      <c r="N361">
        <v>740</v>
      </c>
      <c r="O361">
        <v>15.51</v>
      </c>
      <c r="P361">
        <v>56</v>
      </c>
      <c r="Q361">
        <v>0</v>
      </c>
    </row>
    <row r="362" spans="2:17">
      <c r="B362" t="str">
        <f>"01001T"</f>
        <v>01001T</v>
      </c>
      <c r="C362" t="s">
        <v>1676</v>
      </c>
      <c r="D362" s="3">
        <v>18002</v>
      </c>
      <c r="E362">
        <v>20</v>
      </c>
      <c r="F362" s="3">
        <v>322436</v>
      </c>
      <c r="G362">
        <v>17.93</v>
      </c>
      <c r="H362">
        <v>17.93</v>
      </c>
      <c r="I362">
        <v>17.91</v>
      </c>
      <c r="J362">
        <v>17.91</v>
      </c>
      <c r="K362" t="s">
        <v>1328</v>
      </c>
      <c r="L362">
        <v>0</v>
      </c>
      <c r="M362">
        <v>17.91</v>
      </c>
      <c r="N362">
        <v>25</v>
      </c>
      <c r="O362">
        <v>17.920000000000002</v>
      </c>
      <c r="P362">
        <v>32</v>
      </c>
      <c r="Q362">
        <v>0</v>
      </c>
    </row>
    <row r="363" spans="2:17">
      <c r="B363" t="str">
        <f>"01002T"</f>
        <v>01002T</v>
      </c>
      <c r="C363" t="s">
        <v>1677</v>
      </c>
      <c r="D363" s="3">
        <v>47000</v>
      </c>
      <c r="E363">
        <v>41</v>
      </c>
      <c r="F363" s="3">
        <v>851370</v>
      </c>
      <c r="G363">
        <v>18.11</v>
      </c>
      <c r="H363">
        <v>18.13</v>
      </c>
      <c r="I363">
        <v>18.11</v>
      </c>
      <c r="J363">
        <v>18.13</v>
      </c>
      <c r="K363" t="s">
        <v>1362</v>
      </c>
      <c r="L363">
        <v>0.02</v>
      </c>
      <c r="M363">
        <v>18.11</v>
      </c>
      <c r="N363">
        <v>2</v>
      </c>
      <c r="O363">
        <v>18.13</v>
      </c>
      <c r="P363">
        <v>8</v>
      </c>
      <c r="Q363">
        <v>0</v>
      </c>
    </row>
    <row r="364" spans="2:17">
      <c r="B364" t="str">
        <f>"01003T"</f>
        <v>01003T</v>
      </c>
      <c r="C364" t="s">
        <v>1678</v>
      </c>
      <c r="D364" s="3">
        <v>167035</v>
      </c>
      <c r="E364">
        <v>27</v>
      </c>
      <c r="F364" s="3">
        <v>3317195</v>
      </c>
      <c r="G364">
        <v>19.739999999999998</v>
      </c>
      <c r="H364">
        <v>19.89</v>
      </c>
      <c r="I364">
        <v>19.739999999999998</v>
      </c>
      <c r="J364">
        <v>19.75</v>
      </c>
      <c r="K364" t="s">
        <v>1328</v>
      </c>
      <c r="L364">
        <v>0</v>
      </c>
      <c r="M364">
        <v>19.71</v>
      </c>
      <c r="N364">
        <v>10</v>
      </c>
      <c r="O364">
        <v>19.899999999999999</v>
      </c>
      <c r="P364">
        <v>25</v>
      </c>
      <c r="Q364">
        <v>0</v>
      </c>
    </row>
    <row r="365" spans="2:17">
      <c r="B365" t="str">
        <f>"01004T"</f>
        <v>01004T</v>
      </c>
      <c r="C365" t="s">
        <v>1679</v>
      </c>
      <c r="D365" s="3">
        <v>11000</v>
      </c>
      <c r="E365">
        <v>2</v>
      </c>
      <c r="F365" s="3">
        <v>172540</v>
      </c>
      <c r="G365">
        <v>15.68</v>
      </c>
      <c r="H365">
        <v>15.74</v>
      </c>
      <c r="I365">
        <v>15.68</v>
      </c>
      <c r="J365">
        <v>15.74</v>
      </c>
      <c r="K365" t="s">
        <v>1362</v>
      </c>
      <c r="L365">
        <v>0.01</v>
      </c>
      <c r="M365">
        <v>15.68</v>
      </c>
      <c r="N365">
        <v>42</v>
      </c>
      <c r="O365">
        <v>15.74</v>
      </c>
      <c r="P365">
        <v>15</v>
      </c>
      <c r="Q365">
        <v>0</v>
      </c>
    </row>
    <row r="366" spans="2:17">
      <c r="B366" t="str">
        <f>"01007T"</f>
        <v>01007T</v>
      </c>
      <c r="C366" t="s">
        <v>1680</v>
      </c>
      <c r="D366">
        <v>0</v>
      </c>
      <c r="E366">
        <v>0</v>
      </c>
      <c r="F366">
        <v>0</v>
      </c>
      <c r="G366" t="s">
        <v>1391</v>
      </c>
      <c r="H366" t="s">
        <v>1391</v>
      </c>
      <c r="I366" t="s">
        <v>1391</v>
      </c>
      <c r="J366" t="s">
        <v>1391</v>
      </c>
      <c r="K366" t="s">
        <v>1328</v>
      </c>
      <c r="L366">
        <v>0</v>
      </c>
      <c r="M366">
        <v>19.68</v>
      </c>
      <c r="N366">
        <v>33</v>
      </c>
      <c r="O366">
        <v>19.87</v>
      </c>
      <c r="P366">
        <v>1</v>
      </c>
      <c r="Q366">
        <v>0</v>
      </c>
    </row>
    <row r="367" spans="2:17">
      <c r="B367" t="str">
        <f>"01009T"</f>
        <v>01009T</v>
      </c>
      <c r="C367" t="s">
        <v>1681</v>
      </c>
      <c r="D367" s="3">
        <v>115000</v>
      </c>
      <c r="E367">
        <v>18</v>
      </c>
      <c r="F367" s="3">
        <v>1046040</v>
      </c>
      <c r="G367">
        <v>9.08</v>
      </c>
      <c r="H367">
        <v>9.1</v>
      </c>
      <c r="I367">
        <v>9.08</v>
      </c>
      <c r="J367">
        <v>9.09</v>
      </c>
      <c r="K367" t="s">
        <v>1328</v>
      </c>
      <c r="L367">
        <v>0</v>
      </c>
      <c r="M367">
        <v>9.09</v>
      </c>
      <c r="N367">
        <v>2</v>
      </c>
      <c r="O367">
        <v>9.11</v>
      </c>
      <c r="P367">
        <v>17</v>
      </c>
      <c r="Q367">
        <v>0</v>
      </c>
    </row>
    <row r="368" spans="2:17">
      <c r="B368" t="str">
        <f>"01010T"</f>
        <v>01010T</v>
      </c>
      <c r="C368" t="s">
        <v>1682</v>
      </c>
      <c r="D368" s="3">
        <v>1127000</v>
      </c>
      <c r="E368">
        <v>23</v>
      </c>
      <c r="F368" s="3">
        <v>11612900</v>
      </c>
      <c r="G368">
        <v>10.3</v>
      </c>
      <c r="H368">
        <v>10.35</v>
      </c>
      <c r="I368">
        <v>10.3</v>
      </c>
      <c r="J368">
        <v>10.31</v>
      </c>
      <c r="K368" t="s">
        <v>1328</v>
      </c>
      <c r="L368">
        <v>0</v>
      </c>
      <c r="M368">
        <v>10.31</v>
      </c>
      <c r="N368">
        <v>23</v>
      </c>
      <c r="O368">
        <v>10.36</v>
      </c>
      <c r="P368">
        <v>15</v>
      </c>
      <c r="Q368">
        <v>0</v>
      </c>
    </row>
    <row r="369" spans="2:17">
      <c r="B369" t="str">
        <f>"020000"</f>
        <v>020000</v>
      </c>
      <c r="C369" t="s">
        <v>1683</v>
      </c>
      <c r="D369" s="3">
        <v>7000</v>
      </c>
      <c r="E369">
        <v>6</v>
      </c>
      <c r="F369" s="3">
        <v>51440</v>
      </c>
      <c r="G369">
        <v>7.36</v>
      </c>
      <c r="H369">
        <v>7.36</v>
      </c>
      <c r="I369">
        <v>7.34</v>
      </c>
      <c r="J369">
        <v>7.35</v>
      </c>
      <c r="K369" t="s">
        <v>1362</v>
      </c>
      <c r="L369">
        <v>0.05</v>
      </c>
      <c r="M369">
        <v>7.34</v>
      </c>
      <c r="N369">
        <v>10</v>
      </c>
      <c r="O369">
        <v>7.35</v>
      </c>
      <c r="P369">
        <v>9</v>
      </c>
      <c r="Q369">
        <v>0</v>
      </c>
    </row>
    <row r="370" spans="2:17">
      <c r="B370" t="str">
        <f>"020002"</f>
        <v>020002</v>
      </c>
      <c r="C370" t="s">
        <v>1684</v>
      </c>
      <c r="D370">
        <v>0</v>
      </c>
      <c r="E370">
        <v>0</v>
      </c>
      <c r="F370">
        <v>0</v>
      </c>
      <c r="G370" t="s">
        <v>1391</v>
      </c>
      <c r="H370" t="s">
        <v>1391</v>
      </c>
      <c r="I370" t="s">
        <v>1391</v>
      </c>
      <c r="J370" t="s">
        <v>1391</v>
      </c>
      <c r="K370" t="s">
        <v>1328</v>
      </c>
      <c r="L370">
        <v>0</v>
      </c>
      <c r="M370">
        <v>15.24</v>
      </c>
      <c r="N370">
        <v>499</v>
      </c>
      <c r="O370">
        <v>15.26</v>
      </c>
      <c r="P370">
        <v>355</v>
      </c>
      <c r="Q370">
        <v>0</v>
      </c>
    </row>
    <row r="371" spans="2:17">
      <c r="B371" t="str">
        <f>"020004"</f>
        <v>020004</v>
      </c>
      <c r="C371" t="s">
        <v>1685</v>
      </c>
      <c r="D371">
        <v>0</v>
      </c>
      <c r="E371">
        <v>0</v>
      </c>
      <c r="F371">
        <v>0</v>
      </c>
      <c r="G371" t="s">
        <v>1391</v>
      </c>
      <c r="H371" t="s">
        <v>1391</v>
      </c>
      <c r="I371" t="s">
        <v>1391</v>
      </c>
      <c r="J371" t="s">
        <v>1391</v>
      </c>
      <c r="K371" t="s">
        <v>1328</v>
      </c>
      <c r="L371">
        <v>0</v>
      </c>
      <c r="M371">
        <v>34.82</v>
      </c>
      <c r="N371">
        <v>499</v>
      </c>
      <c r="O371">
        <v>34.83</v>
      </c>
      <c r="P371">
        <v>499</v>
      </c>
      <c r="Q371">
        <v>0</v>
      </c>
    </row>
    <row r="372" spans="2:17">
      <c r="B372" t="str">
        <f>"020006"</f>
        <v>020006</v>
      </c>
      <c r="C372" t="s">
        <v>1686</v>
      </c>
      <c r="D372">
        <v>0</v>
      </c>
      <c r="E372">
        <v>0</v>
      </c>
      <c r="F372">
        <v>0</v>
      </c>
      <c r="G372" t="s">
        <v>1391</v>
      </c>
      <c r="H372" t="s">
        <v>1391</v>
      </c>
      <c r="I372" t="s">
        <v>1391</v>
      </c>
      <c r="J372" t="s">
        <v>1391</v>
      </c>
      <c r="K372" t="s">
        <v>1328</v>
      </c>
      <c r="L372">
        <v>0</v>
      </c>
      <c r="M372">
        <v>35.99</v>
      </c>
      <c r="N372">
        <v>100</v>
      </c>
      <c r="O372">
        <v>36</v>
      </c>
      <c r="P372">
        <v>100</v>
      </c>
      <c r="Q372">
        <v>0</v>
      </c>
    </row>
    <row r="373" spans="2:17">
      <c r="B373" t="str">
        <f>"020007"</f>
        <v>020007</v>
      </c>
      <c r="C373" t="s">
        <v>1687</v>
      </c>
      <c r="D373">
        <v>0</v>
      </c>
      <c r="E373">
        <v>0</v>
      </c>
      <c r="F373">
        <v>0</v>
      </c>
      <c r="G373" t="s">
        <v>1391</v>
      </c>
      <c r="H373" t="s">
        <v>1391</v>
      </c>
      <c r="I373" t="s">
        <v>1391</v>
      </c>
      <c r="J373" t="s">
        <v>1391</v>
      </c>
      <c r="K373" t="s">
        <v>1328</v>
      </c>
      <c r="L373">
        <v>0</v>
      </c>
      <c r="M373">
        <v>36.04</v>
      </c>
      <c r="N373">
        <v>213</v>
      </c>
      <c r="O373">
        <v>36.1</v>
      </c>
      <c r="P373">
        <v>213</v>
      </c>
      <c r="Q373">
        <v>0</v>
      </c>
    </row>
    <row r="374" spans="2:17">
      <c r="B374" t="str">
        <f>"020008"</f>
        <v>020008</v>
      </c>
      <c r="C374" t="s">
        <v>1688</v>
      </c>
      <c r="D374" s="3">
        <v>32000</v>
      </c>
      <c r="E374">
        <v>11</v>
      </c>
      <c r="F374" s="3">
        <v>413300</v>
      </c>
      <c r="G374">
        <v>12.91</v>
      </c>
      <c r="H374">
        <v>12.94</v>
      </c>
      <c r="I374">
        <v>12.9</v>
      </c>
      <c r="J374">
        <v>12.94</v>
      </c>
      <c r="K374" t="s">
        <v>1362</v>
      </c>
      <c r="L374">
        <v>0.02</v>
      </c>
      <c r="M374">
        <v>12.93</v>
      </c>
      <c r="N374">
        <v>100</v>
      </c>
      <c r="O374">
        <v>12.94</v>
      </c>
      <c r="P374">
        <v>100</v>
      </c>
      <c r="Q374">
        <v>0</v>
      </c>
    </row>
    <row r="375" spans="2:17">
      <c r="B375" t="str">
        <f>"020011"</f>
        <v>020011</v>
      </c>
      <c r="C375" t="s">
        <v>1689</v>
      </c>
      <c r="D375">
        <v>0</v>
      </c>
      <c r="E375">
        <v>0</v>
      </c>
      <c r="F375">
        <v>0</v>
      </c>
      <c r="G375" t="s">
        <v>1391</v>
      </c>
      <c r="H375" t="s">
        <v>1391</v>
      </c>
      <c r="I375" t="s">
        <v>1391</v>
      </c>
      <c r="J375" t="s">
        <v>1391</v>
      </c>
      <c r="K375" t="s">
        <v>1328</v>
      </c>
      <c r="L375">
        <v>0</v>
      </c>
      <c r="M375">
        <v>7.07</v>
      </c>
      <c r="N375">
        <v>494</v>
      </c>
      <c r="O375">
        <v>7.08</v>
      </c>
      <c r="P375">
        <v>280</v>
      </c>
      <c r="Q375">
        <v>0</v>
      </c>
    </row>
    <row r="376" spans="2:17">
      <c r="B376" t="str">
        <f>"020012"</f>
        <v>020012</v>
      </c>
      <c r="C376" t="s">
        <v>1690</v>
      </c>
      <c r="D376" s="3">
        <v>2000</v>
      </c>
      <c r="E376">
        <v>1</v>
      </c>
      <c r="F376" s="3">
        <v>13440</v>
      </c>
      <c r="G376">
        <v>6.72</v>
      </c>
      <c r="H376">
        <v>6.72</v>
      </c>
      <c r="I376">
        <v>6.72</v>
      </c>
      <c r="J376">
        <v>6.72</v>
      </c>
      <c r="K376" t="s">
        <v>1362</v>
      </c>
      <c r="L376">
        <v>0.01</v>
      </c>
      <c r="M376">
        <v>6.73</v>
      </c>
      <c r="N376">
        <v>100</v>
      </c>
      <c r="O376">
        <v>6.74</v>
      </c>
      <c r="P376">
        <v>110</v>
      </c>
      <c r="Q376">
        <v>0</v>
      </c>
    </row>
    <row r="377" spans="2:17">
      <c r="B377" t="str">
        <f>"020015"</f>
        <v>020015</v>
      </c>
      <c r="C377" t="s">
        <v>1691</v>
      </c>
      <c r="D377">
        <v>0</v>
      </c>
      <c r="E377">
        <v>0</v>
      </c>
      <c r="F377">
        <v>0</v>
      </c>
      <c r="G377" t="s">
        <v>1391</v>
      </c>
      <c r="H377" t="s">
        <v>1391</v>
      </c>
      <c r="I377" t="s">
        <v>1391</v>
      </c>
      <c r="J377" t="s">
        <v>1391</v>
      </c>
      <c r="K377" t="s">
        <v>1328</v>
      </c>
      <c r="L377">
        <v>0</v>
      </c>
      <c r="M377">
        <v>16.04</v>
      </c>
      <c r="N377">
        <v>494</v>
      </c>
      <c r="O377">
        <v>16.059999999999999</v>
      </c>
      <c r="P377">
        <v>285</v>
      </c>
      <c r="Q377">
        <v>0</v>
      </c>
    </row>
    <row r="378" spans="2:17">
      <c r="B378" t="str">
        <f>"020016"</f>
        <v>020016</v>
      </c>
      <c r="C378" t="s">
        <v>1692</v>
      </c>
      <c r="D378">
        <v>0</v>
      </c>
      <c r="E378">
        <v>0</v>
      </c>
      <c r="F378">
        <v>0</v>
      </c>
      <c r="G378" t="s">
        <v>1391</v>
      </c>
      <c r="H378" t="s">
        <v>1391</v>
      </c>
      <c r="I378" t="s">
        <v>1391</v>
      </c>
      <c r="J378" t="s">
        <v>1391</v>
      </c>
      <c r="K378" t="s">
        <v>1328</v>
      </c>
      <c r="L378">
        <v>0</v>
      </c>
      <c r="M378">
        <v>22.58</v>
      </c>
      <c r="N378">
        <v>499</v>
      </c>
      <c r="O378">
        <v>22.6</v>
      </c>
      <c r="P378">
        <v>282</v>
      </c>
      <c r="Q378">
        <v>0</v>
      </c>
    </row>
    <row r="379" spans="2:17">
      <c r="B379" t="str">
        <f>"020018"</f>
        <v>020018</v>
      </c>
      <c r="C379" t="s">
        <v>1693</v>
      </c>
      <c r="D379" s="3">
        <v>29000</v>
      </c>
      <c r="E379">
        <v>9</v>
      </c>
      <c r="F379" s="3">
        <v>561190</v>
      </c>
      <c r="G379">
        <v>19.32</v>
      </c>
      <c r="H379">
        <v>19.37</v>
      </c>
      <c r="I379">
        <v>19.32</v>
      </c>
      <c r="J379">
        <v>19.34</v>
      </c>
      <c r="K379" t="s">
        <v>1362</v>
      </c>
      <c r="L379">
        <v>0.04</v>
      </c>
      <c r="M379">
        <v>19.3</v>
      </c>
      <c r="N379">
        <v>493</v>
      </c>
      <c r="O379">
        <v>19.32</v>
      </c>
      <c r="P379">
        <v>281</v>
      </c>
      <c r="Q379">
        <v>0</v>
      </c>
    </row>
    <row r="380" spans="2:17">
      <c r="B380" t="str">
        <f>"020019"</f>
        <v>020019</v>
      </c>
      <c r="C380" t="s">
        <v>1694</v>
      </c>
      <c r="D380" s="3">
        <v>7000</v>
      </c>
      <c r="E380">
        <v>4</v>
      </c>
      <c r="F380" s="3">
        <v>110680</v>
      </c>
      <c r="G380">
        <v>15.8</v>
      </c>
      <c r="H380">
        <v>15.82</v>
      </c>
      <c r="I380">
        <v>15.8</v>
      </c>
      <c r="J380">
        <v>15.82</v>
      </c>
      <c r="K380" t="s">
        <v>1362</v>
      </c>
      <c r="L380">
        <v>0.14000000000000001</v>
      </c>
      <c r="M380">
        <v>15.81</v>
      </c>
      <c r="N380">
        <v>493</v>
      </c>
      <c r="O380">
        <v>15.83</v>
      </c>
      <c r="P380">
        <v>284</v>
      </c>
      <c r="Q380">
        <v>0</v>
      </c>
    </row>
    <row r="381" spans="2:17">
      <c r="B381" t="str">
        <f>"02001L"</f>
        <v>02001L</v>
      </c>
      <c r="C381" t="s">
        <v>1695</v>
      </c>
      <c r="D381" s="3">
        <v>101000</v>
      </c>
      <c r="E381">
        <v>6</v>
      </c>
      <c r="F381" s="3">
        <v>1153860</v>
      </c>
      <c r="G381">
        <v>11.44</v>
      </c>
      <c r="H381">
        <v>11.44</v>
      </c>
      <c r="I381">
        <v>11.39</v>
      </c>
      <c r="J381">
        <v>11.44</v>
      </c>
      <c r="K381" t="s">
        <v>1362</v>
      </c>
      <c r="L381">
        <v>0.14000000000000001</v>
      </c>
      <c r="M381">
        <v>11.43</v>
      </c>
      <c r="N381">
        <v>10</v>
      </c>
      <c r="O381">
        <v>11.44</v>
      </c>
      <c r="P381">
        <v>10</v>
      </c>
      <c r="Q381">
        <v>0</v>
      </c>
    </row>
    <row r="382" spans="2:17">
      <c r="B382" t="str">
        <f>"02001R"</f>
        <v>02001R</v>
      </c>
      <c r="C382" t="s">
        <v>1696</v>
      </c>
      <c r="D382" s="3">
        <v>3000</v>
      </c>
      <c r="E382">
        <v>1</v>
      </c>
      <c r="F382" s="3">
        <v>8730</v>
      </c>
      <c r="G382">
        <v>2.91</v>
      </c>
      <c r="H382">
        <v>2.91</v>
      </c>
      <c r="I382">
        <v>2.91</v>
      </c>
      <c r="J382">
        <v>2.91</v>
      </c>
      <c r="K382" t="s">
        <v>1</v>
      </c>
      <c r="L382">
        <v>0.01</v>
      </c>
      <c r="M382">
        <v>2.9</v>
      </c>
      <c r="N382">
        <v>11</v>
      </c>
      <c r="O382">
        <v>2.91</v>
      </c>
      <c r="P382">
        <v>10</v>
      </c>
      <c r="Q382">
        <v>0</v>
      </c>
    </row>
    <row r="383" spans="2:17">
      <c r="B383" t="str">
        <f>"020020"</f>
        <v>020020</v>
      </c>
      <c r="C383" t="s">
        <v>1697</v>
      </c>
      <c r="D383" s="3">
        <v>695000</v>
      </c>
      <c r="E383">
        <v>186</v>
      </c>
      <c r="F383" s="3">
        <v>5438040</v>
      </c>
      <c r="G383">
        <v>7.73</v>
      </c>
      <c r="H383">
        <v>7.85</v>
      </c>
      <c r="I383">
        <v>7.73</v>
      </c>
      <c r="J383">
        <v>7.84</v>
      </c>
      <c r="K383" t="s">
        <v>1362</v>
      </c>
      <c r="L383">
        <v>0.1</v>
      </c>
      <c r="M383">
        <v>7.84</v>
      </c>
      <c r="N383">
        <v>99</v>
      </c>
      <c r="O383">
        <v>7.85</v>
      </c>
      <c r="P383">
        <v>118</v>
      </c>
      <c r="Q383">
        <v>0</v>
      </c>
    </row>
    <row r="384" spans="2:17">
      <c r="B384" t="str">
        <f>"020022"</f>
        <v>020022</v>
      </c>
      <c r="C384" t="s">
        <v>1698</v>
      </c>
      <c r="D384" s="3">
        <v>1375000</v>
      </c>
      <c r="E384">
        <v>244</v>
      </c>
      <c r="F384" s="3">
        <v>7891040</v>
      </c>
      <c r="G384">
        <v>5.73</v>
      </c>
      <c r="H384">
        <v>5.76</v>
      </c>
      <c r="I384">
        <v>5.72</v>
      </c>
      <c r="J384">
        <v>5.73</v>
      </c>
      <c r="K384" t="s">
        <v>1328</v>
      </c>
      <c r="L384">
        <v>0</v>
      </c>
      <c r="M384">
        <v>5.73</v>
      </c>
      <c r="N384">
        <v>117</v>
      </c>
      <c r="O384">
        <v>5.74</v>
      </c>
      <c r="P384">
        <v>105</v>
      </c>
      <c r="Q384">
        <v>0</v>
      </c>
    </row>
    <row r="385" spans="2:17">
      <c r="B385" t="str">
        <f>"020028"</f>
        <v>020028</v>
      </c>
      <c r="C385" t="s">
        <v>2791</v>
      </c>
      <c r="D385" s="3">
        <v>1441000</v>
      </c>
      <c r="E385">
        <v>413</v>
      </c>
      <c r="F385" s="3">
        <v>7986020</v>
      </c>
      <c r="G385">
        <v>5.54</v>
      </c>
      <c r="H385">
        <v>5.57</v>
      </c>
      <c r="I385">
        <v>5.52</v>
      </c>
      <c r="J385">
        <v>5.54</v>
      </c>
      <c r="K385" t="s">
        <v>1362</v>
      </c>
      <c r="L385">
        <v>0.01</v>
      </c>
      <c r="M385">
        <v>5.53</v>
      </c>
      <c r="N385">
        <v>725</v>
      </c>
      <c r="O385">
        <v>5.54</v>
      </c>
      <c r="P385">
        <v>498</v>
      </c>
      <c r="Q385">
        <v>0</v>
      </c>
    </row>
    <row r="386" spans="2:17">
      <c r="B386" t="str">
        <f>"020029"</f>
        <v>020029</v>
      </c>
      <c r="C386" t="s">
        <v>2900</v>
      </c>
      <c r="D386" s="3">
        <v>1573000</v>
      </c>
      <c r="E386">
        <v>214</v>
      </c>
      <c r="F386" s="3">
        <v>8668750</v>
      </c>
      <c r="G386">
        <v>5.48</v>
      </c>
      <c r="H386">
        <v>5.53</v>
      </c>
      <c r="I386">
        <v>5.48</v>
      </c>
      <c r="J386">
        <v>5.52</v>
      </c>
      <c r="K386" t="s">
        <v>1362</v>
      </c>
      <c r="L386">
        <v>0.05</v>
      </c>
      <c r="M386">
        <v>5.52</v>
      </c>
      <c r="N386">
        <v>499</v>
      </c>
      <c r="O386">
        <v>5.53</v>
      </c>
      <c r="P386">
        <v>523</v>
      </c>
      <c r="Q386">
        <v>0</v>
      </c>
    </row>
    <row r="387" spans="2:17">
      <c r="B387" t="str">
        <f>"020030"</f>
        <v>020030</v>
      </c>
      <c r="C387" t="s">
        <v>3073</v>
      </c>
      <c r="D387" s="3">
        <v>2572000</v>
      </c>
      <c r="E387">
        <v>243</v>
      </c>
      <c r="F387" s="3">
        <v>13714090</v>
      </c>
      <c r="G387">
        <v>5.34</v>
      </c>
      <c r="H387">
        <v>5.35</v>
      </c>
      <c r="I387">
        <v>5.31</v>
      </c>
      <c r="J387">
        <v>5.34</v>
      </c>
      <c r="K387" t="s">
        <v>1362</v>
      </c>
      <c r="L387">
        <v>0.04</v>
      </c>
      <c r="M387">
        <v>5.33</v>
      </c>
      <c r="N387">
        <v>585</v>
      </c>
      <c r="O387">
        <v>5.34</v>
      </c>
      <c r="P387">
        <v>341</v>
      </c>
      <c r="Q387">
        <v>0</v>
      </c>
    </row>
    <row r="388" spans="2:17">
      <c r="B388">
        <v>1101</v>
      </c>
      <c r="C388" t="s">
        <v>7</v>
      </c>
      <c r="D388" s="3">
        <v>7836003</v>
      </c>
      <c r="E388" s="3">
        <v>4087</v>
      </c>
      <c r="F388" s="3">
        <v>376567638</v>
      </c>
      <c r="G388">
        <v>48.1</v>
      </c>
      <c r="H388">
        <v>48.15</v>
      </c>
      <c r="I388">
        <v>47.95</v>
      </c>
      <c r="J388">
        <v>48.15</v>
      </c>
      <c r="K388" t="s">
        <v>1362</v>
      </c>
      <c r="L388">
        <v>0.05</v>
      </c>
      <c r="M388">
        <v>48.1</v>
      </c>
      <c r="N388">
        <v>167</v>
      </c>
      <c r="O388">
        <v>48.15</v>
      </c>
      <c r="P388">
        <v>38</v>
      </c>
      <c r="Q388">
        <v>14.12</v>
      </c>
    </row>
    <row r="389" spans="2:17">
      <c r="B389" t="s">
        <v>1699</v>
      </c>
      <c r="C389" t="s">
        <v>1700</v>
      </c>
      <c r="D389" s="3">
        <v>1102819</v>
      </c>
      <c r="E389">
        <v>21</v>
      </c>
      <c r="F389" s="3">
        <v>57128143</v>
      </c>
      <c r="G389">
        <v>51.8</v>
      </c>
      <c r="H389">
        <v>52</v>
      </c>
      <c r="I389">
        <v>51.8</v>
      </c>
      <c r="J389">
        <v>51.8</v>
      </c>
      <c r="K389" t="s">
        <v>1</v>
      </c>
      <c r="L389">
        <v>0.2</v>
      </c>
      <c r="M389">
        <v>51.7</v>
      </c>
      <c r="N389">
        <v>36</v>
      </c>
      <c r="O389">
        <v>51.8</v>
      </c>
      <c r="P389">
        <v>400</v>
      </c>
      <c r="Q389">
        <v>0</v>
      </c>
    </row>
    <row r="390" spans="2:17">
      <c r="B390">
        <v>1102</v>
      </c>
      <c r="C390" t="s">
        <v>1701</v>
      </c>
      <c r="D390" s="3">
        <v>2179894</v>
      </c>
      <c r="E390" s="3">
        <v>1341</v>
      </c>
      <c r="F390" s="3">
        <v>96206685</v>
      </c>
      <c r="G390">
        <v>44.25</v>
      </c>
      <c r="H390">
        <v>44.25</v>
      </c>
      <c r="I390">
        <v>44.05</v>
      </c>
      <c r="J390">
        <v>44.2</v>
      </c>
      <c r="K390" t="s">
        <v>1362</v>
      </c>
      <c r="L390">
        <v>0.05</v>
      </c>
      <c r="M390">
        <v>44.2</v>
      </c>
      <c r="N390">
        <v>84</v>
      </c>
      <c r="O390">
        <v>44.25</v>
      </c>
      <c r="P390">
        <v>156</v>
      </c>
      <c r="Q390">
        <v>10.14</v>
      </c>
    </row>
    <row r="391" spans="2:17">
      <c r="B391">
        <v>1103</v>
      </c>
      <c r="C391" t="s">
        <v>1702</v>
      </c>
      <c r="D391" s="3">
        <v>2292979</v>
      </c>
      <c r="E391">
        <v>282</v>
      </c>
      <c r="F391" s="3">
        <v>43747809</v>
      </c>
      <c r="G391">
        <v>20.5</v>
      </c>
      <c r="H391">
        <v>20.7</v>
      </c>
      <c r="I391">
        <v>20.5</v>
      </c>
      <c r="J391">
        <v>20.7</v>
      </c>
      <c r="K391" t="s">
        <v>1362</v>
      </c>
      <c r="L391">
        <v>0.2</v>
      </c>
      <c r="M391">
        <v>20.65</v>
      </c>
      <c r="N391">
        <v>13</v>
      </c>
      <c r="O391">
        <v>20.7</v>
      </c>
      <c r="P391">
        <v>29</v>
      </c>
      <c r="Q391">
        <v>7.29</v>
      </c>
    </row>
    <row r="392" spans="2:17">
      <c r="B392">
        <v>1104</v>
      </c>
      <c r="C392" t="s">
        <v>1703</v>
      </c>
      <c r="D392" s="3">
        <v>285944</v>
      </c>
      <c r="E392">
        <v>170</v>
      </c>
      <c r="F392" s="3">
        <v>6156410</v>
      </c>
      <c r="G392">
        <v>21.65</v>
      </c>
      <c r="H392">
        <v>21.65</v>
      </c>
      <c r="I392">
        <v>21.5</v>
      </c>
      <c r="J392">
        <v>21.6</v>
      </c>
      <c r="K392" t="s">
        <v>1362</v>
      </c>
      <c r="L392">
        <v>0.05</v>
      </c>
      <c r="M392">
        <v>21.55</v>
      </c>
      <c r="N392">
        <v>2</v>
      </c>
      <c r="O392">
        <v>21.6</v>
      </c>
      <c r="P392">
        <v>72</v>
      </c>
      <c r="Q392">
        <v>12.78</v>
      </c>
    </row>
    <row r="393" spans="2:17">
      <c r="B393">
        <v>1108</v>
      </c>
      <c r="C393" t="s">
        <v>1704</v>
      </c>
      <c r="D393" s="3">
        <v>151618</v>
      </c>
      <c r="E393">
        <v>95</v>
      </c>
      <c r="F393" s="3">
        <v>1779759</v>
      </c>
      <c r="G393">
        <v>11.8</v>
      </c>
      <c r="H393">
        <v>11.85</v>
      </c>
      <c r="I393">
        <v>11.7</v>
      </c>
      <c r="J393">
        <v>11.75</v>
      </c>
      <c r="K393" t="s">
        <v>1</v>
      </c>
      <c r="L393">
        <v>0.05</v>
      </c>
      <c r="M393">
        <v>11.75</v>
      </c>
      <c r="N393">
        <v>11</v>
      </c>
      <c r="O393">
        <v>11.8</v>
      </c>
      <c r="P393">
        <v>39</v>
      </c>
      <c r="Q393">
        <v>20.260000000000002</v>
      </c>
    </row>
    <row r="394" spans="2:17">
      <c r="B394">
        <v>1109</v>
      </c>
      <c r="C394" t="s">
        <v>1705</v>
      </c>
      <c r="D394" s="3">
        <v>339326</v>
      </c>
      <c r="E394">
        <v>103</v>
      </c>
      <c r="F394" s="3">
        <v>6870559</v>
      </c>
      <c r="G394">
        <v>20.25</v>
      </c>
      <c r="H394">
        <v>20.350000000000001</v>
      </c>
      <c r="I394">
        <v>20.149999999999999</v>
      </c>
      <c r="J394">
        <v>20.3</v>
      </c>
      <c r="K394" t="s">
        <v>1362</v>
      </c>
      <c r="L394">
        <v>0.15</v>
      </c>
      <c r="M394">
        <v>20.3</v>
      </c>
      <c r="N394">
        <v>9</v>
      </c>
      <c r="O394">
        <v>20.350000000000001</v>
      </c>
      <c r="P394">
        <v>26</v>
      </c>
      <c r="Q394">
        <v>7.17</v>
      </c>
    </row>
    <row r="395" spans="2:17">
      <c r="B395">
        <v>1110</v>
      </c>
      <c r="C395" t="s">
        <v>1706</v>
      </c>
      <c r="D395" s="3">
        <v>318544</v>
      </c>
      <c r="E395">
        <v>150</v>
      </c>
      <c r="F395" s="3">
        <v>6378929</v>
      </c>
      <c r="G395">
        <v>20.05</v>
      </c>
      <c r="H395">
        <v>20.2</v>
      </c>
      <c r="I395">
        <v>19.850000000000001</v>
      </c>
      <c r="J395">
        <v>20.100000000000001</v>
      </c>
      <c r="K395" t="s">
        <v>1362</v>
      </c>
      <c r="L395">
        <v>0.1</v>
      </c>
      <c r="M395">
        <v>20.05</v>
      </c>
      <c r="N395">
        <v>4</v>
      </c>
      <c r="O395">
        <v>20.100000000000001</v>
      </c>
      <c r="P395">
        <v>34</v>
      </c>
      <c r="Q395">
        <v>83.75</v>
      </c>
    </row>
    <row r="396" spans="2:17">
      <c r="B396">
        <v>1201</v>
      </c>
      <c r="C396" t="s">
        <v>1707</v>
      </c>
      <c r="D396" s="3">
        <v>523544</v>
      </c>
      <c r="E396">
        <v>278</v>
      </c>
      <c r="F396" s="3">
        <v>11557488</v>
      </c>
      <c r="G396">
        <v>22</v>
      </c>
      <c r="H396">
        <v>22.15</v>
      </c>
      <c r="I396">
        <v>21.95</v>
      </c>
      <c r="J396">
        <v>22.15</v>
      </c>
      <c r="K396" t="s">
        <v>1362</v>
      </c>
      <c r="L396">
        <v>0.15</v>
      </c>
      <c r="M396">
        <v>22.1</v>
      </c>
      <c r="N396">
        <v>20</v>
      </c>
      <c r="O396">
        <v>22.15</v>
      </c>
      <c r="P396">
        <v>114</v>
      </c>
      <c r="Q396">
        <v>18.77</v>
      </c>
    </row>
    <row r="397" spans="2:17">
      <c r="B397">
        <v>1203</v>
      </c>
      <c r="C397" t="s">
        <v>1708</v>
      </c>
      <c r="D397" s="3">
        <v>33659</v>
      </c>
      <c r="E397">
        <v>42</v>
      </c>
      <c r="F397" s="3">
        <v>1100772</v>
      </c>
      <c r="G397">
        <v>32.6</v>
      </c>
      <c r="H397">
        <v>32.799999999999997</v>
      </c>
      <c r="I397">
        <v>32.5</v>
      </c>
      <c r="J397">
        <v>32.799999999999997</v>
      </c>
      <c r="K397" t="s">
        <v>1362</v>
      </c>
      <c r="L397">
        <v>0.25</v>
      </c>
      <c r="M397">
        <v>32.4</v>
      </c>
      <c r="N397">
        <v>2</v>
      </c>
      <c r="O397">
        <v>32.799999999999997</v>
      </c>
      <c r="P397">
        <v>1</v>
      </c>
      <c r="Q397">
        <v>17.920000000000002</v>
      </c>
    </row>
    <row r="398" spans="2:17">
      <c r="B398">
        <v>1210</v>
      </c>
      <c r="C398" t="s">
        <v>1709</v>
      </c>
      <c r="D398" s="3">
        <v>2007976</v>
      </c>
      <c r="E398" s="3">
        <v>1758</v>
      </c>
      <c r="F398" s="3">
        <v>106852499</v>
      </c>
      <c r="G398">
        <v>52.9</v>
      </c>
      <c r="H398">
        <v>53.6</v>
      </c>
      <c r="I398">
        <v>52.7</v>
      </c>
      <c r="J398">
        <v>53.6</v>
      </c>
      <c r="K398" t="s">
        <v>1362</v>
      </c>
      <c r="L398">
        <v>0.9</v>
      </c>
      <c r="M398">
        <v>53.6</v>
      </c>
      <c r="N398">
        <v>35</v>
      </c>
      <c r="O398">
        <v>53.7</v>
      </c>
      <c r="P398">
        <v>71</v>
      </c>
      <c r="Q398">
        <v>18.68</v>
      </c>
    </row>
    <row r="399" spans="2:17">
      <c r="B399">
        <v>1213</v>
      </c>
      <c r="C399" t="s">
        <v>1710</v>
      </c>
      <c r="D399" s="3">
        <v>11000</v>
      </c>
      <c r="E399">
        <v>10</v>
      </c>
      <c r="F399" s="3">
        <v>91030</v>
      </c>
      <c r="G399">
        <v>8.06</v>
      </c>
      <c r="H399">
        <v>8.36</v>
      </c>
      <c r="I399">
        <v>8.06</v>
      </c>
      <c r="J399">
        <v>8.34</v>
      </c>
      <c r="K399" t="s">
        <v>1</v>
      </c>
      <c r="L399">
        <v>0.01</v>
      </c>
      <c r="M399">
        <v>8.1</v>
      </c>
      <c r="N399">
        <v>3</v>
      </c>
      <c r="O399">
        <v>8.32</v>
      </c>
      <c r="P399">
        <v>2</v>
      </c>
      <c r="Q399">
        <v>0</v>
      </c>
    </row>
    <row r="400" spans="2:17">
      <c r="B400">
        <v>1215</v>
      </c>
      <c r="C400" t="s">
        <v>1711</v>
      </c>
      <c r="D400" s="3">
        <v>350820</v>
      </c>
      <c r="E400">
        <v>427</v>
      </c>
      <c r="F400" s="3">
        <v>28254252</v>
      </c>
      <c r="G400">
        <v>80.3</v>
      </c>
      <c r="H400">
        <v>80.8</v>
      </c>
      <c r="I400">
        <v>80.3</v>
      </c>
      <c r="J400">
        <v>80.599999999999994</v>
      </c>
      <c r="K400" t="s">
        <v>1362</v>
      </c>
      <c r="L400">
        <v>0.3</v>
      </c>
      <c r="M400">
        <v>80.599999999999994</v>
      </c>
      <c r="N400">
        <v>5</v>
      </c>
      <c r="O400">
        <v>80.7</v>
      </c>
      <c r="P400">
        <v>4</v>
      </c>
      <c r="Q400">
        <v>14.58</v>
      </c>
    </row>
    <row r="401" spans="2:17">
      <c r="B401">
        <v>1216</v>
      </c>
      <c r="C401" t="s">
        <v>1712</v>
      </c>
      <c r="D401" s="3">
        <v>2600739</v>
      </c>
      <c r="E401" s="3">
        <v>2026</v>
      </c>
      <c r="F401" s="3">
        <v>178565458</v>
      </c>
      <c r="G401">
        <v>68.400000000000006</v>
      </c>
      <c r="H401">
        <v>68.8</v>
      </c>
      <c r="I401">
        <v>68.2</v>
      </c>
      <c r="J401">
        <v>68.7</v>
      </c>
      <c r="K401" t="s">
        <v>1362</v>
      </c>
      <c r="L401">
        <v>0.3</v>
      </c>
      <c r="M401">
        <v>68.7</v>
      </c>
      <c r="N401">
        <v>10</v>
      </c>
      <c r="O401">
        <v>68.8</v>
      </c>
      <c r="P401">
        <v>76</v>
      </c>
      <c r="Q401">
        <v>19.46</v>
      </c>
    </row>
    <row r="402" spans="2:17">
      <c r="B402">
        <v>1217</v>
      </c>
      <c r="C402" t="s">
        <v>1713</v>
      </c>
      <c r="D402" s="3">
        <v>3388829</v>
      </c>
      <c r="E402" s="3">
        <v>1089</v>
      </c>
      <c r="F402" s="3">
        <v>35785781</v>
      </c>
      <c r="G402">
        <v>10.45</v>
      </c>
      <c r="H402">
        <v>10.65</v>
      </c>
      <c r="I402">
        <v>10.4</v>
      </c>
      <c r="J402">
        <v>10.65</v>
      </c>
      <c r="K402" t="s">
        <v>1362</v>
      </c>
      <c r="L402">
        <v>0.2</v>
      </c>
      <c r="M402">
        <v>10.6</v>
      </c>
      <c r="N402">
        <v>109</v>
      </c>
      <c r="O402">
        <v>10.65</v>
      </c>
      <c r="P402">
        <v>194</v>
      </c>
      <c r="Q402">
        <v>20.88</v>
      </c>
    </row>
    <row r="403" spans="2:17">
      <c r="B403">
        <v>1218</v>
      </c>
      <c r="C403" t="s">
        <v>1714</v>
      </c>
      <c r="D403" s="3">
        <v>650663</v>
      </c>
      <c r="E403">
        <v>465</v>
      </c>
      <c r="F403" s="3">
        <v>17808754</v>
      </c>
      <c r="G403">
        <v>27.4</v>
      </c>
      <c r="H403">
        <v>27.55</v>
      </c>
      <c r="I403">
        <v>27.25</v>
      </c>
      <c r="J403">
        <v>27.3</v>
      </c>
      <c r="K403" t="s">
        <v>1</v>
      </c>
      <c r="L403">
        <v>0.05</v>
      </c>
      <c r="M403">
        <v>27.25</v>
      </c>
      <c r="N403">
        <v>12</v>
      </c>
      <c r="O403">
        <v>27.3</v>
      </c>
      <c r="P403">
        <v>3</v>
      </c>
      <c r="Q403">
        <v>22.2</v>
      </c>
    </row>
    <row r="404" spans="2:17">
      <c r="B404">
        <v>1219</v>
      </c>
      <c r="C404" t="s">
        <v>1715</v>
      </c>
      <c r="D404" s="3">
        <v>604865</v>
      </c>
      <c r="E404">
        <v>270</v>
      </c>
      <c r="F404" s="3">
        <v>12019713</v>
      </c>
      <c r="G404">
        <v>19.95</v>
      </c>
      <c r="H404">
        <v>19.95</v>
      </c>
      <c r="I404">
        <v>19.8</v>
      </c>
      <c r="J404">
        <v>19.95</v>
      </c>
      <c r="K404" t="s">
        <v>1362</v>
      </c>
      <c r="L404">
        <v>0.1</v>
      </c>
      <c r="M404">
        <v>19.899999999999999</v>
      </c>
      <c r="N404">
        <v>33</v>
      </c>
      <c r="O404">
        <v>19.95</v>
      </c>
      <c r="P404">
        <v>64</v>
      </c>
      <c r="Q404">
        <v>16.22</v>
      </c>
    </row>
    <row r="405" spans="2:17">
      <c r="B405">
        <v>1220</v>
      </c>
      <c r="C405" t="s">
        <v>1716</v>
      </c>
      <c r="D405" s="3">
        <v>113324</v>
      </c>
      <c r="E405">
        <v>84</v>
      </c>
      <c r="F405" s="3">
        <v>1763581</v>
      </c>
      <c r="G405">
        <v>15.55</v>
      </c>
      <c r="H405">
        <v>15.6</v>
      </c>
      <c r="I405">
        <v>15.5</v>
      </c>
      <c r="J405">
        <v>15.6</v>
      </c>
      <c r="K405" t="s">
        <v>1362</v>
      </c>
      <c r="L405">
        <v>0.05</v>
      </c>
      <c r="M405">
        <v>15.55</v>
      </c>
      <c r="N405">
        <v>72</v>
      </c>
      <c r="O405">
        <v>15.6</v>
      </c>
      <c r="P405">
        <v>17</v>
      </c>
      <c r="Q405">
        <v>13.45</v>
      </c>
    </row>
    <row r="406" spans="2:17">
      <c r="B406">
        <v>1225</v>
      </c>
      <c r="C406" t="s">
        <v>1717</v>
      </c>
      <c r="D406" s="3">
        <v>55192</v>
      </c>
      <c r="E406">
        <v>47</v>
      </c>
      <c r="F406" s="3">
        <v>2872600</v>
      </c>
      <c r="G406">
        <v>52.1</v>
      </c>
      <c r="H406">
        <v>52.2</v>
      </c>
      <c r="I406">
        <v>51.9</v>
      </c>
      <c r="J406">
        <v>52.2</v>
      </c>
      <c r="K406" t="s">
        <v>1362</v>
      </c>
      <c r="L406">
        <v>0.1</v>
      </c>
      <c r="M406">
        <v>52.2</v>
      </c>
      <c r="N406">
        <v>11</v>
      </c>
      <c r="O406">
        <v>52.3</v>
      </c>
      <c r="P406">
        <v>13</v>
      </c>
      <c r="Q406">
        <v>23.84</v>
      </c>
    </row>
    <row r="407" spans="2:17">
      <c r="B407">
        <v>1227</v>
      </c>
      <c r="C407" t="s">
        <v>1718</v>
      </c>
      <c r="D407" s="3">
        <v>648254</v>
      </c>
      <c r="E407">
        <v>509</v>
      </c>
      <c r="F407" s="3">
        <v>34320003</v>
      </c>
      <c r="G407">
        <v>52.8</v>
      </c>
      <c r="H407">
        <v>53.1</v>
      </c>
      <c r="I407">
        <v>52.7</v>
      </c>
      <c r="J407">
        <v>52.9</v>
      </c>
      <c r="K407" t="s">
        <v>1362</v>
      </c>
      <c r="L407">
        <v>0.3</v>
      </c>
      <c r="M407">
        <v>52.9</v>
      </c>
      <c r="N407">
        <v>10</v>
      </c>
      <c r="O407">
        <v>53</v>
      </c>
      <c r="P407">
        <v>17</v>
      </c>
      <c r="Q407">
        <v>18.18</v>
      </c>
    </row>
    <row r="408" spans="2:17">
      <c r="B408">
        <v>1229</v>
      </c>
      <c r="C408" t="s">
        <v>1719</v>
      </c>
      <c r="D408" s="3">
        <v>2611860</v>
      </c>
      <c r="E408" s="3">
        <v>2719</v>
      </c>
      <c r="F408" s="3">
        <v>161537261</v>
      </c>
      <c r="G408">
        <v>61</v>
      </c>
      <c r="H408">
        <v>62.4</v>
      </c>
      <c r="I408">
        <v>60.7</v>
      </c>
      <c r="J408">
        <v>62.2</v>
      </c>
      <c r="K408" t="s">
        <v>1362</v>
      </c>
      <c r="L408">
        <v>1.2</v>
      </c>
      <c r="M408">
        <v>62.2</v>
      </c>
      <c r="N408">
        <v>29</v>
      </c>
      <c r="O408">
        <v>62.3</v>
      </c>
      <c r="P408">
        <v>96</v>
      </c>
      <c r="Q408">
        <v>17.670000000000002</v>
      </c>
    </row>
    <row r="409" spans="2:17">
      <c r="B409">
        <v>1231</v>
      </c>
      <c r="C409" t="s">
        <v>1720</v>
      </c>
      <c r="D409" s="3">
        <v>226004</v>
      </c>
      <c r="E409">
        <v>431</v>
      </c>
      <c r="F409" s="3">
        <v>15734669</v>
      </c>
      <c r="G409">
        <v>69</v>
      </c>
      <c r="H409">
        <v>70</v>
      </c>
      <c r="I409">
        <v>69</v>
      </c>
      <c r="J409">
        <v>69.900000000000006</v>
      </c>
      <c r="K409" t="s">
        <v>1362</v>
      </c>
      <c r="L409">
        <v>0.8</v>
      </c>
      <c r="M409">
        <v>69.8</v>
      </c>
      <c r="N409">
        <v>4</v>
      </c>
      <c r="O409">
        <v>69.900000000000006</v>
      </c>
      <c r="P409">
        <v>3</v>
      </c>
      <c r="Q409">
        <v>17.739999999999998</v>
      </c>
    </row>
    <row r="410" spans="2:17">
      <c r="B410">
        <v>1232</v>
      </c>
      <c r="C410" t="s">
        <v>1721</v>
      </c>
      <c r="D410" s="3">
        <v>50389</v>
      </c>
      <c r="E410">
        <v>235</v>
      </c>
      <c r="F410" s="3">
        <v>7938656</v>
      </c>
      <c r="G410">
        <v>157</v>
      </c>
      <c r="H410">
        <v>158</v>
      </c>
      <c r="I410">
        <v>157</v>
      </c>
      <c r="J410">
        <v>158</v>
      </c>
      <c r="K410" t="s">
        <v>1362</v>
      </c>
      <c r="L410">
        <v>0.5</v>
      </c>
      <c r="M410">
        <v>157.5</v>
      </c>
      <c r="N410">
        <v>17</v>
      </c>
      <c r="O410">
        <v>158</v>
      </c>
      <c r="P410">
        <v>18</v>
      </c>
      <c r="Q410">
        <v>19.170000000000002</v>
      </c>
    </row>
    <row r="411" spans="2:17">
      <c r="B411">
        <v>1233</v>
      </c>
      <c r="C411" t="s">
        <v>1722</v>
      </c>
      <c r="D411" s="3">
        <v>7010</v>
      </c>
      <c r="E411">
        <v>8</v>
      </c>
      <c r="F411" s="3">
        <v>241496</v>
      </c>
      <c r="G411">
        <v>34.15</v>
      </c>
      <c r="H411">
        <v>34.6</v>
      </c>
      <c r="I411">
        <v>34.15</v>
      </c>
      <c r="J411">
        <v>34.6</v>
      </c>
      <c r="K411" t="s">
        <v>1</v>
      </c>
      <c r="L411">
        <v>0.1</v>
      </c>
      <c r="M411">
        <v>34.25</v>
      </c>
      <c r="N411">
        <v>2</v>
      </c>
      <c r="O411">
        <v>34.65</v>
      </c>
      <c r="P411">
        <v>1</v>
      </c>
      <c r="Q411">
        <v>75.22</v>
      </c>
    </row>
    <row r="412" spans="2:17">
      <c r="B412">
        <v>1234</v>
      </c>
      <c r="C412" t="s">
        <v>1723</v>
      </c>
      <c r="D412" s="3">
        <v>99914</v>
      </c>
      <c r="E412">
        <v>103</v>
      </c>
      <c r="F412" s="3">
        <v>3541175</v>
      </c>
      <c r="G412">
        <v>35.4</v>
      </c>
      <c r="H412">
        <v>35.5</v>
      </c>
      <c r="I412">
        <v>35.4</v>
      </c>
      <c r="J412">
        <v>35.450000000000003</v>
      </c>
      <c r="K412" t="s">
        <v>1362</v>
      </c>
      <c r="L412">
        <v>0.05</v>
      </c>
      <c r="M412">
        <v>35.4</v>
      </c>
      <c r="N412">
        <v>6</v>
      </c>
      <c r="O412">
        <v>35.450000000000003</v>
      </c>
      <c r="P412">
        <v>5</v>
      </c>
      <c r="Q412">
        <v>20.14</v>
      </c>
    </row>
    <row r="413" spans="2:17">
      <c r="B413">
        <v>1235</v>
      </c>
      <c r="C413" t="s">
        <v>1724</v>
      </c>
      <c r="D413" s="3">
        <v>10058</v>
      </c>
      <c r="E413">
        <v>18</v>
      </c>
      <c r="F413" s="3">
        <v>437797</v>
      </c>
      <c r="G413">
        <v>43.95</v>
      </c>
      <c r="H413">
        <v>43.95</v>
      </c>
      <c r="I413">
        <v>43.1</v>
      </c>
      <c r="J413">
        <v>43.7</v>
      </c>
      <c r="K413" t="s">
        <v>1328</v>
      </c>
      <c r="L413">
        <v>0</v>
      </c>
      <c r="M413">
        <v>43.6</v>
      </c>
      <c r="N413">
        <v>1</v>
      </c>
      <c r="O413">
        <v>43.7</v>
      </c>
      <c r="P413">
        <v>1</v>
      </c>
      <c r="Q413">
        <v>60.69</v>
      </c>
    </row>
    <row r="414" spans="2:17">
      <c r="B414">
        <v>1236</v>
      </c>
      <c r="C414" t="s">
        <v>1725</v>
      </c>
      <c r="D414" s="3">
        <v>280295</v>
      </c>
      <c r="E414">
        <v>189</v>
      </c>
      <c r="F414" s="3">
        <v>8041335</v>
      </c>
      <c r="G414">
        <v>27.35</v>
      </c>
      <c r="H414">
        <v>29.2</v>
      </c>
      <c r="I414">
        <v>27.35</v>
      </c>
      <c r="J414">
        <v>29.1</v>
      </c>
      <c r="K414" t="s">
        <v>1362</v>
      </c>
      <c r="L414">
        <v>1.3</v>
      </c>
      <c r="M414">
        <v>29</v>
      </c>
      <c r="N414">
        <v>2</v>
      </c>
      <c r="O414">
        <v>29.1</v>
      </c>
      <c r="P414">
        <v>27</v>
      </c>
      <c r="Q414">
        <v>0</v>
      </c>
    </row>
    <row r="415" spans="2:17">
      <c r="B415">
        <v>1256</v>
      </c>
      <c r="C415" t="s">
        <v>1726</v>
      </c>
      <c r="D415" s="3">
        <v>107895</v>
      </c>
      <c r="E415">
        <v>834</v>
      </c>
      <c r="F415" s="3">
        <v>33845494</v>
      </c>
      <c r="G415">
        <v>309</v>
      </c>
      <c r="H415">
        <v>325</v>
      </c>
      <c r="I415">
        <v>304</v>
      </c>
      <c r="J415">
        <v>323</v>
      </c>
      <c r="K415" t="s">
        <v>1362</v>
      </c>
      <c r="L415">
        <v>14.5</v>
      </c>
      <c r="M415">
        <v>321.5</v>
      </c>
      <c r="N415">
        <v>1</v>
      </c>
      <c r="O415">
        <v>323</v>
      </c>
      <c r="P415">
        <v>2</v>
      </c>
      <c r="Q415">
        <v>12.71</v>
      </c>
    </row>
    <row r="416" spans="2:17">
      <c r="B416">
        <v>1301</v>
      </c>
      <c r="C416" t="s">
        <v>1727</v>
      </c>
      <c r="D416" s="3">
        <v>6073563</v>
      </c>
      <c r="E416" s="3">
        <v>2686</v>
      </c>
      <c r="F416" s="3">
        <v>632198863</v>
      </c>
      <c r="G416">
        <v>104.5</v>
      </c>
      <c r="H416">
        <v>105</v>
      </c>
      <c r="I416">
        <v>103</v>
      </c>
      <c r="J416">
        <v>105</v>
      </c>
      <c r="K416" t="s">
        <v>1362</v>
      </c>
      <c r="L416">
        <v>0.5</v>
      </c>
      <c r="M416">
        <v>104.5</v>
      </c>
      <c r="N416">
        <v>150</v>
      </c>
      <c r="O416">
        <v>105</v>
      </c>
      <c r="P416">
        <v>620</v>
      </c>
      <c r="Q416">
        <v>10.25</v>
      </c>
    </row>
    <row r="417" spans="2:17">
      <c r="B417">
        <v>1303</v>
      </c>
      <c r="C417" t="s">
        <v>1728</v>
      </c>
      <c r="D417" s="3">
        <v>4636902</v>
      </c>
      <c r="E417" s="3">
        <v>2799</v>
      </c>
      <c r="F417" s="3">
        <v>398007212</v>
      </c>
      <c r="G417">
        <v>85.9</v>
      </c>
      <c r="H417">
        <v>86.2</v>
      </c>
      <c r="I417">
        <v>85.5</v>
      </c>
      <c r="J417">
        <v>86</v>
      </c>
      <c r="K417" t="s">
        <v>1362</v>
      </c>
      <c r="L417">
        <v>0.1</v>
      </c>
      <c r="M417">
        <v>85.9</v>
      </c>
      <c r="N417">
        <v>125</v>
      </c>
      <c r="O417">
        <v>86</v>
      </c>
      <c r="P417">
        <v>64</v>
      </c>
      <c r="Q417">
        <v>8.98</v>
      </c>
    </row>
    <row r="418" spans="2:17">
      <c r="B418">
        <v>1304</v>
      </c>
      <c r="C418" t="s">
        <v>1729</v>
      </c>
      <c r="D418" s="3">
        <v>5354206</v>
      </c>
      <c r="E418" s="3">
        <v>2330</v>
      </c>
      <c r="F418" s="3">
        <v>167467435</v>
      </c>
      <c r="G418">
        <v>31.05</v>
      </c>
      <c r="H418">
        <v>31.4</v>
      </c>
      <c r="I418">
        <v>31.05</v>
      </c>
      <c r="J418">
        <v>31.35</v>
      </c>
      <c r="K418" t="s">
        <v>1362</v>
      </c>
      <c r="L418">
        <v>0.35</v>
      </c>
      <c r="M418">
        <v>31.3</v>
      </c>
      <c r="N418">
        <v>82</v>
      </c>
      <c r="O418">
        <v>31.35</v>
      </c>
      <c r="P418">
        <v>111</v>
      </c>
      <c r="Q418">
        <v>6.86</v>
      </c>
    </row>
    <row r="419" spans="2:17">
      <c r="B419">
        <v>1305</v>
      </c>
      <c r="C419" t="s">
        <v>1730</v>
      </c>
      <c r="D419" s="3">
        <v>1633726</v>
      </c>
      <c r="E419">
        <v>886</v>
      </c>
      <c r="F419" s="3">
        <v>56079500</v>
      </c>
      <c r="G419">
        <v>34.450000000000003</v>
      </c>
      <c r="H419">
        <v>34.5</v>
      </c>
      <c r="I419">
        <v>34.200000000000003</v>
      </c>
      <c r="J419">
        <v>34.35</v>
      </c>
      <c r="K419" t="s">
        <v>1362</v>
      </c>
      <c r="L419">
        <v>0.05</v>
      </c>
      <c r="M419">
        <v>34.35</v>
      </c>
      <c r="N419">
        <v>18</v>
      </c>
      <c r="O419">
        <v>34.4</v>
      </c>
      <c r="P419">
        <v>69</v>
      </c>
      <c r="Q419">
        <v>6.91</v>
      </c>
    </row>
    <row r="420" spans="2:17">
      <c r="B420">
        <v>1307</v>
      </c>
      <c r="C420" t="s">
        <v>1731</v>
      </c>
      <c r="D420" s="3">
        <v>44962</v>
      </c>
      <c r="E420">
        <v>42</v>
      </c>
      <c r="F420" s="3">
        <v>934789</v>
      </c>
      <c r="G420">
        <v>20.85</v>
      </c>
      <c r="H420">
        <v>20.85</v>
      </c>
      <c r="I420">
        <v>20.7</v>
      </c>
      <c r="J420">
        <v>20.8</v>
      </c>
      <c r="K420" t="s">
        <v>1328</v>
      </c>
      <c r="L420">
        <v>0</v>
      </c>
      <c r="M420">
        <v>20.75</v>
      </c>
      <c r="N420">
        <v>2</v>
      </c>
      <c r="O420">
        <v>20.8</v>
      </c>
      <c r="P420">
        <v>1</v>
      </c>
      <c r="Q420">
        <v>43.33</v>
      </c>
    </row>
    <row r="421" spans="2:17">
      <c r="B421">
        <v>1308</v>
      </c>
      <c r="C421" t="s">
        <v>1732</v>
      </c>
      <c r="D421" s="3">
        <v>2598808</v>
      </c>
      <c r="E421" s="3">
        <v>1251</v>
      </c>
      <c r="F421" s="3">
        <v>95351220</v>
      </c>
      <c r="G421">
        <v>36.549999999999997</v>
      </c>
      <c r="H421">
        <v>36.950000000000003</v>
      </c>
      <c r="I421">
        <v>36.450000000000003</v>
      </c>
      <c r="J421">
        <v>36.85</v>
      </c>
      <c r="K421" t="s">
        <v>1362</v>
      </c>
      <c r="L421">
        <v>0.5</v>
      </c>
      <c r="M421">
        <v>36.799999999999997</v>
      </c>
      <c r="N421">
        <v>55</v>
      </c>
      <c r="O421">
        <v>36.85</v>
      </c>
      <c r="P421">
        <v>79</v>
      </c>
      <c r="Q421">
        <v>8.1</v>
      </c>
    </row>
    <row r="422" spans="2:17">
      <c r="B422">
        <v>1309</v>
      </c>
      <c r="C422" t="s">
        <v>1733</v>
      </c>
      <c r="D422" s="3">
        <v>528026</v>
      </c>
      <c r="E422">
        <v>445</v>
      </c>
      <c r="F422" s="3">
        <v>17885366</v>
      </c>
      <c r="G422">
        <v>33.9</v>
      </c>
      <c r="H422">
        <v>33.950000000000003</v>
      </c>
      <c r="I422">
        <v>33.799999999999997</v>
      </c>
      <c r="J422">
        <v>33.85</v>
      </c>
      <c r="K422" t="s">
        <v>1328</v>
      </c>
      <c r="L422">
        <v>0</v>
      </c>
      <c r="M422">
        <v>33.85</v>
      </c>
      <c r="N422">
        <v>19</v>
      </c>
      <c r="O422">
        <v>33.9</v>
      </c>
      <c r="P422">
        <v>2</v>
      </c>
      <c r="Q422">
        <v>5.85</v>
      </c>
    </row>
    <row r="423" spans="2:17">
      <c r="B423">
        <v>1310</v>
      </c>
      <c r="C423" t="s">
        <v>1734</v>
      </c>
      <c r="D423" s="3">
        <v>790918</v>
      </c>
      <c r="E423">
        <v>428</v>
      </c>
      <c r="F423" s="3">
        <v>13690583</v>
      </c>
      <c r="G423">
        <v>17.350000000000001</v>
      </c>
      <c r="H423">
        <v>17.350000000000001</v>
      </c>
      <c r="I423">
        <v>17.25</v>
      </c>
      <c r="J423">
        <v>17.3</v>
      </c>
      <c r="K423" t="s">
        <v>1328</v>
      </c>
      <c r="L423">
        <v>0</v>
      </c>
      <c r="M423">
        <v>17.3</v>
      </c>
      <c r="N423">
        <v>14</v>
      </c>
      <c r="O423">
        <v>17.350000000000001</v>
      </c>
      <c r="P423">
        <v>57</v>
      </c>
      <c r="Q423">
        <v>11.61</v>
      </c>
    </row>
    <row r="424" spans="2:17">
      <c r="B424">
        <v>1312</v>
      </c>
      <c r="C424" t="s">
        <v>1735</v>
      </c>
      <c r="D424" s="3">
        <v>6112892</v>
      </c>
      <c r="E424" s="3">
        <v>2049</v>
      </c>
      <c r="F424" s="3">
        <v>174763902</v>
      </c>
      <c r="G424">
        <v>28.6</v>
      </c>
      <c r="H424">
        <v>28.65</v>
      </c>
      <c r="I424">
        <v>28.45</v>
      </c>
      <c r="J424">
        <v>28.65</v>
      </c>
      <c r="K424" t="s">
        <v>1362</v>
      </c>
      <c r="L424">
        <v>0.15</v>
      </c>
      <c r="M424">
        <v>28.6</v>
      </c>
      <c r="N424">
        <v>56</v>
      </c>
      <c r="O424">
        <v>28.65</v>
      </c>
      <c r="P424">
        <v>174</v>
      </c>
      <c r="Q424">
        <v>3.77</v>
      </c>
    </row>
    <row r="425" spans="2:17">
      <c r="B425" t="s">
        <v>1736</v>
      </c>
      <c r="C425" t="s">
        <v>1737</v>
      </c>
      <c r="D425" s="3">
        <v>29000</v>
      </c>
      <c r="E425">
        <v>9</v>
      </c>
      <c r="F425" s="3">
        <v>1013950</v>
      </c>
      <c r="G425">
        <v>34.950000000000003</v>
      </c>
      <c r="H425">
        <v>35</v>
      </c>
      <c r="I425">
        <v>34.950000000000003</v>
      </c>
      <c r="J425">
        <v>35</v>
      </c>
      <c r="K425" t="s">
        <v>1328</v>
      </c>
      <c r="L425">
        <v>0</v>
      </c>
      <c r="M425">
        <v>34.950000000000003</v>
      </c>
      <c r="N425">
        <v>6</v>
      </c>
      <c r="O425">
        <v>35</v>
      </c>
      <c r="P425">
        <v>12</v>
      </c>
      <c r="Q425">
        <v>0</v>
      </c>
    </row>
    <row r="426" spans="2:17">
      <c r="B426">
        <v>1313</v>
      </c>
      <c r="C426" t="s">
        <v>1738</v>
      </c>
      <c r="D426" s="3">
        <v>2249434</v>
      </c>
      <c r="E426" s="3">
        <v>1168</v>
      </c>
      <c r="F426" s="3">
        <v>48034701</v>
      </c>
      <c r="G426">
        <v>21.4</v>
      </c>
      <c r="H426">
        <v>21.5</v>
      </c>
      <c r="I426">
        <v>21.3</v>
      </c>
      <c r="J426">
        <v>21.35</v>
      </c>
      <c r="K426" t="s">
        <v>1362</v>
      </c>
      <c r="L426">
        <v>0.05</v>
      </c>
      <c r="M426">
        <v>21.3</v>
      </c>
      <c r="N426">
        <v>107</v>
      </c>
      <c r="O426">
        <v>21.35</v>
      </c>
      <c r="P426">
        <v>23</v>
      </c>
      <c r="Q426">
        <v>6.51</v>
      </c>
    </row>
    <row r="427" spans="2:17">
      <c r="B427">
        <v>1314</v>
      </c>
      <c r="C427" t="s">
        <v>1739</v>
      </c>
      <c r="D427" s="3">
        <v>23257145</v>
      </c>
      <c r="E427" s="3">
        <v>6771</v>
      </c>
      <c r="F427" s="3">
        <v>294323367</v>
      </c>
      <c r="G427">
        <v>12.55</v>
      </c>
      <c r="H427">
        <v>12.7</v>
      </c>
      <c r="I427">
        <v>12.55</v>
      </c>
      <c r="J427">
        <v>12.7</v>
      </c>
      <c r="K427" t="s">
        <v>1362</v>
      </c>
      <c r="L427">
        <v>0.2</v>
      </c>
      <c r="M427">
        <v>12.65</v>
      </c>
      <c r="N427" s="3">
        <v>1267</v>
      </c>
      <c r="O427">
        <v>12.7</v>
      </c>
      <c r="P427" s="3">
        <v>1892</v>
      </c>
      <c r="Q427">
        <v>10.41</v>
      </c>
    </row>
    <row r="428" spans="2:17">
      <c r="B428">
        <v>1315</v>
      </c>
      <c r="C428" t="s">
        <v>3124</v>
      </c>
      <c r="D428" s="3">
        <v>185259</v>
      </c>
      <c r="E428">
        <v>212</v>
      </c>
      <c r="F428" s="3">
        <v>16055551</v>
      </c>
      <c r="G428">
        <v>85.8</v>
      </c>
      <c r="H428">
        <v>89.5</v>
      </c>
      <c r="I428">
        <v>85.5</v>
      </c>
      <c r="J428">
        <v>87.6</v>
      </c>
      <c r="K428" t="s">
        <v>1362</v>
      </c>
      <c r="L428">
        <v>1.2</v>
      </c>
      <c r="M428">
        <v>87</v>
      </c>
      <c r="N428">
        <v>2</v>
      </c>
      <c r="O428">
        <v>87.6</v>
      </c>
      <c r="P428">
        <v>2</v>
      </c>
      <c r="Q428">
        <v>203.72</v>
      </c>
    </row>
    <row r="429" spans="2:17">
      <c r="B429">
        <v>1316</v>
      </c>
      <c r="C429" t="s">
        <v>1740</v>
      </c>
      <c r="D429" s="3">
        <v>2265518</v>
      </c>
      <c r="E429">
        <v>844</v>
      </c>
      <c r="F429" s="3">
        <v>45584360</v>
      </c>
      <c r="G429">
        <v>20.05</v>
      </c>
      <c r="H429">
        <v>20.350000000000001</v>
      </c>
      <c r="I429">
        <v>20</v>
      </c>
      <c r="J429">
        <v>20.100000000000001</v>
      </c>
      <c r="K429" t="s">
        <v>1362</v>
      </c>
      <c r="L429">
        <v>0.1</v>
      </c>
      <c r="M429">
        <v>20.05</v>
      </c>
      <c r="N429">
        <v>15</v>
      </c>
      <c r="O429">
        <v>20.100000000000001</v>
      </c>
      <c r="P429">
        <v>44</v>
      </c>
      <c r="Q429">
        <v>0</v>
      </c>
    </row>
    <row r="430" spans="2:17">
      <c r="B430">
        <v>1319</v>
      </c>
      <c r="C430" t="s">
        <v>1741</v>
      </c>
      <c r="D430" s="3">
        <v>361784</v>
      </c>
      <c r="E430">
        <v>283</v>
      </c>
      <c r="F430" s="3">
        <v>11959451</v>
      </c>
      <c r="G430">
        <v>33.049999999999997</v>
      </c>
      <c r="H430">
        <v>33.25</v>
      </c>
      <c r="I430">
        <v>32.9</v>
      </c>
      <c r="J430">
        <v>32.9</v>
      </c>
      <c r="K430" t="s">
        <v>1328</v>
      </c>
      <c r="L430">
        <v>0</v>
      </c>
      <c r="M430">
        <v>32.9</v>
      </c>
      <c r="N430">
        <v>33</v>
      </c>
      <c r="O430">
        <v>33</v>
      </c>
      <c r="P430">
        <v>8</v>
      </c>
      <c r="Q430">
        <v>28.12</v>
      </c>
    </row>
    <row r="431" spans="2:17">
      <c r="B431">
        <v>1321</v>
      </c>
      <c r="C431" t="s">
        <v>1742</v>
      </c>
      <c r="D431" s="3">
        <v>160010</v>
      </c>
      <c r="E431">
        <v>54</v>
      </c>
      <c r="F431" s="3">
        <v>5585348</v>
      </c>
      <c r="G431">
        <v>34.9</v>
      </c>
      <c r="H431">
        <v>35</v>
      </c>
      <c r="I431">
        <v>34.9</v>
      </c>
      <c r="J431">
        <v>34.9</v>
      </c>
      <c r="K431" t="s">
        <v>1328</v>
      </c>
      <c r="L431">
        <v>0</v>
      </c>
      <c r="M431">
        <v>34.85</v>
      </c>
      <c r="N431">
        <v>12</v>
      </c>
      <c r="O431">
        <v>34.9</v>
      </c>
      <c r="P431">
        <v>3</v>
      </c>
      <c r="Q431">
        <v>16.23</v>
      </c>
    </row>
    <row r="432" spans="2:17">
      <c r="B432">
        <v>1323</v>
      </c>
      <c r="C432" t="s">
        <v>1743</v>
      </c>
      <c r="D432" s="3">
        <v>107984</v>
      </c>
      <c r="E432">
        <v>156</v>
      </c>
      <c r="F432" s="3">
        <v>3753656</v>
      </c>
      <c r="G432">
        <v>34.85</v>
      </c>
      <c r="H432">
        <v>34.85</v>
      </c>
      <c r="I432">
        <v>34.700000000000003</v>
      </c>
      <c r="J432">
        <v>34.85</v>
      </c>
      <c r="K432" t="s">
        <v>1</v>
      </c>
      <c r="L432">
        <v>0.05</v>
      </c>
      <c r="M432">
        <v>34.799999999999997</v>
      </c>
      <c r="N432">
        <v>1</v>
      </c>
      <c r="O432">
        <v>34.85</v>
      </c>
      <c r="P432">
        <v>16</v>
      </c>
      <c r="Q432">
        <v>11.28</v>
      </c>
    </row>
    <row r="433" spans="2:17">
      <c r="B433">
        <v>1324</v>
      </c>
      <c r="C433" t="s">
        <v>1744</v>
      </c>
      <c r="D433" s="3">
        <v>59009</v>
      </c>
      <c r="E433">
        <v>36</v>
      </c>
      <c r="F433" s="3">
        <v>691856</v>
      </c>
      <c r="G433">
        <v>11.9</v>
      </c>
      <c r="H433">
        <v>11.9</v>
      </c>
      <c r="I433">
        <v>11.65</v>
      </c>
      <c r="J433">
        <v>11.65</v>
      </c>
      <c r="K433" t="s">
        <v>1</v>
      </c>
      <c r="L433">
        <v>0.2</v>
      </c>
      <c r="M433">
        <v>11.65</v>
      </c>
      <c r="N433">
        <v>3</v>
      </c>
      <c r="O433">
        <v>11.7</v>
      </c>
      <c r="P433">
        <v>10</v>
      </c>
      <c r="Q433">
        <v>0</v>
      </c>
    </row>
    <row r="434" spans="2:17">
      <c r="B434">
        <v>1325</v>
      </c>
      <c r="C434" t="s">
        <v>1745</v>
      </c>
      <c r="D434" s="3">
        <v>297234</v>
      </c>
      <c r="E434">
        <v>251</v>
      </c>
      <c r="F434" s="3">
        <v>13358581</v>
      </c>
      <c r="G434">
        <v>45.3</v>
      </c>
      <c r="H434">
        <v>45.3</v>
      </c>
      <c r="I434">
        <v>44.8</v>
      </c>
      <c r="J434">
        <v>44.8</v>
      </c>
      <c r="K434" t="s">
        <v>1</v>
      </c>
      <c r="L434">
        <v>0.3</v>
      </c>
      <c r="M434">
        <v>44.8</v>
      </c>
      <c r="N434">
        <v>14</v>
      </c>
      <c r="O434">
        <v>44.95</v>
      </c>
      <c r="P434">
        <v>1</v>
      </c>
      <c r="Q434">
        <v>4.6500000000000004</v>
      </c>
    </row>
    <row r="435" spans="2:17">
      <c r="B435">
        <v>1326</v>
      </c>
      <c r="C435" t="s">
        <v>1746</v>
      </c>
      <c r="D435" s="3">
        <v>1928234</v>
      </c>
      <c r="E435" s="3">
        <v>1510</v>
      </c>
      <c r="F435" s="3">
        <v>155787330</v>
      </c>
      <c r="G435">
        <v>80.7</v>
      </c>
      <c r="H435">
        <v>81</v>
      </c>
      <c r="I435">
        <v>80.5</v>
      </c>
      <c r="J435">
        <v>81</v>
      </c>
      <c r="K435" t="s">
        <v>1362</v>
      </c>
      <c r="L435">
        <v>0.3</v>
      </c>
      <c r="M435">
        <v>80.900000000000006</v>
      </c>
      <c r="N435">
        <v>109</v>
      </c>
      <c r="O435">
        <v>81</v>
      </c>
      <c r="P435">
        <v>266</v>
      </c>
      <c r="Q435">
        <v>10.63</v>
      </c>
    </row>
    <row r="436" spans="2:17">
      <c r="B436">
        <v>1337</v>
      </c>
      <c r="C436" t="s">
        <v>1747</v>
      </c>
      <c r="D436" s="3">
        <v>413417</v>
      </c>
      <c r="E436">
        <v>348</v>
      </c>
      <c r="F436" s="3">
        <v>3010775</v>
      </c>
      <c r="G436">
        <v>7.29</v>
      </c>
      <c r="H436">
        <v>7.31</v>
      </c>
      <c r="I436">
        <v>7.26</v>
      </c>
      <c r="J436">
        <v>7.27</v>
      </c>
      <c r="K436" t="s">
        <v>1</v>
      </c>
      <c r="L436">
        <v>0.01</v>
      </c>
      <c r="M436">
        <v>7.27</v>
      </c>
      <c r="N436">
        <v>12</v>
      </c>
      <c r="O436">
        <v>7.28</v>
      </c>
      <c r="P436">
        <v>17</v>
      </c>
      <c r="Q436">
        <v>0</v>
      </c>
    </row>
    <row r="437" spans="2:17">
      <c r="B437">
        <v>1338</v>
      </c>
      <c r="C437" t="s">
        <v>1748</v>
      </c>
      <c r="D437" s="3">
        <v>578615</v>
      </c>
      <c r="E437">
        <v>343</v>
      </c>
      <c r="F437" s="3">
        <v>32427318</v>
      </c>
      <c r="G437">
        <v>56</v>
      </c>
      <c r="H437">
        <v>56.4</v>
      </c>
      <c r="I437">
        <v>55.7</v>
      </c>
      <c r="J437">
        <v>56</v>
      </c>
      <c r="K437" t="s">
        <v>1362</v>
      </c>
      <c r="L437">
        <v>0.5</v>
      </c>
      <c r="M437">
        <v>55.9</v>
      </c>
      <c r="N437">
        <v>11</v>
      </c>
      <c r="O437">
        <v>56</v>
      </c>
      <c r="P437">
        <v>10</v>
      </c>
      <c r="Q437">
        <v>11.41</v>
      </c>
    </row>
    <row r="438" spans="2:17">
      <c r="B438">
        <v>1339</v>
      </c>
      <c r="C438" t="s">
        <v>1749</v>
      </c>
      <c r="D438" s="3">
        <v>19353</v>
      </c>
      <c r="E438">
        <v>58</v>
      </c>
      <c r="F438" s="3">
        <v>672053</v>
      </c>
      <c r="G438">
        <v>34.700000000000003</v>
      </c>
      <c r="H438">
        <v>34.799999999999997</v>
      </c>
      <c r="I438">
        <v>34.65</v>
      </c>
      <c r="J438">
        <v>34.700000000000003</v>
      </c>
      <c r="K438" t="s">
        <v>1</v>
      </c>
      <c r="L438">
        <v>0.15</v>
      </c>
      <c r="M438">
        <v>34.700000000000003</v>
      </c>
      <c r="N438">
        <v>1</v>
      </c>
      <c r="O438">
        <v>34.75</v>
      </c>
      <c r="P438">
        <v>1</v>
      </c>
      <c r="Q438">
        <v>23.93</v>
      </c>
    </row>
    <row r="439" spans="2:17">
      <c r="B439">
        <v>1340</v>
      </c>
      <c r="C439" t="s">
        <v>1750</v>
      </c>
      <c r="D439" s="3">
        <v>279816</v>
      </c>
      <c r="E439">
        <v>324</v>
      </c>
      <c r="F439" s="3">
        <v>3270842</v>
      </c>
      <c r="G439">
        <v>11.9</v>
      </c>
      <c r="H439">
        <v>11.95</v>
      </c>
      <c r="I439">
        <v>11.5</v>
      </c>
      <c r="J439">
        <v>11.6</v>
      </c>
      <c r="K439" t="s">
        <v>1</v>
      </c>
      <c r="L439">
        <v>0.15</v>
      </c>
      <c r="M439">
        <v>11.55</v>
      </c>
      <c r="N439">
        <v>12</v>
      </c>
      <c r="O439">
        <v>11.6</v>
      </c>
      <c r="P439">
        <v>2</v>
      </c>
      <c r="Q439">
        <v>0</v>
      </c>
    </row>
    <row r="440" spans="2:17">
      <c r="B440">
        <v>1341</v>
      </c>
      <c r="C440" t="s">
        <v>1751</v>
      </c>
      <c r="D440" s="3">
        <v>2034</v>
      </c>
      <c r="E440">
        <v>7</v>
      </c>
      <c r="F440" s="3">
        <v>138315</v>
      </c>
      <c r="G440">
        <v>68</v>
      </c>
      <c r="H440">
        <v>68</v>
      </c>
      <c r="I440">
        <v>68</v>
      </c>
      <c r="J440">
        <v>68</v>
      </c>
      <c r="K440" t="s">
        <v>1362</v>
      </c>
      <c r="L440">
        <v>0.1</v>
      </c>
      <c r="M440">
        <v>68</v>
      </c>
      <c r="N440">
        <v>1</v>
      </c>
      <c r="O440">
        <v>68.3</v>
      </c>
      <c r="P440">
        <v>1</v>
      </c>
      <c r="Q440">
        <v>10.23</v>
      </c>
    </row>
    <row r="441" spans="2:17">
      <c r="B441">
        <v>1342</v>
      </c>
      <c r="C441" t="s">
        <v>1752</v>
      </c>
      <c r="D441" s="3">
        <v>642920</v>
      </c>
      <c r="E441">
        <v>518</v>
      </c>
      <c r="F441" s="3">
        <v>40836782</v>
      </c>
      <c r="G441">
        <v>61.3</v>
      </c>
      <c r="H441">
        <v>67.3</v>
      </c>
      <c r="I441">
        <v>61.3</v>
      </c>
      <c r="J441">
        <v>63.8</v>
      </c>
      <c r="K441" t="s">
        <v>1362</v>
      </c>
      <c r="L441">
        <v>2.6</v>
      </c>
      <c r="M441">
        <v>63.7</v>
      </c>
      <c r="N441">
        <v>2</v>
      </c>
      <c r="O441">
        <v>63.8</v>
      </c>
      <c r="P441">
        <v>5</v>
      </c>
      <c r="Q441">
        <v>19.940000000000001</v>
      </c>
    </row>
    <row r="442" spans="2:17">
      <c r="B442">
        <v>1402</v>
      </c>
      <c r="C442" t="s">
        <v>1753</v>
      </c>
      <c r="D442" s="3">
        <v>4075033</v>
      </c>
      <c r="E442" s="3">
        <v>1592</v>
      </c>
      <c r="F442" s="3">
        <v>118315249</v>
      </c>
      <c r="G442">
        <v>29</v>
      </c>
      <c r="H442">
        <v>29.15</v>
      </c>
      <c r="I442">
        <v>28.85</v>
      </c>
      <c r="J442">
        <v>29.15</v>
      </c>
      <c r="K442" t="s">
        <v>1362</v>
      </c>
      <c r="L442">
        <v>0.15</v>
      </c>
      <c r="M442">
        <v>29.1</v>
      </c>
      <c r="N442">
        <v>130</v>
      </c>
      <c r="O442">
        <v>29.15</v>
      </c>
      <c r="P442">
        <v>41</v>
      </c>
      <c r="Q442">
        <v>15.76</v>
      </c>
    </row>
    <row r="443" spans="2:17">
      <c r="B443">
        <v>1409</v>
      </c>
      <c r="C443" t="s">
        <v>3</v>
      </c>
      <c r="D443" s="3">
        <v>3058041</v>
      </c>
      <c r="E443" s="3">
        <v>1339</v>
      </c>
      <c r="F443" s="3">
        <v>61224650</v>
      </c>
      <c r="G443">
        <v>20.149999999999999</v>
      </c>
      <c r="H443">
        <v>20.149999999999999</v>
      </c>
      <c r="I443">
        <v>19.95</v>
      </c>
      <c r="J443">
        <v>20</v>
      </c>
      <c r="K443" t="s">
        <v>1</v>
      </c>
      <c r="L443">
        <v>0.05</v>
      </c>
      <c r="M443">
        <v>20</v>
      </c>
      <c r="N443">
        <v>41</v>
      </c>
      <c r="O443">
        <v>20.05</v>
      </c>
      <c r="P443">
        <v>43</v>
      </c>
      <c r="Q443">
        <v>8.81</v>
      </c>
    </row>
    <row r="444" spans="2:17">
      <c r="B444">
        <v>1410</v>
      </c>
      <c r="C444" t="s">
        <v>1754</v>
      </c>
      <c r="D444" s="3">
        <v>450054</v>
      </c>
      <c r="E444">
        <v>347</v>
      </c>
      <c r="F444" s="3">
        <v>16843017</v>
      </c>
      <c r="G444">
        <v>37.65</v>
      </c>
      <c r="H444">
        <v>37.65</v>
      </c>
      <c r="I444">
        <v>36.950000000000003</v>
      </c>
      <c r="J444">
        <v>37.35</v>
      </c>
      <c r="K444" t="s">
        <v>1</v>
      </c>
      <c r="L444">
        <v>0.3</v>
      </c>
      <c r="M444">
        <v>37.299999999999997</v>
      </c>
      <c r="N444">
        <v>15</v>
      </c>
      <c r="O444">
        <v>37.450000000000003</v>
      </c>
      <c r="P444">
        <v>1</v>
      </c>
      <c r="Q444">
        <v>30.12</v>
      </c>
    </row>
    <row r="445" spans="2:17">
      <c r="B445">
        <v>1413</v>
      </c>
      <c r="C445" t="s">
        <v>1755</v>
      </c>
      <c r="D445" s="3">
        <v>168588</v>
      </c>
      <c r="E445">
        <v>94</v>
      </c>
      <c r="F445" s="3">
        <v>1832762</v>
      </c>
      <c r="G445">
        <v>10.85</v>
      </c>
      <c r="H445">
        <v>11.05</v>
      </c>
      <c r="I445">
        <v>10.75</v>
      </c>
      <c r="J445">
        <v>10.75</v>
      </c>
      <c r="K445" t="s">
        <v>1</v>
      </c>
      <c r="L445">
        <v>0.1</v>
      </c>
      <c r="M445">
        <v>10.75</v>
      </c>
      <c r="N445">
        <v>13</v>
      </c>
      <c r="O445">
        <v>10.85</v>
      </c>
      <c r="P445">
        <v>11</v>
      </c>
      <c r="Q445">
        <v>37.07</v>
      </c>
    </row>
    <row r="446" spans="2:17">
      <c r="B446">
        <v>1414</v>
      </c>
      <c r="C446" t="s">
        <v>1756</v>
      </c>
      <c r="D446" s="3">
        <v>983814</v>
      </c>
      <c r="E446">
        <v>489</v>
      </c>
      <c r="F446" s="3">
        <v>19354466</v>
      </c>
      <c r="G446">
        <v>19.850000000000001</v>
      </c>
      <c r="H446">
        <v>19.95</v>
      </c>
      <c r="I446">
        <v>19.5</v>
      </c>
      <c r="J446">
        <v>19.5</v>
      </c>
      <c r="K446" t="s">
        <v>1</v>
      </c>
      <c r="L446">
        <v>0.25</v>
      </c>
      <c r="M446">
        <v>19.5</v>
      </c>
      <c r="N446">
        <v>56</v>
      </c>
      <c r="O446">
        <v>19.55</v>
      </c>
      <c r="P446">
        <v>9</v>
      </c>
      <c r="Q446">
        <v>35.450000000000003</v>
      </c>
    </row>
    <row r="447" spans="2:17">
      <c r="B447">
        <v>1416</v>
      </c>
      <c r="C447" t="s">
        <v>1757</v>
      </c>
      <c r="D447" s="3">
        <v>151240</v>
      </c>
      <c r="E447">
        <v>107</v>
      </c>
      <c r="F447" s="3">
        <v>1696409</v>
      </c>
      <c r="G447">
        <v>11.2</v>
      </c>
      <c r="H447">
        <v>11.25</v>
      </c>
      <c r="I447">
        <v>11.15</v>
      </c>
      <c r="J447">
        <v>11.2</v>
      </c>
      <c r="K447" t="s">
        <v>1328</v>
      </c>
      <c r="L447">
        <v>0</v>
      </c>
      <c r="M447">
        <v>11.2</v>
      </c>
      <c r="N447">
        <v>20</v>
      </c>
      <c r="O447">
        <v>11.25</v>
      </c>
      <c r="P447">
        <v>12</v>
      </c>
      <c r="Q447">
        <v>0</v>
      </c>
    </row>
    <row r="448" spans="2:17">
      <c r="B448">
        <v>1417</v>
      </c>
      <c r="C448" t="s">
        <v>1758</v>
      </c>
      <c r="D448" s="3">
        <v>183211</v>
      </c>
      <c r="E448">
        <v>108</v>
      </c>
      <c r="F448" s="3">
        <v>2682176</v>
      </c>
      <c r="G448">
        <v>14.6</v>
      </c>
      <c r="H448">
        <v>14.75</v>
      </c>
      <c r="I448">
        <v>14.6</v>
      </c>
      <c r="J448">
        <v>14.6</v>
      </c>
      <c r="K448" t="s">
        <v>1328</v>
      </c>
      <c r="L448">
        <v>0</v>
      </c>
      <c r="M448">
        <v>14.6</v>
      </c>
      <c r="N448">
        <v>1</v>
      </c>
      <c r="O448">
        <v>14.65</v>
      </c>
      <c r="P448">
        <v>23</v>
      </c>
      <c r="Q448">
        <v>13.04</v>
      </c>
    </row>
    <row r="449" spans="2:17">
      <c r="B449">
        <v>1418</v>
      </c>
      <c r="C449" t="s">
        <v>1759</v>
      </c>
      <c r="D449" s="3">
        <v>12600</v>
      </c>
      <c r="E449">
        <v>11</v>
      </c>
      <c r="F449" s="3">
        <v>144990</v>
      </c>
      <c r="G449">
        <v>11.5</v>
      </c>
      <c r="H449">
        <v>11.65</v>
      </c>
      <c r="I449">
        <v>11.2</v>
      </c>
      <c r="J449">
        <v>11.65</v>
      </c>
      <c r="K449" t="s">
        <v>1362</v>
      </c>
      <c r="L449">
        <v>0.2</v>
      </c>
      <c r="M449">
        <v>11.15</v>
      </c>
      <c r="N449">
        <v>1</v>
      </c>
      <c r="O449">
        <v>11.65</v>
      </c>
      <c r="P449">
        <v>3</v>
      </c>
      <c r="Q449">
        <v>0</v>
      </c>
    </row>
    <row r="450" spans="2:17">
      <c r="B450">
        <v>1419</v>
      </c>
      <c r="C450" t="s">
        <v>1760</v>
      </c>
      <c r="D450" s="3">
        <v>213300</v>
      </c>
      <c r="E450">
        <v>152</v>
      </c>
      <c r="F450" s="3">
        <v>9009737</v>
      </c>
      <c r="G450">
        <v>42.65</v>
      </c>
      <c r="H450">
        <v>42.65</v>
      </c>
      <c r="I450">
        <v>41.9</v>
      </c>
      <c r="J450">
        <v>42.6</v>
      </c>
      <c r="K450" t="s">
        <v>1362</v>
      </c>
      <c r="L450">
        <v>0.25</v>
      </c>
      <c r="M450">
        <v>42.3</v>
      </c>
      <c r="N450">
        <v>5</v>
      </c>
      <c r="O450">
        <v>42.65</v>
      </c>
      <c r="P450">
        <v>3</v>
      </c>
      <c r="Q450">
        <v>26.14</v>
      </c>
    </row>
    <row r="451" spans="2:17">
      <c r="B451">
        <v>1423</v>
      </c>
      <c r="C451" t="s">
        <v>1761</v>
      </c>
      <c r="D451" s="3">
        <v>77131</v>
      </c>
      <c r="E451">
        <v>69</v>
      </c>
      <c r="F451" s="3">
        <v>1527494</v>
      </c>
      <c r="G451">
        <v>19.899999999999999</v>
      </c>
      <c r="H451">
        <v>19.95</v>
      </c>
      <c r="I451">
        <v>19.600000000000001</v>
      </c>
      <c r="J451">
        <v>19.899999999999999</v>
      </c>
      <c r="K451" t="s">
        <v>1362</v>
      </c>
      <c r="L451">
        <v>0.05</v>
      </c>
      <c r="M451">
        <v>19.850000000000001</v>
      </c>
      <c r="N451">
        <v>1</v>
      </c>
      <c r="O451">
        <v>19.95</v>
      </c>
      <c r="P451">
        <v>87</v>
      </c>
      <c r="Q451">
        <v>4.54</v>
      </c>
    </row>
    <row r="452" spans="2:17">
      <c r="B452">
        <v>1432</v>
      </c>
      <c r="C452" t="s">
        <v>1762</v>
      </c>
      <c r="D452" s="3">
        <v>589147</v>
      </c>
      <c r="E452">
        <v>418</v>
      </c>
      <c r="F452" s="3">
        <v>6832112</v>
      </c>
      <c r="G452">
        <v>11.65</v>
      </c>
      <c r="H452">
        <v>11.75</v>
      </c>
      <c r="I452">
        <v>11.5</v>
      </c>
      <c r="J452">
        <v>11.55</v>
      </c>
      <c r="K452" t="s">
        <v>1</v>
      </c>
      <c r="L452">
        <v>0.1</v>
      </c>
      <c r="M452">
        <v>11.55</v>
      </c>
      <c r="N452">
        <v>22</v>
      </c>
      <c r="O452">
        <v>11.6</v>
      </c>
      <c r="P452">
        <v>2</v>
      </c>
      <c r="Q452">
        <v>0</v>
      </c>
    </row>
    <row r="453" spans="2:17">
      <c r="B453">
        <v>1434</v>
      </c>
      <c r="C453" t="s">
        <v>1763</v>
      </c>
      <c r="D453" s="3">
        <v>2881065</v>
      </c>
      <c r="E453" s="3">
        <v>1377</v>
      </c>
      <c r="F453" s="3">
        <v>83840844</v>
      </c>
      <c r="G453">
        <v>29.15</v>
      </c>
      <c r="H453">
        <v>29.2</v>
      </c>
      <c r="I453">
        <v>29</v>
      </c>
      <c r="J453">
        <v>29.2</v>
      </c>
      <c r="K453" t="s">
        <v>1328</v>
      </c>
      <c r="L453">
        <v>0</v>
      </c>
      <c r="M453">
        <v>29.15</v>
      </c>
      <c r="N453">
        <v>19</v>
      </c>
      <c r="O453">
        <v>29.2</v>
      </c>
      <c r="P453">
        <v>68</v>
      </c>
      <c r="Q453">
        <v>23.55</v>
      </c>
    </row>
    <row r="454" spans="2:17">
      <c r="B454">
        <v>1435</v>
      </c>
      <c r="C454" t="s">
        <v>1764</v>
      </c>
      <c r="D454" s="3">
        <v>171575</v>
      </c>
      <c r="E454">
        <v>72</v>
      </c>
      <c r="F454" s="3">
        <v>5100105</v>
      </c>
      <c r="G454">
        <v>29.1</v>
      </c>
      <c r="H454">
        <v>30.6</v>
      </c>
      <c r="I454">
        <v>28.5</v>
      </c>
      <c r="J454">
        <v>30</v>
      </c>
      <c r="K454" t="s">
        <v>1362</v>
      </c>
      <c r="L454">
        <v>1.5</v>
      </c>
      <c r="M454">
        <v>30</v>
      </c>
      <c r="N454">
        <v>3</v>
      </c>
      <c r="O454">
        <v>30.3</v>
      </c>
      <c r="P454">
        <v>2</v>
      </c>
      <c r="Q454">
        <v>0</v>
      </c>
    </row>
    <row r="455" spans="2:17">
      <c r="B455">
        <v>1436</v>
      </c>
      <c r="C455" t="s">
        <v>1765</v>
      </c>
      <c r="D455" s="3">
        <v>7494</v>
      </c>
      <c r="E455">
        <v>24</v>
      </c>
      <c r="F455" s="3">
        <v>404663</v>
      </c>
      <c r="G455">
        <v>54</v>
      </c>
      <c r="H455">
        <v>54.1</v>
      </c>
      <c r="I455">
        <v>53.8</v>
      </c>
      <c r="J455">
        <v>54.1</v>
      </c>
      <c r="K455" t="s">
        <v>1362</v>
      </c>
      <c r="L455">
        <v>0.1</v>
      </c>
      <c r="M455">
        <v>54</v>
      </c>
      <c r="N455">
        <v>1</v>
      </c>
      <c r="O455">
        <v>54.1</v>
      </c>
      <c r="P455">
        <v>15</v>
      </c>
      <c r="Q455">
        <v>11.2</v>
      </c>
    </row>
    <row r="456" spans="2:17">
      <c r="B456">
        <v>1437</v>
      </c>
      <c r="C456" t="s">
        <v>1766</v>
      </c>
      <c r="D456" s="3">
        <v>47210</v>
      </c>
      <c r="E456">
        <v>39</v>
      </c>
      <c r="F456" s="3">
        <v>1211373</v>
      </c>
      <c r="G456">
        <v>25.65</v>
      </c>
      <c r="H456">
        <v>25.7</v>
      </c>
      <c r="I456">
        <v>25.65</v>
      </c>
      <c r="J456">
        <v>25.7</v>
      </c>
      <c r="K456" t="s">
        <v>1362</v>
      </c>
      <c r="L456">
        <v>0.05</v>
      </c>
      <c r="M456">
        <v>25.65</v>
      </c>
      <c r="N456">
        <v>11</v>
      </c>
      <c r="O456">
        <v>25.7</v>
      </c>
      <c r="P456">
        <v>27</v>
      </c>
      <c r="Q456">
        <v>11.42</v>
      </c>
    </row>
    <row r="457" spans="2:17">
      <c r="B457">
        <v>1438</v>
      </c>
      <c r="C457" t="s">
        <v>1767</v>
      </c>
      <c r="D457" s="3">
        <v>72116</v>
      </c>
      <c r="E457">
        <v>64</v>
      </c>
      <c r="F457" s="3">
        <v>2181262</v>
      </c>
      <c r="G457">
        <v>30.5</v>
      </c>
      <c r="H457">
        <v>30.5</v>
      </c>
      <c r="I457">
        <v>30.2</v>
      </c>
      <c r="J457">
        <v>30.2</v>
      </c>
      <c r="K457" t="s">
        <v>1</v>
      </c>
      <c r="L457">
        <v>0.05</v>
      </c>
      <c r="M457">
        <v>30.2</v>
      </c>
      <c r="N457">
        <v>5</v>
      </c>
      <c r="O457">
        <v>30.25</v>
      </c>
      <c r="P457">
        <v>5</v>
      </c>
      <c r="Q457">
        <v>302</v>
      </c>
    </row>
    <row r="458" spans="2:17">
      <c r="B458">
        <v>1439</v>
      </c>
      <c r="C458" t="s">
        <v>1768</v>
      </c>
      <c r="D458" s="3">
        <v>8682</v>
      </c>
      <c r="E458">
        <v>8</v>
      </c>
      <c r="F458" s="3">
        <v>205740</v>
      </c>
      <c r="G458">
        <v>23.9</v>
      </c>
      <c r="H458">
        <v>23.9</v>
      </c>
      <c r="I458">
        <v>23.6</v>
      </c>
      <c r="J458">
        <v>23.8</v>
      </c>
      <c r="K458" t="s">
        <v>1</v>
      </c>
      <c r="L458">
        <v>0.1</v>
      </c>
      <c r="M458">
        <v>23.6</v>
      </c>
      <c r="N458">
        <v>1</v>
      </c>
      <c r="O458">
        <v>23.7</v>
      </c>
      <c r="P458">
        <v>2</v>
      </c>
      <c r="Q458">
        <v>0</v>
      </c>
    </row>
    <row r="459" spans="2:17">
      <c r="B459">
        <v>1440</v>
      </c>
      <c r="C459" t="s">
        <v>1769</v>
      </c>
      <c r="D459" s="3">
        <v>10141208</v>
      </c>
      <c r="E459" s="3">
        <v>4483</v>
      </c>
      <c r="F459" s="3">
        <v>258721942</v>
      </c>
      <c r="G459">
        <v>25.95</v>
      </c>
      <c r="H459">
        <v>26</v>
      </c>
      <c r="I459">
        <v>25.3</v>
      </c>
      <c r="J459">
        <v>25.45</v>
      </c>
      <c r="K459" t="s">
        <v>1</v>
      </c>
      <c r="L459">
        <v>0.35</v>
      </c>
      <c r="M459">
        <v>25.4</v>
      </c>
      <c r="N459">
        <v>137</v>
      </c>
      <c r="O459">
        <v>25.45</v>
      </c>
      <c r="P459">
        <v>63</v>
      </c>
      <c r="Q459">
        <v>12.92</v>
      </c>
    </row>
    <row r="460" spans="2:17">
      <c r="B460">
        <v>1441</v>
      </c>
      <c r="C460" t="s">
        <v>1770</v>
      </c>
      <c r="D460" s="3">
        <v>153570</v>
      </c>
      <c r="E460">
        <v>119</v>
      </c>
      <c r="F460" s="3">
        <v>1446596</v>
      </c>
      <c r="G460">
        <v>9.56</v>
      </c>
      <c r="H460">
        <v>9.56</v>
      </c>
      <c r="I460">
        <v>9.39</v>
      </c>
      <c r="J460">
        <v>9.39</v>
      </c>
      <c r="K460" t="s">
        <v>1</v>
      </c>
      <c r="L460">
        <v>0.11</v>
      </c>
      <c r="M460">
        <v>9.39</v>
      </c>
      <c r="N460">
        <v>4</v>
      </c>
      <c r="O460">
        <v>9.4700000000000006</v>
      </c>
      <c r="P460">
        <v>7</v>
      </c>
      <c r="Q460">
        <v>0</v>
      </c>
    </row>
    <row r="461" spans="2:17">
      <c r="B461">
        <v>1442</v>
      </c>
      <c r="C461" t="s">
        <v>8</v>
      </c>
      <c r="D461" s="3">
        <v>1388740</v>
      </c>
      <c r="E461">
        <v>565</v>
      </c>
      <c r="F461" s="3">
        <v>30681629</v>
      </c>
      <c r="G461">
        <v>22.4</v>
      </c>
      <c r="H461">
        <v>23</v>
      </c>
      <c r="I461">
        <v>21.65</v>
      </c>
      <c r="J461">
        <v>22.8</v>
      </c>
      <c r="K461" t="s">
        <v>1362</v>
      </c>
      <c r="L461">
        <v>0.5</v>
      </c>
      <c r="M461">
        <v>22.35</v>
      </c>
      <c r="N461">
        <v>28</v>
      </c>
      <c r="O461">
        <v>22.8</v>
      </c>
      <c r="P461">
        <v>62</v>
      </c>
      <c r="Q461">
        <v>15.3</v>
      </c>
    </row>
    <row r="462" spans="2:17">
      <c r="B462">
        <v>1443</v>
      </c>
      <c r="C462" t="s">
        <v>1771</v>
      </c>
      <c r="D462" s="3">
        <v>21259</v>
      </c>
      <c r="E462">
        <v>28</v>
      </c>
      <c r="F462" s="3">
        <v>357120</v>
      </c>
      <c r="G462">
        <v>16.55</v>
      </c>
      <c r="H462">
        <v>17</v>
      </c>
      <c r="I462">
        <v>16.55</v>
      </c>
      <c r="J462">
        <v>16.95</v>
      </c>
      <c r="K462" t="s">
        <v>1362</v>
      </c>
      <c r="L462">
        <v>0.05</v>
      </c>
      <c r="M462">
        <v>16.8</v>
      </c>
      <c r="N462">
        <v>1</v>
      </c>
      <c r="O462">
        <v>17</v>
      </c>
      <c r="P462">
        <v>16</v>
      </c>
      <c r="Q462">
        <v>41.34</v>
      </c>
    </row>
    <row r="463" spans="2:17">
      <c r="B463">
        <v>1444</v>
      </c>
      <c r="C463" t="s">
        <v>1772</v>
      </c>
      <c r="D463" s="3">
        <v>2632714</v>
      </c>
      <c r="E463">
        <v>822</v>
      </c>
      <c r="F463" s="3">
        <v>29639520</v>
      </c>
      <c r="G463">
        <v>11.35</v>
      </c>
      <c r="H463">
        <v>11.45</v>
      </c>
      <c r="I463">
        <v>11.15</v>
      </c>
      <c r="J463">
        <v>11.2</v>
      </c>
      <c r="K463" t="s">
        <v>1</v>
      </c>
      <c r="L463">
        <v>0.1</v>
      </c>
      <c r="M463">
        <v>11.2</v>
      </c>
      <c r="N463">
        <v>216</v>
      </c>
      <c r="O463">
        <v>11.25</v>
      </c>
      <c r="P463">
        <v>34</v>
      </c>
      <c r="Q463">
        <v>43.08</v>
      </c>
    </row>
    <row r="464" spans="2:17">
      <c r="B464">
        <v>1445</v>
      </c>
      <c r="C464" t="s">
        <v>1773</v>
      </c>
      <c r="D464" s="3">
        <v>630822</v>
      </c>
      <c r="E464">
        <v>74</v>
      </c>
      <c r="F464" s="3">
        <v>9936921</v>
      </c>
      <c r="G464">
        <v>16</v>
      </c>
      <c r="H464">
        <v>16</v>
      </c>
      <c r="I464">
        <v>15.65</v>
      </c>
      <c r="J464">
        <v>15.7</v>
      </c>
      <c r="K464" t="s">
        <v>1328</v>
      </c>
      <c r="L464">
        <v>0</v>
      </c>
      <c r="M464">
        <v>15.65</v>
      </c>
      <c r="N464">
        <v>32</v>
      </c>
      <c r="O464">
        <v>15.7</v>
      </c>
      <c r="P464">
        <v>4</v>
      </c>
      <c r="Q464">
        <v>0</v>
      </c>
    </row>
    <row r="465" spans="2:17">
      <c r="B465">
        <v>1446</v>
      </c>
      <c r="C465" t="s">
        <v>1774</v>
      </c>
      <c r="D465" s="3">
        <v>60076</v>
      </c>
      <c r="E465">
        <v>47</v>
      </c>
      <c r="F465" s="3">
        <v>2051537</v>
      </c>
      <c r="G465">
        <v>34.25</v>
      </c>
      <c r="H465">
        <v>34.450000000000003</v>
      </c>
      <c r="I465">
        <v>34</v>
      </c>
      <c r="J465">
        <v>34.25</v>
      </c>
      <c r="K465" t="s">
        <v>1362</v>
      </c>
      <c r="L465">
        <v>0.1</v>
      </c>
      <c r="M465">
        <v>34.25</v>
      </c>
      <c r="N465">
        <v>1</v>
      </c>
      <c r="O465">
        <v>34.299999999999997</v>
      </c>
      <c r="P465">
        <v>26</v>
      </c>
      <c r="Q465">
        <v>0</v>
      </c>
    </row>
    <row r="466" spans="2:17">
      <c r="B466">
        <v>1447</v>
      </c>
      <c r="C466" t="s">
        <v>1775</v>
      </c>
      <c r="D466" s="3">
        <v>1060860</v>
      </c>
      <c r="E466">
        <v>459</v>
      </c>
      <c r="F466" s="3">
        <v>10968375</v>
      </c>
      <c r="G466">
        <v>10.45</v>
      </c>
      <c r="H466">
        <v>10.45</v>
      </c>
      <c r="I466">
        <v>10.3</v>
      </c>
      <c r="J466">
        <v>10.35</v>
      </c>
      <c r="K466" t="s">
        <v>1</v>
      </c>
      <c r="L466">
        <v>0.05</v>
      </c>
      <c r="M466">
        <v>10.3</v>
      </c>
      <c r="N466">
        <v>136</v>
      </c>
      <c r="O466">
        <v>10.35</v>
      </c>
      <c r="P466">
        <v>88</v>
      </c>
      <c r="Q466">
        <v>27.97</v>
      </c>
    </row>
    <row r="467" spans="2:17">
      <c r="B467">
        <v>1449</v>
      </c>
      <c r="C467" t="s">
        <v>1776</v>
      </c>
      <c r="D467" s="3">
        <v>132617</v>
      </c>
      <c r="E467">
        <v>61</v>
      </c>
      <c r="F467" s="3">
        <v>2001787</v>
      </c>
      <c r="G467">
        <v>15.15</v>
      </c>
      <c r="H467">
        <v>15.25</v>
      </c>
      <c r="I467">
        <v>14.95</v>
      </c>
      <c r="J467">
        <v>15.25</v>
      </c>
      <c r="K467" t="s">
        <v>1362</v>
      </c>
      <c r="L467">
        <v>0.1</v>
      </c>
      <c r="M467">
        <v>15.15</v>
      </c>
      <c r="N467">
        <v>2</v>
      </c>
      <c r="O467">
        <v>15.25</v>
      </c>
      <c r="P467">
        <v>3</v>
      </c>
      <c r="Q467">
        <v>10.89</v>
      </c>
    </row>
    <row r="468" spans="2:17">
      <c r="B468">
        <v>1451</v>
      </c>
      <c r="C468" t="s">
        <v>1777</v>
      </c>
      <c r="D468" s="3">
        <v>167230</v>
      </c>
      <c r="E468">
        <v>131</v>
      </c>
      <c r="F468" s="3">
        <v>3511754</v>
      </c>
      <c r="G468">
        <v>21.15</v>
      </c>
      <c r="H468">
        <v>21.15</v>
      </c>
      <c r="I468">
        <v>20.9</v>
      </c>
      <c r="J468">
        <v>20.9</v>
      </c>
      <c r="K468" t="s">
        <v>1</v>
      </c>
      <c r="L468">
        <v>0.25</v>
      </c>
      <c r="M468">
        <v>20.9</v>
      </c>
      <c r="N468">
        <v>15</v>
      </c>
      <c r="O468">
        <v>21</v>
      </c>
      <c r="P468">
        <v>2</v>
      </c>
      <c r="Q468">
        <v>24.3</v>
      </c>
    </row>
    <row r="469" spans="2:17">
      <c r="B469">
        <v>1452</v>
      </c>
      <c r="C469" t="s">
        <v>1778</v>
      </c>
      <c r="D469" s="3">
        <v>379260</v>
      </c>
      <c r="E469">
        <v>187</v>
      </c>
      <c r="F469" s="3">
        <v>9178287</v>
      </c>
      <c r="G469">
        <v>24.15</v>
      </c>
      <c r="H469">
        <v>24.3</v>
      </c>
      <c r="I469">
        <v>24.1</v>
      </c>
      <c r="J469">
        <v>24.25</v>
      </c>
      <c r="K469" t="s">
        <v>1362</v>
      </c>
      <c r="L469">
        <v>0.15</v>
      </c>
      <c r="M469">
        <v>24.2</v>
      </c>
      <c r="N469">
        <v>5</v>
      </c>
      <c r="O469">
        <v>24.25</v>
      </c>
      <c r="P469">
        <v>2</v>
      </c>
      <c r="Q469">
        <v>9.0500000000000007</v>
      </c>
    </row>
    <row r="470" spans="2:17">
      <c r="B470">
        <v>1453</v>
      </c>
      <c r="C470" t="s">
        <v>1779</v>
      </c>
      <c r="D470" s="3">
        <v>130662</v>
      </c>
      <c r="E470">
        <v>63</v>
      </c>
      <c r="F470" s="3">
        <v>1160567</v>
      </c>
      <c r="G470">
        <v>8.8699999999999992</v>
      </c>
      <c r="H470">
        <v>8.92</v>
      </c>
      <c r="I470">
        <v>8.85</v>
      </c>
      <c r="J470">
        <v>8.92</v>
      </c>
      <c r="K470" t="s">
        <v>1328</v>
      </c>
      <c r="L470">
        <v>0</v>
      </c>
      <c r="M470">
        <v>8.92</v>
      </c>
      <c r="N470">
        <v>1</v>
      </c>
      <c r="O470">
        <v>8.9499999999999993</v>
      </c>
      <c r="P470">
        <v>20</v>
      </c>
      <c r="Q470">
        <v>0</v>
      </c>
    </row>
    <row r="471" spans="2:17">
      <c r="B471">
        <v>1454</v>
      </c>
      <c r="C471" t="s">
        <v>1780</v>
      </c>
      <c r="D471" s="3">
        <v>1252888</v>
      </c>
      <c r="E471">
        <v>402</v>
      </c>
      <c r="F471" s="3">
        <v>18221232</v>
      </c>
      <c r="G471">
        <v>14.95</v>
      </c>
      <c r="H471">
        <v>15.15</v>
      </c>
      <c r="I471">
        <v>14.25</v>
      </c>
      <c r="J471">
        <v>14.25</v>
      </c>
      <c r="K471" t="s">
        <v>1</v>
      </c>
      <c r="L471">
        <v>0.65</v>
      </c>
      <c r="M471">
        <v>14.2</v>
      </c>
      <c r="N471">
        <v>24</v>
      </c>
      <c r="O471">
        <v>14.25</v>
      </c>
      <c r="P471">
        <v>17</v>
      </c>
      <c r="Q471">
        <v>142.5</v>
      </c>
    </row>
    <row r="472" spans="2:17">
      <c r="B472">
        <v>1455</v>
      </c>
      <c r="C472" t="s">
        <v>1781</v>
      </c>
      <c r="D472" s="3">
        <v>3150233</v>
      </c>
      <c r="E472" s="3">
        <v>1236</v>
      </c>
      <c r="F472" s="3">
        <v>51800110</v>
      </c>
      <c r="G472">
        <v>16.600000000000001</v>
      </c>
      <c r="H472">
        <v>16.649999999999999</v>
      </c>
      <c r="I472">
        <v>16.350000000000001</v>
      </c>
      <c r="J472">
        <v>16.399999999999999</v>
      </c>
      <c r="K472" t="s">
        <v>1</v>
      </c>
      <c r="L472">
        <v>0.15</v>
      </c>
      <c r="M472">
        <v>16.350000000000001</v>
      </c>
      <c r="N472">
        <v>472</v>
      </c>
      <c r="O472">
        <v>16.399999999999999</v>
      </c>
      <c r="P472">
        <v>3</v>
      </c>
      <c r="Q472">
        <v>7.74</v>
      </c>
    </row>
    <row r="473" spans="2:17">
      <c r="B473">
        <v>1456</v>
      </c>
      <c r="C473" t="s">
        <v>1782</v>
      </c>
      <c r="D473" s="3">
        <v>127101</v>
      </c>
      <c r="E473">
        <v>84</v>
      </c>
      <c r="F473" s="3">
        <v>2794812</v>
      </c>
      <c r="G473">
        <v>22.55</v>
      </c>
      <c r="H473">
        <v>22.55</v>
      </c>
      <c r="I473">
        <v>21.8</v>
      </c>
      <c r="J473">
        <v>22.05</v>
      </c>
      <c r="K473" t="s">
        <v>1</v>
      </c>
      <c r="L473">
        <v>0.3</v>
      </c>
      <c r="M473">
        <v>22</v>
      </c>
      <c r="N473">
        <v>1</v>
      </c>
      <c r="O473">
        <v>22.05</v>
      </c>
      <c r="P473">
        <v>1</v>
      </c>
      <c r="Q473">
        <v>4.74</v>
      </c>
    </row>
    <row r="474" spans="2:17">
      <c r="B474">
        <v>1457</v>
      </c>
      <c r="C474" t="s">
        <v>1783</v>
      </c>
      <c r="D474" s="3">
        <v>1195535</v>
      </c>
      <c r="E474">
        <v>599</v>
      </c>
      <c r="F474" s="3">
        <v>22698333</v>
      </c>
      <c r="G474">
        <v>19.05</v>
      </c>
      <c r="H474">
        <v>19.2</v>
      </c>
      <c r="I474">
        <v>18.899999999999999</v>
      </c>
      <c r="J474">
        <v>19</v>
      </c>
      <c r="K474" t="s">
        <v>1328</v>
      </c>
      <c r="L474">
        <v>0</v>
      </c>
      <c r="M474">
        <v>19</v>
      </c>
      <c r="N474">
        <v>31</v>
      </c>
      <c r="O474">
        <v>19.05</v>
      </c>
      <c r="P474">
        <v>22</v>
      </c>
      <c r="Q474">
        <v>24.36</v>
      </c>
    </row>
    <row r="475" spans="2:17">
      <c r="B475">
        <v>1459</v>
      </c>
      <c r="C475" t="s">
        <v>1784</v>
      </c>
      <c r="D475" s="3">
        <v>693767</v>
      </c>
      <c r="E475">
        <v>237</v>
      </c>
      <c r="F475" s="3">
        <v>8978732</v>
      </c>
      <c r="G475">
        <v>12.9</v>
      </c>
      <c r="H475">
        <v>13.1</v>
      </c>
      <c r="I475">
        <v>12.75</v>
      </c>
      <c r="J475">
        <v>12.75</v>
      </c>
      <c r="K475" t="s">
        <v>1</v>
      </c>
      <c r="L475">
        <v>0.1</v>
      </c>
      <c r="M475">
        <v>12.75</v>
      </c>
      <c r="N475">
        <v>33</v>
      </c>
      <c r="O475">
        <v>12.85</v>
      </c>
      <c r="P475">
        <v>10</v>
      </c>
      <c r="Q475">
        <v>5.82</v>
      </c>
    </row>
    <row r="476" spans="2:17">
      <c r="B476">
        <v>1460</v>
      </c>
      <c r="C476" t="s">
        <v>1785</v>
      </c>
      <c r="D476" s="3">
        <v>1512644</v>
      </c>
      <c r="E476">
        <v>584</v>
      </c>
      <c r="F476" s="3">
        <v>14443755</v>
      </c>
      <c r="G476">
        <v>9.56</v>
      </c>
      <c r="H476">
        <v>9.61</v>
      </c>
      <c r="I476">
        <v>9.51</v>
      </c>
      <c r="J476">
        <v>9.5399999999999991</v>
      </c>
      <c r="K476" t="s">
        <v>1328</v>
      </c>
      <c r="L476">
        <v>0</v>
      </c>
      <c r="M476">
        <v>9.5399999999999991</v>
      </c>
      <c r="N476">
        <v>13</v>
      </c>
      <c r="O476">
        <v>9.56</v>
      </c>
      <c r="P476">
        <v>45</v>
      </c>
      <c r="Q476">
        <v>0</v>
      </c>
    </row>
    <row r="477" spans="2:17">
      <c r="B477">
        <v>1463</v>
      </c>
      <c r="C477" t="s">
        <v>1786</v>
      </c>
      <c r="D477" s="3">
        <v>422745</v>
      </c>
      <c r="E477">
        <v>172</v>
      </c>
      <c r="F477" s="3">
        <v>6022353</v>
      </c>
      <c r="G477">
        <v>14.15</v>
      </c>
      <c r="H477">
        <v>14.45</v>
      </c>
      <c r="I477">
        <v>14.05</v>
      </c>
      <c r="J477">
        <v>14.2</v>
      </c>
      <c r="K477" t="s">
        <v>1328</v>
      </c>
      <c r="L477">
        <v>0</v>
      </c>
      <c r="M477">
        <v>14.15</v>
      </c>
      <c r="N477">
        <v>12</v>
      </c>
      <c r="O477">
        <v>14.2</v>
      </c>
      <c r="P477">
        <v>1</v>
      </c>
      <c r="Q477">
        <v>40.57</v>
      </c>
    </row>
    <row r="478" spans="2:17">
      <c r="B478">
        <v>1464</v>
      </c>
      <c r="C478" t="s">
        <v>1787</v>
      </c>
      <c r="D478" s="3">
        <v>271525</v>
      </c>
      <c r="E478">
        <v>281</v>
      </c>
      <c r="F478" s="3">
        <v>4282815</v>
      </c>
      <c r="G478">
        <v>15.75</v>
      </c>
      <c r="H478">
        <v>15.85</v>
      </c>
      <c r="I478">
        <v>15.7</v>
      </c>
      <c r="J478">
        <v>15.8</v>
      </c>
      <c r="K478" t="s">
        <v>1362</v>
      </c>
      <c r="L478">
        <v>0.05</v>
      </c>
      <c r="M478">
        <v>15.75</v>
      </c>
      <c r="N478">
        <v>25</v>
      </c>
      <c r="O478">
        <v>15.85</v>
      </c>
      <c r="P478">
        <v>43</v>
      </c>
      <c r="Q478">
        <v>92.94</v>
      </c>
    </row>
    <row r="479" spans="2:17">
      <c r="B479">
        <v>1465</v>
      </c>
      <c r="C479" t="s">
        <v>1788</v>
      </c>
      <c r="D479" s="3">
        <v>40379</v>
      </c>
      <c r="E479">
        <v>167</v>
      </c>
      <c r="F479" s="3">
        <v>514263</v>
      </c>
      <c r="G479">
        <v>12.75</v>
      </c>
      <c r="H479">
        <v>12.75</v>
      </c>
      <c r="I479">
        <v>12.7</v>
      </c>
      <c r="J479">
        <v>12.75</v>
      </c>
      <c r="K479" t="s">
        <v>1362</v>
      </c>
      <c r="L479">
        <v>0.05</v>
      </c>
      <c r="M479">
        <v>12.7</v>
      </c>
      <c r="N479">
        <v>1</v>
      </c>
      <c r="O479">
        <v>12.75</v>
      </c>
      <c r="P479">
        <v>4</v>
      </c>
      <c r="Q479">
        <v>0</v>
      </c>
    </row>
    <row r="480" spans="2:17">
      <c r="B480">
        <v>1466</v>
      </c>
      <c r="C480" t="s">
        <v>1789</v>
      </c>
      <c r="D480" s="3">
        <v>173107</v>
      </c>
      <c r="E480">
        <v>94</v>
      </c>
      <c r="F480" s="3">
        <v>2627579</v>
      </c>
      <c r="G480">
        <v>15.2</v>
      </c>
      <c r="H480">
        <v>15.25</v>
      </c>
      <c r="I480">
        <v>15.1</v>
      </c>
      <c r="J480">
        <v>15.25</v>
      </c>
      <c r="K480" t="s">
        <v>1362</v>
      </c>
      <c r="L480">
        <v>0.05</v>
      </c>
      <c r="M480">
        <v>15.15</v>
      </c>
      <c r="N480">
        <v>28</v>
      </c>
      <c r="O480">
        <v>15.25</v>
      </c>
      <c r="P480">
        <v>10</v>
      </c>
      <c r="Q480">
        <v>9.36</v>
      </c>
    </row>
    <row r="481" spans="2:17">
      <c r="B481">
        <v>1467</v>
      </c>
      <c r="C481" t="s">
        <v>1790</v>
      </c>
      <c r="D481" s="3">
        <v>210680</v>
      </c>
      <c r="E481">
        <v>167</v>
      </c>
      <c r="F481" s="3">
        <v>2918320</v>
      </c>
      <c r="G481">
        <v>13.9</v>
      </c>
      <c r="H481">
        <v>13.9</v>
      </c>
      <c r="I481">
        <v>13.8</v>
      </c>
      <c r="J481">
        <v>13.85</v>
      </c>
      <c r="K481" t="s">
        <v>1</v>
      </c>
      <c r="L481">
        <v>0.05</v>
      </c>
      <c r="M481">
        <v>13.8</v>
      </c>
      <c r="N481">
        <v>47</v>
      </c>
      <c r="O481">
        <v>13.85</v>
      </c>
      <c r="P481">
        <v>2</v>
      </c>
      <c r="Q481">
        <v>692.5</v>
      </c>
    </row>
    <row r="482" spans="2:17">
      <c r="B482">
        <v>1468</v>
      </c>
      <c r="C482" t="s">
        <v>1791</v>
      </c>
      <c r="D482" s="3">
        <v>63017</v>
      </c>
      <c r="E482">
        <v>38</v>
      </c>
      <c r="F482" s="3">
        <v>803763</v>
      </c>
      <c r="G482">
        <v>12.7</v>
      </c>
      <c r="H482">
        <v>12.9</v>
      </c>
      <c r="I482">
        <v>12.7</v>
      </c>
      <c r="J482">
        <v>12.9</v>
      </c>
      <c r="K482" t="s">
        <v>1362</v>
      </c>
      <c r="L482">
        <v>0.2</v>
      </c>
      <c r="M482">
        <v>12.7</v>
      </c>
      <c r="N482">
        <v>2</v>
      </c>
      <c r="O482">
        <v>12.9</v>
      </c>
      <c r="P482">
        <v>7</v>
      </c>
      <c r="Q482">
        <v>215</v>
      </c>
    </row>
    <row r="483" spans="2:17">
      <c r="B483">
        <v>1470</v>
      </c>
      <c r="C483" t="s">
        <v>1792</v>
      </c>
      <c r="D483">
        <v>1</v>
      </c>
      <c r="E483">
        <v>1</v>
      </c>
      <c r="F483">
        <v>19</v>
      </c>
      <c r="G483" t="s">
        <v>1391</v>
      </c>
      <c r="H483" t="s">
        <v>1391</v>
      </c>
      <c r="I483" t="s">
        <v>1391</v>
      </c>
      <c r="J483" t="s">
        <v>1391</v>
      </c>
      <c r="K483" t="s">
        <v>1328</v>
      </c>
      <c r="L483">
        <v>0</v>
      </c>
      <c r="M483">
        <v>17.8</v>
      </c>
      <c r="N483">
        <v>3</v>
      </c>
      <c r="O483">
        <v>17.95</v>
      </c>
      <c r="P483">
        <v>2</v>
      </c>
      <c r="Q483">
        <v>23.01</v>
      </c>
    </row>
    <row r="484" spans="2:17">
      <c r="B484">
        <v>1471</v>
      </c>
      <c r="C484" t="s">
        <v>1793</v>
      </c>
      <c r="D484" s="3">
        <v>3312375</v>
      </c>
      <c r="E484" s="3">
        <v>1383</v>
      </c>
      <c r="F484" s="3">
        <v>29646483</v>
      </c>
      <c r="G484">
        <v>8.42</v>
      </c>
      <c r="H484">
        <v>9.26</v>
      </c>
      <c r="I484">
        <v>8.42</v>
      </c>
      <c r="J484">
        <v>9.1999999999999993</v>
      </c>
      <c r="K484" t="s">
        <v>1362</v>
      </c>
      <c r="L484">
        <v>0.78</v>
      </c>
      <c r="M484">
        <v>9.18</v>
      </c>
      <c r="N484">
        <v>7</v>
      </c>
      <c r="O484">
        <v>9.1999999999999993</v>
      </c>
      <c r="P484">
        <v>50</v>
      </c>
      <c r="Q484">
        <v>54.12</v>
      </c>
    </row>
    <row r="485" spans="2:17">
      <c r="B485">
        <v>1472</v>
      </c>
      <c r="C485" t="s">
        <v>2882</v>
      </c>
      <c r="D485" s="3">
        <v>10000</v>
      </c>
      <c r="E485">
        <v>14</v>
      </c>
      <c r="F485" s="3">
        <v>313796</v>
      </c>
      <c r="G485">
        <v>30.1</v>
      </c>
      <c r="H485">
        <v>31.7</v>
      </c>
      <c r="I485">
        <v>30.1</v>
      </c>
      <c r="J485">
        <v>31.7</v>
      </c>
      <c r="K485" t="s">
        <v>1362</v>
      </c>
      <c r="L485">
        <v>0.2</v>
      </c>
      <c r="M485">
        <v>30.2</v>
      </c>
      <c r="N485">
        <v>1</v>
      </c>
      <c r="O485">
        <v>31.8</v>
      </c>
      <c r="P485">
        <v>1</v>
      </c>
      <c r="Q485">
        <v>0</v>
      </c>
    </row>
    <row r="486" spans="2:17">
      <c r="B486">
        <v>1473</v>
      </c>
      <c r="C486" t="s">
        <v>1794</v>
      </c>
      <c r="D486" s="3">
        <v>64216</v>
      </c>
      <c r="E486">
        <v>165</v>
      </c>
      <c r="F486" s="3">
        <v>1155556</v>
      </c>
      <c r="G486">
        <v>18</v>
      </c>
      <c r="H486">
        <v>18</v>
      </c>
      <c r="I486">
        <v>17.95</v>
      </c>
      <c r="J486">
        <v>18</v>
      </c>
      <c r="K486" t="s">
        <v>1362</v>
      </c>
      <c r="L486">
        <v>0.05</v>
      </c>
      <c r="M486">
        <v>17.95</v>
      </c>
      <c r="N486">
        <v>4</v>
      </c>
      <c r="O486">
        <v>18</v>
      </c>
      <c r="P486">
        <v>1</v>
      </c>
      <c r="Q486">
        <v>0</v>
      </c>
    </row>
    <row r="487" spans="2:17">
      <c r="B487">
        <v>1474</v>
      </c>
      <c r="C487" t="s">
        <v>1795</v>
      </c>
      <c r="D487" s="3">
        <v>369100</v>
      </c>
      <c r="E487">
        <v>205</v>
      </c>
      <c r="F487" s="3">
        <v>5679544</v>
      </c>
      <c r="G487">
        <v>15.5</v>
      </c>
      <c r="H487">
        <v>15.5</v>
      </c>
      <c r="I487">
        <v>15.35</v>
      </c>
      <c r="J487">
        <v>15.35</v>
      </c>
      <c r="K487" t="s">
        <v>1</v>
      </c>
      <c r="L487">
        <v>0.1</v>
      </c>
      <c r="M487">
        <v>15.35</v>
      </c>
      <c r="N487">
        <v>26</v>
      </c>
      <c r="O487">
        <v>15.4</v>
      </c>
      <c r="P487">
        <v>3</v>
      </c>
      <c r="Q487">
        <v>10.89</v>
      </c>
    </row>
    <row r="488" spans="2:17">
      <c r="B488">
        <v>1475</v>
      </c>
      <c r="C488" t="s">
        <v>1796</v>
      </c>
      <c r="D488" s="3">
        <v>44135</v>
      </c>
      <c r="E488">
        <v>28</v>
      </c>
      <c r="F488" s="3">
        <v>2259990</v>
      </c>
      <c r="G488">
        <v>51</v>
      </c>
      <c r="H488">
        <v>51.8</v>
      </c>
      <c r="I488">
        <v>50.8</v>
      </c>
      <c r="J488">
        <v>50.8</v>
      </c>
      <c r="K488" t="s">
        <v>1</v>
      </c>
      <c r="L488">
        <v>1</v>
      </c>
      <c r="M488">
        <v>50.8</v>
      </c>
      <c r="N488">
        <v>4</v>
      </c>
      <c r="O488">
        <v>51.3</v>
      </c>
      <c r="P488">
        <v>1</v>
      </c>
      <c r="Q488">
        <v>72.569999999999993</v>
      </c>
    </row>
    <row r="489" spans="2:17">
      <c r="B489">
        <v>1476</v>
      </c>
      <c r="C489" t="s">
        <v>1797</v>
      </c>
      <c r="D489" s="3">
        <v>345357</v>
      </c>
      <c r="E489">
        <v>452</v>
      </c>
      <c r="F489" s="3">
        <v>217368205</v>
      </c>
      <c r="G489">
        <v>628</v>
      </c>
      <c r="H489">
        <v>633</v>
      </c>
      <c r="I489">
        <v>623</v>
      </c>
      <c r="J489">
        <v>630</v>
      </c>
      <c r="K489" t="s">
        <v>1362</v>
      </c>
      <c r="L489">
        <v>2</v>
      </c>
      <c r="M489">
        <v>630</v>
      </c>
      <c r="N489">
        <v>138</v>
      </c>
      <c r="O489">
        <v>632</v>
      </c>
      <c r="P489">
        <v>5</v>
      </c>
      <c r="Q489">
        <v>31.77</v>
      </c>
    </row>
    <row r="490" spans="2:17">
      <c r="B490">
        <v>1477</v>
      </c>
      <c r="C490" t="s">
        <v>1798</v>
      </c>
      <c r="D490" s="3">
        <v>286986</v>
      </c>
      <c r="E490">
        <v>840</v>
      </c>
      <c r="F490" s="3">
        <v>71146553</v>
      </c>
      <c r="G490">
        <v>247.5</v>
      </c>
      <c r="H490">
        <v>249</v>
      </c>
      <c r="I490">
        <v>247</v>
      </c>
      <c r="J490">
        <v>247.5</v>
      </c>
      <c r="K490" t="s">
        <v>1</v>
      </c>
      <c r="L490">
        <v>1</v>
      </c>
      <c r="M490">
        <v>247.5</v>
      </c>
      <c r="N490">
        <v>5</v>
      </c>
      <c r="O490">
        <v>248</v>
      </c>
      <c r="P490">
        <v>3</v>
      </c>
      <c r="Q490">
        <v>24.29</v>
      </c>
    </row>
    <row r="491" spans="2:17">
      <c r="B491">
        <v>1503</v>
      </c>
      <c r="C491" t="s">
        <v>1799</v>
      </c>
      <c r="D491" s="3">
        <v>86951</v>
      </c>
      <c r="E491">
        <v>275</v>
      </c>
      <c r="F491" s="3">
        <v>4632910</v>
      </c>
      <c r="G491">
        <v>54.1</v>
      </c>
      <c r="H491">
        <v>54.1</v>
      </c>
      <c r="I491">
        <v>52.5</v>
      </c>
      <c r="J491">
        <v>53.8</v>
      </c>
      <c r="K491" t="s">
        <v>1</v>
      </c>
      <c r="L491">
        <v>0.3</v>
      </c>
      <c r="M491">
        <v>53.2</v>
      </c>
      <c r="N491">
        <v>2</v>
      </c>
      <c r="O491">
        <v>53.7</v>
      </c>
      <c r="P491">
        <v>2</v>
      </c>
      <c r="Q491">
        <v>16.45</v>
      </c>
    </row>
    <row r="492" spans="2:17">
      <c r="B492">
        <v>1504</v>
      </c>
      <c r="C492" t="s">
        <v>1800</v>
      </c>
      <c r="D492" s="3">
        <v>2024595</v>
      </c>
      <c r="E492" s="3">
        <v>1073</v>
      </c>
      <c r="F492" s="3">
        <v>63456599</v>
      </c>
      <c r="G492">
        <v>31.05</v>
      </c>
      <c r="H492">
        <v>31.55</v>
      </c>
      <c r="I492">
        <v>31</v>
      </c>
      <c r="J492">
        <v>31.5</v>
      </c>
      <c r="K492" t="s">
        <v>1362</v>
      </c>
      <c r="L492">
        <v>0.5</v>
      </c>
      <c r="M492">
        <v>31.5</v>
      </c>
      <c r="N492">
        <v>12</v>
      </c>
      <c r="O492">
        <v>31.55</v>
      </c>
      <c r="P492">
        <v>57</v>
      </c>
      <c r="Q492">
        <v>13.58</v>
      </c>
    </row>
    <row r="493" spans="2:17">
      <c r="B493">
        <v>1506</v>
      </c>
      <c r="C493" t="s">
        <v>1801</v>
      </c>
      <c r="D493" s="3">
        <v>772226</v>
      </c>
      <c r="E493">
        <v>244</v>
      </c>
      <c r="F493" s="3">
        <v>11557771</v>
      </c>
      <c r="G493">
        <v>15</v>
      </c>
      <c r="H493">
        <v>15.2</v>
      </c>
      <c r="I493">
        <v>14.8</v>
      </c>
      <c r="J493">
        <v>14.9</v>
      </c>
      <c r="K493" t="s">
        <v>1</v>
      </c>
      <c r="L493">
        <v>0.1</v>
      </c>
      <c r="M493">
        <v>14.9</v>
      </c>
      <c r="N493">
        <v>46</v>
      </c>
      <c r="O493">
        <v>14.95</v>
      </c>
      <c r="P493">
        <v>23</v>
      </c>
      <c r="Q493">
        <v>0</v>
      </c>
    </row>
    <row r="494" spans="2:17">
      <c r="B494">
        <v>1507</v>
      </c>
      <c r="C494" t="s">
        <v>1802</v>
      </c>
      <c r="D494" s="3">
        <v>96292</v>
      </c>
      <c r="E494">
        <v>73</v>
      </c>
      <c r="F494" s="3">
        <v>6198162</v>
      </c>
      <c r="G494">
        <v>64.400000000000006</v>
      </c>
      <c r="H494">
        <v>64.400000000000006</v>
      </c>
      <c r="I494">
        <v>64.3</v>
      </c>
      <c r="J494">
        <v>64.400000000000006</v>
      </c>
      <c r="K494" t="s">
        <v>1328</v>
      </c>
      <c r="L494">
        <v>0</v>
      </c>
      <c r="M494">
        <v>64.3</v>
      </c>
      <c r="N494">
        <v>210</v>
      </c>
      <c r="O494">
        <v>64.400000000000006</v>
      </c>
      <c r="P494">
        <v>43</v>
      </c>
      <c r="Q494">
        <v>25.35</v>
      </c>
    </row>
    <row r="495" spans="2:17">
      <c r="B495">
        <v>1512</v>
      </c>
      <c r="C495" t="s">
        <v>1803</v>
      </c>
      <c r="D495" s="3">
        <v>181739</v>
      </c>
      <c r="E495">
        <v>70</v>
      </c>
      <c r="F495" s="3">
        <v>697390</v>
      </c>
      <c r="G495">
        <v>3.79</v>
      </c>
      <c r="H495">
        <v>3.85</v>
      </c>
      <c r="I495">
        <v>3.79</v>
      </c>
      <c r="J495">
        <v>3.84</v>
      </c>
      <c r="K495" t="s">
        <v>1362</v>
      </c>
      <c r="L495">
        <v>0.06</v>
      </c>
      <c r="M495">
        <v>3.84</v>
      </c>
      <c r="N495">
        <v>2</v>
      </c>
      <c r="O495">
        <v>3.88</v>
      </c>
      <c r="P495">
        <v>80</v>
      </c>
      <c r="Q495">
        <v>0</v>
      </c>
    </row>
    <row r="496" spans="2:17">
      <c r="B496">
        <v>1513</v>
      </c>
      <c r="C496" t="s">
        <v>1804</v>
      </c>
      <c r="D496" s="3">
        <v>1604324</v>
      </c>
      <c r="E496" s="3">
        <v>1136</v>
      </c>
      <c r="F496" s="3">
        <v>72090368</v>
      </c>
      <c r="G496">
        <v>44.95</v>
      </c>
      <c r="H496">
        <v>45.1</v>
      </c>
      <c r="I496">
        <v>44.75</v>
      </c>
      <c r="J496">
        <v>44.8</v>
      </c>
      <c r="K496" t="s">
        <v>1</v>
      </c>
      <c r="L496">
        <v>0.15</v>
      </c>
      <c r="M496">
        <v>44.8</v>
      </c>
      <c r="N496">
        <v>90</v>
      </c>
      <c r="O496">
        <v>44.85</v>
      </c>
      <c r="P496">
        <v>7</v>
      </c>
      <c r="Q496">
        <v>9.5299999999999994</v>
      </c>
    </row>
    <row r="497" spans="2:17">
      <c r="B497">
        <v>1514</v>
      </c>
      <c r="C497" t="s">
        <v>1805</v>
      </c>
      <c r="D497" s="3">
        <v>721633</v>
      </c>
      <c r="E497">
        <v>446</v>
      </c>
      <c r="F497" s="3">
        <v>18526549</v>
      </c>
      <c r="G497">
        <v>25.85</v>
      </c>
      <c r="H497">
        <v>25.85</v>
      </c>
      <c r="I497">
        <v>25.55</v>
      </c>
      <c r="J497">
        <v>25.65</v>
      </c>
      <c r="K497" t="s">
        <v>1</v>
      </c>
      <c r="L497">
        <v>0.15</v>
      </c>
      <c r="M497">
        <v>25.6</v>
      </c>
      <c r="N497">
        <v>5</v>
      </c>
      <c r="O497">
        <v>25.65</v>
      </c>
      <c r="P497">
        <v>13</v>
      </c>
      <c r="Q497">
        <v>16.88</v>
      </c>
    </row>
    <row r="498" spans="2:17">
      <c r="B498">
        <v>1515</v>
      </c>
      <c r="C498" t="s">
        <v>1806</v>
      </c>
      <c r="D498" s="3">
        <v>641550</v>
      </c>
      <c r="E498">
        <v>446</v>
      </c>
      <c r="F498" s="3">
        <v>36732999</v>
      </c>
      <c r="G498">
        <v>57</v>
      </c>
      <c r="H498">
        <v>57.7</v>
      </c>
      <c r="I498">
        <v>56.8</v>
      </c>
      <c r="J498">
        <v>57.5</v>
      </c>
      <c r="K498" t="s">
        <v>1362</v>
      </c>
      <c r="L498">
        <v>0.6</v>
      </c>
      <c r="M498">
        <v>57.4</v>
      </c>
      <c r="N498">
        <v>7</v>
      </c>
      <c r="O498">
        <v>57.5</v>
      </c>
      <c r="P498">
        <v>24</v>
      </c>
      <c r="Q498">
        <v>9.06</v>
      </c>
    </row>
    <row r="499" spans="2:17">
      <c r="B499">
        <v>1516</v>
      </c>
      <c r="C499" t="s">
        <v>1807</v>
      </c>
      <c r="D499" s="3">
        <v>190034</v>
      </c>
      <c r="E499">
        <v>157</v>
      </c>
      <c r="F499" s="3">
        <v>4487560</v>
      </c>
      <c r="G499">
        <v>23.85</v>
      </c>
      <c r="H499">
        <v>23.9</v>
      </c>
      <c r="I499">
        <v>23.45</v>
      </c>
      <c r="J499">
        <v>23.45</v>
      </c>
      <c r="K499" t="s">
        <v>1</v>
      </c>
      <c r="L499">
        <v>0.6</v>
      </c>
      <c r="M499">
        <v>23.45</v>
      </c>
      <c r="N499">
        <v>7</v>
      </c>
      <c r="O499">
        <v>23.5</v>
      </c>
      <c r="P499">
        <v>5</v>
      </c>
      <c r="Q499">
        <v>22.99</v>
      </c>
    </row>
    <row r="500" spans="2:17">
      <c r="B500">
        <v>1517</v>
      </c>
      <c r="C500" t="s">
        <v>1808</v>
      </c>
      <c r="D500" s="3">
        <v>660186</v>
      </c>
      <c r="E500">
        <v>493</v>
      </c>
      <c r="F500" s="3">
        <v>18152445</v>
      </c>
      <c r="G500">
        <v>27.8</v>
      </c>
      <c r="H500">
        <v>27.8</v>
      </c>
      <c r="I500">
        <v>27.3</v>
      </c>
      <c r="J500">
        <v>27.3</v>
      </c>
      <c r="K500" t="s">
        <v>1</v>
      </c>
      <c r="L500">
        <v>0.2</v>
      </c>
      <c r="M500">
        <v>27.3</v>
      </c>
      <c r="N500">
        <v>58</v>
      </c>
      <c r="O500">
        <v>27.4</v>
      </c>
      <c r="P500">
        <v>7</v>
      </c>
      <c r="Q500">
        <v>13.32</v>
      </c>
    </row>
    <row r="501" spans="2:17">
      <c r="B501">
        <v>1519</v>
      </c>
      <c r="C501" t="s">
        <v>1809</v>
      </c>
      <c r="D501" s="3">
        <v>362851</v>
      </c>
      <c r="E501">
        <v>254</v>
      </c>
      <c r="F501" s="3">
        <v>13456054</v>
      </c>
      <c r="G501">
        <v>37.299999999999997</v>
      </c>
      <c r="H501">
        <v>37.35</v>
      </c>
      <c r="I501">
        <v>36.950000000000003</v>
      </c>
      <c r="J501">
        <v>37</v>
      </c>
      <c r="K501" t="s">
        <v>1</v>
      </c>
      <c r="L501">
        <v>0.1</v>
      </c>
      <c r="M501">
        <v>36.950000000000003</v>
      </c>
      <c r="N501">
        <v>31</v>
      </c>
      <c r="O501">
        <v>37</v>
      </c>
      <c r="P501">
        <v>2</v>
      </c>
      <c r="Q501">
        <v>35.24</v>
      </c>
    </row>
    <row r="502" spans="2:17">
      <c r="B502">
        <v>1521</v>
      </c>
      <c r="C502" t="s">
        <v>1810</v>
      </c>
      <c r="D502" s="3">
        <v>74001</v>
      </c>
      <c r="E502">
        <v>60</v>
      </c>
      <c r="F502" s="3">
        <v>2979844</v>
      </c>
      <c r="G502">
        <v>40.6</v>
      </c>
      <c r="H502">
        <v>40.6</v>
      </c>
      <c r="I502">
        <v>40.15</v>
      </c>
      <c r="J502">
        <v>40.15</v>
      </c>
      <c r="K502" t="s">
        <v>1</v>
      </c>
      <c r="L502">
        <v>0.4</v>
      </c>
      <c r="M502">
        <v>40.15</v>
      </c>
      <c r="N502">
        <v>4</v>
      </c>
      <c r="O502">
        <v>40.200000000000003</v>
      </c>
      <c r="P502">
        <v>1</v>
      </c>
      <c r="Q502">
        <v>24.19</v>
      </c>
    </row>
    <row r="503" spans="2:17">
      <c r="B503">
        <v>1522</v>
      </c>
      <c r="C503" t="s">
        <v>1811</v>
      </c>
      <c r="D503" s="3">
        <v>402245</v>
      </c>
      <c r="E503">
        <v>212</v>
      </c>
      <c r="F503" s="3">
        <v>7800277</v>
      </c>
      <c r="G503">
        <v>19.5</v>
      </c>
      <c r="H503">
        <v>19.55</v>
      </c>
      <c r="I503">
        <v>19.2</v>
      </c>
      <c r="J503">
        <v>19.399999999999999</v>
      </c>
      <c r="K503" t="s">
        <v>1328</v>
      </c>
      <c r="L503">
        <v>0</v>
      </c>
      <c r="M503">
        <v>19.350000000000001</v>
      </c>
      <c r="N503">
        <v>55</v>
      </c>
      <c r="O503">
        <v>19.399999999999999</v>
      </c>
      <c r="P503">
        <v>3</v>
      </c>
      <c r="Q503">
        <v>35.270000000000003</v>
      </c>
    </row>
    <row r="504" spans="2:17">
      <c r="B504" t="s">
        <v>2693</v>
      </c>
      <c r="C504" t="s">
        <v>2694</v>
      </c>
      <c r="D504" s="3">
        <v>6000</v>
      </c>
      <c r="E504">
        <v>6</v>
      </c>
      <c r="F504" s="3">
        <v>265050</v>
      </c>
      <c r="G504">
        <v>44.15</v>
      </c>
      <c r="H504">
        <v>44.3</v>
      </c>
      <c r="I504">
        <v>44.15</v>
      </c>
      <c r="J504">
        <v>44.15</v>
      </c>
      <c r="K504" t="s">
        <v>1328</v>
      </c>
      <c r="L504">
        <v>0</v>
      </c>
      <c r="M504">
        <v>44.1</v>
      </c>
      <c r="N504">
        <v>3</v>
      </c>
      <c r="O504">
        <v>44.75</v>
      </c>
      <c r="P504">
        <v>11</v>
      </c>
      <c r="Q504">
        <v>0</v>
      </c>
    </row>
    <row r="505" spans="2:17">
      <c r="B505">
        <v>1524</v>
      </c>
      <c r="C505" t="s">
        <v>1812</v>
      </c>
      <c r="D505" s="3">
        <v>538604</v>
      </c>
      <c r="E505">
        <v>227</v>
      </c>
      <c r="F505" s="3">
        <v>5971339</v>
      </c>
      <c r="G505">
        <v>11.2</v>
      </c>
      <c r="H505">
        <v>11.2</v>
      </c>
      <c r="I505">
        <v>11</v>
      </c>
      <c r="J505">
        <v>11.1</v>
      </c>
      <c r="K505" t="s">
        <v>1</v>
      </c>
      <c r="L505">
        <v>0.1</v>
      </c>
      <c r="M505">
        <v>11.05</v>
      </c>
      <c r="N505">
        <v>43</v>
      </c>
      <c r="O505">
        <v>11.1</v>
      </c>
      <c r="P505">
        <v>30</v>
      </c>
      <c r="Q505">
        <v>35.81</v>
      </c>
    </row>
    <row r="506" spans="2:17">
      <c r="B506">
        <v>1525</v>
      </c>
      <c r="C506" t="s">
        <v>1813</v>
      </c>
      <c r="D506" s="3">
        <v>27000</v>
      </c>
      <c r="E506">
        <v>22</v>
      </c>
      <c r="F506" s="3">
        <v>1651000</v>
      </c>
      <c r="G506">
        <v>61.3</v>
      </c>
      <c r="H506">
        <v>61.5</v>
      </c>
      <c r="I506">
        <v>61</v>
      </c>
      <c r="J506">
        <v>61.2</v>
      </c>
      <c r="K506" t="s">
        <v>1362</v>
      </c>
      <c r="L506">
        <v>0.2</v>
      </c>
      <c r="M506">
        <v>61.2</v>
      </c>
      <c r="N506">
        <v>1</v>
      </c>
      <c r="O506">
        <v>61.3</v>
      </c>
      <c r="P506">
        <v>3</v>
      </c>
      <c r="Q506">
        <v>13.63</v>
      </c>
    </row>
    <row r="507" spans="2:17">
      <c r="B507">
        <v>1526</v>
      </c>
      <c r="C507" t="s">
        <v>1814</v>
      </c>
      <c r="D507" s="3">
        <v>194276</v>
      </c>
      <c r="E507">
        <v>154</v>
      </c>
      <c r="F507" s="3">
        <v>9331733</v>
      </c>
      <c r="G507">
        <v>48.3</v>
      </c>
      <c r="H507">
        <v>48.4</v>
      </c>
      <c r="I507">
        <v>47.85</v>
      </c>
      <c r="J507">
        <v>48.05</v>
      </c>
      <c r="K507" t="s">
        <v>1</v>
      </c>
      <c r="L507">
        <v>0.05</v>
      </c>
      <c r="M507">
        <v>48.05</v>
      </c>
      <c r="N507">
        <v>8</v>
      </c>
      <c r="O507">
        <v>48.1</v>
      </c>
      <c r="P507">
        <v>1</v>
      </c>
      <c r="Q507">
        <v>13.16</v>
      </c>
    </row>
    <row r="508" spans="2:17">
      <c r="B508">
        <v>1527</v>
      </c>
      <c r="C508" t="s">
        <v>1815</v>
      </c>
      <c r="D508" s="3">
        <v>195311</v>
      </c>
      <c r="E508">
        <v>215</v>
      </c>
      <c r="F508" s="3">
        <v>8454619</v>
      </c>
      <c r="G508">
        <v>43.3</v>
      </c>
      <c r="H508">
        <v>43.4</v>
      </c>
      <c r="I508">
        <v>43.2</v>
      </c>
      <c r="J508">
        <v>43.35</v>
      </c>
      <c r="K508" t="s">
        <v>1362</v>
      </c>
      <c r="L508">
        <v>0.05</v>
      </c>
      <c r="M508">
        <v>43.3</v>
      </c>
      <c r="N508">
        <v>1</v>
      </c>
      <c r="O508">
        <v>43.35</v>
      </c>
      <c r="P508">
        <v>1</v>
      </c>
      <c r="Q508">
        <v>12.71</v>
      </c>
    </row>
    <row r="509" spans="2:17">
      <c r="B509">
        <v>1528</v>
      </c>
      <c r="C509" t="s">
        <v>1816</v>
      </c>
      <c r="D509" s="3">
        <v>1262724</v>
      </c>
      <c r="E509">
        <v>415</v>
      </c>
      <c r="F509" s="3">
        <v>15243491</v>
      </c>
      <c r="G509">
        <v>12.1</v>
      </c>
      <c r="H509">
        <v>12.2</v>
      </c>
      <c r="I509">
        <v>11.85</v>
      </c>
      <c r="J509">
        <v>11.85</v>
      </c>
      <c r="K509" t="s">
        <v>1</v>
      </c>
      <c r="L509">
        <v>0.15</v>
      </c>
      <c r="M509">
        <v>11.85</v>
      </c>
      <c r="N509">
        <v>67</v>
      </c>
      <c r="O509">
        <v>11.95</v>
      </c>
      <c r="P509">
        <v>12</v>
      </c>
      <c r="Q509">
        <v>12.88</v>
      </c>
    </row>
    <row r="510" spans="2:17">
      <c r="B510">
        <v>1529</v>
      </c>
      <c r="C510" t="s">
        <v>1817</v>
      </c>
      <c r="D510" s="3">
        <v>760173</v>
      </c>
      <c r="E510">
        <v>337</v>
      </c>
      <c r="F510" s="3">
        <v>16606048</v>
      </c>
      <c r="G510">
        <v>22.2</v>
      </c>
      <c r="H510">
        <v>22.2</v>
      </c>
      <c r="I510">
        <v>21.7</v>
      </c>
      <c r="J510">
        <v>21.75</v>
      </c>
      <c r="K510" t="s">
        <v>1</v>
      </c>
      <c r="L510">
        <v>0.1</v>
      </c>
      <c r="M510">
        <v>21.75</v>
      </c>
      <c r="N510">
        <v>7</v>
      </c>
      <c r="O510">
        <v>21.8</v>
      </c>
      <c r="P510">
        <v>12</v>
      </c>
      <c r="Q510">
        <v>28.62</v>
      </c>
    </row>
    <row r="511" spans="2:17">
      <c r="B511">
        <v>1530</v>
      </c>
      <c r="C511" t="s">
        <v>1818</v>
      </c>
      <c r="D511" s="3">
        <v>11180</v>
      </c>
      <c r="E511">
        <v>14</v>
      </c>
      <c r="F511" s="3">
        <v>371752</v>
      </c>
      <c r="G511">
        <v>33.049999999999997</v>
      </c>
      <c r="H511">
        <v>33.299999999999997</v>
      </c>
      <c r="I511">
        <v>33.049999999999997</v>
      </c>
      <c r="J511">
        <v>33.299999999999997</v>
      </c>
      <c r="K511" t="s">
        <v>1362</v>
      </c>
      <c r="L511">
        <v>0.2</v>
      </c>
      <c r="M511">
        <v>33.200000000000003</v>
      </c>
      <c r="N511">
        <v>2</v>
      </c>
      <c r="O511">
        <v>33.450000000000003</v>
      </c>
      <c r="P511">
        <v>3</v>
      </c>
      <c r="Q511">
        <v>28.46</v>
      </c>
    </row>
    <row r="512" spans="2:17">
      <c r="B512">
        <v>1531</v>
      </c>
      <c r="C512" t="s">
        <v>1819</v>
      </c>
      <c r="D512" s="3">
        <v>207688</v>
      </c>
      <c r="E512">
        <v>105</v>
      </c>
      <c r="F512" s="3">
        <v>3344110</v>
      </c>
      <c r="G512">
        <v>16.149999999999999</v>
      </c>
      <c r="H512">
        <v>16.2</v>
      </c>
      <c r="I512">
        <v>16</v>
      </c>
      <c r="J512">
        <v>16.100000000000001</v>
      </c>
      <c r="K512" t="s">
        <v>1328</v>
      </c>
      <c r="L512">
        <v>0</v>
      </c>
      <c r="M512">
        <v>16.100000000000001</v>
      </c>
      <c r="N512">
        <v>35</v>
      </c>
      <c r="O512">
        <v>16.149999999999999</v>
      </c>
      <c r="P512">
        <v>25</v>
      </c>
      <c r="Q512">
        <v>21.18</v>
      </c>
    </row>
    <row r="513" spans="2:17">
      <c r="B513">
        <v>1532</v>
      </c>
      <c r="C513" t="s">
        <v>1820</v>
      </c>
      <c r="D513" s="3">
        <v>162592</v>
      </c>
      <c r="E513">
        <v>130</v>
      </c>
      <c r="F513" s="3">
        <v>5292193</v>
      </c>
      <c r="G513">
        <v>32.6</v>
      </c>
      <c r="H513">
        <v>32.6</v>
      </c>
      <c r="I513">
        <v>32.5</v>
      </c>
      <c r="J513">
        <v>32.6</v>
      </c>
      <c r="K513" t="s">
        <v>1362</v>
      </c>
      <c r="L513">
        <v>0.05</v>
      </c>
      <c r="M513">
        <v>32.549999999999997</v>
      </c>
      <c r="N513">
        <v>2</v>
      </c>
      <c r="O513">
        <v>32.6</v>
      </c>
      <c r="P513">
        <v>15</v>
      </c>
      <c r="Q513">
        <v>12.89</v>
      </c>
    </row>
    <row r="514" spans="2:17">
      <c r="B514">
        <v>1533</v>
      </c>
      <c r="C514" t="s">
        <v>1821</v>
      </c>
      <c r="D514" s="3">
        <v>2742185</v>
      </c>
      <c r="E514" s="3">
        <v>2007</v>
      </c>
      <c r="F514" s="3">
        <v>164811836</v>
      </c>
      <c r="G514">
        <v>62</v>
      </c>
      <c r="H514">
        <v>62.9</v>
      </c>
      <c r="I514">
        <v>58.5</v>
      </c>
      <c r="J514">
        <v>59</v>
      </c>
      <c r="K514" t="s">
        <v>1</v>
      </c>
      <c r="L514">
        <v>2.2000000000000002</v>
      </c>
      <c r="M514">
        <v>59</v>
      </c>
      <c r="N514">
        <v>8</v>
      </c>
      <c r="O514">
        <v>59.1</v>
      </c>
      <c r="P514">
        <v>2</v>
      </c>
      <c r="Q514">
        <v>40.69</v>
      </c>
    </row>
    <row r="515" spans="2:17">
      <c r="B515">
        <v>1535</v>
      </c>
      <c r="C515" t="s">
        <v>1822</v>
      </c>
      <c r="D515" s="3">
        <v>56076</v>
      </c>
      <c r="E515">
        <v>34</v>
      </c>
      <c r="F515" s="3">
        <v>2240243</v>
      </c>
      <c r="G515">
        <v>40</v>
      </c>
      <c r="H515">
        <v>40</v>
      </c>
      <c r="I515">
        <v>39.9</v>
      </c>
      <c r="J515">
        <v>40</v>
      </c>
      <c r="K515" t="s">
        <v>1328</v>
      </c>
      <c r="L515">
        <v>0</v>
      </c>
      <c r="M515">
        <v>39.950000000000003</v>
      </c>
      <c r="N515">
        <v>2</v>
      </c>
      <c r="O515">
        <v>40</v>
      </c>
      <c r="P515">
        <v>2</v>
      </c>
      <c r="Q515">
        <v>13.24</v>
      </c>
    </row>
    <row r="516" spans="2:17">
      <c r="B516">
        <v>1536</v>
      </c>
      <c r="C516" t="s">
        <v>1823</v>
      </c>
      <c r="D516" s="3">
        <v>520178</v>
      </c>
      <c r="E516">
        <v>496</v>
      </c>
      <c r="F516" s="3">
        <v>47053300</v>
      </c>
      <c r="G516">
        <v>90.8</v>
      </c>
      <c r="H516">
        <v>91</v>
      </c>
      <c r="I516">
        <v>89.9</v>
      </c>
      <c r="J516">
        <v>91</v>
      </c>
      <c r="K516" t="s">
        <v>1362</v>
      </c>
      <c r="L516">
        <v>0.4</v>
      </c>
      <c r="M516">
        <v>90.9</v>
      </c>
      <c r="N516">
        <v>1</v>
      </c>
      <c r="O516">
        <v>91</v>
      </c>
      <c r="P516">
        <v>25</v>
      </c>
      <c r="Q516">
        <v>56.52</v>
      </c>
    </row>
    <row r="517" spans="2:17">
      <c r="B517">
        <v>1537</v>
      </c>
      <c r="C517" t="s">
        <v>1824</v>
      </c>
      <c r="D517" s="3">
        <v>96587</v>
      </c>
      <c r="E517">
        <v>97</v>
      </c>
      <c r="F517" s="3">
        <v>13321444</v>
      </c>
      <c r="G517">
        <v>138</v>
      </c>
      <c r="H517">
        <v>138</v>
      </c>
      <c r="I517">
        <v>137.5</v>
      </c>
      <c r="J517">
        <v>137.5</v>
      </c>
      <c r="K517" t="s">
        <v>1328</v>
      </c>
      <c r="L517">
        <v>0</v>
      </c>
      <c r="M517">
        <v>137.5</v>
      </c>
      <c r="N517">
        <v>92</v>
      </c>
      <c r="O517">
        <v>138</v>
      </c>
      <c r="P517">
        <v>2</v>
      </c>
      <c r="Q517">
        <v>15.8</v>
      </c>
    </row>
    <row r="518" spans="2:17">
      <c r="B518">
        <v>1538</v>
      </c>
      <c r="C518" t="s">
        <v>1825</v>
      </c>
      <c r="D518" s="3">
        <v>10454</v>
      </c>
      <c r="E518">
        <v>16</v>
      </c>
      <c r="F518" s="3">
        <v>109490</v>
      </c>
      <c r="G518">
        <v>10.6</v>
      </c>
      <c r="H518">
        <v>10.65</v>
      </c>
      <c r="I518">
        <v>10.199999999999999</v>
      </c>
      <c r="J518">
        <v>10.65</v>
      </c>
      <c r="K518" t="s">
        <v>1362</v>
      </c>
      <c r="L518">
        <v>0.25</v>
      </c>
      <c r="M518">
        <v>10.15</v>
      </c>
      <c r="N518">
        <v>1</v>
      </c>
      <c r="O518">
        <v>10.5</v>
      </c>
      <c r="P518">
        <v>2</v>
      </c>
      <c r="Q518">
        <v>0</v>
      </c>
    </row>
    <row r="519" spans="2:17">
      <c r="B519">
        <v>1539</v>
      </c>
      <c r="C519" t="s">
        <v>1826</v>
      </c>
      <c r="D519" s="3">
        <v>294203</v>
      </c>
      <c r="E519">
        <v>197</v>
      </c>
      <c r="F519" s="3">
        <v>6466536</v>
      </c>
      <c r="G519">
        <v>22.15</v>
      </c>
      <c r="H519">
        <v>22.2</v>
      </c>
      <c r="I519">
        <v>21.8</v>
      </c>
      <c r="J519">
        <v>21.8</v>
      </c>
      <c r="K519" t="s">
        <v>1</v>
      </c>
      <c r="L519">
        <v>0.3</v>
      </c>
      <c r="M519">
        <v>21.8</v>
      </c>
      <c r="N519">
        <v>25</v>
      </c>
      <c r="O519">
        <v>21.85</v>
      </c>
      <c r="P519">
        <v>7</v>
      </c>
      <c r="Q519">
        <v>29.86</v>
      </c>
    </row>
    <row r="520" spans="2:17">
      <c r="B520">
        <v>1540</v>
      </c>
      <c r="C520" t="s">
        <v>1827</v>
      </c>
      <c r="D520" s="3">
        <v>78010</v>
      </c>
      <c r="E520">
        <v>104</v>
      </c>
      <c r="F520" s="3">
        <v>1180387</v>
      </c>
      <c r="G520">
        <v>15.1</v>
      </c>
      <c r="H520">
        <v>15.15</v>
      </c>
      <c r="I520">
        <v>15.1</v>
      </c>
      <c r="J520">
        <v>15.15</v>
      </c>
      <c r="K520" t="s">
        <v>1328</v>
      </c>
      <c r="L520">
        <v>0</v>
      </c>
      <c r="M520">
        <v>15.1</v>
      </c>
      <c r="N520">
        <v>8</v>
      </c>
      <c r="O520">
        <v>15.15</v>
      </c>
      <c r="P520">
        <v>19</v>
      </c>
      <c r="Q520">
        <v>84.17</v>
      </c>
    </row>
    <row r="521" spans="2:17">
      <c r="B521">
        <v>1541</v>
      </c>
      <c r="C521" t="s">
        <v>1828</v>
      </c>
      <c r="D521" s="3">
        <v>8000</v>
      </c>
      <c r="E521">
        <v>3</v>
      </c>
      <c r="F521" s="3">
        <v>347900</v>
      </c>
      <c r="G521">
        <v>43.4</v>
      </c>
      <c r="H521">
        <v>43.5</v>
      </c>
      <c r="I521">
        <v>43.4</v>
      </c>
      <c r="J521">
        <v>43.5</v>
      </c>
      <c r="K521" t="s">
        <v>1362</v>
      </c>
      <c r="L521">
        <v>0.1</v>
      </c>
      <c r="M521">
        <v>43.1</v>
      </c>
      <c r="N521">
        <v>1</v>
      </c>
      <c r="O521">
        <v>43.7</v>
      </c>
      <c r="P521">
        <v>1</v>
      </c>
      <c r="Q521">
        <v>10.31</v>
      </c>
    </row>
    <row r="522" spans="2:17">
      <c r="B522">
        <v>1558</v>
      </c>
      <c r="C522" t="s">
        <v>1829</v>
      </c>
      <c r="D522" s="3">
        <v>85542</v>
      </c>
      <c r="E522">
        <v>128</v>
      </c>
      <c r="F522" s="3">
        <v>12289553</v>
      </c>
      <c r="G522">
        <v>144</v>
      </c>
      <c r="H522">
        <v>144.5</v>
      </c>
      <c r="I522">
        <v>143</v>
      </c>
      <c r="J522">
        <v>143.5</v>
      </c>
      <c r="K522" t="s">
        <v>1</v>
      </c>
      <c r="L522">
        <v>0.5</v>
      </c>
      <c r="M522">
        <v>143.5</v>
      </c>
      <c r="N522">
        <v>15</v>
      </c>
      <c r="O522">
        <v>144</v>
      </c>
      <c r="P522">
        <v>20</v>
      </c>
      <c r="Q522">
        <v>11.37</v>
      </c>
    </row>
    <row r="523" spans="2:17">
      <c r="B523">
        <v>1560</v>
      </c>
      <c r="C523" t="s">
        <v>1830</v>
      </c>
      <c r="D523" s="3">
        <v>21281015</v>
      </c>
      <c r="E523" s="3">
        <v>13445</v>
      </c>
      <c r="F523" s="3">
        <v>2217903632</v>
      </c>
      <c r="G523">
        <v>98.4</v>
      </c>
      <c r="H523">
        <v>107</v>
      </c>
      <c r="I523">
        <v>98</v>
      </c>
      <c r="J523">
        <v>107</v>
      </c>
      <c r="K523" t="s">
        <v>1362</v>
      </c>
      <c r="L523">
        <v>9.4</v>
      </c>
      <c r="M523">
        <v>107</v>
      </c>
      <c r="N523">
        <v>689</v>
      </c>
      <c r="O523" t="s">
        <v>1391</v>
      </c>
      <c r="P523">
        <v>0</v>
      </c>
      <c r="Q523">
        <v>26.75</v>
      </c>
    </row>
    <row r="524" spans="2:17">
      <c r="B524">
        <v>1568</v>
      </c>
      <c r="C524" t="s">
        <v>1831</v>
      </c>
      <c r="D524" s="3">
        <v>757064</v>
      </c>
      <c r="E524">
        <v>498</v>
      </c>
      <c r="F524" s="3">
        <v>17694080</v>
      </c>
      <c r="G524">
        <v>23.95</v>
      </c>
      <c r="H524">
        <v>23.95</v>
      </c>
      <c r="I524">
        <v>23</v>
      </c>
      <c r="J524">
        <v>23.55</v>
      </c>
      <c r="K524" t="s">
        <v>1</v>
      </c>
      <c r="L524">
        <v>0.4</v>
      </c>
      <c r="M524">
        <v>23.55</v>
      </c>
      <c r="N524">
        <v>5</v>
      </c>
      <c r="O524">
        <v>23.6</v>
      </c>
      <c r="P524">
        <v>11</v>
      </c>
      <c r="Q524">
        <v>294.38</v>
      </c>
    </row>
    <row r="525" spans="2:17">
      <c r="B525">
        <v>1582</v>
      </c>
      <c r="C525" t="s">
        <v>1832</v>
      </c>
      <c r="D525" s="3">
        <v>248077</v>
      </c>
      <c r="E525">
        <v>192</v>
      </c>
      <c r="F525" s="3">
        <v>17141255</v>
      </c>
      <c r="G525">
        <v>69.2</v>
      </c>
      <c r="H525">
        <v>69.599999999999994</v>
      </c>
      <c r="I525">
        <v>68.8</v>
      </c>
      <c r="J525">
        <v>69.599999999999994</v>
      </c>
      <c r="K525" t="s">
        <v>1362</v>
      </c>
      <c r="L525">
        <v>0.5</v>
      </c>
      <c r="M525">
        <v>69.5</v>
      </c>
      <c r="N525">
        <v>6</v>
      </c>
      <c r="O525">
        <v>69.599999999999994</v>
      </c>
      <c r="P525">
        <v>4</v>
      </c>
      <c r="Q525">
        <v>19.940000000000001</v>
      </c>
    </row>
    <row r="526" spans="2:17">
      <c r="B526">
        <v>1583</v>
      </c>
      <c r="C526" t="s">
        <v>1833</v>
      </c>
      <c r="D526" s="3">
        <v>10013</v>
      </c>
      <c r="E526">
        <v>6</v>
      </c>
      <c r="F526" s="3">
        <v>634725</v>
      </c>
      <c r="G526">
        <v>63.2</v>
      </c>
      <c r="H526">
        <v>63.9</v>
      </c>
      <c r="I526">
        <v>63.2</v>
      </c>
      <c r="J526">
        <v>63.8</v>
      </c>
      <c r="K526" t="s">
        <v>1362</v>
      </c>
      <c r="L526">
        <v>0.6</v>
      </c>
      <c r="M526">
        <v>63.8</v>
      </c>
      <c r="N526">
        <v>1</v>
      </c>
      <c r="O526">
        <v>63.9</v>
      </c>
      <c r="P526">
        <v>6</v>
      </c>
      <c r="Q526">
        <v>21.41</v>
      </c>
    </row>
    <row r="527" spans="2:17">
      <c r="B527">
        <v>1587</v>
      </c>
      <c r="C527" t="s">
        <v>1834</v>
      </c>
      <c r="D527" s="3">
        <v>79605</v>
      </c>
      <c r="E527">
        <v>103</v>
      </c>
      <c r="F527" s="3">
        <v>2082171</v>
      </c>
      <c r="G527">
        <v>26.45</v>
      </c>
      <c r="H527">
        <v>26.45</v>
      </c>
      <c r="I527">
        <v>26.1</v>
      </c>
      <c r="J527">
        <v>26.2</v>
      </c>
      <c r="K527" t="s">
        <v>1</v>
      </c>
      <c r="L527">
        <v>0.05</v>
      </c>
      <c r="M527">
        <v>26.2</v>
      </c>
      <c r="N527">
        <v>7</v>
      </c>
      <c r="O527">
        <v>26.25</v>
      </c>
      <c r="P527">
        <v>5</v>
      </c>
      <c r="Q527">
        <v>14.89</v>
      </c>
    </row>
    <row r="528" spans="2:17">
      <c r="B528">
        <v>1589</v>
      </c>
      <c r="C528" t="s">
        <v>1835</v>
      </c>
      <c r="D528" s="3">
        <v>149883</v>
      </c>
      <c r="E528">
        <v>189</v>
      </c>
      <c r="F528" s="3">
        <v>9249977</v>
      </c>
      <c r="G528">
        <v>61.9</v>
      </c>
      <c r="H528">
        <v>62.3</v>
      </c>
      <c r="I528">
        <v>61.6</v>
      </c>
      <c r="J528">
        <v>61.7</v>
      </c>
      <c r="K528" t="s">
        <v>1362</v>
      </c>
      <c r="L528">
        <v>0.2</v>
      </c>
      <c r="M528">
        <v>61.7</v>
      </c>
      <c r="N528">
        <v>9</v>
      </c>
      <c r="O528">
        <v>61.8</v>
      </c>
      <c r="P528">
        <v>5</v>
      </c>
      <c r="Q528">
        <v>13.02</v>
      </c>
    </row>
    <row r="529" spans="2:17">
      <c r="B529">
        <v>1590</v>
      </c>
      <c r="C529" t="s">
        <v>1836</v>
      </c>
      <c r="D529" s="3">
        <v>466407</v>
      </c>
      <c r="E529">
        <v>581</v>
      </c>
      <c r="F529" s="3">
        <v>477301185</v>
      </c>
      <c r="G529" s="8">
        <v>1040</v>
      </c>
      <c r="H529" s="8">
        <v>1045</v>
      </c>
      <c r="I529" s="8">
        <v>1020</v>
      </c>
      <c r="J529" s="8">
        <v>1025</v>
      </c>
      <c r="K529" t="s">
        <v>1328</v>
      </c>
      <c r="L529">
        <v>0</v>
      </c>
      <c r="M529" s="8">
        <v>1020</v>
      </c>
      <c r="N529">
        <v>27</v>
      </c>
      <c r="O529" s="8">
        <v>1025</v>
      </c>
      <c r="P529">
        <v>33</v>
      </c>
      <c r="Q529">
        <v>30.19</v>
      </c>
    </row>
    <row r="530" spans="2:17">
      <c r="B530">
        <v>1597</v>
      </c>
      <c r="C530" t="s">
        <v>1837</v>
      </c>
      <c r="D530" s="3">
        <v>390511</v>
      </c>
      <c r="E530">
        <v>883</v>
      </c>
      <c r="F530" s="3">
        <v>34671937</v>
      </c>
      <c r="G530">
        <v>87.5</v>
      </c>
      <c r="H530">
        <v>89.8</v>
      </c>
      <c r="I530">
        <v>87.2</v>
      </c>
      <c r="J530">
        <v>89.4</v>
      </c>
      <c r="K530" t="s">
        <v>1362</v>
      </c>
      <c r="L530">
        <v>2.2999999999999998</v>
      </c>
      <c r="M530">
        <v>89.4</v>
      </c>
      <c r="N530">
        <v>1</v>
      </c>
      <c r="O530">
        <v>89.5</v>
      </c>
      <c r="P530">
        <v>7</v>
      </c>
      <c r="Q530">
        <v>23.65</v>
      </c>
    </row>
    <row r="531" spans="2:17">
      <c r="B531">
        <v>1598</v>
      </c>
      <c r="C531" t="s">
        <v>1838</v>
      </c>
      <c r="D531" s="3">
        <v>121935</v>
      </c>
      <c r="E531">
        <v>109</v>
      </c>
      <c r="F531" s="3">
        <v>6604473</v>
      </c>
      <c r="G531">
        <v>54.2</v>
      </c>
      <c r="H531">
        <v>54.6</v>
      </c>
      <c r="I531">
        <v>54</v>
      </c>
      <c r="J531">
        <v>54.2</v>
      </c>
      <c r="K531" t="s">
        <v>1362</v>
      </c>
      <c r="L531">
        <v>0.2</v>
      </c>
      <c r="M531">
        <v>54.2</v>
      </c>
      <c r="N531">
        <v>2</v>
      </c>
      <c r="O531">
        <v>54.3</v>
      </c>
      <c r="P531">
        <v>2</v>
      </c>
      <c r="Q531">
        <v>6.15</v>
      </c>
    </row>
    <row r="532" spans="2:17">
      <c r="B532">
        <v>1603</v>
      </c>
      <c r="C532" t="s">
        <v>1839</v>
      </c>
      <c r="D532" s="3">
        <v>66104</v>
      </c>
      <c r="E532">
        <v>45</v>
      </c>
      <c r="F532" s="3">
        <v>1779395</v>
      </c>
      <c r="G532">
        <v>26.85</v>
      </c>
      <c r="H532">
        <v>27.05</v>
      </c>
      <c r="I532">
        <v>26.8</v>
      </c>
      <c r="J532">
        <v>26.9</v>
      </c>
      <c r="K532" t="s">
        <v>1</v>
      </c>
      <c r="L532">
        <v>0.05</v>
      </c>
      <c r="M532">
        <v>26.9</v>
      </c>
      <c r="N532">
        <v>14</v>
      </c>
      <c r="O532">
        <v>26.95</v>
      </c>
      <c r="P532">
        <v>2</v>
      </c>
      <c r="Q532">
        <v>17.579999999999998</v>
      </c>
    </row>
    <row r="533" spans="2:17">
      <c r="B533">
        <v>1604</v>
      </c>
      <c r="C533" t="s">
        <v>1840</v>
      </c>
      <c r="D533" s="3">
        <v>409215</v>
      </c>
      <c r="E533">
        <v>402</v>
      </c>
      <c r="F533" s="3">
        <v>12204008</v>
      </c>
      <c r="G533">
        <v>29.9</v>
      </c>
      <c r="H533">
        <v>29.95</v>
      </c>
      <c r="I533">
        <v>29.75</v>
      </c>
      <c r="J533">
        <v>29.75</v>
      </c>
      <c r="K533" t="s">
        <v>1</v>
      </c>
      <c r="L533">
        <v>0.1</v>
      </c>
      <c r="M533">
        <v>29.75</v>
      </c>
      <c r="N533">
        <v>22</v>
      </c>
      <c r="O533">
        <v>29.8</v>
      </c>
      <c r="P533">
        <v>92</v>
      </c>
      <c r="Q533">
        <v>6.43</v>
      </c>
    </row>
    <row r="534" spans="2:17">
      <c r="B534">
        <v>1605</v>
      </c>
      <c r="C534" t="s">
        <v>1841</v>
      </c>
      <c r="D534" s="3">
        <v>5941081</v>
      </c>
      <c r="E534" s="3">
        <v>2275</v>
      </c>
      <c r="F534" s="3">
        <v>157516223</v>
      </c>
      <c r="G534">
        <v>26.4</v>
      </c>
      <c r="H534">
        <v>26.65</v>
      </c>
      <c r="I534">
        <v>26.4</v>
      </c>
      <c r="J534">
        <v>26.55</v>
      </c>
      <c r="K534" t="s">
        <v>1362</v>
      </c>
      <c r="L534">
        <v>0.25</v>
      </c>
      <c r="M534">
        <v>26.5</v>
      </c>
      <c r="N534">
        <v>44</v>
      </c>
      <c r="O534">
        <v>26.55</v>
      </c>
      <c r="P534">
        <v>161</v>
      </c>
      <c r="Q534">
        <v>7.67</v>
      </c>
    </row>
    <row r="535" spans="2:17">
      <c r="B535">
        <v>1608</v>
      </c>
      <c r="C535" t="s">
        <v>1842</v>
      </c>
      <c r="D535" s="3">
        <v>858470</v>
      </c>
      <c r="E535">
        <v>517</v>
      </c>
      <c r="F535" s="3">
        <v>18977968</v>
      </c>
      <c r="G535">
        <v>22.05</v>
      </c>
      <c r="H535">
        <v>22.3</v>
      </c>
      <c r="I535">
        <v>22</v>
      </c>
      <c r="J535">
        <v>22</v>
      </c>
      <c r="K535" t="s">
        <v>1328</v>
      </c>
      <c r="L535">
        <v>0</v>
      </c>
      <c r="M535">
        <v>21.95</v>
      </c>
      <c r="N535">
        <v>18</v>
      </c>
      <c r="O535">
        <v>22</v>
      </c>
      <c r="P535">
        <v>4</v>
      </c>
      <c r="Q535">
        <v>6.08</v>
      </c>
    </row>
    <row r="536" spans="2:17">
      <c r="B536">
        <v>1609</v>
      </c>
      <c r="C536" t="s">
        <v>1843</v>
      </c>
      <c r="D536" s="3">
        <v>2912095</v>
      </c>
      <c r="E536" s="3">
        <v>1307</v>
      </c>
      <c r="F536" s="3">
        <v>72042748</v>
      </c>
      <c r="G536">
        <v>24.8</v>
      </c>
      <c r="H536">
        <v>25</v>
      </c>
      <c r="I536">
        <v>24.6</v>
      </c>
      <c r="J536">
        <v>24.7</v>
      </c>
      <c r="K536" t="s">
        <v>1</v>
      </c>
      <c r="L536">
        <v>0.1</v>
      </c>
      <c r="M536">
        <v>24.65</v>
      </c>
      <c r="N536">
        <v>87</v>
      </c>
      <c r="O536">
        <v>24.7</v>
      </c>
      <c r="P536">
        <v>1</v>
      </c>
      <c r="Q536">
        <v>14.11</v>
      </c>
    </row>
    <row r="537" spans="2:17">
      <c r="B537">
        <v>1611</v>
      </c>
      <c r="C537" t="s">
        <v>1844</v>
      </c>
      <c r="D537" s="3">
        <v>15304767</v>
      </c>
      <c r="E537" s="3">
        <v>6653</v>
      </c>
      <c r="F537" s="3">
        <v>330701779</v>
      </c>
      <c r="G537">
        <v>21.95</v>
      </c>
      <c r="H537">
        <v>22.1</v>
      </c>
      <c r="I537">
        <v>21.2</v>
      </c>
      <c r="J537">
        <v>21.7</v>
      </c>
      <c r="K537" t="s">
        <v>1</v>
      </c>
      <c r="L537">
        <v>0.25</v>
      </c>
      <c r="M537">
        <v>21.7</v>
      </c>
      <c r="N537">
        <v>96</v>
      </c>
      <c r="O537">
        <v>21.75</v>
      </c>
      <c r="P537">
        <v>83</v>
      </c>
      <c r="Q537">
        <v>155</v>
      </c>
    </row>
    <row r="538" spans="2:17">
      <c r="B538">
        <v>1612</v>
      </c>
      <c r="C538" t="s">
        <v>1845</v>
      </c>
      <c r="D538" s="3">
        <v>2255367</v>
      </c>
      <c r="E538" s="3">
        <v>1277</v>
      </c>
      <c r="F538" s="3">
        <v>59831588</v>
      </c>
      <c r="G538">
        <v>26.7</v>
      </c>
      <c r="H538">
        <v>26.75</v>
      </c>
      <c r="I538">
        <v>26.45</v>
      </c>
      <c r="J538">
        <v>26.45</v>
      </c>
      <c r="K538" t="s">
        <v>1</v>
      </c>
      <c r="L538">
        <v>0.2</v>
      </c>
      <c r="M538">
        <v>26.45</v>
      </c>
      <c r="N538">
        <v>66</v>
      </c>
      <c r="O538">
        <v>26.5</v>
      </c>
      <c r="P538">
        <v>11</v>
      </c>
      <c r="Q538">
        <v>13.22</v>
      </c>
    </row>
    <row r="539" spans="2:17">
      <c r="B539">
        <v>1614</v>
      </c>
      <c r="C539" t="s">
        <v>1846</v>
      </c>
      <c r="D539" s="3">
        <v>48168</v>
      </c>
      <c r="E539">
        <v>44</v>
      </c>
      <c r="F539" s="3">
        <v>1719805</v>
      </c>
      <c r="G539">
        <v>35.65</v>
      </c>
      <c r="H539">
        <v>36</v>
      </c>
      <c r="I539">
        <v>35.6</v>
      </c>
      <c r="J539">
        <v>35.700000000000003</v>
      </c>
      <c r="K539" t="s">
        <v>1</v>
      </c>
      <c r="L539">
        <v>0.1</v>
      </c>
      <c r="M539">
        <v>35.65</v>
      </c>
      <c r="N539">
        <v>14</v>
      </c>
      <c r="O539">
        <v>35.700000000000003</v>
      </c>
      <c r="P539">
        <v>11</v>
      </c>
      <c r="Q539">
        <v>27.89</v>
      </c>
    </row>
    <row r="540" spans="2:17">
      <c r="B540">
        <v>1615</v>
      </c>
      <c r="C540" t="s">
        <v>1847</v>
      </c>
      <c r="D540" s="3">
        <v>52936</v>
      </c>
      <c r="E540">
        <v>54</v>
      </c>
      <c r="F540" s="3">
        <v>1694710</v>
      </c>
      <c r="G540">
        <v>32</v>
      </c>
      <c r="H540">
        <v>32.1</v>
      </c>
      <c r="I540">
        <v>32</v>
      </c>
      <c r="J540">
        <v>32</v>
      </c>
      <c r="K540" t="s">
        <v>1</v>
      </c>
      <c r="L540">
        <v>0.05</v>
      </c>
      <c r="M540">
        <v>32</v>
      </c>
      <c r="N540">
        <v>11</v>
      </c>
      <c r="O540">
        <v>32.1</v>
      </c>
      <c r="P540">
        <v>1</v>
      </c>
      <c r="Q540">
        <v>10.32</v>
      </c>
    </row>
    <row r="541" spans="2:17">
      <c r="B541">
        <v>1616</v>
      </c>
      <c r="C541" t="s">
        <v>1848</v>
      </c>
      <c r="D541" s="3">
        <v>1630880</v>
      </c>
      <c r="E541">
        <v>742</v>
      </c>
      <c r="F541" s="3">
        <v>18989811</v>
      </c>
      <c r="G541">
        <v>11.35</v>
      </c>
      <c r="H541">
        <v>11.8</v>
      </c>
      <c r="I541">
        <v>11.35</v>
      </c>
      <c r="J541">
        <v>11.6</v>
      </c>
      <c r="K541" t="s">
        <v>1362</v>
      </c>
      <c r="L541">
        <v>0.25</v>
      </c>
      <c r="M541">
        <v>11.55</v>
      </c>
      <c r="N541">
        <v>23</v>
      </c>
      <c r="O541">
        <v>11.6</v>
      </c>
      <c r="P541">
        <v>14</v>
      </c>
      <c r="Q541">
        <v>35.15</v>
      </c>
    </row>
    <row r="542" spans="2:17">
      <c r="B542">
        <v>1617</v>
      </c>
      <c r="C542" t="s">
        <v>1849</v>
      </c>
      <c r="D542" s="3">
        <v>91439</v>
      </c>
      <c r="E542">
        <v>62</v>
      </c>
      <c r="F542" s="3">
        <v>1642533</v>
      </c>
      <c r="G542">
        <v>17.95</v>
      </c>
      <c r="H542">
        <v>18.100000000000001</v>
      </c>
      <c r="I542">
        <v>17.8</v>
      </c>
      <c r="J542">
        <v>17.899999999999999</v>
      </c>
      <c r="K542" t="s">
        <v>1</v>
      </c>
      <c r="L542">
        <v>0.05</v>
      </c>
      <c r="M542">
        <v>17.850000000000001</v>
      </c>
      <c r="N542">
        <v>1</v>
      </c>
      <c r="O542">
        <v>17.95</v>
      </c>
      <c r="P542">
        <v>2</v>
      </c>
      <c r="Q542">
        <v>12.97</v>
      </c>
    </row>
    <row r="543" spans="2:17">
      <c r="B543">
        <v>1618</v>
      </c>
      <c r="C543" t="s">
        <v>2883</v>
      </c>
      <c r="D543" s="3">
        <v>157382</v>
      </c>
      <c r="E543">
        <v>128</v>
      </c>
      <c r="F543" s="3">
        <v>2273670</v>
      </c>
      <c r="G543">
        <v>14.5</v>
      </c>
      <c r="H543">
        <v>14.55</v>
      </c>
      <c r="I543">
        <v>14.4</v>
      </c>
      <c r="J543">
        <v>14.4</v>
      </c>
      <c r="K543" t="s">
        <v>1</v>
      </c>
      <c r="L543">
        <v>0.1</v>
      </c>
      <c r="M543">
        <v>14.4</v>
      </c>
      <c r="N543">
        <v>14</v>
      </c>
      <c r="O543">
        <v>14.45</v>
      </c>
      <c r="P543">
        <v>9</v>
      </c>
      <c r="Q543">
        <v>13.33</v>
      </c>
    </row>
    <row r="544" spans="2:17">
      <c r="B544">
        <v>1626</v>
      </c>
      <c r="C544" t="s">
        <v>1850</v>
      </c>
      <c r="D544" s="3">
        <v>596160</v>
      </c>
      <c r="E544">
        <v>336</v>
      </c>
      <c r="F544" s="3">
        <v>12895173</v>
      </c>
      <c r="G544">
        <v>20.7</v>
      </c>
      <c r="H544">
        <v>22.3</v>
      </c>
      <c r="I544">
        <v>20.6</v>
      </c>
      <c r="J544">
        <v>22.3</v>
      </c>
      <c r="K544" t="s">
        <v>1362</v>
      </c>
      <c r="L544">
        <v>2</v>
      </c>
      <c r="M544">
        <v>22.3</v>
      </c>
      <c r="N544" s="3">
        <v>2330</v>
      </c>
      <c r="O544" t="s">
        <v>1391</v>
      </c>
      <c r="P544">
        <v>0</v>
      </c>
      <c r="Q544">
        <v>0</v>
      </c>
    </row>
    <row r="545" spans="2:17">
      <c r="B545">
        <v>1701</v>
      </c>
      <c r="C545" t="s">
        <v>1851</v>
      </c>
      <c r="D545" s="3">
        <v>187439</v>
      </c>
      <c r="E545">
        <v>128</v>
      </c>
      <c r="F545" s="3">
        <v>4223274</v>
      </c>
      <c r="G545">
        <v>22.65</v>
      </c>
      <c r="H545">
        <v>22.65</v>
      </c>
      <c r="I545">
        <v>22.5</v>
      </c>
      <c r="J545">
        <v>22.6</v>
      </c>
      <c r="K545" t="s">
        <v>1328</v>
      </c>
      <c r="L545">
        <v>0</v>
      </c>
      <c r="M545">
        <v>22.55</v>
      </c>
      <c r="N545">
        <v>25</v>
      </c>
      <c r="O545">
        <v>22.6</v>
      </c>
      <c r="P545">
        <v>17</v>
      </c>
      <c r="Q545">
        <v>14.68</v>
      </c>
    </row>
    <row r="546" spans="2:17">
      <c r="B546">
        <v>1702</v>
      </c>
      <c r="C546" t="s">
        <v>1852</v>
      </c>
      <c r="D546" s="3">
        <v>983992</v>
      </c>
      <c r="E546">
        <v>837</v>
      </c>
      <c r="F546" s="3">
        <v>49414378</v>
      </c>
      <c r="G546">
        <v>50.3</v>
      </c>
      <c r="H546">
        <v>50.7</v>
      </c>
      <c r="I546">
        <v>50</v>
      </c>
      <c r="J546">
        <v>50.1</v>
      </c>
      <c r="K546" t="s">
        <v>1362</v>
      </c>
      <c r="L546">
        <v>0.35</v>
      </c>
      <c r="M546">
        <v>50.1</v>
      </c>
      <c r="N546">
        <v>38</v>
      </c>
      <c r="O546">
        <v>50.2</v>
      </c>
      <c r="P546">
        <v>21</v>
      </c>
      <c r="Q546">
        <v>11.26</v>
      </c>
    </row>
    <row r="547" spans="2:17">
      <c r="B547">
        <v>1707</v>
      </c>
      <c r="C547" t="s">
        <v>1853</v>
      </c>
      <c r="D547" s="3">
        <v>104796</v>
      </c>
      <c r="E547">
        <v>162</v>
      </c>
      <c r="F547" s="3">
        <v>16795233</v>
      </c>
      <c r="G547">
        <v>160</v>
      </c>
      <c r="H547">
        <v>161</v>
      </c>
      <c r="I547">
        <v>160</v>
      </c>
      <c r="J547">
        <v>161</v>
      </c>
      <c r="K547" t="s">
        <v>1362</v>
      </c>
      <c r="L547">
        <v>1</v>
      </c>
      <c r="M547">
        <v>160.5</v>
      </c>
      <c r="N547">
        <v>6</v>
      </c>
      <c r="O547">
        <v>161</v>
      </c>
      <c r="P547">
        <v>21</v>
      </c>
      <c r="Q547">
        <v>18.61</v>
      </c>
    </row>
    <row r="548" spans="2:17">
      <c r="B548">
        <v>1708</v>
      </c>
      <c r="C548" t="s">
        <v>1854</v>
      </c>
      <c r="D548" s="3">
        <v>1602663</v>
      </c>
      <c r="E548">
        <v>949</v>
      </c>
      <c r="F548" s="3">
        <v>53483478</v>
      </c>
      <c r="G548">
        <v>33.049999999999997</v>
      </c>
      <c r="H548">
        <v>33.6</v>
      </c>
      <c r="I548">
        <v>33.049999999999997</v>
      </c>
      <c r="J548">
        <v>33.35</v>
      </c>
      <c r="K548" t="s">
        <v>1362</v>
      </c>
      <c r="L548">
        <v>0.3</v>
      </c>
      <c r="M548">
        <v>33.35</v>
      </c>
      <c r="N548">
        <v>25</v>
      </c>
      <c r="O548">
        <v>33.4</v>
      </c>
      <c r="P548">
        <v>4</v>
      </c>
      <c r="Q548">
        <v>20.59</v>
      </c>
    </row>
    <row r="549" spans="2:17">
      <c r="B549">
        <v>1709</v>
      </c>
      <c r="C549" t="s">
        <v>1855</v>
      </c>
      <c r="D549" s="3">
        <v>6124943</v>
      </c>
      <c r="E549" s="3">
        <v>2571</v>
      </c>
      <c r="F549" s="3">
        <v>140359949</v>
      </c>
      <c r="G549">
        <v>22.55</v>
      </c>
      <c r="H549">
        <v>23.15</v>
      </c>
      <c r="I549">
        <v>22.5</v>
      </c>
      <c r="J549">
        <v>22.95</v>
      </c>
      <c r="K549" t="s">
        <v>1362</v>
      </c>
      <c r="L549">
        <v>0.5</v>
      </c>
      <c r="M549">
        <v>22.95</v>
      </c>
      <c r="N549">
        <v>39</v>
      </c>
      <c r="O549">
        <v>23</v>
      </c>
      <c r="P549">
        <v>138</v>
      </c>
      <c r="Q549">
        <v>11.36</v>
      </c>
    </row>
    <row r="550" spans="2:17">
      <c r="B550">
        <v>1710</v>
      </c>
      <c r="C550" t="s">
        <v>1856</v>
      </c>
      <c r="D550" s="3">
        <v>3355179</v>
      </c>
      <c r="E550" s="3">
        <v>1509</v>
      </c>
      <c r="F550" s="3">
        <v>74804950</v>
      </c>
      <c r="G550">
        <v>22.55</v>
      </c>
      <c r="H550">
        <v>22.6</v>
      </c>
      <c r="I550">
        <v>22.15</v>
      </c>
      <c r="J550">
        <v>22.2</v>
      </c>
      <c r="K550" t="s">
        <v>1</v>
      </c>
      <c r="L550">
        <v>0.3</v>
      </c>
      <c r="M550">
        <v>22.15</v>
      </c>
      <c r="N550">
        <v>96</v>
      </c>
      <c r="O550">
        <v>22.2</v>
      </c>
      <c r="P550">
        <v>39</v>
      </c>
      <c r="Q550">
        <v>54.15</v>
      </c>
    </row>
    <row r="551" spans="2:17">
      <c r="B551">
        <v>1711</v>
      </c>
      <c r="C551" t="s">
        <v>9</v>
      </c>
      <c r="D551" s="3">
        <v>15954583</v>
      </c>
      <c r="E551" s="3">
        <v>7131</v>
      </c>
      <c r="F551" s="3">
        <v>427136693</v>
      </c>
      <c r="G551">
        <v>26.35</v>
      </c>
      <c r="H551">
        <v>27.15</v>
      </c>
      <c r="I551">
        <v>26.3</v>
      </c>
      <c r="J551">
        <v>26.45</v>
      </c>
      <c r="K551" t="s">
        <v>1362</v>
      </c>
      <c r="L551">
        <v>0.35</v>
      </c>
      <c r="M551">
        <v>26.45</v>
      </c>
      <c r="N551">
        <v>35</v>
      </c>
      <c r="O551">
        <v>26.5</v>
      </c>
      <c r="P551">
        <v>24</v>
      </c>
      <c r="Q551">
        <v>30.06</v>
      </c>
    </row>
    <row r="552" spans="2:17">
      <c r="B552">
        <v>1712</v>
      </c>
      <c r="C552" t="s">
        <v>1857</v>
      </c>
      <c r="D552" s="3">
        <v>3823691</v>
      </c>
      <c r="E552" s="3">
        <v>1839</v>
      </c>
      <c r="F552" s="3">
        <v>108103804</v>
      </c>
      <c r="G552">
        <v>28.85</v>
      </c>
      <c r="H552">
        <v>28.9</v>
      </c>
      <c r="I552">
        <v>27.85</v>
      </c>
      <c r="J552">
        <v>28.25</v>
      </c>
      <c r="K552" t="s">
        <v>1362</v>
      </c>
      <c r="L552">
        <v>0.95</v>
      </c>
      <c r="M552">
        <v>28.25</v>
      </c>
      <c r="N552">
        <v>45</v>
      </c>
      <c r="O552">
        <v>28.3</v>
      </c>
      <c r="P552">
        <v>54</v>
      </c>
      <c r="Q552">
        <v>13.99</v>
      </c>
    </row>
    <row r="553" spans="2:17">
      <c r="B553">
        <v>1713</v>
      </c>
      <c r="C553" t="s">
        <v>1858</v>
      </c>
      <c r="D553" s="3">
        <v>49071</v>
      </c>
      <c r="E553">
        <v>48</v>
      </c>
      <c r="F553" s="3">
        <v>1217310</v>
      </c>
      <c r="G553">
        <v>25.2</v>
      </c>
      <c r="H553">
        <v>25.2</v>
      </c>
      <c r="I553">
        <v>24.7</v>
      </c>
      <c r="J553">
        <v>24.75</v>
      </c>
      <c r="K553" t="s">
        <v>1328</v>
      </c>
      <c r="L553">
        <v>0</v>
      </c>
      <c r="M553">
        <v>24.7</v>
      </c>
      <c r="N553">
        <v>5</v>
      </c>
      <c r="O553">
        <v>24.75</v>
      </c>
      <c r="P553">
        <v>4</v>
      </c>
      <c r="Q553">
        <v>22.1</v>
      </c>
    </row>
    <row r="554" spans="2:17">
      <c r="B554">
        <v>1714</v>
      </c>
      <c r="C554" t="s">
        <v>1859</v>
      </c>
      <c r="D554" s="3">
        <v>2963442</v>
      </c>
      <c r="E554">
        <v>883</v>
      </c>
      <c r="F554" s="3">
        <v>32579920</v>
      </c>
      <c r="G554">
        <v>10.95</v>
      </c>
      <c r="H554">
        <v>11.1</v>
      </c>
      <c r="I554">
        <v>10.95</v>
      </c>
      <c r="J554">
        <v>10.95</v>
      </c>
      <c r="K554" t="s">
        <v>1328</v>
      </c>
      <c r="L554">
        <v>0</v>
      </c>
      <c r="M554">
        <v>10.95</v>
      </c>
      <c r="N554">
        <v>139</v>
      </c>
      <c r="O554">
        <v>11</v>
      </c>
      <c r="P554">
        <v>100</v>
      </c>
      <c r="Q554">
        <v>21.06</v>
      </c>
    </row>
    <row r="555" spans="2:17">
      <c r="B555">
        <v>1717</v>
      </c>
      <c r="C555" t="s">
        <v>1860</v>
      </c>
      <c r="D555" s="3">
        <v>2977129</v>
      </c>
      <c r="E555" s="3">
        <v>1592</v>
      </c>
      <c r="F555" s="3">
        <v>111130101</v>
      </c>
      <c r="G555">
        <v>37.299999999999997</v>
      </c>
      <c r="H555">
        <v>37.5</v>
      </c>
      <c r="I555">
        <v>37.1</v>
      </c>
      <c r="J555">
        <v>37.35</v>
      </c>
      <c r="K555" t="s">
        <v>1362</v>
      </c>
      <c r="L555">
        <v>0.1</v>
      </c>
      <c r="M555">
        <v>37.35</v>
      </c>
      <c r="N555">
        <v>25</v>
      </c>
      <c r="O555">
        <v>37.4</v>
      </c>
      <c r="P555">
        <v>11</v>
      </c>
      <c r="Q555">
        <v>12.62</v>
      </c>
    </row>
    <row r="556" spans="2:17">
      <c r="B556">
        <v>1718</v>
      </c>
      <c r="C556" t="s">
        <v>1861</v>
      </c>
      <c r="D556" s="3">
        <v>4487237</v>
      </c>
      <c r="E556" s="3">
        <v>1201</v>
      </c>
      <c r="F556" s="3">
        <v>45245572</v>
      </c>
      <c r="G556">
        <v>10.15</v>
      </c>
      <c r="H556">
        <v>10.199999999999999</v>
      </c>
      <c r="I556">
        <v>10.050000000000001</v>
      </c>
      <c r="J556">
        <v>10.050000000000001</v>
      </c>
      <c r="K556" t="s">
        <v>1</v>
      </c>
      <c r="L556">
        <v>0.05</v>
      </c>
      <c r="M556">
        <v>10.050000000000001</v>
      </c>
      <c r="N556">
        <v>265</v>
      </c>
      <c r="O556">
        <v>10.1</v>
      </c>
      <c r="P556">
        <v>739</v>
      </c>
      <c r="Q556">
        <v>0</v>
      </c>
    </row>
    <row r="557" spans="2:17">
      <c r="B557">
        <v>1720</v>
      </c>
      <c r="C557" t="s">
        <v>1862</v>
      </c>
      <c r="D557" s="3">
        <v>1063910</v>
      </c>
      <c r="E557">
        <v>652</v>
      </c>
      <c r="F557" s="3">
        <v>45749052</v>
      </c>
      <c r="G557">
        <v>42.45</v>
      </c>
      <c r="H557">
        <v>43.4</v>
      </c>
      <c r="I557">
        <v>42.35</v>
      </c>
      <c r="J557">
        <v>43.15</v>
      </c>
      <c r="K557" t="s">
        <v>1362</v>
      </c>
      <c r="L557">
        <v>0.85</v>
      </c>
      <c r="M557">
        <v>43.1</v>
      </c>
      <c r="N557">
        <v>2</v>
      </c>
      <c r="O557">
        <v>43.15</v>
      </c>
      <c r="P557">
        <v>7</v>
      </c>
      <c r="Q557">
        <v>11.12</v>
      </c>
    </row>
    <row r="558" spans="2:17">
      <c r="B558">
        <v>1721</v>
      </c>
      <c r="C558" t="s">
        <v>1863</v>
      </c>
      <c r="D558" s="3">
        <v>47079861</v>
      </c>
      <c r="E558" s="3">
        <v>21076</v>
      </c>
      <c r="F558" s="3">
        <v>1378205892</v>
      </c>
      <c r="G558">
        <v>28.25</v>
      </c>
      <c r="H558">
        <v>30.55</v>
      </c>
      <c r="I558">
        <v>28.1</v>
      </c>
      <c r="J558">
        <v>28.1</v>
      </c>
      <c r="K558" t="s">
        <v>1</v>
      </c>
      <c r="L558">
        <v>0.1</v>
      </c>
      <c r="M558">
        <v>28.1</v>
      </c>
      <c r="N558">
        <v>74</v>
      </c>
      <c r="O558">
        <v>28.15</v>
      </c>
      <c r="P558">
        <v>8</v>
      </c>
      <c r="Q558">
        <v>0</v>
      </c>
    </row>
    <row r="559" spans="2:17">
      <c r="B559">
        <v>1722</v>
      </c>
      <c r="C559" t="s">
        <v>1864</v>
      </c>
      <c r="D559" s="3">
        <v>1548905</v>
      </c>
      <c r="E559" s="3">
        <v>1139</v>
      </c>
      <c r="F559" s="3">
        <v>106435014</v>
      </c>
      <c r="G559">
        <v>68.900000000000006</v>
      </c>
      <c r="H559">
        <v>69.099999999999994</v>
      </c>
      <c r="I559">
        <v>68.400000000000006</v>
      </c>
      <c r="J559">
        <v>68.900000000000006</v>
      </c>
      <c r="K559" t="s">
        <v>1328</v>
      </c>
      <c r="L559">
        <v>0</v>
      </c>
      <c r="M559">
        <v>68.900000000000006</v>
      </c>
      <c r="N559">
        <v>25</v>
      </c>
      <c r="O559">
        <v>69</v>
      </c>
      <c r="P559">
        <v>71</v>
      </c>
      <c r="Q559">
        <v>25.42</v>
      </c>
    </row>
    <row r="560" spans="2:17">
      <c r="B560">
        <v>1723</v>
      </c>
      <c r="C560" t="s">
        <v>1865</v>
      </c>
      <c r="D560" s="3">
        <v>623066</v>
      </c>
      <c r="E560">
        <v>369</v>
      </c>
      <c r="F560" s="3">
        <v>71122520</v>
      </c>
      <c r="G560">
        <v>118.5</v>
      </c>
      <c r="H560">
        <v>118.5</v>
      </c>
      <c r="I560">
        <v>117.5</v>
      </c>
      <c r="J560">
        <v>118.5</v>
      </c>
      <c r="K560" t="s">
        <v>1362</v>
      </c>
      <c r="L560">
        <v>1</v>
      </c>
      <c r="M560">
        <v>118</v>
      </c>
      <c r="N560">
        <v>21</v>
      </c>
      <c r="O560">
        <v>118.5</v>
      </c>
      <c r="P560">
        <v>121</v>
      </c>
      <c r="Q560">
        <v>25.87</v>
      </c>
    </row>
    <row r="561" spans="2:17">
      <c r="B561">
        <v>1725</v>
      </c>
      <c r="C561" t="s">
        <v>1866</v>
      </c>
      <c r="D561" s="3">
        <v>917400</v>
      </c>
      <c r="E561">
        <v>677</v>
      </c>
      <c r="F561" s="3">
        <v>31929885</v>
      </c>
      <c r="G561">
        <v>33.5</v>
      </c>
      <c r="H561">
        <v>35.5</v>
      </c>
      <c r="I561">
        <v>33.5</v>
      </c>
      <c r="J561">
        <v>34.5</v>
      </c>
      <c r="K561" t="s">
        <v>1362</v>
      </c>
      <c r="L561">
        <v>1.25</v>
      </c>
      <c r="M561">
        <v>34.5</v>
      </c>
      <c r="N561">
        <v>9</v>
      </c>
      <c r="O561">
        <v>34.6</v>
      </c>
      <c r="P561">
        <v>1</v>
      </c>
      <c r="Q561">
        <v>18.059999999999999</v>
      </c>
    </row>
    <row r="562" spans="2:17">
      <c r="B562">
        <v>1726</v>
      </c>
      <c r="C562" t="s">
        <v>1867</v>
      </c>
      <c r="D562" s="3">
        <v>27156</v>
      </c>
      <c r="E562">
        <v>30</v>
      </c>
      <c r="F562" s="3">
        <v>2003159</v>
      </c>
      <c r="G562">
        <v>73.8</v>
      </c>
      <c r="H562">
        <v>73.900000000000006</v>
      </c>
      <c r="I562">
        <v>73.599999999999994</v>
      </c>
      <c r="J562">
        <v>73.7</v>
      </c>
      <c r="K562" t="s">
        <v>1328</v>
      </c>
      <c r="L562">
        <v>0</v>
      </c>
      <c r="M562">
        <v>73.599999999999994</v>
      </c>
      <c r="N562">
        <v>2</v>
      </c>
      <c r="O562">
        <v>73.900000000000006</v>
      </c>
      <c r="P562">
        <v>3</v>
      </c>
      <c r="Q562">
        <v>12.75</v>
      </c>
    </row>
    <row r="563" spans="2:17">
      <c r="B563">
        <v>1727</v>
      </c>
      <c r="C563" t="s">
        <v>1868</v>
      </c>
      <c r="D563" s="3">
        <v>15115830</v>
      </c>
      <c r="E563" s="3">
        <v>8287</v>
      </c>
      <c r="F563" s="3">
        <v>768540697</v>
      </c>
      <c r="G563">
        <v>49</v>
      </c>
      <c r="H563">
        <v>52.4</v>
      </c>
      <c r="I563">
        <v>48.95</v>
      </c>
      <c r="J563">
        <v>49.2</v>
      </c>
      <c r="K563" t="s">
        <v>1362</v>
      </c>
      <c r="L563">
        <v>0.35</v>
      </c>
      <c r="M563">
        <v>49.2</v>
      </c>
      <c r="N563">
        <v>7</v>
      </c>
      <c r="O563">
        <v>49.3</v>
      </c>
      <c r="P563">
        <v>1</v>
      </c>
      <c r="Q563">
        <v>33.700000000000003</v>
      </c>
    </row>
    <row r="564" spans="2:17">
      <c r="B564">
        <v>1730</v>
      </c>
      <c r="C564" t="s">
        <v>1869</v>
      </c>
      <c r="D564" s="3">
        <v>25339</v>
      </c>
      <c r="E564">
        <v>37</v>
      </c>
      <c r="F564" s="3">
        <v>1603526</v>
      </c>
      <c r="G564">
        <v>63.2</v>
      </c>
      <c r="H564">
        <v>63.4</v>
      </c>
      <c r="I564">
        <v>63.2</v>
      </c>
      <c r="J564">
        <v>63.3</v>
      </c>
      <c r="K564" t="s">
        <v>1362</v>
      </c>
      <c r="L564">
        <v>0.1</v>
      </c>
      <c r="M564">
        <v>63.2</v>
      </c>
      <c r="N564">
        <v>2</v>
      </c>
      <c r="O564">
        <v>63.3</v>
      </c>
      <c r="P564">
        <v>1</v>
      </c>
      <c r="Q564">
        <v>16.23</v>
      </c>
    </row>
    <row r="565" spans="2:17">
      <c r="B565">
        <v>1731</v>
      </c>
      <c r="C565" t="s">
        <v>1870</v>
      </c>
      <c r="D565" s="3">
        <v>76732</v>
      </c>
      <c r="E565">
        <v>61</v>
      </c>
      <c r="F565" s="3">
        <v>1489740</v>
      </c>
      <c r="G565">
        <v>19.5</v>
      </c>
      <c r="H565">
        <v>19.5</v>
      </c>
      <c r="I565">
        <v>19.399999999999999</v>
      </c>
      <c r="J565">
        <v>19.45</v>
      </c>
      <c r="K565" t="s">
        <v>1362</v>
      </c>
      <c r="L565">
        <v>0.05</v>
      </c>
      <c r="M565">
        <v>19.399999999999999</v>
      </c>
      <c r="N565">
        <v>8</v>
      </c>
      <c r="O565">
        <v>19.45</v>
      </c>
      <c r="P565">
        <v>14</v>
      </c>
      <c r="Q565">
        <v>15.81</v>
      </c>
    </row>
    <row r="566" spans="2:17">
      <c r="B566">
        <v>1732</v>
      </c>
      <c r="C566" t="s">
        <v>1871</v>
      </c>
      <c r="D566" s="3">
        <v>1410740</v>
      </c>
      <c r="E566" s="3">
        <v>1208</v>
      </c>
      <c r="F566" s="3">
        <v>45994205</v>
      </c>
      <c r="G566">
        <v>33</v>
      </c>
      <c r="H566">
        <v>33</v>
      </c>
      <c r="I566">
        <v>32.25</v>
      </c>
      <c r="J566">
        <v>32.450000000000003</v>
      </c>
      <c r="K566" t="s">
        <v>1</v>
      </c>
      <c r="L566">
        <v>0.9</v>
      </c>
      <c r="M566">
        <v>32.450000000000003</v>
      </c>
      <c r="N566">
        <v>15</v>
      </c>
      <c r="O566">
        <v>32.5</v>
      </c>
      <c r="P566">
        <v>14</v>
      </c>
      <c r="Q566">
        <v>46.36</v>
      </c>
    </row>
    <row r="567" spans="2:17">
      <c r="B567">
        <v>1733</v>
      </c>
      <c r="C567" t="s">
        <v>1872</v>
      </c>
      <c r="D567" s="3">
        <v>281540</v>
      </c>
      <c r="E567">
        <v>189</v>
      </c>
      <c r="F567" s="3">
        <v>7165555</v>
      </c>
      <c r="G567">
        <v>25.45</v>
      </c>
      <c r="H567">
        <v>25.55</v>
      </c>
      <c r="I567">
        <v>25.35</v>
      </c>
      <c r="J567">
        <v>25.45</v>
      </c>
      <c r="K567" t="s">
        <v>1362</v>
      </c>
      <c r="L567">
        <v>0.05</v>
      </c>
      <c r="M567">
        <v>25.45</v>
      </c>
      <c r="N567">
        <v>2</v>
      </c>
      <c r="O567">
        <v>25.5</v>
      </c>
      <c r="P567">
        <v>23</v>
      </c>
      <c r="Q567">
        <v>16.53</v>
      </c>
    </row>
    <row r="568" spans="2:17">
      <c r="B568">
        <v>1734</v>
      </c>
      <c r="C568" t="s">
        <v>1873</v>
      </c>
      <c r="D568" s="3">
        <v>598325</v>
      </c>
      <c r="E568">
        <v>382</v>
      </c>
      <c r="F568" s="3">
        <v>17169042</v>
      </c>
      <c r="G568">
        <v>28.75</v>
      </c>
      <c r="H568">
        <v>28.8</v>
      </c>
      <c r="I568">
        <v>28.6</v>
      </c>
      <c r="J568">
        <v>28.75</v>
      </c>
      <c r="K568" t="s">
        <v>1328</v>
      </c>
      <c r="L568">
        <v>0</v>
      </c>
      <c r="M568">
        <v>28.75</v>
      </c>
      <c r="N568">
        <v>10</v>
      </c>
      <c r="O568">
        <v>28.8</v>
      </c>
      <c r="P568">
        <v>27</v>
      </c>
      <c r="Q568">
        <v>0</v>
      </c>
    </row>
    <row r="569" spans="2:17">
      <c r="B569">
        <v>1735</v>
      </c>
      <c r="C569" t="s">
        <v>1874</v>
      </c>
      <c r="D569" s="3">
        <v>2294</v>
      </c>
      <c r="E569">
        <v>4</v>
      </c>
      <c r="F569" s="3">
        <v>42221</v>
      </c>
      <c r="G569">
        <v>18.399999999999999</v>
      </c>
      <c r="H569">
        <v>18.5</v>
      </c>
      <c r="I569">
        <v>18.399999999999999</v>
      </c>
      <c r="J569">
        <v>18.5</v>
      </c>
      <c r="K569" t="s">
        <v>1328</v>
      </c>
      <c r="L569">
        <v>0</v>
      </c>
      <c r="M569">
        <v>18.399999999999999</v>
      </c>
      <c r="N569">
        <v>1</v>
      </c>
      <c r="O569">
        <v>18.55</v>
      </c>
      <c r="P569">
        <v>7</v>
      </c>
      <c r="Q569">
        <v>29.84</v>
      </c>
    </row>
    <row r="570" spans="2:17">
      <c r="B570">
        <v>1736</v>
      </c>
      <c r="C570" t="s">
        <v>1875</v>
      </c>
      <c r="D570" s="3">
        <v>113771</v>
      </c>
      <c r="E570">
        <v>129</v>
      </c>
      <c r="F570" s="3">
        <v>6478143</v>
      </c>
      <c r="G570">
        <v>57.1</v>
      </c>
      <c r="H570">
        <v>57.2</v>
      </c>
      <c r="I570">
        <v>56.6</v>
      </c>
      <c r="J570">
        <v>57</v>
      </c>
      <c r="K570" t="s">
        <v>1</v>
      </c>
      <c r="L570">
        <v>0.1</v>
      </c>
      <c r="M570">
        <v>56.9</v>
      </c>
      <c r="N570">
        <v>3</v>
      </c>
      <c r="O570">
        <v>57</v>
      </c>
      <c r="P570">
        <v>1</v>
      </c>
      <c r="Q570">
        <v>335.29</v>
      </c>
    </row>
    <row r="571" spans="2:17">
      <c r="B571">
        <v>1737</v>
      </c>
      <c r="C571" t="s">
        <v>1876</v>
      </c>
      <c r="D571" s="3">
        <v>490612</v>
      </c>
      <c r="E571">
        <v>326</v>
      </c>
      <c r="F571" s="3">
        <v>16314003</v>
      </c>
      <c r="G571">
        <v>33.200000000000003</v>
      </c>
      <c r="H571">
        <v>33.4</v>
      </c>
      <c r="I571">
        <v>33.1</v>
      </c>
      <c r="J571">
        <v>33.4</v>
      </c>
      <c r="K571" t="s">
        <v>1362</v>
      </c>
      <c r="L571">
        <v>0.3</v>
      </c>
      <c r="M571">
        <v>33.35</v>
      </c>
      <c r="N571">
        <v>1</v>
      </c>
      <c r="O571">
        <v>33.4</v>
      </c>
      <c r="P571">
        <v>14</v>
      </c>
      <c r="Q571">
        <v>15.46</v>
      </c>
    </row>
    <row r="572" spans="2:17">
      <c r="B572">
        <v>1760</v>
      </c>
      <c r="C572" t="s">
        <v>1877</v>
      </c>
      <c r="D572" s="3">
        <v>1924613</v>
      </c>
      <c r="E572" s="3">
        <v>1469</v>
      </c>
      <c r="F572" s="3">
        <v>140540315</v>
      </c>
      <c r="G572">
        <v>71.8</v>
      </c>
      <c r="H572">
        <v>74.2</v>
      </c>
      <c r="I572">
        <v>71.099999999999994</v>
      </c>
      <c r="J572">
        <v>73.5</v>
      </c>
      <c r="K572" t="s">
        <v>1362</v>
      </c>
      <c r="L572">
        <v>2.2000000000000002</v>
      </c>
      <c r="M572">
        <v>73.400000000000006</v>
      </c>
      <c r="N572">
        <v>34</v>
      </c>
      <c r="O572">
        <v>73.5</v>
      </c>
      <c r="P572">
        <v>33</v>
      </c>
      <c r="Q572">
        <v>42.73</v>
      </c>
    </row>
    <row r="573" spans="2:17">
      <c r="B573">
        <v>1762</v>
      </c>
      <c r="C573" t="s">
        <v>1878</v>
      </c>
      <c r="D573" s="3">
        <v>330391</v>
      </c>
      <c r="E573">
        <v>242</v>
      </c>
      <c r="F573" s="3">
        <v>21282710</v>
      </c>
      <c r="G573">
        <v>64.3</v>
      </c>
      <c r="H573">
        <v>65.3</v>
      </c>
      <c r="I573">
        <v>64</v>
      </c>
      <c r="J573">
        <v>64.400000000000006</v>
      </c>
      <c r="K573" t="s">
        <v>1362</v>
      </c>
      <c r="L573">
        <v>0.4</v>
      </c>
      <c r="M573">
        <v>64.3</v>
      </c>
      <c r="N573">
        <v>6</v>
      </c>
      <c r="O573">
        <v>64.5</v>
      </c>
      <c r="P573">
        <v>3</v>
      </c>
      <c r="Q573">
        <v>12.24</v>
      </c>
    </row>
    <row r="574" spans="2:17">
      <c r="B574">
        <v>1773</v>
      </c>
      <c r="C574" t="s">
        <v>1879</v>
      </c>
      <c r="D574" s="3">
        <v>7252496</v>
      </c>
      <c r="E574" s="3">
        <v>6677</v>
      </c>
      <c r="F574" s="3">
        <v>1167287139</v>
      </c>
      <c r="G574">
        <v>153.5</v>
      </c>
      <c r="H574">
        <v>165.5</v>
      </c>
      <c r="I574">
        <v>153</v>
      </c>
      <c r="J574">
        <v>162.5</v>
      </c>
      <c r="K574" t="s">
        <v>1362</v>
      </c>
      <c r="L574">
        <v>10.5</v>
      </c>
      <c r="M574">
        <v>162.5</v>
      </c>
      <c r="N574">
        <v>23</v>
      </c>
      <c r="O574">
        <v>163</v>
      </c>
      <c r="P574">
        <v>27</v>
      </c>
      <c r="Q574">
        <v>21.27</v>
      </c>
    </row>
    <row r="575" spans="2:17">
      <c r="B575">
        <v>1776</v>
      </c>
      <c r="C575" t="s">
        <v>1880</v>
      </c>
      <c r="D575" s="3">
        <v>62424</v>
      </c>
      <c r="E575">
        <v>46</v>
      </c>
      <c r="F575" s="3">
        <v>1329482</v>
      </c>
      <c r="G575">
        <v>21.55</v>
      </c>
      <c r="H575">
        <v>21.55</v>
      </c>
      <c r="I575">
        <v>21.1</v>
      </c>
      <c r="J575">
        <v>21.2</v>
      </c>
      <c r="K575" t="s">
        <v>1</v>
      </c>
      <c r="L575">
        <v>0.2</v>
      </c>
      <c r="M575">
        <v>21.15</v>
      </c>
      <c r="N575">
        <v>2</v>
      </c>
      <c r="O575">
        <v>21.2</v>
      </c>
      <c r="P575">
        <v>5</v>
      </c>
      <c r="Q575">
        <v>8.58</v>
      </c>
    </row>
    <row r="576" spans="2:17">
      <c r="B576">
        <v>1783</v>
      </c>
      <c r="C576" t="s">
        <v>1881</v>
      </c>
      <c r="D576" s="3">
        <v>223056</v>
      </c>
      <c r="E576">
        <v>167</v>
      </c>
      <c r="F576" s="3">
        <v>11397694</v>
      </c>
      <c r="G576">
        <v>51.7</v>
      </c>
      <c r="H576">
        <v>51.7</v>
      </c>
      <c r="I576">
        <v>50.8</v>
      </c>
      <c r="J576">
        <v>51.2</v>
      </c>
      <c r="K576" t="s">
        <v>1</v>
      </c>
      <c r="L576">
        <v>0.3</v>
      </c>
      <c r="M576">
        <v>51.2</v>
      </c>
      <c r="N576">
        <v>24</v>
      </c>
      <c r="O576">
        <v>51.3</v>
      </c>
      <c r="P576">
        <v>2</v>
      </c>
      <c r="Q576">
        <v>41.97</v>
      </c>
    </row>
    <row r="577" spans="2:17">
      <c r="B577">
        <v>1786</v>
      </c>
      <c r="C577" t="s">
        <v>1882</v>
      </c>
      <c r="D577" s="3">
        <v>12179</v>
      </c>
      <c r="E577">
        <v>26</v>
      </c>
      <c r="F577" s="3">
        <v>605108</v>
      </c>
      <c r="G577">
        <v>49.8</v>
      </c>
      <c r="H577">
        <v>49.8</v>
      </c>
      <c r="I577">
        <v>49.6</v>
      </c>
      <c r="J577">
        <v>49.75</v>
      </c>
      <c r="K577" t="s">
        <v>1362</v>
      </c>
      <c r="L577">
        <v>0.15</v>
      </c>
      <c r="M577">
        <v>49.6</v>
      </c>
      <c r="N577">
        <v>1</v>
      </c>
      <c r="O577">
        <v>49.7</v>
      </c>
      <c r="P577">
        <v>1</v>
      </c>
      <c r="Q577">
        <v>27.19</v>
      </c>
    </row>
    <row r="578" spans="2:17">
      <c r="B578">
        <v>1789</v>
      </c>
      <c r="C578" t="s">
        <v>1883</v>
      </c>
      <c r="D578" s="3">
        <v>474953</v>
      </c>
      <c r="E578">
        <v>333</v>
      </c>
      <c r="F578" s="3">
        <v>11649455</v>
      </c>
      <c r="G578">
        <v>24.4</v>
      </c>
      <c r="H578">
        <v>24.7</v>
      </c>
      <c r="I578">
        <v>24.4</v>
      </c>
      <c r="J578">
        <v>24.55</v>
      </c>
      <c r="K578" t="s">
        <v>1362</v>
      </c>
      <c r="L578">
        <v>0.2</v>
      </c>
      <c r="M578">
        <v>24.55</v>
      </c>
      <c r="N578">
        <v>16</v>
      </c>
      <c r="O578">
        <v>24.6</v>
      </c>
      <c r="P578">
        <v>14</v>
      </c>
      <c r="Q578">
        <v>98.2</v>
      </c>
    </row>
    <row r="579" spans="2:17">
      <c r="B579">
        <v>1795</v>
      </c>
      <c r="C579" t="s">
        <v>1884</v>
      </c>
      <c r="D579" s="3">
        <v>1251534</v>
      </c>
      <c r="E579">
        <v>911</v>
      </c>
      <c r="F579" s="3">
        <v>121183464</v>
      </c>
      <c r="G579">
        <v>96.5</v>
      </c>
      <c r="H579">
        <v>97.6</v>
      </c>
      <c r="I579">
        <v>96.2</v>
      </c>
      <c r="J579">
        <v>96.3</v>
      </c>
      <c r="K579" t="s">
        <v>1362</v>
      </c>
      <c r="L579">
        <v>0.3</v>
      </c>
      <c r="M579">
        <v>96.3</v>
      </c>
      <c r="N579">
        <v>8</v>
      </c>
      <c r="O579">
        <v>96.4</v>
      </c>
      <c r="P579">
        <v>2</v>
      </c>
      <c r="Q579">
        <v>17.2</v>
      </c>
    </row>
    <row r="580" spans="2:17">
      <c r="B580">
        <v>1802</v>
      </c>
      <c r="C580" t="s">
        <v>1885</v>
      </c>
      <c r="D580" s="3">
        <v>3754732</v>
      </c>
      <c r="E580" s="3">
        <v>1807</v>
      </c>
      <c r="F580" s="3">
        <v>100715150</v>
      </c>
      <c r="G580">
        <v>26.9</v>
      </c>
      <c r="H580">
        <v>27.05</v>
      </c>
      <c r="I580">
        <v>26.7</v>
      </c>
      <c r="J580">
        <v>26.75</v>
      </c>
      <c r="K580" t="s">
        <v>1328</v>
      </c>
      <c r="L580">
        <v>0</v>
      </c>
      <c r="M580">
        <v>26.7</v>
      </c>
      <c r="N580">
        <v>227</v>
      </c>
      <c r="O580">
        <v>26.75</v>
      </c>
      <c r="P580">
        <v>36</v>
      </c>
      <c r="Q580">
        <v>7.35</v>
      </c>
    </row>
    <row r="581" spans="2:17">
      <c r="B581">
        <v>1805</v>
      </c>
      <c r="C581" t="s">
        <v>1886</v>
      </c>
      <c r="D581" s="3">
        <v>117154</v>
      </c>
      <c r="E581">
        <v>73</v>
      </c>
      <c r="F581" s="3">
        <v>1683533</v>
      </c>
      <c r="G581">
        <v>14.25</v>
      </c>
      <c r="H581">
        <v>14.5</v>
      </c>
      <c r="I581">
        <v>14.2</v>
      </c>
      <c r="J581">
        <v>14.5</v>
      </c>
      <c r="K581" t="s">
        <v>1362</v>
      </c>
      <c r="L581">
        <v>0.3</v>
      </c>
      <c r="M581">
        <v>14.45</v>
      </c>
      <c r="N581">
        <v>2</v>
      </c>
      <c r="O581">
        <v>14.5</v>
      </c>
      <c r="P581">
        <v>5</v>
      </c>
      <c r="Q581">
        <v>0</v>
      </c>
    </row>
    <row r="582" spans="2:17">
      <c r="B582">
        <v>1806</v>
      </c>
      <c r="C582" t="s">
        <v>1887</v>
      </c>
      <c r="D582" s="3">
        <v>907014</v>
      </c>
      <c r="E582">
        <v>415</v>
      </c>
      <c r="F582" s="3">
        <v>11345002</v>
      </c>
      <c r="G582">
        <v>12.65</v>
      </c>
      <c r="H582">
        <v>12.65</v>
      </c>
      <c r="I582">
        <v>12.45</v>
      </c>
      <c r="J582">
        <v>12.45</v>
      </c>
      <c r="K582" t="s">
        <v>1</v>
      </c>
      <c r="L582">
        <v>0.1</v>
      </c>
      <c r="M582">
        <v>12.45</v>
      </c>
      <c r="N582">
        <v>103</v>
      </c>
      <c r="O582">
        <v>12.5</v>
      </c>
      <c r="P582">
        <v>11</v>
      </c>
      <c r="Q582">
        <v>5.08</v>
      </c>
    </row>
    <row r="583" spans="2:17">
      <c r="B583">
        <v>1808</v>
      </c>
      <c r="C583" t="s">
        <v>1888</v>
      </c>
      <c r="D583" s="3">
        <v>642924</v>
      </c>
      <c r="E583">
        <v>348</v>
      </c>
      <c r="F583" s="3">
        <v>35690041</v>
      </c>
      <c r="G583">
        <v>56</v>
      </c>
      <c r="H583">
        <v>56.4</v>
      </c>
      <c r="I583">
        <v>54.6</v>
      </c>
      <c r="J583">
        <v>55</v>
      </c>
      <c r="K583" t="s">
        <v>1</v>
      </c>
      <c r="L583">
        <v>0.6</v>
      </c>
      <c r="M583">
        <v>55</v>
      </c>
      <c r="N583">
        <v>10</v>
      </c>
      <c r="O583">
        <v>55.4</v>
      </c>
      <c r="P583">
        <v>1</v>
      </c>
      <c r="Q583">
        <v>17.350000000000001</v>
      </c>
    </row>
    <row r="584" spans="2:17">
      <c r="B584">
        <v>1809</v>
      </c>
      <c r="C584" t="s">
        <v>1889</v>
      </c>
      <c r="D584" s="3">
        <v>2117817</v>
      </c>
      <c r="E584" s="3">
        <v>1023</v>
      </c>
      <c r="F584" s="3">
        <v>33259303</v>
      </c>
      <c r="G584">
        <v>15.9</v>
      </c>
      <c r="H584">
        <v>16.05</v>
      </c>
      <c r="I584">
        <v>15.4</v>
      </c>
      <c r="J584">
        <v>15.95</v>
      </c>
      <c r="K584" t="s">
        <v>1362</v>
      </c>
      <c r="L584">
        <v>0.1</v>
      </c>
      <c r="M584">
        <v>15.9</v>
      </c>
      <c r="N584">
        <v>35</v>
      </c>
      <c r="O584">
        <v>15.95</v>
      </c>
      <c r="P584">
        <v>13</v>
      </c>
      <c r="Q584">
        <v>531.66999999999996</v>
      </c>
    </row>
    <row r="585" spans="2:17">
      <c r="B585">
        <v>1810</v>
      </c>
      <c r="C585" t="s">
        <v>1890</v>
      </c>
      <c r="D585" s="3">
        <v>1213208</v>
      </c>
      <c r="E585">
        <v>579</v>
      </c>
      <c r="F585" s="3">
        <v>21181116</v>
      </c>
      <c r="G585">
        <v>17.600000000000001</v>
      </c>
      <c r="H585">
        <v>17.649999999999999</v>
      </c>
      <c r="I585">
        <v>17.399999999999999</v>
      </c>
      <c r="J585">
        <v>17.399999999999999</v>
      </c>
      <c r="K585" t="s">
        <v>1</v>
      </c>
      <c r="L585">
        <v>0.05</v>
      </c>
      <c r="M585">
        <v>17.399999999999999</v>
      </c>
      <c r="N585">
        <v>98</v>
      </c>
      <c r="O585">
        <v>17.45</v>
      </c>
      <c r="P585">
        <v>19</v>
      </c>
      <c r="Q585">
        <v>5.54</v>
      </c>
    </row>
    <row r="586" spans="2:17">
      <c r="B586">
        <v>1817</v>
      </c>
      <c r="C586" t="s">
        <v>1891</v>
      </c>
      <c r="D586" s="3">
        <v>15350</v>
      </c>
      <c r="E586">
        <v>21</v>
      </c>
      <c r="F586" s="3">
        <v>566596</v>
      </c>
      <c r="G586">
        <v>36.9</v>
      </c>
      <c r="H586">
        <v>37</v>
      </c>
      <c r="I586">
        <v>36.799999999999997</v>
      </c>
      <c r="J586">
        <v>36.950000000000003</v>
      </c>
      <c r="K586" t="s">
        <v>1</v>
      </c>
      <c r="L586">
        <v>0.05</v>
      </c>
      <c r="M586">
        <v>36.85</v>
      </c>
      <c r="N586">
        <v>1</v>
      </c>
      <c r="O586">
        <v>37</v>
      </c>
      <c r="P586">
        <v>9</v>
      </c>
      <c r="Q586">
        <v>12.04</v>
      </c>
    </row>
    <row r="587" spans="2:17">
      <c r="B587">
        <v>1903</v>
      </c>
      <c r="C587" t="s">
        <v>1892</v>
      </c>
      <c r="D587" s="3">
        <v>134685</v>
      </c>
      <c r="E587">
        <v>151</v>
      </c>
      <c r="F587" s="3">
        <v>8805365</v>
      </c>
      <c r="G587">
        <v>65.8</v>
      </c>
      <c r="H587">
        <v>65.8</v>
      </c>
      <c r="I587">
        <v>65.2</v>
      </c>
      <c r="J587">
        <v>65.2</v>
      </c>
      <c r="K587" t="s">
        <v>1</v>
      </c>
      <c r="L587">
        <v>0.6</v>
      </c>
      <c r="M587">
        <v>65.2</v>
      </c>
      <c r="N587">
        <v>18</v>
      </c>
      <c r="O587">
        <v>65.400000000000006</v>
      </c>
      <c r="P587">
        <v>2</v>
      </c>
      <c r="Q587">
        <v>224.83</v>
      </c>
    </row>
    <row r="588" spans="2:17">
      <c r="B588">
        <v>1904</v>
      </c>
      <c r="C588" t="s">
        <v>1893</v>
      </c>
      <c r="D588" s="3">
        <v>3604456</v>
      </c>
      <c r="E588" s="3">
        <v>2380</v>
      </c>
      <c r="F588" s="3">
        <v>126662523</v>
      </c>
      <c r="G588">
        <v>35.65</v>
      </c>
      <c r="H588">
        <v>35.700000000000003</v>
      </c>
      <c r="I588">
        <v>34.85</v>
      </c>
      <c r="J588">
        <v>35.200000000000003</v>
      </c>
      <c r="K588" t="s">
        <v>1</v>
      </c>
      <c r="L588">
        <v>0.4</v>
      </c>
      <c r="M588">
        <v>35.15</v>
      </c>
      <c r="N588">
        <v>39</v>
      </c>
      <c r="O588">
        <v>35.200000000000003</v>
      </c>
      <c r="P588">
        <v>4</v>
      </c>
      <c r="Q588">
        <v>9.1199999999999992</v>
      </c>
    </row>
    <row r="589" spans="2:17">
      <c r="B589">
        <v>1905</v>
      </c>
      <c r="C589" t="s">
        <v>1894</v>
      </c>
      <c r="D589" s="3">
        <v>18067944</v>
      </c>
      <c r="E589" s="3">
        <v>9650</v>
      </c>
      <c r="F589" s="3">
        <v>457106485</v>
      </c>
      <c r="G589">
        <v>25.95</v>
      </c>
      <c r="H589">
        <v>25.95</v>
      </c>
      <c r="I589">
        <v>25.1</v>
      </c>
      <c r="J589">
        <v>25.25</v>
      </c>
      <c r="K589" t="s">
        <v>1</v>
      </c>
      <c r="L589">
        <v>0.95</v>
      </c>
      <c r="M589">
        <v>25.2</v>
      </c>
      <c r="N589">
        <v>174</v>
      </c>
      <c r="O589">
        <v>25.25</v>
      </c>
      <c r="P589">
        <v>110</v>
      </c>
      <c r="Q589">
        <v>40.729999999999997</v>
      </c>
    </row>
    <row r="590" spans="2:17">
      <c r="B590">
        <v>1906</v>
      </c>
      <c r="C590" t="s">
        <v>1895</v>
      </c>
      <c r="D590" s="3">
        <v>498518</v>
      </c>
      <c r="E590">
        <v>274</v>
      </c>
      <c r="F590" s="3">
        <v>10261802</v>
      </c>
      <c r="G590">
        <v>21</v>
      </c>
      <c r="H590">
        <v>21</v>
      </c>
      <c r="I590">
        <v>20.350000000000001</v>
      </c>
      <c r="J590">
        <v>20.55</v>
      </c>
      <c r="K590" t="s">
        <v>1</v>
      </c>
      <c r="L590">
        <v>0.35</v>
      </c>
      <c r="M590">
        <v>20.5</v>
      </c>
      <c r="N590">
        <v>9</v>
      </c>
      <c r="O590">
        <v>20.55</v>
      </c>
      <c r="P590">
        <v>6</v>
      </c>
      <c r="Q590">
        <v>19.760000000000002</v>
      </c>
    </row>
    <row r="591" spans="2:17">
      <c r="B591">
        <v>1907</v>
      </c>
      <c r="C591" t="s">
        <v>1896</v>
      </c>
      <c r="D591" s="3">
        <v>7817523</v>
      </c>
      <c r="E591" s="3">
        <v>4283</v>
      </c>
      <c r="F591" s="3">
        <v>280608887</v>
      </c>
      <c r="G591">
        <v>36.15</v>
      </c>
      <c r="H591">
        <v>36.4</v>
      </c>
      <c r="I591">
        <v>35.5</v>
      </c>
      <c r="J591">
        <v>36.1</v>
      </c>
      <c r="K591" t="s">
        <v>1</v>
      </c>
      <c r="L591">
        <v>0.05</v>
      </c>
      <c r="M591">
        <v>36.049999999999997</v>
      </c>
      <c r="N591">
        <v>5</v>
      </c>
      <c r="O591">
        <v>36.1</v>
      </c>
      <c r="P591">
        <v>10</v>
      </c>
      <c r="Q591">
        <v>10.62</v>
      </c>
    </row>
    <row r="592" spans="2:17">
      <c r="B592">
        <v>1909</v>
      </c>
      <c r="C592" t="s">
        <v>1897</v>
      </c>
      <c r="D592" s="3">
        <v>5380600</v>
      </c>
      <c r="E592" s="3">
        <v>2518</v>
      </c>
      <c r="F592" s="3">
        <v>131246409</v>
      </c>
      <c r="G592">
        <v>24.75</v>
      </c>
      <c r="H592">
        <v>24.75</v>
      </c>
      <c r="I592">
        <v>24.2</v>
      </c>
      <c r="J592">
        <v>24.25</v>
      </c>
      <c r="K592" t="s">
        <v>1</v>
      </c>
      <c r="L592">
        <v>0.3</v>
      </c>
      <c r="M592">
        <v>24.2</v>
      </c>
      <c r="N592">
        <v>399</v>
      </c>
      <c r="O592">
        <v>24.3</v>
      </c>
      <c r="P592">
        <v>30</v>
      </c>
      <c r="Q592">
        <v>12.83</v>
      </c>
    </row>
    <row r="593" spans="2:17">
      <c r="B593">
        <v>2002</v>
      </c>
      <c r="C593" t="s">
        <v>1898</v>
      </c>
      <c r="D593" s="3">
        <v>23449248</v>
      </c>
      <c r="E593" s="3">
        <v>7735</v>
      </c>
      <c r="F593" s="3">
        <v>823115305</v>
      </c>
      <c r="G593">
        <v>35.4</v>
      </c>
      <c r="H593">
        <v>35.450000000000003</v>
      </c>
      <c r="I593">
        <v>35.15</v>
      </c>
      <c r="J593">
        <v>35.4</v>
      </c>
      <c r="K593" t="s">
        <v>1362</v>
      </c>
      <c r="L593">
        <v>0.15</v>
      </c>
      <c r="M593">
        <v>35.4</v>
      </c>
      <c r="N593">
        <v>485</v>
      </c>
      <c r="O593">
        <v>35.450000000000003</v>
      </c>
      <c r="P593" s="3">
        <v>1441</v>
      </c>
      <c r="Q593">
        <v>10.86</v>
      </c>
    </row>
    <row r="594" spans="2:17">
      <c r="B594" t="s">
        <v>1899</v>
      </c>
      <c r="C594" t="s">
        <v>1900</v>
      </c>
      <c r="D594" s="3">
        <v>18000</v>
      </c>
      <c r="E594">
        <v>14</v>
      </c>
      <c r="F594" s="3">
        <v>933200</v>
      </c>
      <c r="G594">
        <v>51.8</v>
      </c>
      <c r="H594">
        <v>52</v>
      </c>
      <c r="I594">
        <v>51.7</v>
      </c>
      <c r="J594">
        <v>52</v>
      </c>
      <c r="K594" t="s">
        <v>1362</v>
      </c>
      <c r="L594">
        <v>0.2</v>
      </c>
      <c r="M594">
        <v>51.7</v>
      </c>
      <c r="N594">
        <v>1</v>
      </c>
      <c r="O594">
        <v>51.8</v>
      </c>
      <c r="P594">
        <v>3</v>
      </c>
      <c r="Q594">
        <v>0</v>
      </c>
    </row>
    <row r="595" spans="2:17">
      <c r="B595">
        <v>2006</v>
      </c>
      <c r="C595" t="s">
        <v>1901</v>
      </c>
      <c r="D595" s="3">
        <v>2216538</v>
      </c>
      <c r="E595" s="3">
        <v>7082</v>
      </c>
      <c r="F595" s="3">
        <v>149099127</v>
      </c>
      <c r="G595">
        <v>67.8</v>
      </c>
      <c r="H595">
        <v>67.8</v>
      </c>
      <c r="I595">
        <v>66.7</v>
      </c>
      <c r="J595">
        <v>67.3</v>
      </c>
      <c r="K595" t="s">
        <v>1</v>
      </c>
      <c r="L595">
        <v>0.5</v>
      </c>
      <c r="M595">
        <v>67.2</v>
      </c>
      <c r="N595">
        <v>3</v>
      </c>
      <c r="O595">
        <v>67.3</v>
      </c>
      <c r="P595">
        <v>73</v>
      </c>
      <c r="Q595">
        <v>8.24</v>
      </c>
    </row>
    <row r="596" spans="2:17">
      <c r="B596">
        <v>2007</v>
      </c>
      <c r="C596" t="s">
        <v>1902</v>
      </c>
      <c r="D596" s="3">
        <v>1127165</v>
      </c>
      <c r="E596">
        <v>554</v>
      </c>
      <c r="F596" s="3">
        <v>23913389</v>
      </c>
      <c r="G596">
        <v>21.3</v>
      </c>
      <c r="H596">
        <v>21.45</v>
      </c>
      <c r="I596">
        <v>21.1</v>
      </c>
      <c r="J596">
        <v>21.2</v>
      </c>
      <c r="K596" t="s">
        <v>1328</v>
      </c>
      <c r="L596">
        <v>0</v>
      </c>
      <c r="M596">
        <v>21.2</v>
      </c>
      <c r="N596">
        <v>23</v>
      </c>
      <c r="O596">
        <v>21.25</v>
      </c>
      <c r="P596">
        <v>4</v>
      </c>
      <c r="Q596">
        <v>0</v>
      </c>
    </row>
    <row r="597" spans="2:17">
      <c r="B597">
        <v>2008</v>
      </c>
      <c r="C597" t="s">
        <v>1903</v>
      </c>
      <c r="D597" s="3">
        <v>82081</v>
      </c>
      <c r="E597">
        <v>61</v>
      </c>
      <c r="F597" s="3">
        <v>1637810</v>
      </c>
      <c r="G597">
        <v>19.95</v>
      </c>
      <c r="H597">
        <v>20</v>
      </c>
      <c r="I597">
        <v>19.899999999999999</v>
      </c>
      <c r="J597">
        <v>19.95</v>
      </c>
      <c r="K597" t="s">
        <v>1</v>
      </c>
      <c r="L597">
        <v>0.05</v>
      </c>
      <c r="M597">
        <v>19.899999999999999</v>
      </c>
      <c r="N597">
        <v>1</v>
      </c>
      <c r="O597">
        <v>20</v>
      </c>
      <c r="P597">
        <v>35</v>
      </c>
      <c r="Q597">
        <v>99.75</v>
      </c>
    </row>
    <row r="598" spans="2:17">
      <c r="B598">
        <v>2009</v>
      </c>
      <c r="C598" t="s">
        <v>1904</v>
      </c>
      <c r="D598" s="3">
        <v>1568413</v>
      </c>
      <c r="E598" s="3">
        <v>1160</v>
      </c>
      <c r="F598" s="3">
        <v>69391714</v>
      </c>
      <c r="G598">
        <v>44.6</v>
      </c>
      <c r="H598">
        <v>44.9</v>
      </c>
      <c r="I598">
        <v>43.75</v>
      </c>
      <c r="J598">
        <v>43.8</v>
      </c>
      <c r="K598" t="s">
        <v>1</v>
      </c>
      <c r="L598">
        <v>0.5</v>
      </c>
      <c r="M598">
        <v>43.8</v>
      </c>
      <c r="N598">
        <v>10</v>
      </c>
      <c r="O598">
        <v>43.95</v>
      </c>
      <c r="P598">
        <v>26</v>
      </c>
      <c r="Q598">
        <v>33.69</v>
      </c>
    </row>
    <row r="599" spans="2:17">
      <c r="B599">
        <v>2010</v>
      </c>
      <c r="C599" t="s">
        <v>1905</v>
      </c>
      <c r="D599" s="3">
        <v>1684933</v>
      </c>
      <c r="E599" s="3">
        <v>1044</v>
      </c>
      <c r="F599" s="3">
        <v>40948184</v>
      </c>
      <c r="G599">
        <v>24.4</v>
      </c>
      <c r="H599">
        <v>24.45</v>
      </c>
      <c r="I599">
        <v>24.2</v>
      </c>
      <c r="J599">
        <v>24.2</v>
      </c>
      <c r="K599" t="s">
        <v>1</v>
      </c>
      <c r="L599">
        <v>0.05</v>
      </c>
      <c r="M599">
        <v>24.2</v>
      </c>
      <c r="N599">
        <v>79</v>
      </c>
      <c r="O599">
        <v>24.25</v>
      </c>
      <c r="P599">
        <v>5</v>
      </c>
      <c r="Q599">
        <v>12.94</v>
      </c>
    </row>
    <row r="600" spans="2:17">
      <c r="B600">
        <v>2012</v>
      </c>
      <c r="C600" t="s">
        <v>1906</v>
      </c>
      <c r="D600" s="3">
        <v>123588</v>
      </c>
      <c r="E600">
        <v>206</v>
      </c>
      <c r="F600" s="3">
        <v>3834812</v>
      </c>
      <c r="G600">
        <v>31.25</v>
      </c>
      <c r="H600">
        <v>31.25</v>
      </c>
      <c r="I600">
        <v>30.9</v>
      </c>
      <c r="J600">
        <v>30.9</v>
      </c>
      <c r="K600" t="s">
        <v>1</v>
      </c>
      <c r="L600">
        <v>0.1</v>
      </c>
      <c r="M600">
        <v>30.85</v>
      </c>
      <c r="N600">
        <v>9</v>
      </c>
      <c r="O600">
        <v>30.9</v>
      </c>
      <c r="P600">
        <v>1</v>
      </c>
      <c r="Q600">
        <v>12.12</v>
      </c>
    </row>
    <row r="601" spans="2:17">
      <c r="B601">
        <v>2013</v>
      </c>
      <c r="C601" t="s">
        <v>1907</v>
      </c>
      <c r="D601" s="3">
        <v>1133979</v>
      </c>
      <c r="E601" s="3">
        <v>1445</v>
      </c>
      <c r="F601" s="3">
        <v>67418077</v>
      </c>
      <c r="G601">
        <v>60.2</v>
      </c>
      <c r="H601">
        <v>60.2</v>
      </c>
      <c r="I601">
        <v>59.2</v>
      </c>
      <c r="J601">
        <v>59.2</v>
      </c>
      <c r="K601" t="s">
        <v>1</v>
      </c>
      <c r="L601">
        <v>0.3</v>
      </c>
      <c r="M601">
        <v>59.2</v>
      </c>
      <c r="N601">
        <v>136</v>
      </c>
      <c r="O601">
        <v>59.4</v>
      </c>
      <c r="P601">
        <v>2</v>
      </c>
      <c r="Q601">
        <v>23.87</v>
      </c>
    </row>
    <row r="602" spans="2:17">
      <c r="B602">
        <v>2014</v>
      </c>
      <c r="C602" t="s">
        <v>1908</v>
      </c>
      <c r="D602" s="3">
        <v>15418459</v>
      </c>
      <c r="E602" s="3">
        <v>7678</v>
      </c>
      <c r="F602" s="3">
        <v>635235781</v>
      </c>
      <c r="G602">
        <v>41.35</v>
      </c>
      <c r="H602">
        <v>41.6</v>
      </c>
      <c r="I602">
        <v>40.9</v>
      </c>
      <c r="J602">
        <v>41.1</v>
      </c>
      <c r="K602" t="s">
        <v>1362</v>
      </c>
      <c r="L602">
        <v>0.1</v>
      </c>
      <c r="M602">
        <v>41.1</v>
      </c>
      <c r="N602">
        <v>158</v>
      </c>
      <c r="O602">
        <v>41.15</v>
      </c>
      <c r="P602">
        <v>35</v>
      </c>
      <c r="Q602">
        <v>9.49</v>
      </c>
    </row>
    <row r="603" spans="2:17">
      <c r="B603">
        <v>2015</v>
      </c>
      <c r="C603" t="s">
        <v>1909</v>
      </c>
      <c r="D603" s="3">
        <v>141911</v>
      </c>
      <c r="E603">
        <v>283</v>
      </c>
      <c r="F603" s="3">
        <v>11811893</v>
      </c>
      <c r="G603">
        <v>83.6</v>
      </c>
      <c r="H603">
        <v>83.6</v>
      </c>
      <c r="I603">
        <v>83.1</v>
      </c>
      <c r="J603">
        <v>83.1</v>
      </c>
      <c r="K603" t="s">
        <v>1</v>
      </c>
      <c r="L603">
        <v>0.5</v>
      </c>
      <c r="M603">
        <v>83.1</v>
      </c>
      <c r="N603">
        <v>16</v>
      </c>
      <c r="O603">
        <v>83.4</v>
      </c>
      <c r="P603">
        <v>5</v>
      </c>
      <c r="Q603">
        <v>13.71</v>
      </c>
    </row>
    <row r="604" spans="2:17">
      <c r="B604">
        <v>2017</v>
      </c>
      <c r="C604" t="s">
        <v>1910</v>
      </c>
      <c r="D604" s="3">
        <v>1032336</v>
      </c>
      <c r="E604">
        <v>627</v>
      </c>
      <c r="F604" s="3">
        <v>20610459</v>
      </c>
      <c r="G604">
        <v>20.05</v>
      </c>
      <c r="H604">
        <v>20.100000000000001</v>
      </c>
      <c r="I604">
        <v>19.899999999999999</v>
      </c>
      <c r="J604">
        <v>19.899999999999999</v>
      </c>
      <c r="K604" t="s">
        <v>1</v>
      </c>
      <c r="L604">
        <v>0.15</v>
      </c>
      <c r="M604">
        <v>19.899999999999999</v>
      </c>
      <c r="N604">
        <v>67</v>
      </c>
      <c r="O604">
        <v>19.95</v>
      </c>
      <c r="P604">
        <v>6</v>
      </c>
      <c r="Q604">
        <v>10.64</v>
      </c>
    </row>
    <row r="605" spans="2:17">
      <c r="B605">
        <v>2020</v>
      </c>
      <c r="C605" t="s">
        <v>1911</v>
      </c>
      <c r="D605" s="3">
        <v>236648</v>
      </c>
      <c r="E605">
        <v>184</v>
      </c>
      <c r="F605" s="3">
        <v>7483167</v>
      </c>
      <c r="G605">
        <v>31.65</v>
      </c>
      <c r="H605">
        <v>31.7</v>
      </c>
      <c r="I605">
        <v>31.55</v>
      </c>
      <c r="J605">
        <v>31.6</v>
      </c>
      <c r="K605" t="s">
        <v>1</v>
      </c>
      <c r="L605">
        <v>0.05</v>
      </c>
      <c r="M605">
        <v>31.55</v>
      </c>
      <c r="N605">
        <v>23</v>
      </c>
      <c r="O605">
        <v>31.6</v>
      </c>
      <c r="P605">
        <v>2</v>
      </c>
      <c r="Q605">
        <v>8.8800000000000008</v>
      </c>
    </row>
    <row r="606" spans="2:17">
      <c r="B606">
        <v>2022</v>
      </c>
      <c r="C606" t="s">
        <v>1912</v>
      </c>
      <c r="D606" s="3">
        <v>3875997</v>
      </c>
      <c r="E606" s="3">
        <v>1898</v>
      </c>
      <c r="F606" s="3">
        <v>56134101</v>
      </c>
      <c r="G606">
        <v>14.4</v>
      </c>
      <c r="H606">
        <v>14.85</v>
      </c>
      <c r="I606">
        <v>14.3</v>
      </c>
      <c r="J606">
        <v>14.3</v>
      </c>
      <c r="K606" t="s">
        <v>1328</v>
      </c>
      <c r="L606">
        <v>0</v>
      </c>
      <c r="M606">
        <v>14.3</v>
      </c>
      <c r="N606">
        <v>53</v>
      </c>
      <c r="O606">
        <v>14.35</v>
      </c>
      <c r="P606">
        <v>13</v>
      </c>
      <c r="Q606">
        <v>17.23</v>
      </c>
    </row>
    <row r="607" spans="2:17">
      <c r="B607">
        <v>2023</v>
      </c>
      <c r="C607" t="s">
        <v>1913</v>
      </c>
      <c r="D607" s="3">
        <v>4731686</v>
      </c>
      <c r="E607" s="3">
        <v>2031</v>
      </c>
      <c r="F607" s="3">
        <v>118783319</v>
      </c>
      <c r="G607">
        <v>25.2</v>
      </c>
      <c r="H607">
        <v>25.4</v>
      </c>
      <c r="I607">
        <v>24.95</v>
      </c>
      <c r="J607">
        <v>25.05</v>
      </c>
      <c r="K607" t="s">
        <v>1</v>
      </c>
      <c r="L607">
        <v>0.1</v>
      </c>
      <c r="M607">
        <v>25.05</v>
      </c>
      <c r="N607">
        <v>11</v>
      </c>
      <c r="O607">
        <v>25.1</v>
      </c>
      <c r="P607">
        <v>43</v>
      </c>
      <c r="Q607">
        <v>10.48</v>
      </c>
    </row>
    <row r="608" spans="2:17">
      <c r="B608">
        <v>2024</v>
      </c>
      <c r="C608" t="s">
        <v>1914</v>
      </c>
      <c r="D608" s="3">
        <v>76959</v>
      </c>
      <c r="E608">
        <v>117</v>
      </c>
      <c r="F608" s="3">
        <v>1523315</v>
      </c>
      <c r="G608">
        <v>19.850000000000001</v>
      </c>
      <c r="H608">
        <v>19.899999999999999</v>
      </c>
      <c r="I608">
        <v>19.7</v>
      </c>
      <c r="J608">
        <v>19.899999999999999</v>
      </c>
      <c r="K608" t="s">
        <v>1362</v>
      </c>
      <c r="L608">
        <v>0.1</v>
      </c>
      <c r="M608">
        <v>19.850000000000001</v>
      </c>
      <c r="N608">
        <v>2</v>
      </c>
      <c r="O608">
        <v>19.899999999999999</v>
      </c>
      <c r="P608">
        <v>2</v>
      </c>
      <c r="Q608">
        <v>14.21</v>
      </c>
    </row>
    <row r="609" spans="2:17">
      <c r="B609">
        <v>2025</v>
      </c>
      <c r="C609" t="s">
        <v>1915</v>
      </c>
      <c r="D609" s="3">
        <v>715305</v>
      </c>
      <c r="E609">
        <v>168</v>
      </c>
      <c r="F609" s="3">
        <v>4218992</v>
      </c>
      <c r="G609">
        <v>5.9</v>
      </c>
      <c r="H609">
        <v>5.9</v>
      </c>
      <c r="I609">
        <v>5.89</v>
      </c>
      <c r="J609">
        <v>5.9</v>
      </c>
      <c r="K609" t="s">
        <v>1362</v>
      </c>
      <c r="L609">
        <v>0.08</v>
      </c>
      <c r="M609">
        <v>5.89</v>
      </c>
      <c r="N609">
        <v>96</v>
      </c>
      <c r="O609">
        <v>5.9</v>
      </c>
      <c r="P609">
        <v>120</v>
      </c>
      <c r="Q609">
        <v>10.73</v>
      </c>
    </row>
    <row r="610" spans="2:17">
      <c r="B610">
        <v>2027</v>
      </c>
      <c r="C610" t="s">
        <v>1916</v>
      </c>
      <c r="D610" s="3">
        <v>7680800</v>
      </c>
      <c r="E610" s="3">
        <v>3768</v>
      </c>
      <c r="F610" s="3">
        <v>355466343</v>
      </c>
      <c r="G610">
        <v>46.3</v>
      </c>
      <c r="H610">
        <v>46.4</v>
      </c>
      <c r="I610">
        <v>46.1</v>
      </c>
      <c r="J610">
        <v>46.35</v>
      </c>
      <c r="K610" t="s">
        <v>1362</v>
      </c>
      <c r="L610">
        <v>0.2</v>
      </c>
      <c r="M610">
        <v>46.35</v>
      </c>
      <c r="N610">
        <v>126</v>
      </c>
      <c r="O610">
        <v>46.4</v>
      </c>
      <c r="P610">
        <v>139</v>
      </c>
      <c r="Q610">
        <v>10.119999999999999</v>
      </c>
    </row>
    <row r="611" spans="2:17">
      <c r="B611">
        <v>2028</v>
      </c>
      <c r="C611" t="s">
        <v>1917</v>
      </c>
      <c r="D611" s="3">
        <v>1002360</v>
      </c>
      <c r="E611">
        <v>720</v>
      </c>
      <c r="F611" s="3">
        <v>43510358</v>
      </c>
      <c r="G611">
        <v>43.5</v>
      </c>
      <c r="H611">
        <v>43.7</v>
      </c>
      <c r="I611">
        <v>43.25</v>
      </c>
      <c r="J611">
        <v>43.3</v>
      </c>
      <c r="K611" t="s">
        <v>1</v>
      </c>
      <c r="L611">
        <v>0.15</v>
      </c>
      <c r="M611">
        <v>43.3</v>
      </c>
      <c r="N611">
        <v>22</v>
      </c>
      <c r="O611">
        <v>43.35</v>
      </c>
      <c r="P611">
        <v>5</v>
      </c>
      <c r="Q611">
        <v>9.41</v>
      </c>
    </row>
    <row r="612" spans="2:17">
      <c r="B612">
        <v>2029</v>
      </c>
      <c r="C612" t="s">
        <v>1918</v>
      </c>
      <c r="D612" s="3">
        <v>719198</v>
      </c>
      <c r="E612">
        <v>405</v>
      </c>
      <c r="F612" s="3">
        <v>23799195</v>
      </c>
      <c r="G612">
        <v>33.25</v>
      </c>
      <c r="H612">
        <v>33.4</v>
      </c>
      <c r="I612">
        <v>33</v>
      </c>
      <c r="J612">
        <v>33.1</v>
      </c>
      <c r="K612" t="s">
        <v>1</v>
      </c>
      <c r="L612">
        <v>0.1</v>
      </c>
      <c r="M612">
        <v>33.049999999999997</v>
      </c>
      <c r="N612">
        <v>12</v>
      </c>
      <c r="O612">
        <v>33.1</v>
      </c>
      <c r="P612">
        <v>12</v>
      </c>
      <c r="Q612">
        <v>9.2200000000000006</v>
      </c>
    </row>
    <row r="613" spans="2:17">
      <c r="B613">
        <v>2030</v>
      </c>
      <c r="C613" t="s">
        <v>1919</v>
      </c>
      <c r="D613" s="3">
        <v>3821828</v>
      </c>
      <c r="E613" s="3">
        <v>1967</v>
      </c>
      <c r="F613" s="3">
        <v>114146678</v>
      </c>
      <c r="G613">
        <v>30.1</v>
      </c>
      <c r="H613">
        <v>30.2</v>
      </c>
      <c r="I613">
        <v>29.65</v>
      </c>
      <c r="J613">
        <v>29.75</v>
      </c>
      <c r="K613" t="s">
        <v>1</v>
      </c>
      <c r="L613">
        <v>0.25</v>
      </c>
      <c r="M613">
        <v>29.7</v>
      </c>
      <c r="N613">
        <v>102</v>
      </c>
      <c r="O613">
        <v>29.75</v>
      </c>
      <c r="P613">
        <v>10</v>
      </c>
      <c r="Q613">
        <v>9.57</v>
      </c>
    </row>
    <row r="614" spans="2:17">
      <c r="B614">
        <v>2031</v>
      </c>
      <c r="C614" t="s">
        <v>1920</v>
      </c>
      <c r="D614" s="3">
        <v>1569313</v>
      </c>
      <c r="E614" s="3">
        <v>1167</v>
      </c>
      <c r="F614" s="3">
        <v>91295248</v>
      </c>
      <c r="G614">
        <v>58.5</v>
      </c>
      <c r="H614">
        <v>58.5</v>
      </c>
      <c r="I614">
        <v>58</v>
      </c>
      <c r="J614">
        <v>58.2</v>
      </c>
      <c r="K614" t="s">
        <v>1</v>
      </c>
      <c r="L614">
        <v>0.2</v>
      </c>
      <c r="M614">
        <v>58.1</v>
      </c>
      <c r="N614">
        <v>15</v>
      </c>
      <c r="O614">
        <v>58.2</v>
      </c>
      <c r="P614">
        <v>4</v>
      </c>
      <c r="Q614">
        <v>8.1300000000000008</v>
      </c>
    </row>
    <row r="615" spans="2:17">
      <c r="B615">
        <v>2032</v>
      </c>
      <c r="C615" t="s">
        <v>1921</v>
      </c>
      <c r="D615" s="3">
        <v>215098</v>
      </c>
      <c r="E615">
        <v>127</v>
      </c>
      <c r="F615" s="3">
        <v>5113513</v>
      </c>
      <c r="G615">
        <v>23.85</v>
      </c>
      <c r="H615">
        <v>23.9</v>
      </c>
      <c r="I615">
        <v>23.7</v>
      </c>
      <c r="J615">
        <v>23.7</v>
      </c>
      <c r="K615" t="s">
        <v>1</v>
      </c>
      <c r="L615">
        <v>0.1</v>
      </c>
      <c r="M615">
        <v>23.7</v>
      </c>
      <c r="N615">
        <v>35</v>
      </c>
      <c r="O615">
        <v>23.75</v>
      </c>
      <c r="P615">
        <v>7</v>
      </c>
      <c r="Q615">
        <v>16.809999999999999</v>
      </c>
    </row>
    <row r="616" spans="2:17">
      <c r="B616">
        <v>2033</v>
      </c>
      <c r="C616" t="s">
        <v>1922</v>
      </c>
      <c r="D616" s="3">
        <v>342032</v>
      </c>
      <c r="E616">
        <v>142</v>
      </c>
      <c r="F616" s="3">
        <v>6400579</v>
      </c>
      <c r="G616">
        <v>17.8</v>
      </c>
      <c r="H616">
        <v>17.8</v>
      </c>
      <c r="I616">
        <v>17.649999999999999</v>
      </c>
      <c r="J616">
        <v>17.649999999999999</v>
      </c>
      <c r="K616" t="s">
        <v>1328</v>
      </c>
      <c r="L616">
        <v>0</v>
      </c>
      <c r="M616">
        <v>17.649999999999999</v>
      </c>
      <c r="N616">
        <v>3</v>
      </c>
      <c r="O616">
        <v>17.7</v>
      </c>
      <c r="P616">
        <v>1</v>
      </c>
      <c r="Q616">
        <v>67.88</v>
      </c>
    </row>
    <row r="617" spans="2:17">
      <c r="B617">
        <v>2034</v>
      </c>
      <c r="C617" t="s">
        <v>1923</v>
      </c>
      <c r="D617" s="3">
        <v>798252</v>
      </c>
      <c r="E617">
        <v>510</v>
      </c>
      <c r="F617" s="3">
        <v>25720699</v>
      </c>
      <c r="G617">
        <v>32.299999999999997</v>
      </c>
      <c r="H617">
        <v>32.4</v>
      </c>
      <c r="I617">
        <v>32.1</v>
      </c>
      <c r="J617">
        <v>32.15</v>
      </c>
      <c r="K617" t="s">
        <v>1</v>
      </c>
      <c r="L617">
        <v>0.05</v>
      </c>
      <c r="M617">
        <v>32.15</v>
      </c>
      <c r="N617">
        <v>4</v>
      </c>
      <c r="O617">
        <v>32.200000000000003</v>
      </c>
      <c r="P617">
        <v>15</v>
      </c>
      <c r="Q617">
        <v>18.27</v>
      </c>
    </row>
    <row r="618" spans="2:17">
      <c r="B618">
        <v>2038</v>
      </c>
      <c r="C618" t="s">
        <v>1924</v>
      </c>
      <c r="D618" s="3">
        <v>1009224</v>
      </c>
      <c r="E618">
        <v>554</v>
      </c>
      <c r="F618" s="3">
        <v>35979226</v>
      </c>
      <c r="G618">
        <v>36</v>
      </c>
      <c r="H618">
        <v>36</v>
      </c>
      <c r="I618">
        <v>35.5</v>
      </c>
      <c r="J618">
        <v>35.65</v>
      </c>
      <c r="K618" t="s">
        <v>1328</v>
      </c>
      <c r="L618">
        <v>0</v>
      </c>
      <c r="M618">
        <v>35.6</v>
      </c>
      <c r="N618">
        <v>23</v>
      </c>
      <c r="O618">
        <v>35.65</v>
      </c>
      <c r="P618">
        <v>17</v>
      </c>
      <c r="Q618">
        <v>16.579999999999998</v>
      </c>
    </row>
    <row r="619" spans="2:17">
      <c r="B619">
        <v>2049</v>
      </c>
      <c r="C619" t="s">
        <v>1925</v>
      </c>
      <c r="D619" s="3">
        <v>3209914</v>
      </c>
      <c r="E619" s="3">
        <v>3356</v>
      </c>
      <c r="F619" s="3">
        <v>979968381</v>
      </c>
      <c r="G619">
        <v>300</v>
      </c>
      <c r="H619">
        <v>308.5</v>
      </c>
      <c r="I619">
        <v>300</v>
      </c>
      <c r="J619">
        <v>307</v>
      </c>
      <c r="K619" t="s">
        <v>1362</v>
      </c>
      <c r="L619">
        <v>9</v>
      </c>
      <c r="M619">
        <v>306.5</v>
      </c>
      <c r="N619">
        <v>25</v>
      </c>
      <c r="O619">
        <v>307</v>
      </c>
      <c r="P619">
        <v>34</v>
      </c>
      <c r="Q619">
        <v>29.83</v>
      </c>
    </row>
    <row r="620" spans="2:17">
      <c r="B620">
        <v>2059</v>
      </c>
      <c r="C620" t="s">
        <v>1926</v>
      </c>
      <c r="D620" s="3">
        <v>233824</v>
      </c>
      <c r="E620">
        <v>566</v>
      </c>
      <c r="F620" s="3">
        <v>120711850</v>
      </c>
      <c r="G620">
        <v>515</v>
      </c>
      <c r="H620">
        <v>519</v>
      </c>
      <c r="I620">
        <v>514</v>
      </c>
      <c r="J620">
        <v>517</v>
      </c>
      <c r="K620" t="s">
        <v>1362</v>
      </c>
      <c r="L620">
        <v>12</v>
      </c>
      <c r="M620">
        <v>516</v>
      </c>
      <c r="N620">
        <v>2</v>
      </c>
      <c r="O620">
        <v>517</v>
      </c>
      <c r="P620">
        <v>8</v>
      </c>
      <c r="Q620">
        <v>29.11</v>
      </c>
    </row>
    <row r="621" spans="2:17">
      <c r="B621">
        <v>2062</v>
      </c>
      <c r="C621" t="s">
        <v>1927</v>
      </c>
      <c r="D621" s="3">
        <v>187009</v>
      </c>
      <c r="E621">
        <v>141</v>
      </c>
      <c r="F621" s="3">
        <v>5143598</v>
      </c>
      <c r="G621">
        <v>27.65</v>
      </c>
      <c r="H621">
        <v>27.65</v>
      </c>
      <c r="I621">
        <v>27.4</v>
      </c>
      <c r="J621">
        <v>27.45</v>
      </c>
      <c r="K621" t="s">
        <v>1</v>
      </c>
      <c r="L621">
        <v>0.15</v>
      </c>
      <c r="M621">
        <v>27.45</v>
      </c>
      <c r="N621">
        <v>4</v>
      </c>
      <c r="O621">
        <v>27.55</v>
      </c>
      <c r="P621">
        <v>2</v>
      </c>
      <c r="Q621">
        <v>13.26</v>
      </c>
    </row>
    <row r="622" spans="2:17">
      <c r="B622">
        <v>2069</v>
      </c>
      <c r="C622" t="s">
        <v>1928</v>
      </c>
      <c r="D622" s="3">
        <v>1143432</v>
      </c>
      <c r="E622">
        <v>726</v>
      </c>
      <c r="F622" s="3">
        <v>40403957</v>
      </c>
      <c r="G622">
        <v>35.65</v>
      </c>
      <c r="H622">
        <v>35.799999999999997</v>
      </c>
      <c r="I622">
        <v>35.1</v>
      </c>
      <c r="J622">
        <v>35.15</v>
      </c>
      <c r="K622" t="s">
        <v>1</v>
      </c>
      <c r="L622">
        <v>0.4</v>
      </c>
      <c r="M622">
        <v>35.15</v>
      </c>
      <c r="N622">
        <v>18</v>
      </c>
      <c r="O622">
        <v>35.200000000000003</v>
      </c>
      <c r="P622">
        <v>14</v>
      </c>
      <c r="Q622">
        <v>9.1300000000000008</v>
      </c>
    </row>
    <row r="623" spans="2:17">
      <c r="B623">
        <v>2101</v>
      </c>
      <c r="C623" t="s">
        <v>1929</v>
      </c>
      <c r="D623" s="3">
        <v>1139913</v>
      </c>
      <c r="E623">
        <v>453</v>
      </c>
      <c r="F623" s="3">
        <v>44993811</v>
      </c>
      <c r="G623">
        <v>39.450000000000003</v>
      </c>
      <c r="H623">
        <v>39.6</v>
      </c>
      <c r="I623">
        <v>39.299999999999997</v>
      </c>
      <c r="J623">
        <v>39.6</v>
      </c>
      <c r="K623" t="s">
        <v>1362</v>
      </c>
      <c r="L623">
        <v>0.2</v>
      </c>
      <c r="M623">
        <v>39.5</v>
      </c>
      <c r="N623">
        <v>3</v>
      </c>
      <c r="O623">
        <v>39.6</v>
      </c>
      <c r="P623">
        <v>107</v>
      </c>
      <c r="Q623">
        <v>70.709999999999994</v>
      </c>
    </row>
    <row r="624" spans="2:17">
      <c r="B624">
        <v>2102</v>
      </c>
      <c r="C624" t="s">
        <v>1930</v>
      </c>
      <c r="D624" s="3">
        <v>1772680</v>
      </c>
      <c r="E624">
        <v>869</v>
      </c>
      <c r="F624" s="3">
        <v>50029563</v>
      </c>
      <c r="G624">
        <v>28.8</v>
      </c>
      <c r="H624">
        <v>28.8</v>
      </c>
      <c r="I624">
        <v>27.9</v>
      </c>
      <c r="J624">
        <v>28.2</v>
      </c>
      <c r="K624" t="s">
        <v>1</v>
      </c>
      <c r="L624">
        <v>0.55000000000000004</v>
      </c>
      <c r="M624">
        <v>28.15</v>
      </c>
      <c r="N624">
        <v>6</v>
      </c>
      <c r="O624">
        <v>28.2</v>
      </c>
      <c r="P624">
        <v>5</v>
      </c>
      <c r="Q624">
        <v>0</v>
      </c>
    </row>
    <row r="625" spans="2:17">
      <c r="B625">
        <v>2103</v>
      </c>
      <c r="C625" t="s">
        <v>1931</v>
      </c>
      <c r="D625" s="3">
        <v>4275186</v>
      </c>
      <c r="E625" s="3">
        <v>2543</v>
      </c>
      <c r="F625" s="3">
        <v>176196373</v>
      </c>
      <c r="G625">
        <v>41.7</v>
      </c>
      <c r="H625">
        <v>41.8</v>
      </c>
      <c r="I625">
        <v>40.75</v>
      </c>
      <c r="J625">
        <v>41.3</v>
      </c>
      <c r="K625" t="s">
        <v>1362</v>
      </c>
      <c r="L625">
        <v>0.05</v>
      </c>
      <c r="M625">
        <v>41.3</v>
      </c>
      <c r="N625">
        <v>8</v>
      </c>
      <c r="O625">
        <v>41.35</v>
      </c>
      <c r="P625">
        <v>7</v>
      </c>
      <c r="Q625">
        <v>9.4499999999999993</v>
      </c>
    </row>
    <row r="626" spans="2:17">
      <c r="B626">
        <v>2104</v>
      </c>
      <c r="C626" t="s">
        <v>1932</v>
      </c>
      <c r="D626" s="3">
        <v>2892484</v>
      </c>
      <c r="E626" s="3">
        <v>1610</v>
      </c>
      <c r="F626" s="3">
        <v>80215628</v>
      </c>
      <c r="G626">
        <v>27.9</v>
      </c>
      <c r="H626">
        <v>27.9</v>
      </c>
      <c r="I626">
        <v>27.6</v>
      </c>
      <c r="J626">
        <v>27.6</v>
      </c>
      <c r="K626" t="s">
        <v>1</v>
      </c>
      <c r="L626">
        <v>0.1</v>
      </c>
      <c r="M626">
        <v>27.6</v>
      </c>
      <c r="N626">
        <v>10</v>
      </c>
      <c r="O626">
        <v>27.7</v>
      </c>
      <c r="P626">
        <v>33</v>
      </c>
      <c r="Q626">
        <v>14.38</v>
      </c>
    </row>
    <row r="627" spans="2:17">
      <c r="B627">
        <v>2105</v>
      </c>
      <c r="C627" t="s">
        <v>1933</v>
      </c>
      <c r="D627" s="3">
        <v>10180848</v>
      </c>
      <c r="E627" s="3">
        <v>5146</v>
      </c>
      <c r="F627" s="3">
        <v>373347866</v>
      </c>
      <c r="G627">
        <v>37</v>
      </c>
      <c r="H627">
        <v>37.1</v>
      </c>
      <c r="I627">
        <v>36.4</v>
      </c>
      <c r="J627">
        <v>36.65</v>
      </c>
      <c r="K627" t="s">
        <v>1</v>
      </c>
      <c r="L627">
        <v>0.55000000000000004</v>
      </c>
      <c r="M627">
        <v>36.65</v>
      </c>
      <c r="N627">
        <v>24</v>
      </c>
      <c r="O627">
        <v>36.700000000000003</v>
      </c>
      <c r="P627">
        <v>27</v>
      </c>
      <c r="Q627">
        <v>15.8</v>
      </c>
    </row>
    <row r="628" spans="2:17">
      <c r="B628">
        <v>2106</v>
      </c>
      <c r="C628" t="s">
        <v>1934</v>
      </c>
      <c r="D628" s="3">
        <v>1155888</v>
      </c>
      <c r="E628">
        <v>682</v>
      </c>
      <c r="F628" s="3">
        <v>35875032</v>
      </c>
      <c r="G628">
        <v>31.3</v>
      </c>
      <c r="H628">
        <v>31.3</v>
      </c>
      <c r="I628">
        <v>30.8</v>
      </c>
      <c r="J628">
        <v>31</v>
      </c>
      <c r="K628" t="s">
        <v>1</v>
      </c>
      <c r="L628">
        <v>0.05</v>
      </c>
      <c r="M628">
        <v>30.95</v>
      </c>
      <c r="N628">
        <v>10</v>
      </c>
      <c r="O628">
        <v>31</v>
      </c>
      <c r="P628">
        <v>26</v>
      </c>
      <c r="Q628">
        <v>16.760000000000002</v>
      </c>
    </row>
    <row r="629" spans="2:17">
      <c r="B629">
        <v>2107</v>
      </c>
      <c r="C629" t="s">
        <v>1935</v>
      </c>
      <c r="D629" s="3">
        <v>276065</v>
      </c>
      <c r="E629">
        <v>202</v>
      </c>
      <c r="F629" s="3">
        <v>6290105</v>
      </c>
      <c r="G629">
        <v>22.85</v>
      </c>
      <c r="H629">
        <v>22.85</v>
      </c>
      <c r="I629">
        <v>22.7</v>
      </c>
      <c r="J629">
        <v>22.85</v>
      </c>
      <c r="K629" t="s">
        <v>1328</v>
      </c>
      <c r="L629">
        <v>0</v>
      </c>
      <c r="M629">
        <v>22.8</v>
      </c>
      <c r="N629">
        <v>2</v>
      </c>
      <c r="O629">
        <v>22.85</v>
      </c>
      <c r="P629">
        <v>47</v>
      </c>
      <c r="Q629">
        <v>11.6</v>
      </c>
    </row>
    <row r="630" spans="2:17">
      <c r="B630">
        <v>2108</v>
      </c>
      <c r="C630" t="s">
        <v>1936</v>
      </c>
      <c r="D630" s="3">
        <v>1357846</v>
      </c>
      <c r="E630" s="3">
        <v>1265</v>
      </c>
      <c r="F630" s="3">
        <v>114582494</v>
      </c>
      <c r="G630">
        <v>84.7</v>
      </c>
      <c r="H630">
        <v>85.2</v>
      </c>
      <c r="I630">
        <v>83.9</v>
      </c>
      <c r="J630">
        <v>84.5</v>
      </c>
      <c r="K630" t="s">
        <v>1362</v>
      </c>
      <c r="L630">
        <v>0.3</v>
      </c>
      <c r="M630">
        <v>84.4</v>
      </c>
      <c r="N630">
        <v>2</v>
      </c>
      <c r="O630">
        <v>84.5</v>
      </c>
      <c r="P630">
        <v>27</v>
      </c>
      <c r="Q630">
        <v>4.8099999999999996</v>
      </c>
    </row>
    <row r="631" spans="2:17">
      <c r="B631">
        <v>2109</v>
      </c>
      <c r="C631" t="s">
        <v>1937</v>
      </c>
      <c r="D631" s="3">
        <v>233261</v>
      </c>
      <c r="E631">
        <v>134</v>
      </c>
      <c r="F631" s="3">
        <v>3915806</v>
      </c>
      <c r="G631">
        <v>16.95</v>
      </c>
      <c r="H631">
        <v>17</v>
      </c>
      <c r="I631">
        <v>16.7</v>
      </c>
      <c r="J631">
        <v>16.7</v>
      </c>
      <c r="K631" t="s">
        <v>1</v>
      </c>
      <c r="L631">
        <v>0.2</v>
      </c>
      <c r="M631">
        <v>16.7</v>
      </c>
      <c r="N631">
        <v>2</v>
      </c>
      <c r="O631">
        <v>16.75</v>
      </c>
      <c r="P631">
        <v>4</v>
      </c>
      <c r="Q631">
        <v>10.64</v>
      </c>
    </row>
    <row r="632" spans="2:17">
      <c r="B632">
        <v>2114</v>
      </c>
      <c r="C632" t="s">
        <v>1938</v>
      </c>
      <c r="D632" s="3">
        <v>76195</v>
      </c>
      <c r="E632">
        <v>99</v>
      </c>
      <c r="F632" s="3">
        <v>9452348</v>
      </c>
      <c r="G632">
        <v>122.5</v>
      </c>
      <c r="H632">
        <v>125</v>
      </c>
      <c r="I632">
        <v>122.5</v>
      </c>
      <c r="J632">
        <v>124</v>
      </c>
      <c r="K632" t="s">
        <v>1362</v>
      </c>
      <c r="L632">
        <v>1.5</v>
      </c>
      <c r="M632">
        <v>124</v>
      </c>
      <c r="N632">
        <v>3</v>
      </c>
      <c r="O632">
        <v>124.5</v>
      </c>
      <c r="P632">
        <v>3</v>
      </c>
      <c r="Q632">
        <v>9.27</v>
      </c>
    </row>
    <row r="633" spans="2:17">
      <c r="B633">
        <v>2115</v>
      </c>
      <c r="C633" t="s">
        <v>1939</v>
      </c>
      <c r="D633" s="3">
        <v>73198</v>
      </c>
      <c r="E633">
        <v>57</v>
      </c>
      <c r="F633" s="3">
        <v>2958048</v>
      </c>
      <c r="G633">
        <v>40.4</v>
      </c>
      <c r="H633">
        <v>40.6</v>
      </c>
      <c r="I633">
        <v>40.299999999999997</v>
      </c>
      <c r="J633">
        <v>40.299999999999997</v>
      </c>
      <c r="K633" t="s">
        <v>1</v>
      </c>
      <c r="L633">
        <v>0.3</v>
      </c>
      <c r="M633">
        <v>40.299999999999997</v>
      </c>
      <c r="N633">
        <v>13</v>
      </c>
      <c r="O633">
        <v>40.5</v>
      </c>
      <c r="P633">
        <v>1</v>
      </c>
      <c r="Q633">
        <v>9.6199999999999992</v>
      </c>
    </row>
    <row r="634" spans="2:17">
      <c r="B634">
        <v>2201</v>
      </c>
      <c r="C634" t="s">
        <v>1940</v>
      </c>
      <c r="D634" s="3">
        <v>2480413</v>
      </c>
      <c r="E634" s="3">
        <v>1435</v>
      </c>
      <c r="F634" s="3">
        <v>103973590</v>
      </c>
      <c r="G634">
        <v>42.1</v>
      </c>
      <c r="H634">
        <v>42.4</v>
      </c>
      <c r="I634">
        <v>41.8</v>
      </c>
      <c r="J634">
        <v>41.85</v>
      </c>
      <c r="K634" t="s">
        <v>1</v>
      </c>
      <c r="L634">
        <v>0.15</v>
      </c>
      <c r="M634">
        <v>41.85</v>
      </c>
      <c r="N634">
        <v>66</v>
      </c>
      <c r="O634">
        <v>41.9</v>
      </c>
      <c r="P634">
        <v>44</v>
      </c>
      <c r="Q634">
        <v>8.94</v>
      </c>
    </row>
    <row r="635" spans="2:17">
      <c r="B635">
        <v>2204</v>
      </c>
      <c r="C635" t="s">
        <v>1941</v>
      </c>
      <c r="D635" s="3">
        <v>369892</v>
      </c>
      <c r="E635">
        <v>360</v>
      </c>
      <c r="F635" s="3">
        <v>23339053</v>
      </c>
      <c r="G635">
        <v>63.1</v>
      </c>
      <c r="H635">
        <v>63.3</v>
      </c>
      <c r="I635">
        <v>62.9</v>
      </c>
      <c r="J635">
        <v>63.1</v>
      </c>
      <c r="K635" t="s">
        <v>1328</v>
      </c>
      <c r="L635">
        <v>0</v>
      </c>
      <c r="M635">
        <v>63.1</v>
      </c>
      <c r="N635">
        <v>15</v>
      </c>
      <c r="O635">
        <v>63.2</v>
      </c>
      <c r="P635">
        <v>2</v>
      </c>
      <c r="Q635">
        <v>8.67</v>
      </c>
    </row>
    <row r="636" spans="2:17">
      <c r="B636">
        <v>2206</v>
      </c>
      <c r="C636" t="s">
        <v>1942</v>
      </c>
      <c r="D636" s="3">
        <v>525474</v>
      </c>
      <c r="E636">
        <v>337</v>
      </c>
      <c r="F636" s="3">
        <v>14090058</v>
      </c>
      <c r="G636">
        <v>26.8</v>
      </c>
      <c r="H636">
        <v>26.9</v>
      </c>
      <c r="I636">
        <v>26.65</v>
      </c>
      <c r="J636">
        <v>26.9</v>
      </c>
      <c r="K636" t="s">
        <v>1362</v>
      </c>
      <c r="L636">
        <v>0.15</v>
      </c>
      <c r="M636">
        <v>26.85</v>
      </c>
      <c r="N636">
        <v>10</v>
      </c>
      <c r="O636">
        <v>26.9</v>
      </c>
      <c r="P636">
        <v>46</v>
      </c>
      <c r="Q636">
        <v>13.06</v>
      </c>
    </row>
    <row r="637" spans="2:17">
      <c r="B637">
        <v>2207</v>
      </c>
      <c r="C637" t="s">
        <v>1943</v>
      </c>
      <c r="D637" s="3">
        <v>183781</v>
      </c>
      <c r="E637">
        <v>277</v>
      </c>
      <c r="F637" s="3">
        <v>113653964</v>
      </c>
      <c r="G637">
        <v>620</v>
      </c>
      <c r="H637">
        <v>622</v>
      </c>
      <c r="I637">
        <v>613</v>
      </c>
      <c r="J637">
        <v>615</v>
      </c>
      <c r="K637" t="s">
        <v>1328</v>
      </c>
      <c r="L637">
        <v>0</v>
      </c>
      <c r="M637">
        <v>615</v>
      </c>
      <c r="N637">
        <v>2</v>
      </c>
      <c r="O637">
        <v>617</v>
      </c>
      <c r="P637">
        <v>1</v>
      </c>
      <c r="Q637">
        <v>20.75</v>
      </c>
    </row>
    <row r="638" spans="2:17">
      <c r="B638">
        <v>2208</v>
      </c>
      <c r="C638" t="s">
        <v>1944</v>
      </c>
      <c r="D638" s="3">
        <v>1258477</v>
      </c>
      <c r="E638">
        <v>902</v>
      </c>
      <c r="F638" s="3">
        <v>27132317</v>
      </c>
      <c r="G638">
        <v>21.45</v>
      </c>
      <c r="H638">
        <v>21.65</v>
      </c>
      <c r="I638">
        <v>21.45</v>
      </c>
      <c r="J638">
        <v>21.55</v>
      </c>
      <c r="K638" t="s">
        <v>1362</v>
      </c>
      <c r="L638">
        <v>0.15</v>
      </c>
      <c r="M638">
        <v>21.55</v>
      </c>
      <c r="N638">
        <v>54</v>
      </c>
      <c r="O638">
        <v>21.6</v>
      </c>
      <c r="P638">
        <v>23</v>
      </c>
      <c r="Q638">
        <v>0</v>
      </c>
    </row>
    <row r="639" spans="2:17">
      <c r="B639">
        <v>2211</v>
      </c>
      <c r="C639" t="s">
        <v>1945</v>
      </c>
      <c r="D639" s="3">
        <v>363762</v>
      </c>
      <c r="E639">
        <v>268</v>
      </c>
      <c r="F639" s="3">
        <v>19846846</v>
      </c>
      <c r="G639">
        <v>54.5</v>
      </c>
      <c r="H639">
        <v>54.9</v>
      </c>
      <c r="I639">
        <v>54.3</v>
      </c>
      <c r="J639">
        <v>54.5</v>
      </c>
      <c r="K639" t="s">
        <v>1362</v>
      </c>
      <c r="L639">
        <v>0.2</v>
      </c>
      <c r="M639">
        <v>54.5</v>
      </c>
      <c r="N639">
        <v>12</v>
      </c>
      <c r="O639">
        <v>54.6</v>
      </c>
      <c r="P639">
        <v>1</v>
      </c>
      <c r="Q639">
        <v>18.41</v>
      </c>
    </row>
    <row r="640" spans="2:17">
      <c r="B640">
        <v>2227</v>
      </c>
      <c r="C640" t="s">
        <v>1946</v>
      </c>
      <c r="D640" s="3">
        <v>31937</v>
      </c>
      <c r="E640">
        <v>85</v>
      </c>
      <c r="F640" s="3">
        <v>7893358</v>
      </c>
      <c r="G640">
        <v>247</v>
      </c>
      <c r="H640">
        <v>248</v>
      </c>
      <c r="I640">
        <v>246.5</v>
      </c>
      <c r="J640">
        <v>248</v>
      </c>
      <c r="K640" t="s">
        <v>1362</v>
      </c>
      <c r="L640">
        <v>0.5</v>
      </c>
      <c r="M640">
        <v>247</v>
      </c>
      <c r="N640">
        <v>2</v>
      </c>
      <c r="O640">
        <v>248</v>
      </c>
      <c r="P640">
        <v>2</v>
      </c>
      <c r="Q640">
        <v>15.05</v>
      </c>
    </row>
    <row r="641" spans="2:17">
      <c r="B641">
        <v>2228</v>
      </c>
      <c r="C641" t="s">
        <v>1947</v>
      </c>
      <c r="D641" s="3">
        <v>103049</v>
      </c>
      <c r="E641">
        <v>56</v>
      </c>
      <c r="F641" s="3">
        <v>7036336</v>
      </c>
      <c r="G641">
        <v>68.099999999999994</v>
      </c>
      <c r="H641">
        <v>68.7</v>
      </c>
      <c r="I641">
        <v>67.900000000000006</v>
      </c>
      <c r="J641">
        <v>68.3</v>
      </c>
      <c r="K641" t="s">
        <v>1362</v>
      </c>
      <c r="L641">
        <v>0.3</v>
      </c>
      <c r="M641">
        <v>68.2</v>
      </c>
      <c r="N641">
        <v>4</v>
      </c>
      <c r="O641">
        <v>68.599999999999994</v>
      </c>
      <c r="P641">
        <v>1</v>
      </c>
      <c r="Q641">
        <v>15.88</v>
      </c>
    </row>
    <row r="642" spans="2:17">
      <c r="B642">
        <v>2231</v>
      </c>
      <c r="C642" t="s">
        <v>1948</v>
      </c>
      <c r="D642" s="3">
        <v>607978</v>
      </c>
      <c r="E642" s="3">
        <v>1373</v>
      </c>
      <c r="F642" s="3">
        <v>115446742</v>
      </c>
      <c r="G642">
        <v>190</v>
      </c>
      <c r="H642">
        <v>194</v>
      </c>
      <c r="I642">
        <v>188.5</v>
      </c>
      <c r="J642">
        <v>189</v>
      </c>
      <c r="K642" t="s">
        <v>1</v>
      </c>
      <c r="L642">
        <v>3</v>
      </c>
      <c r="M642">
        <v>189</v>
      </c>
      <c r="N642">
        <v>40</v>
      </c>
      <c r="O642">
        <v>189.5</v>
      </c>
      <c r="P642">
        <v>1</v>
      </c>
      <c r="Q642">
        <v>44.37</v>
      </c>
    </row>
    <row r="643" spans="2:17">
      <c r="B643">
        <v>2233</v>
      </c>
      <c r="C643" t="s">
        <v>1949</v>
      </c>
      <c r="D643" s="3">
        <v>605864</v>
      </c>
      <c r="E643">
        <v>613</v>
      </c>
      <c r="F643" s="3">
        <v>60534804</v>
      </c>
      <c r="G643">
        <v>98.5</v>
      </c>
      <c r="H643">
        <v>101.5</v>
      </c>
      <c r="I643">
        <v>97.5</v>
      </c>
      <c r="J643">
        <v>100</v>
      </c>
      <c r="K643" t="s">
        <v>1362</v>
      </c>
      <c r="L643">
        <v>2.6</v>
      </c>
      <c r="M643">
        <v>100</v>
      </c>
      <c r="N643">
        <v>4</v>
      </c>
      <c r="O643">
        <v>100.5</v>
      </c>
      <c r="P643">
        <v>18</v>
      </c>
      <c r="Q643">
        <v>11.1</v>
      </c>
    </row>
    <row r="644" spans="2:17">
      <c r="B644">
        <v>2236</v>
      </c>
      <c r="C644" t="s">
        <v>1950</v>
      </c>
      <c r="D644" s="3">
        <v>12538</v>
      </c>
      <c r="E644">
        <v>13</v>
      </c>
      <c r="F644" s="3">
        <v>341401</v>
      </c>
      <c r="G644">
        <v>27.25</v>
      </c>
      <c r="H644">
        <v>27.45</v>
      </c>
      <c r="I644">
        <v>27.15</v>
      </c>
      <c r="J644">
        <v>27.45</v>
      </c>
      <c r="K644" t="s">
        <v>1</v>
      </c>
      <c r="L644">
        <v>0.1</v>
      </c>
      <c r="M644">
        <v>27.35</v>
      </c>
      <c r="N644">
        <v>1</v>
      </c>
      <c r="O644">
        <v>27.45</v>
      </c>
      <c r="P644">
        <v>1</v>
      </c>
      <c r="Q644">
        <v>17.37</v>
      </c>
    </row>
    <row r="645" spans="2:17">
      <c r="B645">
        <v>2239</v>
      </c>
      <c r="C645" t="s">
        <v>1951</v>
      </c>
      <c r="D645" s="3">
        <v>48704</v>
      </c>
      <c r="E645">
        <v>54</v>
      </c>
      <c r="F645" s="3">
        <v>4016279</v>
      </c>
      <c r="G645">
        <v>83</v>
      </c>
      <c r="H645">
        <v>83</v>
      </c>
      <c r="I645">
        <v>82</v>
      </c>
      <c r="J645">
        <v>82.7</v>
      </c>
      <c r="K645" t="s">
        <v>1362</v>
      </c>
      <c r="L645">
        <v>0.1</v>
      </c>
      <c r="M645">
        <v>82.6</v>
      </c>
      <c r="N645">
        <v>1</v>
      </c>
      <c r="O645">
        <v>82.7</v>
      </c>
      <c r="P645">
        <v>1</v>
      </c>
      <c r="Q645">
        <v>16.41</v>
      </c>
    </row>
    <row r="646" spans="2:17">
      <c r="B646">
        <v>2241</v>
      </c>
      <c r="C646" t="s">
        <v>1952</v>
      </c>
      <c r="D646" s="3">
        <v>155464</v>
      </c>
      <c r="E646">
        <v>146</v>
      </c>
      <c r="F646" s="3">
        <v>7943157</v>
      </c>
      <c r="G646">
        <v>50.8</v>
      </c>
      <c r="H646">
        <v>51.6</v>
      </c>
      <c r="I646">
        <v>50.8</v>
      </c>
      <c r="J646">
        <v>51.1</v>
      </c>
      <c r="K646" t="s">
        <v>1362</v>
      </c>
      <c r="L646">
        <v>0.6</v>
      </c>
      <c r="M646">
        <v>51</v>
      </c>
      <c r="N646">
        <v>2</v>
      </c>
      <c r="O646">
        <v>51.1</v>
      </c>
      <c r="P646">
        <v>1</v>
      </c>
      <c r="Q646">
        <v>0</v>
      </c>
    </row>
    <row r="647" spans="2:17">
      <c r="B647">
        <v>2243</v>
      </c>
      <c r="C647" t="s">
        <v>1953</v>
      </c>
      <c r="D647" s="3">
        <v>290015</v>
      </c>
      <c r="E647">
        <v>128</v>
      </c>
      <c r="F647" s="3">
        <v>5379530</v>
      </c>
      <c r="G647">
        <v>18.75</v>
      </c>
      <c r="H647">
        <v>18.95</v>
      </c>
      <c r="I647">
        <v>18.350000000000001</v>
      </c>
      <c r="J647">
        <v>18.399999999999999</v>
      </c>
      <c r="K647" t="s">
        <v>1</v>
      </c>
      <c r="L647">
        <v>0.3</v>
      </c>
      <c r="M647">
        <v>18.399999999999999</v>
      </c>
      <c r="N647">
        <v>15</v>
      </c>
      <c r="O647">
        <v>18.5</v>
      </c>
      <c r="P647">
        <v>2</v>
      </c>
      <c r="Q647">
        <v>0</v>
      </c>
    </row>
    <row r="648" spans="2:17">
      <c r="B648">
        <v>2247</v>
      </c>
      <c r="C648" t="s">
        <v>1954</v>
      </c>
      <c r="D648" s="3">
        <v>276869</v>
      </c>
      <c r="E648">
        <v>360</v>
      </c>
      <c r="F648" s="3">
        <v>60469657</v>
      </c>
      <c r="G648">
        <v>210.5</v>
      </c>
      <c r="H648">
        <v>223</v>
      </c>
      <c r="I648">
        <v>210.5</v>
      </c>
      <c r="J648">
        <v>218</v>
      </c>
      <c r="K648" t="s">
        <v>1362</v>
      </c>
      <c r="L648">
        <v>7.5</v>
      </c>
      <c r="M648">
        <v>218</v>
      </c>
      <c r="N648">
        <v>2</v>
      </c>
      <c r="O648">
        <v>219</v>
      </c>
      <c r="P648">
        <v>6</v>
      </c>
      <c r="Q648">
        <v>13.89</v>
      </c>
    </row>
    <row r="649" spans="2:17">
      <c r="B649">
        <v>2250</v>
      </c>
      <c r="C649" t="s">
        <v>1955</v>
      </c>
      <c r="D649" s="3">
        <v>66926</v>
      </c>
      <c r="E649">
        <v>99</v>
      </c>
      <c r="F649" s="3">
        <v>7887622</v>
      </c>
      <c r="G649">
        <v>118.5</v>
      </c>
      <c r="H649">
        <v>120</v>
      </c>
      <c r="I649">
        <v>117</v>
      </c>
      <c r="J649">
        <v>117.5</v>
      </c>
      <c r="K649" t="s">
        <v>1</v>
      </c>
      <c r="L649">
        <v>0.5</v>
      </c>
      <c r="M649">
        <v>117</v>
      </c>
      <c r="N649">
        <v>10</v>
      </c>
      <c r="O649">
        <v>117.5</v>
      </c>
      <c r="P649">
        <v>5</v>
      </c>
      <c r="Q649">
        <v>19.88</v>
      </c>
    </row>
    <row r="650" spans="2:17">
      <c r="B650">
        <v>2301</v>
      </c>
      <c r="C650" t="s">
        <v>1956</v>
      </c>
      <c r="D650" s="3">
        <v>2382515</v>
      </c>
      <c r="E650" s="3">
        <v>1979</v>
      </c>
      <c r="F650" s="3">
        <v>151526006</v>
      </c>
      <c r="G650">
        <v>63.9</v>
      </c>
      <c r="H650">
        <v>63.9</v>
      </c>
      <c r="I650">
        <v>63.3</v>
      </c>
      <c r="J650">
        <v>63.8</v>
      </c>
      <c r="K650" t="s">
        <v>1362</v>
      </c>
      <c r="L650">
        <v>0.2</v>
      </c>
      <c r="M650">
        <v>63.7</v>
      </c>
      <c r="N650">
        <v>2</v>
      </c>
      <c r="O650">
        <v>63.8</v>
      </c>
      <c r="P650">
        <v>128</v>
      </c>
      <c r="Q650">
        <v>10.89</v>
      </c>
    </row>
    <row r="651" spans="2:17">
      <c r="B651">
        <v>2302</v>
      </c>
      <c r="C651" t="s">
        <v>1957</v>
      </c>
      <c r="D651" s="3">
        <v>469742</v>
      </c>
      <c r="E651">
        <v>364</v>
      </c>
      <c r="F651" s="3">
        <v>8077098</v>
      </c>
      <c r="G651">
        <v>17.100000000000001</v>
      </c>
      <c r="H651">
        <v>17.45</v>
      </c>
      <c r="I651">
        <v>17.05</v>
      </c>
      <c r="J651">
        <v>17.100000000000001</v>
      </c>
      <c r="K651" t="s">
        <v>1362</v>
      </c>
      <c r="L651">
        <v>0.05</v>
      </c>
      <c r="M651">
        <v>17.05</v>
      </c>
      <c r="N651">
        <v>31</v>
      </c>
      <c r="O651">
        <v>17.100000000000001</v>
      </c>
      <c r="P651">
        <v>4</v>
      </c>
      <c r="Q651">
        <v>19.43</v>
      </c>
    </row>
    <row r="652" spans="2:17">
      <c r="B652">
        <v>2303</v>
      </c>
      <c r="C652" t="s">
        <v>1958</v>
      </c>
      <c r="D652" s="3">
        <v>80111178</v>
      </c>
      <c r="E652" s="3">
        <v>27677</v>
      </c>
      <c r="F652" s="3">
        <v>5199591684</v>
      </c>
      <c r="G652">
        <v>64.900000000000006</v>
      </c>
      <c r="H652">
        <v>65.2</v>
      </c>
      <c r="I652">
        <v>64.7</v>
      </c>
      <c r="J652">
        <v>64.7</v>
      </c>
      <c r="K652" t="s">
        <v>1362</v>
      </c>
      <c r="L652">
        <v>0.4</v>
      </c>
      <c r="M652">
        <v>64.7</v>
      </c>
      <c r="N652">
        <v>128</v>
      </c>
      <c r="O652">
        <v>64.8</v>
      </c>
      <c r="P652">
        <v>303</v>
      </c>
      <c r="Q652">
        <v>15.74</v>
      </c>
    </row>
    <row r="653" spans="2:17">
      <c r="B653">
        <v>2305</v>
      </c>
      <c r="C653" t="s">
        <v>1959</v>
      </c>
      <c r="D653" s="3">
        <v>7142581</v>
      </c>
      <c r="E653" s="3">
        <v>1525</v>
      </c>
      <c r="F653" s="3">
        <v>72197746</v>
      </c>
      <c r="G653">
        <v>10.199999999999999</v>
      </c>
      <c r="H653">
        <v>10.3</v>
      </c>
      <c r="I653">
        <v>9.85</v>
      </c>
      <c r="J653">
        <v>9.85</v>
      </c>
      <c r="K653" t="s">
        <v>1</v>
      </c>
      <c r="L653">
        <v>0.14000000000000001</v>
      </c>
      <c r="M653">
        <v>9.85</v>
      </c>
      <c r="N653">
        <v>11</v>
      </c>
      <c r="O653">
        <v>9.91</v>
      </c>
      <c r="P653">
        <v>5</v>
      </c>
      <c r="Q653">
        <v>0</v>
      </c>
    </row>
    <row r="654" spans="2:17">
      <c r="B654">
        <v>2308</v>
      </c>
      <c r="C654" t="s">
        <v>1960</v>
      </c>
      <c r="D654" s="3">
        <v>3859876</v>
      </c>
      <c r="E654" s="3">
        <v>5972</v>
      </c>
      <c r="F654" s="3">
        <v>1069831421</v>
      </c>
      <c r="G654">
        <v>276.5</v>
      </c>
      <c r="H654">
        <v>278.5</v>
      </c>
      <c r="I654">
        <v>275.5</v>
      </c>
      <c r="J654">
        <v>277.5</v>
      </c>
      <c r="K654" t="s">
        <v>1362</v>
      </c>
      <c r="L654">
        <v>2</v>
      </c>
      <c r="M654">
        <v>277</v>
      </c>
      <c r="N654">
        <v>23</v>
      </c>
      <c r="O654">
        <v>277.5</v>
      </c>
      <c r="P654">
        <v>40</v>
      </c>
      <c r="Q654">
        <v>25.77</v>
      </c>
    </row>
    <row r="655" spans="2:17">
      <c r="B655">
        <v>2312</v>
      </c>
      <c r="C655" t="s">
        <v>1961</v>
      </c>
      <c r="D655" s="3">
        <v>32915026</v>
      </c>
      <c r="E655" s="3">
        <v>10582</v>
      </c>
      <c r="F655" s="3">
        <v>524295001</v>
      </c>
      <c r="G655">
        <v>16</v>
      </c>
      <c r="H655">
        <v>16.3</v>
      </c>
      <c r="I655">
        <v>15.7</v>
      </c>
      <c r="J655">
        <v>15.8</v>
      </c>
      <c r="K655" t="s">
        <v>1</v>
      </c>
      <c r="L655">
        <v>0.3</v>
      </c>
      <c r="M655">
        <v>15.8</v>
      </c>
      <c r="N655">
        <v>337</v>
      </c>
      <c r="O655">
        <v>15.85</v>
      </c>
      <c r="P655">
        <v>52</v>
      </c>
      <c r="Q655">
        <v>0</v>
      </c>
    </row>
    <row r="656" spans="2:17">
      <c r="B656">
        <v>2313</v>
      </c>
      <c r="C656" t="s">
        <v>1962</v>
      </c>
      <c r="D656" s="3">
        <v>8265579</v>
      </c>
      <c r="E656" s="3">
        <v>4316</v>
      </c>
      <c r="F656" s="3">
        <v>364228196</v>
      </c>
      <c r="G656">
        <v>44.35</v>
      </c>
      <c r="H656">
        <v>44.4</v>
      </c>
      <c r="I656">
        <v>43.9</v>
      </c>
      <c r="J656">
        <v>44</v>
      </c>
      <c r="K656" t="s">
        <v>1</v>
      </c>
      <c r="L656">
        <v>0.1</v>
      </c>
      <c r="M656">
        <v>44</v>
      </c>
      <c r="N656">
        <v>159</v>
      </c>
      <c r="O656">
        <v>44.05</v>
      </c>
      <c r="P656">
        <v>25</v>
      </c>
      <c r="Q656">
        <v>11.89</v>
      </c>
    </row>
    <row r="657" spans="2:17">
      <c r="B657">
        <v>2314</v>
      </c>
      <c r="C657" t="s">
        <v>1963</v>
      </c>
      <c r="D657" s="3">
        <v>2292477</v>
      </c>
      <c r="E657" s="3">
        <v>2153</v>
      </c>
      <c r="F657" s="3">
        <v>171057432</v>
      </c>
      <c r="G657">
        <v>75.5</v>
      </c>
      <c r="H657">
        <v>75.5</v>
      </c>
      <c r="I657">
        <v>74</v>
      </c>
      <c r="J657">
        <v>74.400000000000006</v>
      </c>
      <c r="K657" t="s">
        <v>1</v>
      </c>
      <c r="L657">
        <v>1.2</v>
      </c>
      <c r="M657">
        <v>74.400000000000006</v>
      </c>
      <c r="N657">
        <v>35</v>
      </c>
      <c r="O657">
        <v>74.5</v>
      </c>
      <c r="P657">
        <v>17</v>
      </c>
      <c r="Q657">
        <v>0</v>
      </c>
    </row>
    <row r="658" spans="2:17">
      <c r="B658">
        <v>2316</v>
      </c>
      <c r="C658" t="s">
        <v>1964</v>
      </c>
      <c r="D658" s="3">
        <v>35795203</v>
      </c>
      <c r="E658" s="3">
        <v>17652</v>
      </c>
      <c r="F658" s="3">
        <v>1368705007</v>
      </c>
      <c r="G658">
        <v>39.6</v>
      </c>
      <c r="H658">
        <v>39.9</v>
      </c>
      <c r="I658">
        <v>36.4</v>
      </c>
      <c r="J658">
        <v>36.799999999999997</v>
      </c>
      <c r="K658" t="s">
        <v>1</v>
      </c>
      <c r="L658">
        <v>0.95</v>
      </c>
      <c r="M658">
        <v>36.799999999999997</v>
      </c>
      <c r="N658">
        <v>45</v>
      </c>
      <c r="O658">
        <v>36.85</v>
      </c>
      <c r="P658">
        <v>4</v>
      </c>
      <c r="Q658">
        <v>13.58</v>
      </c>
    </row>
    <row r="659" spans="2:17">
      <c r="B659">
        <v>2317</v>
      </c>
      <c r="C659" t="s">
        <v>1965</v>
      </c>
      <c r="D659" s="3">
        <v>15627624</v>
      </c>
      <c r="E659" s="3">
        <v>8247</v>
      </c>
      <c r="F659" s="3">
        <v>1640980899</v>
      </c>
      <c r="G659">
        <v>104.5</v>
      </c>
      <c r="H659">
        <v>105.5</v>
      </c>
      <c r="I659">
        <v>104.5</v>
      </c>
      <c r="J659">
        <v>105.5</v>
      </c>
      <c r="K659" t="s">
        <v>1362</v>
      </c>
      <c r="L659">
        <v>1</v>
      </c>
      <c r="M659">
        <v>105</v>
      </c>
      <c r="N659" s="3">
        <v>1139</v>
      </c>
      <c r="O659">
        <v>105.5</v>
      </c>
      <c r="P659" s="3">
        <v>3552</v>
      </c>
      <c r="Q659">
        <v>10.38</v>
      </c>
    </row>
    <row r="660" spans="2:17">
      <c r="B660">
        <v>2321</v>
      </c>
      <c r="C660" t="s">
        <v>1966</v>
      </c>
      <c r="D660" s="3">
        <v>45585</v>
      </c>
      <c r="E660">
        <v>24</v>
      </c>
      <c r="F660" s="3">
        <v>301045</v>
      </c>
      <c r="G660">
        <v>6.62</v>
      </c>
      <c r="H660">
        <v>6.62</v>
      </c>
      <c r="I660">
        <v>6.62</v>
      </c>
      <c r="J660">
        <v>6.62</v>
      </c>
      <c r="K660" t="s">
        <v>1</v>
      </c>
      <c r="L660">
        <v>0.01</v>
      </c>
      <c r="M660">
        <v>6.62</v>
      </c>
      <c r="N660">
        <v>8</v>
      </c>
      <c r="O660">
        <v>6.77</v>
      </c>
      <c r="P660">
        <v>1</v>
      </c>
      <c r="Q660">
        <v>662</v>
      </c>
    </row>
    <row r="661" spans="2:17">
      <c r="B661">
        <v>2323</v>
      </c>
      <c r="C661" t="s">
        <v>1967</v>
      </c>
      <c r="D661" s="3">
        <v>44747029</v>
      </c>
      <c r="E661" s="3">
        <v>10014</v>
      </c>
      <c r="F661" s="3">
        <v>433139816</v>
      </c>
      <c r="G661">
        <v>9.82</v>
      </c>
      <c r="H661">
        <v>9.9700000000000006</v>
      </c>
      <c r="I661">
        <v>9.5</v>
      </c>
      <c r="J661">
        <v>9.51</v>
      </c>
      <c r="K661" t="s">
        <v>1362</v>
      </c>
      <c r="L661">
        <v>0.04</v>
      </c>
      <c r="M661">
        <v>9.51</v>
      </c>
      <c r="N661">
        <v>416</v>
      </c>
      <c r="O661">
        <v>9.52</v>
      </c>
      <c r="P661">
        <v>4</v>
      </c>
      <c r="Q661">
        <v>17.29</v>
      </c>
    </row>
    <row r="662" spans="2:17">
      <c r="B662">
        <v>2324</v>
      </c>
      <c r="C662" t="s">
        <v>1968</v>
      </c>
      <c r="D662" s="3">
        <v>7405756</v>
      </c>
      <c r="E662" s="3">
        <v>2811</v>
      </c>
      <c r="F662" s="3">
        <v>178799856</v>
      </c>
      <c r="G662">
        <v>24.15</v>
      </c>
      <c r="H662">
        <v>24.25</v>
      </c>
      <c r="I662">
        <v>24.05</v>
      </c>
      <c r="J662">
        <v>24.2</v>
      </c>
      <c r="K662" t="s">
        <v>1362</v>
      </c>
      <c r="L662">
        <v>0.05</v>
      </c>
      <c r="M662">
        <v>24.15</v>
      </c>
      <c r="N662">
        <v>32</v>
      </c>
      <c r="O662">
        <v>24.2</v>
      </c>
      <c r="P662">
        <v>691</v>
      </c>
      <c r="Q662">
        <v>7.52</v>
      </c>
    </row>
    <row r="663" spans="2:17">
      <c r="B663">
        <v>2327</v>
      </c>
      <c r="C663" t="s">
        <v>1969</v>
      </c>
      <c r="D663" s="3">
        <v>6409768</v>
      </c>
      <c r="E663" s="3">
        <v>3775</v>
      </c>
      <c r="F663" s="3">
        <v>3070036599</v>
      </c>
      <c r="G663">
        <v>482.5</v>
      </c>
      <c r="H663">
        <v>484</v>
      </c>
      <c r="I663">
        <v>477</v>
      </c>
      <c r="J663">
        <v>478</v>
      </c>
      <c r="K663" t="s">
        <v>1</v>
      </c>
      <c r="L663">
        <v>3.5</v>
      </c>
      <c r="M663">
        <v>477.5</v>
      </c>
      <c r="N663">
        <v>236</v>
      </c>
      <c r="O663">
        <v>478</v>
      </c>
      <c r="P663">
        <v>85</v>
      </c>
      <c r="Q663">
        <v>10.75</v>
      </c>
    </row>
    <row r="664" spans="2:17">
      <c r="B664">
        <v>2328</v>
      </c>
      <c r="C664" t="s">
        <v>1970</v>
      </c>
      <c r="D664" s="3">
        <v>4751322</v>
      </c>
      <c r="E664" s="3">
        <v>3042</v>
      </c>
      <c r="F664" s="3">
        <v>188867925</v>
      </c>
      <c r="G664">
        <v>39.950000000000003</v>
      </c>
      <c r="H664">
        <v>40.299999999999997</v>
      </c>
      <c r="I664">
        <v>39.200000000000003</v>
      </c>
      <c r="J664">
        <v>39.25</v>
      </c>
      <c r="K664" t="s">
        <v>1</v>
      </c>
      <c r="L664">
        <v>0.45</v>
      </c>
      <c r="M664">
        <v>39.25</v>
      </c>
      <c r="N664">
        <v>94</v>
      </c>
      <c r="O664">
        <v>39.299999999999997</v>
      </c>
      <c r="P664">
        <v>3</v>
      </c>
      <c r="Q664">
        <v>22.95</v>
      </c>
    </row>
    <row r="665" spans="2:17">
      <c r="B665">
        <v>2329</v>
      </c>
      <c r="C665" t="s">
        <v>1971</v>
      </c>
      <c r="D665" s="3">
        <v>5919364</v>
      </c>
      <c r="E665" s="3">
        <v>2401</v>
      </c>
      <c r="F665" s="3">
        <v>156194451</v>
      </c>
      <c r="G665">
        <v>26.6</v>
      </c>
      <c r="H665">
        <v>26.85</v>
      </c>
      <c r="I665">
        <v>26.1</v>
      </c>
      <c r="J665">
        <v>26.1</v>
      </c>
      <c r="K665" t="s">
        <v>1</v>
      </c>
      <c r="L665">
        <v>0.2</v>
      </c>
      <c r="M665">
        <v>26.1</v>
      </c>
      <c r="N665">
        <v>194</v>
      </c>
      <c r="O665">
        <v>26.15</v>
      </c>
      <c r="P665">
        <v>10</v>
      </c>
      <c r="Q665">
        <v>19.48</v>
      </c>
    </row>
    <row r="666" spans="2:17">
      <c r="B666">
        <v>2330</v>
      </c>
      <c r="C666" t="s">
        <v>1972</v>
      </c>
      <c r="D666" s="3">
        <v>35156339</v>
      </c>
      <c r="E666" s="3">
        <v>36241</v>
      </c>
      <c r="F666" s="3">
        <v>21569506434</v>
      </c>
      <c r="G666">
        <v>610</v>
      </c>
      <c r="H666">
        <v>615</v>
      </c>
      <c r="I666">
        <v>610</v>
      </c>
      <c r="J666">
        <v>615</v>
      </c>
      <c r="K666" t="s">
        <v>1362</v>
      </c>
      <c r="L666">
        <v>9</v>
      </c>
      <c r="M666">
        <v>614</v>
      </c>
      <c r="N666">
        <v>250</v>
      </c>
      <c r="O666">
        <v>615</v>
      </c>
      <c r="P666" s="3">
        <v>2061</v>
      </c>
      <c r="Q666">
        <v>27.83</v>
      </c>
    </row>
    <row r="667" spans="2:17">
      <c r="B667">
        <v>2331</v>
      </c>
      <c r="C667" t="s">
        <v>1973</v>
      </c>
      <c r="D667" s="3">
        <v>2013096</v>
      </c>
      <c r="E667">
        <v>744</v>
      </c>
      <c r="F667" s="3">
        <v>45052118</v>
      </c>
      <c r="G667">
        <v>22.4</v>
      </c>
      <c r="H667">
        <v>22.6</v>
      </c>
      <c r="I667">
        <v>22.3</v>
      </c>
      <c r="J667">
        <v>22.3</v>
      </c>
      <c r="K667" t="s">
        <v>1328</v>
      </c>
      <c r="L667">
        <v>0</v>
      </c>
      <c r="M667">
        <v>22.3</v>
      </c>
      <c r="N667">
        <v>192</v>
      </c>
      <c r="O667">
        <v>22.35</v>
      </c>
      <c r="P667">
        <v>2</v>
      </c>
      <c r="Q667">
        <v>0</v>
      </c>
    </row>
    <row r="668" spans="2:17">
      <c r="B668">
        <v>2332</v>
      </c>
      <c r="C668" t="s">
        <v>3074</v>
      </c>
      <c r="D668" s="3">
        <v>15073552</v>
      </c>
      <c r="E668" s="3">
        <v>3268</v>
      </c>
      <c r="F668" s="3">
        <v>284712265</v>
      </c>
      <c r="G668">
        <v>18.899999999999999</v>
      </c>
      <c r="H668">
        <v>19.05</v>
      </c>
      <c r="I668">
        <v>18.45</v>
      </c>
      <c r="J668">
        <v>18.649999999999999</v>
      </c>
      <c r="K668" t="s">
        <v>1</v>
      </c>
      <c r="L668">
        <v>0.05</v>
      </c>
      <c r="M668">
        <v>18.649999999999999</v>
      </c>
      <c r="N668">
        <v>12</v>
      </c>
      <c r="O668">
        <v>18.7</v>
      </c>
      <c r="P668">
        <v>28</v>
      </c>
      <c r="Q668">
        <v>13.92</v>
      </c>
    </row>
    <row r="669" spans="2:17">
      <c r="B669">
        <v>2337</v>
      </c>
      <c r="C669" t="s">
        <v>1974</v>
      </c>
      <c r="D669" s="3">
        <v>8898154</v>
      </c>
      <c r="E669" s="3">
        <v>4160</v>
      </c>
      <c r="F669" s="3">
        <v>369774192</v>
      </c>
      <c r="G669">
        <v>41.4</v>
      </c>
      <c r="H669">
        <v>41.7</v>
      </c>
      <c r="I669">
        <v>41.35</v>
      </c>
      <c r="J669">
        <v>41.7</v>
      </c>
      <c r="K669" t="s">
        <v>1362</v>
      </c>
      <c r="L669">
        <v>0.4</v>
      </c>
      <c r="M669">
        <v>41.65</v>
      </c>
      <c r="N669">
        <v>63</v>
      </c>
      <c r="O669">
        <v>41.7</v>
      </c>
      <c r="P669">
        <v>239</v>
      </c>
      <c r="Q669">
        <v>8.2100000000000009</v>
      </c>
    </row>
    <row r="670" spans="2:17">
      <c r="B670">
        <v>2338</v>
      </c>
      <c r="C670" t="s">
        <v>1975</v>
      </c>
      <c r="D670" s="3">
        <v>8890163</v>
      </c>
      <c r="E670" s="3">
        <v>6330</v>
      </c>
      <c r="F670" s="3">
        <v>917947540</v>
      </c>
      <c r="G670">
        <v>104</v>
      </c>
      <c r="H670">
        <v>105</v>
      </c>
      <c r="I670">
        <v>102</v>
      </c>
      <c r="J670">
        <v>104</v>
      </c>
      <c r="K670" t="s">
        <v>1362</v>
      </c>
      <c r="L670">
        <v>0.5</v>
      </c>
      <c r="M670">
        <v>103.5</v>
      </c>
      <c r="N670">
        <v>194</v>
      </c>
      <c r="O670">
        <v>104</v>
      </c>
      <c r="P670">
        <v>247</v>
      </c>
      <c r="Q670">
        <v>15.85</v>
      </c>
    </row>
    <row r="671" spans="2:17">
      <c r="B671">
        <v>2340</v>
      </c>
      <c r="C671" t="s">
        <v>3157</v>
      </c>
      <c r="D671" s="3">
        <v>79854402</v>
      </c>
      <c r="E671" s="3">
        <v>39499</v>
      </c>
      <c r="F671" s="3">
        <v>6262803220</v>
      </c>
      <c r="G671">
        <v>78.099999999999994</v>
      </c>
      <c r="H671">
        <v>80</v>
      </c>
      <c r="I671">
        <v>77</v>
      </c>
      <c r="J671">
        <v>78.8</v>
      </c>
      <c r="K671" t="s">
        <v>1</v>
      </c>
      <c r="L671">
        <v>0.6</v>
      </c>
      <c r="M671">
        <v>78.7</v>
      </c>
      <c r="N671">
        <v>42</v>
      </c>
      <c r="O671">
        <v>78.8</v>
      </c>
      <c r="P671">
        <v>83</v>
      </c>
      <c r="Q671">
        <v>40.409999999999997</v>
      </c>
    </row>
    <row r="672" spans="2:17">
      <c r="B672">
        <v>2342</v>
      </c>
      <c r="C672" t="s">
        <v>1976</v>
      </c>
      <c r="D672" s="3">
        <v>7045864</v>
      </c>
      <c r="E672" s="3">
        <v>4761</v>
      </c>
      <c r="F672" s="3">
        <v>358419640</v>
      </c>
      <c r="G672">
        <v>51.4</v>
      </c>
      <c r="H672">
        <v>51.9</v>
      </c>
      <c r="I672">
        <v>50</v>
      </c>
      <c r="J672">
        <v>50.4</v>
      </c>
      <c r="K672" t="s">
        <v>1</v>
      </c>
      <c r="L672">
        <v>1</v>
      </c>
      <c r="M672">
        <v>50.3</v>
      </c>
      <c r="N672">
        <v>13</v>
      </c>
      <c r="O672">
        <v>50.4</v>
      </c>
      <c r="P672">
        <v>17</v>
      </c>
      <c r="Q672">
        <v>24.59</v>
      </c>
    </row>
    <row r="673" spans="2:17">
      <c r="B673">
        <v>2344</v>
      </c>
      <c r="C673" t="s">
        <v>1977</v>
      </c>
      <c r="D673" s="3">
        <v>19152019</v>
      </c>
      <c r="E673" s="3">
        <v>7417</v>
      </c>
      <c r="F673" s="3">
        <v>606561125</v>
      </c>
      <c r="G673">
        <v>31.6</v>
      </c>
      <c r="H673">
        <v>31.9</v>
      </c>
      <c r="I673">
        <v>31.45</v>
      </c>
      <c r="J673">
        <v>31.6</v>
      </c>
      <c r="K673" t="s">
        <v>1362</v>
      </c>
      <c r="L673">
        <v>0.2</v>
      </c>
      <c r="M673">
        <v>31.6</v>
      </c>
      <c r="N673">
        <v>52</v>
      </c>
      <c r="O673">
        <v>31.65</v>
      </c>
      <c r="P673">
        <v>363</v>
      </c>
      <c r="Q673">
        <v>12.9</v>
      </c>
    </row>
    <row r="674" spans="2:17">
      <c r="B674">
        <v>2345</v>
      </c>
      <c r="C674" t="s">
        <v>1978</v>
      </c>
      <c r="D674" s="3">
        <v>1414879</v>
      </c>
      <c r="E674" s="3">
        <v>1194</v>
      </c>
      <c r="F674" s="3">
        <v>370300278</v>
      </c>
      <c r="G674">
        <v>258</v>
      </c>
      <c r="H674">
        <v>264</v>
      </c>
      <c r="I674">
        <v>258</v>
      </c>
      <c r="J674">
        <v>262</v>
      </c>
      <c r="K674" t="s">
        <v>1362</v>
      </c>
      <c r="L674">
        <v>2.5</v>
      </c>
      <c r="M674">
        <v>261.5</v>
      </c>
      <c r="N674">
        <v>20</v>
      </c>
      <c r="O674">
        <v>262</v>
      </c>
      <c r="P674">
        <v>6</v>
      </c>
      <c r="Q674">
        <v>32.19</v>
      </c>
    </row>
    <row r="675" spans="2:17">
      <c r="B675">
        <v>2347</v>
      </c>
      <c r="C675" t="s">
        <v>1979</v>
      </c>
      <c r="D675" s="3">
        <v>2892062</v>
      </c>
      <c r="E675" s="3">
        <v>1706</v>
      </c>
      <c r="F675" s="3">
        <v>191506863</v>
      </c>
      <c r="G675">
        <v>66.400000000000006</v>
      </c>
      <c r="H675">
        <v>66.599999999999994</v>
      </c>
      <c r="I675">
        <v>65.8</v>
      </c>
      <c r="J675">
        <v>66.5</v>
      </c>
      <c r="K675" t="s">
        <v>1362</v>
      </c>
      <c r="L675">
        <v>0.3</v>
      </c>
      <c r="M675">
        <v>66.2</v>
      </c>
      <c r="N675">
        <v>5</v>
      </c>
      <c r="O675">
        <v>66.5</v>
      </c>
      <c r="P675">
        <v>203</v>
      </c>
      <c r="Q675">
        <v>6.64</v>
      </c>
    </row>
    <row r="676" spans="2:17">
      <c r="B676">
        <v>2348</v>
      </c>
      <c r="C676" t="s">
        <v>1980</v>
      </c>
      <c r="D676" s="3">
        <v>109237</v>
      </c>
      <c r="E676">
        <v>594</v>
      </c>
      <c r="F676" s="3">
        <v>11875855</v>
      </c>
      <c r="G676">
        <v>108</v>
      </c>
      <c r="H676">
        <v>109.5</v>
      </c>
      <c r="I676">
        <v>107.5</v>
      </c>
      <c r="J676">
        <v>108.5</v>
      </c>
      <c r="K676" t="s">
        <v>1362</v>
      </c>
      <c r="L676">
        <v>0.5</v>
      </c>
      <c r="M676">
        <v>108.5</v>
      </c>
      <c r="N676">
        <v>5</v>
      </c>
      <c r="O676">
        <v>109</v>
      </c>
      <c r="P676">
        <v>7</v>
      </c>
      <c r="Q676">
        <v>8.69</v>
      </c>
    </row>
    <row r="677" spans="2:17">
      <c r="B677" t="s">
        <v>2792</v>
      </c>
      <c r="C677" t="s">
        <v>2793</v>
      </c>
      <c r="D677" s="3">
        <v>14774</v>
      </c>
      <c r="E677">
        <v>17</v>
      </c>
      <c r="F677" s="3">
        <v>560731</v>
      </c>
      <c r="G677">
        <v>38</v>
      </c>
      <c r="H677">
        <v>38</v>
      </c>
      <c r="I677">
        <v>37.950000000000003</v>
      </c>
      <c r="J677">
        <v>37.950000000000003</v>
      </c>
      <c r="K677" t="s">
        <v>1</v>
      </c>
      <c r="L677">
        <v>0.05</v>
      </c>
      <c r="M677">
        <v>37.9</v>
      </c>
      <c r="N677">
        <v>12</v>
      </c>
      <c r="O677">
        <v>38</v>
      </c>
      <c r="P677">
        <v>2</v>
      </c>
      <c r="Q677">
        <v>0</v>
      </c>
    </row>
    <row r="678" spans="2:17">
      <c r="B678">
        <v>2349</v>
      </c>
      <c r="C678" t="s">
        <v>1981</v>
      </c>
      <c r="D678" s="3">
        <v>6402410</v>
      </c>
      <c r="E678" s="3">
        <v>1749</v>
      </c>
      <c r="F678" s="3">
        <v>65796945</v>
      </c>
      <c r="G678">
        <v>10.35</v>
      </c>
      <c r="H678">
        <v>10.45</v>
      </c>
      <c r="I678">
        <v>10.1</v>
      </c>
      <c r="J678">
        <v>10.25</v>
      </c>
      <c r="K678" t="s">
        <v>1328</v>
      </c>
      <c r="L678">
        <v>0</v>
      </c>
      <c r="M678">
        <v>10.199999999999999</v>
      </c>
      <c r="N678">
        <v>35</v>
      </c>
      <c r="O678">
        <v>10.25</v>
      </c>
      <c r="P678">
        <v>5</v>
      </c>
      <c r="Q678">
        <v>0</v>
      </c>
    </row>
    <row r="679" spans="2:17">
      <c r="B679">
        <v>2351</v>
      </c>
      <c r="C679" t="s">
        <v>1982</v>
      </c>
      <c r="D679" s="3">
        <v>734468</v>
      </c>
      <c r="E679">
        <v>635</v>
      </c>
      <c r="F679" s="3">
        <v>118660681</v>
      </c>
      <c r="G679">
        <v>161</v>
      </c>
      <c r="H679">
        <v>162.5</v>
      </c>
      <c r="I679">
        <v>161</v>
      </c>
      <c r="J679">
        <v>161</v>
      </c>
      <c r="K679" t="s">
        <v>1362</v>
      </c>
      <c r="L679">
        <v>1</v>
      </c>
      <c r="M679">
        <v>161</v>
      </c>
      <c r="N679">
        <v>304</v>
      </c>
      <c r="O679">
        <v>161.5</v>
      </c>
      <c r="P679">
        <v>1</v>
      </c>
      <c r="Q679">
        <v>37.36</v>
      </c>
    </row>
    <row r="680" spans="2:17">
      <c r="B680">
        <v>2352</v>
      </c>
      <c r="C680" t="s">
        <v>1983</v>
      </c>
      <c r="D680" s="3">
        <v>3911390</v>
      </c>
      <c r="E680" s="3">
        <v>2001</v>
      </c>
      <c r="F680" s="3">
        <v>118431883</v>
      </c>
      <c r="G680">
        <v>30.35</v>
      </c>
      <c r="H680">
        <v>30.45</v>
      </c>
      <c r="I680">
        <v>30.2</v>
      </c>
      <c r="J680">
        <v>30.25</v>
      </c>
      <c r="K680" t="s">
        <v>1328</v>
      </c>
      <c r="L680">
        <v>0</v>
      </c>
      <c r="M680">
        <v>30.25</v>
      </c>
      <c r="N680">
        <v>73</v>
      </c>
      <c r="O680">
        <v>30.3</v>
      </c>
      <c r="P680">
        <v>212</v>
      </c>
      <c r="Q680">
        <v>6.56</v>
      </c>
    </row>
    <row r="681" spans="2:17">
      <c r="B681">
        <v>2353</v>
      </c>
      <c r="C681" t="s">
        <v>1984</v>
      </c>
      <c r="D681" s="3">
        <v>10946184</v>
      </c>
      <c r="E681" s="3">
        <v>4384</v>
      </c>
      <c r="F681" s="3">
        <v>329149656</v>
      </c>
      <c r="G681">
        <v>30</v>
      </c>
      <c r="H681">
        <v>30.2</v>
      </c>
      <c r="I681">
        <v>29.95</v>
      </c>
      <c r="J681">
        <v>30.15</v>
      </c>
      <c r="K681" t="s">
        <v>1362</v>
      </c>
      <c r="L681">
        <v>0.25</v>
      </c>
      <c r="M681">
        <v>30.1</v>
      </c>
      <c r="N681">
        <v>145</v>
      </c>
      <c r="O681">
        <v>30.15</v>
      </c>
      <c r="P681">
        <v>529</v>
      </c>
      <c r="Q681">
        <v>8.49</v>
      </c>
    </row>
    <row r="682" spans="2:17">
      <c r="B682">
        <v>2354</v>
      </c>
      <c r="C682" t="s">
        <v>1985</v>
      </c>
      <c r="D682" s="3">
        <v>1494858</v>
      </c>
      <c r="E682" s="3">
        <v>1025</v>
      </c>
      <c r="F682" s="3">
        <v>97016168</v>
      </c>
      <c r="G682">
        <v>65.099999999999994</v>
      </c>
      <c r="H682">
        <v>65.2</v>
      </c>
      <c r="I682">
        <v>64.7</v>
      </c>
      <c r="J682">
        <v>65</v>
      </c>
      <c r="K682" t="s">
        <v>1328</v>
      </c>
      <c r="L682">
        <v>0</v>
      </c>
      <c r="M682">
        <v>64.900000000000006</v>
      </c>
      <c r="N682">
        <v>1</v>
      </c>
      <c r="O682">
        <v>65</v>
      </c>
      <c r="P682">
        <v>116</v>
      </c>
      <c r="Q682">
        <v>19.399999999999999</v>
      </c>
    </row>
    <row r="683" spans="2:17">
      <c r="B683">
        <v>2355</v>
      </c>
      <c r="C683" t="s">
        <v>1986</v>
      </c>
      <c r="D683" s="3">
        <v>11805760</v>
      </c>
      <c r="E683" s="3">
        <v>6717</v>
      </c>
      <c r="F683" s="3">
        <v>446462175</v>
      </c>
      <c r="G683">
        <v>38.450000000000003</v>
      </c>
      <c r="H683">
        <v>38.799999999999997</v>
      </c>
      <c r="I683">
        <v>37.35</v>
      </c>
      <c r="J683">
        <v>37.4</v>
      </c>
      <c r="K683" t="s">
        <v>1</v>
      </c>
      <c r="L683">
        <v>1</v>
      </c>
      <c r="M683">
        <v>37.4</v>
      </c>
      <c r="N683">
        <v>12</v>
      </c>
      <c r="O683">
        <v>37.450000000000003</v>
      </c>
      <c r="P683">
        <v>3</v>
      </c>
      <c r="Q683">
        <v>32.81</v>
      </c>
    </row>
    <row r="684" spans="2:17">
      <c r="B684">
        <v>2356</v>
      </c>
      <c r="C684" t="s">
        <v>1987</v>
      </c>
      <c r="D684" s="3">
        <v>3342880</v>
      </c>
      <c r="E684" s="3">
        <v>1550</v>
      </c>
      <c r="F684" s="3">
        <v>83501727</v>
      </c>
      <c r="G684">
        <v>25</v>
      </c>
      <c r="H684">
        <v>25.05</v>
      </c>
      <c r="I684">
        <v>24.9</v>
      </c>
      <c r="J684">
        <v>25</v>
      </c>
      <c r="K684" t="s">
        <v>1328</v>
      </c>
      <c r="L684">
        <v>0</v>
      </c>
      <c r="M684">
        <v>24.95</v>
      </c>
      <c r="N684">
        <v>281</v>
      </c>
      <c r="O684">
        <v>25</v>
      </c>
      <c r="P684">
        <v>29</v>
      </c>
      <c r="Q684">
        <v>14.97</v>
      </c>
    </row>
    <row r="685" spans="2:17">
      <c r="B685">
        <v>2357</v>
      </c>
      <c r="C685" t="s">
        <v>1988</v>
      </c>
      <c r="D685" s="3">
        <v>1390630</v>
      </c>
      <c r="E685" s="3">
        <v>1508</v>
      </c>
      <c r="F685" s="3">
        <v>518518192</v>
      </c>
      <c r="G685">
        <v>373.5</v>
      </c>
      <c r="H685">
        <v>374</v>
      </c>
      <c r="I685">
        <v>372</v>
      </c>
      <c r="J685">
        <v>373.5</v>
      </c>
      <c r="K685" t="s">
        <v>1362</v>
      </c>
      <c r="L685">
        <v>1</v>
      </c>
      <c r="M685">
        <v>373</v>
      </c>
      <c r="N685">
        <v>11</v>
      </c>
      <c r="O685">
        <v>373.5</v>
      </c>
      <c r="P685">
        <v>33</v>
      </c>
      <c r="Q685">
        <v>6.55</v>
      </c>
    </row>
    <row r="686" spans="2:17">
      <c r="B686">
        <v>2358</v>
      </c>
      <c r="C686" t="s">
        <v>1989</v>
      </c>
      <c r="D686" s="3">
        <v>1838381</v>
      </c>
      <c r="E686" s="3">
        <v>1005</v>
      </c>
      <c r="F686" s="3">
        <v>41841627</v>
      </c>
      <c r="G686">
        <v>22.55</v>
      </c>
      <c r="H686">
        <v>23.15</v>
      </c>
      <c r="I686">
        <v>22.3</v>
      </c>
      <c r="J686">
        <v>22.85</v>
      </c>
      <c r="K686" t="s">
        <v>1362</v>
      </c>
      <c r="L686">
        <v>0.6</v>
      </c>
      <c r="M686">
        <v>22.85</v>
      </c>
      <c r="N686">
        <v>1</v>
      </c>
      <c r="O686">
        <v>22.9</v>
      </c>
      <c r="P686">
        <v>57</v>
      </c>
      <c r="Q686">
        <v>33.119999999999997</v>
      </c>
    </row>
    <row r="687" spans="2:17">
      <c r="B687">
        <v>2359</v>
      </c>
      <c r="C687" t="s">
        <v>1990</v>
      </c>
      <c r="D687" s="3">
        <v>3718199</v>
      </c>
      <c r="E687" s="3">
        <v>1887</v>
      </c>
      <c r="F687" s="3">
        <v>73053615</v>
      </c>
      <c r="G687">
        <v>19.5</v>
      </c>
      <c r="H687">
        <v>19.899999999999999</v>
      </c>
      <c r="I687">
        <v>19.3</v>
      </c>
      <c r="J687">
        <v>19.8</v>
      </c>
      <c r="K687" t="s">
        <v>1362</v>
      </c>
      <c r="L687">
        <v>0.4</v>
      </c>
      <c r="M687">
        <v>19.75</v>
      </c>
      <c r="N687">
        <v>35</v>
      </c>
      <c r="O687">
        <v>19.8</v>
      </c>
      <c r="P687">
        <v>35</v>
      </c>
      <c r="Q687">
        <v>40.409999999999997</v>
      </c>
    </row>
    <row r="688" spans="2:17">
      <c r="B688">
        <v>2360</v>
      </c>
      <c r="C688" t="s">
        <v>1991</v>
      </c>
      <c r="D688" s="3">
        <v>241967</v>
      </c>
      <c r="E688">
        <v>801</v>
      </c>
      <c r="F688" s="3">
        <v>49503400</v>
      </c>
      <c r="G688">
        <v>207.5</v>
      </c>
      <c r="H688">
        <v>207.5</v>
      </c>
      <c r="I688">
        <v>202.5</v>
      </c>
      <c r="J688">
        <v>205.5</v>
      </c>
      <c r="K688" t="s">
        <v>1</v>
      </c>
      <c r="L688">
        <v>2</v>
      </c>
      <c r="M688">
        <v>203.5</v>
      </c>
      <c r="N688">
        <v>1</v>
      </c>
      <c r="O688">
        <v>205.5</v>
      </c>
      <c r="P688">
        <v>1</v>
      </c>
      <c r="Q688">
        <v>20.51</v>
      </c>
    </row>
    <row r="689" spans="2:17">
      <c r="B689">
        <v>2362</v>
      </c>
      <c r="C689" t="s">
        <v>1992</v>
      </c>
      <c r="D689" s="3">
        <v>1034751</v>
      </c>
      <c r="E689">
        <v>660</v>
      </c>
      <c r="F689" s="3">
        <v>34112008</v>
      </c>
      <c r="G689">
        <v>33.549999999999997</v>
      </c>
      <c r="H689">
        <v>33.549999999999997</v>
      </c>
      <c r="I689">
        <v>32.700000000000003</v>
      </c>
      <c r="J689">
        <v>32.799999999999997</v>
      </c>
      <c r="K689" t="s">
        <v>1</v>
      </c>
      <c r="L689">
        <v>0.8</v>
      </c>
      <c r="M689">
        <v>32.75</v>
      </c>
      <c r="N689">
        <v>23</v>
      </c>
      <c r="O689">
        <v>32.85</v>
      </c>
      <c r="P689">
        <v>5</v>
      </c>
      <c r="Q689">
        <v>12.57</v>
      </c>
    </row>
    <row r="690" spans="2:17">
      <c r="B690">
        <v>2363</v>
      </c>
      <c r="C690" t="s">
        <v>1993</v>
      </c>
      <c r="D690" s="3">
        <v>9038066</v>
      </c>
      <c r="E690" s="3">
        <v>4712</v>
      </c>
      <c r="F690" s="3">
        <v>235152357</v>
      </c>
      <c r="G690">
        <v>26.1</v>
      </c>
      <c r="H690">
        <v>26.25</v>
      </c>
      <c r="I690">
        <v>25.8</v>
      </c>
      <c r="J690">
        <v>25.8</v>
      </c>
      <c r="K690" t="s">
        <v>1328</v>
      </c>
      <c r="L690">
        <v>0</v>
      </c>
      <c r="M690">
        <v>25.8</v>
      </c>
      <c r="N690">
        <v>56</v>
      </c>
      <c r="O690">
        <v>25.85</v>
      </c>
      <c r="P690">
        <v>4</v>
      </c>
      <c r="Q690">
        <v>143.33000000000001</v>
      </c>
    </row>
    <row r="691" spans="2:17">
      <c r="B691">
        <v>2364</v>
      </c>
      <c r="C691" t="s">
        <v>2837</v>
      </c>
      <c r="D691" s="3">
        <v>9451</v>
      </c>
      <c r="E691">
        <v>30</v>
      </c>
      <c r="F691" s="3">
        <v>177656</v>
      </c>
      <c r="G691">
        <v>18.75</v>
      </c>
      <c r="H691">
        <v>18.95</v>
      </c>
      <c r="I691">
        <v>18.7</v>
      </c>
      <c r="J691">
        <v>18.95</v>
      </c>
      <c r="K691" t="s">
        <v>1362</v>
      </c>
      <c r="L691">
        <v>0.15</v>
      </c>
      <c r="M691">
        <v>18.8</v>
      </c>
      <c r="N691">
        <v>4</v>
      </c>
      <c r="O691">
        <v>18.899999999999999</v>
      </c>
      <c r="P691">
        <v>1</v>
      </c>
      <c r="Q691">
        <v>14.25</v>
      </c>
    </row>
    <row r="692" spans="2:17">
      <c r="B692">
        <v>2365</v>
      </c>
      <c r="C692" t="s">
        <v>1994</v>
      </c>
      <c r="D692" s="3">
        <v>28458093</v>
      </c>
      <c r="E692" s="3">
        <v>6513</v>
      </c>
      <c r="F692" s="3">
        <v>369370446</v>
      </c>
      <c r="G692">
        <v>12.05</v>
      </c>
      <c r="H692">
        <v>13.2</v>
      </c>
      <c r="I692">
        <v>12.05</v>
      </c>
      <c r="J692">
        <v>13.2</v>
      </c>
      <c r="K692" t="s">
        <v>1362</v>
      </c>
      <c r="L692">
        <v>1.2</v>
      </c>
      <c r="M692">
        <v>13.2</v>
      </c>
      <c r="N692" s="3">
        <v>8223</v>
      </c>
      <c r="O692" t="s">
        <v>1391</v>
      </c>
      <c r="P692">
        <v>0</v>
      </c>
      <c r="Q692">
        <v>41.25</v>
      </c>
    </row>
    <row r="693" spans="2:17">
      <c r="B693">
        <v>2367</v>
      </c>
      <c r="C693" t="s">
        <v>1995</v>
      </c>
      <c r="D693" s="3">
        <v>5227120</v>
      </c>
      <c r="E693" s="3">
        <v>2146</v>
      </c>
      <c r="F693" s="3">
        <v>104962238</v>
      </c>
      <c r="G693">
        <v>20.149999999999999</v>
      </c>
      <c r="H693">
        <v>20.3</v>
      </c>
      <c r="I693">
        <v>19.95</v>
      </c>
      <c r="J693">
        <v>19.95</v>
      </c>
      <c r="K693" t="s">
        <v>1</v>
      </c>
      <c r="L693">
        <v>0.1</v>
      </c>
      <c r="M693">
        <v>19.95</v>
      </c>
      <c r="N693">
        <v>98</v>
      </c>
      <c r="O693">
        <v>20</v>
      </c>
      <c r="P693">
        <v>98</v>
      </c>
      <c r="Q693">
        <v>0</v>
      </c>
    </row>
    <row r="694" spans="2:17">
      <c r="B694">
        <v>2368</v>
      </c>
      <c r="C694" t="s">
        <v>1996</v>
      </c>
      <c r="D694" s="3">
        <v>18956774</v>
      </c>
      <c r="E694" s="3">
        <v>10959</v>
      </c>
      <c r="F694" s="3">
        <v>1437545631</v>
      </c>
      <c r="G694">
        <v>77.7</v>
      </c>
      <c r="H694">
        <v>77.7</v>
      </c>
      <c r="I694">
        <v>75.2</v>
      </c>
      <c r="J694">
        <v>75.3</v>
      </c>
      <c r="K694" t="s">
        <v>1</v>
      </c>
      <c r="L694">
        <v>1.5</v>
      </c>
      <c r="M694">
        <v>75.2</v>
      </c>
      <c r="N694">
        <v>406</v>
      </c>
      <c r="O694">
        <v>75.3</v>
      </c>
      <c r="P694">
        <v>198</v>
      </c>
      <c r="Q694">
        <v>16.510000000000002</v>
      </c>
    </row>
    <row r="695" spans="2:17">
      <c r="B695">
        <v>2369</v>
      </c>
      <c r="C695" t="s">
        <v>1997</v>
      </c>
      <c r="D695" s="3">
        <v>7224450</v>
      </c>
      <c r="E695" s="3">
        <v>3042</v>
      </c>
      <c r="F695" s="3">
        <v>195710731</v>
      </c>
      <c r="G695">
        <v>27.2</v>
      </c>
      <c r="H695">
        <v>27.45</v>
      </c>
      <c r="I695">
        <v>26.85</v>
      </c>
      <c r="J695">
        <v>26.85</v>
      </c>
      <c r="K695" t="s">
        <v>1</v>
      </c>
      <c r="L695">
        <v>0.15</v>
      </c>
      <c r="M695">
        <v>26.85</v>
      </c>
      <c r="N695">
        <v>107</v>
      </c>
      <c r="O695">
        <v>26.9</v>
      </c>
      <c r="P695">
        <v>1</v>
      </c>
      <c r="Q695">
        <v>18.52</v>
      </c>
    </row>
    <row r="696" spans="2:17">
      <c r="B696">
        <v>2371</v>
      </c>
      <c r="C696" t="s">
        <v>1998</v>
      </c>
      <c r="D696" s="3">
        <v>24355644</v>
      </c>
      <c r="E696" s="3">
        <v>6490</v>
      </c>
      <c r="F696" s="3">
        <v>788532785</v>
      </c>
      <c r="G696">
        <v>32.5</v>
      </c>
      <c r="H696">
        <v>32.6</v>
      </c>
      <c r="I696">
        <v>32.200000000000003</v>
      </c>
      <c r="J696">
        <v>32.25</v>
      </c>
      <c r="K696" t="s">
        <v>1</v>
      </c>
      <c r="L696">
        <v>0.05</v>
      </c>
      <c r="M696">
        <v>32.200000000000003</v>
      </c>
      <c r="N696">
        <v>373</v>
      </c>
      <c r="O696">
        <v>32.25</v>
      </c>
      <c r="P696">
        <v>1</v>
      </c>
      <c r="Q696">
        <v>403.12</v>
      </c>
    </row>
    <row r="697" spans="2:17">
      <c r="B697">
        <v>2373</v>
      </c>
      <c r="C697" t="s">
        <v>1999</v>
      </c>
      <c r="D697" s="3">
        <v>20187</v>
      </c>
      <c r="E697">
        <v>40</v>
      </c>
      <c r="F697" s="3">
        <v>1816089</v>
      </c>
      <c r="G697">
        <v>90</v>
      </c>
      <c r="H697">
        <v>90</v>
      </c>
      <c r="I697">
        <v>89.8</v>
      </c>
      <c r="J697">
        <v>90</v>
      </c>
      <c r="K697" t="s">
        <v>1328</v>
      </c>
      <c r="L697">
        <v>0</v>
      </c>
      <c r="M697">
        <v>89.8</v>
      </c>
      <c r="N697">
        <v>3</v>
      </c>
      <c r="O697">
        <v>90</v>
      </c>
      <c r="P697">
        <v>5</v>
      </c>
      <c r="Q697">
        <v>14.2</v>
      </c>
    </row>
    <row r="698" spans="2:17">
      <c r="B698">
        <v>2374</v>
      </c>
      <c r="C698" t="s">
        <v>2000</v>
      </c>
      <c r="D698" s="3">
        <v>90333442</v>
      </c>
      <c r="E698" s="3">
        <v>38081</v>
      </c>
      <c r="F698" s="3">
        <v>2884362913</v>
      </c>
      <c r="G698">
        <v>30.55</v>
      </c>
      <c r="H698">
        <v>33.049999999999997</v>
      </c>
      <c r="I698">
        <v>29.85</v>
      </c>
      <c r="J698">
        <v>33.049999999999997</v>
      </c>
      <c r="K698" t="s">
        <v>1362</v>
      </c>
      <c r="L698">
        <v>3</v>
      </c>
      <c r="M698">
        <v>33.049999999999997</v>
      </c>
      <c r="N698" s="3">
        <v>82955</v>
      </c>
      <c r="O698" t="s">
        <v>1391</v>
      </c>
      <c r="P698">
        <v>0</v>
      </c>
      <c r="Q698">
        <v>14.95</v>
      </c>
    </row>
    <row r="699" spans="2:17">
      <c r="B699">
        <v>2375</v>
      </c>
      <c r="C699" t="s">
        <v>2001</v>
      </c>
      <c r="D699" s="3">
        <v>2147852</v>
      </c>
      <c r="E699" s="3">
        <v>1749</v>
      </c>
      <c r="F699" s="3">
        <v>212793762</v>
      </c>
      <c r="G699">
        <v>100</v>
      </c>
      <c r="H699">
        <v>100.5</v>
      </c>
      <c r="I699">
        <v>98.5</v>
      </c>
      <c r="J699">
        <v>99.3</v>
      </c>
      <c r="K699" t="s">
        <v>1328</v>
      </c>
      <c r="L699">
        <v>0</v>
      </c>
      <c r="M699">
        <v>99.1</v>
      </c>
      <c r="N699">
        <v>2</v>
      </c>
      <c r="O699">
        <v>99.3</v>
      </c>
      <c r="P699">
        <v>16</v>
      </c>
      <c r="Q699">
        <v>11.86</v>
      </c>
    </row>
    <row r="700" spans="2:17">
      <c r="B700">
        <v>2376</v>
      </c>
      <c r="C700" t="s">
        <v>2002</v>
      </c>
      <c r="D700" s="3">
        <v>4724694</v>
      </c>
      <c r="E700" s="3">
        <v>2975</v>
      </c>
      <c r="F700" s="3">
        <v>739469234</v>
      </c>
      <c r="G700">
        <v>157</v>
      </c>
      <c r="H700">
        <v>158</v>
      </c>
      <c r="I700">
        <v>155.5</v>
      </c>
      <c r="J700">
        <v>156.5</v>
      </c>
      <c r="K700" t="s">
        <v>1362</v>
      </c>
      <c r="L700">
        <v>1.5</v>
      </c>
      <c r="M700">
        <v>156.5</v>
      </c>
      <c r="N700">
        <v>70</v>
      </c>
      <c r="O700">
        <v>157</v>
      </c>
      <c r="P700">
        <v>12</v>
      </c>
      <c r="Q700">
        <v>9.2200000000000006</v>
      </c>
    </row>
    <row r="701" spans="2:17">
      <c r="B701">
        <v>2377</v>
      </c>
      <c r="C701" t="s">
        <v>2003</v>
      </c>
      <c r="D701" s="3">
        <v>5199465</v>
      </c>
      <c r="E701" s="3">
        <v>3672</v>
      </c>
      <c r="F701" s="3">
        <v>852641170</v>
      </c>
      <c r="G701">
        <v>162</v>
      </c>
      <c r="H701">
        <v>165.5</v>
      </c>
      <c r="I701">
        <v>162</v>
      </c>
      <c r="J701">
        <v>165.5</v>
      </c>
      <c r="K701" t="s">
        <v>1362</v>
      </c>
      <c r="L701">
        <v>5.5</v>
      </c>
      <c r="M701">
        <v>165</v>
      </c>
      <c r="N701">
        <v>13</v>
      </c>
      <c r="O701">
        <v>165.5</v>
      </c>
      <c r="P701">
        <v>12</v>
      </c>
      <c r="Q701">
        <v>9.3000000000000007</v>
      </c>
    </row>
    <row r="702" spans="2:17">
      <c r="B702">
        <v>2379</v>
      </c>
      <c r="C702" t="s">
        <v>2004</v>
      </c>
      <c r="D702" s="3">
        <v>916325</v>
      </c>
      <c r="E702" s="3">
        <v>1284</v>
      </c>
      <c r="F702" s="3">
        <v>533674320</v>
      </c>
      <c r="G702">
        <v>578</v>
      </c>
      <c r="H702">
        <v>585</v>
      </c>
      <c r="I702">
        <v>577</v>
      </c>
      <c r="J702">
        <v>583</v>
      </c>
      <c r="K702" t="s">
        <v>1362</v>
      </c>
      <c r="L702">
        <v>7</v>
      </c>
      <c r="M702">
        <v>582</v>
      </c>
      <c r="N702">
        <v>5</v>
      </c>
      <c r="O702">
        <v>583</v>
      </c>
      <c r="P702">
        <v>6</v>
      </c>
      <c r="Q702">
        <v>20.02</v>
      </c>
    </row>
    <row r="703" spans="2:17">
      <c r="B703">
        <v>2380</v>
      </c>
      <c r="C703" t="s">
        <v>2005</v>
      </c>
      <c r="D703" s="3">
        <v>2952647</v>
      </c>
      <c r="E703" s="3">
        <v>1327</v>
      </c>
      <c r="F703" s="3">
        <v>47624903</v>
      </c>
      <c r="G703">
        <v>16</v>
      </c>
      <c r="H703">
        <v>16.45</v>
      </c>
      <c r="I703">
        <v>15.8</v>
      </c>
      <c r="J703">
        <v>16</v>
      </c>
      <c r="K703" t="s">
        <v>1328</v>
      </c>
      <c r="L703">
        <v>0</v>
      </c>
      <c r="M703">
        <v>16</v>
      </c>
      <c r="N703">
        <v>284</v>
      </c>
      <c r="O703">
        <v>16.05</v>
      </c>
      <c r="P703">
        <v>5</v>
      </c>
      <c r="Q703">
        <v>0</v>
      </c>
    </row>
    <row r="704" spans="2:17">
      <c r="B704">
        <v>2382</v>
      </c>
      <c r="C704" t="s">
        <v>2006</v>
      </c>
      <c r="D704" s="3">
        <v>20828467</v>
      </c>
      <c r="E704" s="3">
        <v>15090</v>
      </c>
      <c r="F704" s="3">
        <v>1954851526</v>
      </c>
      <c r="G704">
        <v>92.5</v>
      </c>
      <c r="H704">
        <v>94.8</v>
      </c>
      <c r="I704">
        <v>92.5</v>
      </c>
      <c r="J704">
        <v>94.7</v>
      </c>
      <c r="K704" t="s">
        <v>1362</v>
      </c>
      <c r="L704">
        <v>3.3</v>
      </c>
      <c r="M704">
        <v>94.6</v>
      </c>
      <c r="N704">
        <v>9</v>
      </c>
      <c r="O704">
        <v>94.7</v>
      </c>
      <c r="P704">
        <v>90</v>
      </c>
      <c r="Q704">
        <v>11.06</v>
      </c>
    </row>
    <row r="705" spans="2:17">
      <c r="B705">
        <v>2383</v>
      </c>
      <c r="C705" t="s">
        <v>2007</v>
      </c>
      <c r="D705" s="3">
        <v>950119</v>
      </c>
      <c r="E705" s="3">
        <v>1063</v>
      </c>
      <c r="F705" s="3">
        <v>263313642</v>
      </c>
      <c r="G705">
        <v>277.5</v>
      </c>
      <c r="H705">
        <v>279</v>
      </c>
      <c r="I705">
        <v>275.5</v>
      </c>
      <c r="J705">
        <v>277.5</v>
      </c>
      <c r="K705" t="s">
        <v>1328</v>
      </c>
      <c r="L705">
        <v>0</v>
      </c>
      <c r="M705">
        <v>277.5</v>
      </c>
      <c r="N705">
        <v>10</v>
      </c>
      <c r="O705">
        <v>278</v>
      </c>
      <c r="P705">
        <v>1</v>
      </c>
      <c r="Q705">
        <v>18.559999999999999</v>
      </c>
    </row>
    <row r="706" spans="2:17">
      <c r="B706">
        <v>2385</v>
      </c>
      <c r="C706" t="s">
        <v>2008</v>
      </c>
      <c r="D706" s="3">
        <v>1232274</v>
      </c>
      <c r="E706" s="3">
        <v>1229</v>
      </c>
      <c r="F706" s="3">
        <v>101425504</v>
      </c>
      <c r="G706">
        <v>82.4</v>
      </c>
      <c r="H706">
        <v>82.6</v>
      </c>
      <c r="I706">
        <v>81.900000000000006</v>
      </c>
      <c r="J706">
        <v>82.3</v>
      </c>
      <c r="K706" t="s">
        <v>1</v>
      </c>
      <c r="L706">
        <v>0.1</v>
      </c>
      <c r="M706">
        <v>82.2</v>
      </c>
      <c r="N706">
        <v>75</v>
      </c>
      <c r="O706">
        <v>82.3</v>
      </c>
      <c r="P706">
        <v>11</v>
      </c>
      <c r="Q706">
        <v>10.15</v>
      </c>
    </row>
    <row r="707" spans="2:17">
      <c r="B707">
        <v>2387</v>
      </c>
      <c r="C707" t="s">
        <v>2009</v>
      </c>
      <c r="D707" s="3">
        <v>2042052</v>
      </c>
      <c r="E707" s="3">
        <v>1295</v>
      </c>
      <c r="F707" s="3">
        <v>94428588</v>
      </c>
      <c r="G707">
        <v>45.2</v>
      </c>
      <c r="H707">
        <v>46.95</v>
      </c>
      <c r="I707">
        <v>45.2</v>
      </c>
      <c r="J707">
        <v>46.6</v>
      </c>
      <c r="K707" t="s">
        <v>1362</v>
      </c>
      <c r="L707">
        <v>1.7</v>
      </c>
      <c r="M707">
        <v>46.6</v>
      </c>
      <c r="N707">
        <v>3</v>
      </c>
      <c r="O707">
        <v>46.65</v>
      </c>
      <c r="P707">
        <v>13</v>
      </c>
      <c r="Q707">
        <v>7.29</v>
      </c>
    </row>
    <row r="708" spans="2:17">
      <c r="B708">
        <v>2388</v>
      </c>
      <c r="C708" t="s">
        <v>2010</v>
      </c>
      <c r="D708" s="3">
        <v>11294464</v>
      </c>
      <c r="E708" s="3">
        <v>7436</v>
      </c>
      <c r="F708" s="3">
        <v>987294910</v>
      </c>
      <c r="G708">
        <v>89.7</v>
      </c>
      <c r="H708">
        <v>89.8</v>
      </c>
      <c r="I708">
        <v>85.6</v>
      </c>
      <c r="J708">
        <v>86.6</v>
      </c>
      <c r="K708" t="s">
        <v>1</v>
      </c>
      <c r="L708">
        <v>2.4</v>
      </c>
      <c r="M708">
        <v>86.5</v>
      </c>
      <c r="N708">
        <v>171</v>
      </c>
      <c r="O708">
        <v>86.7</v>
      </c>
      <c r="P708">
        <v>8</v>
      </c>
      <c r="Q708">
        <v>7.51</v>
      </c>
    </row>
    <row r="709" spans="2:17">
      <c r="B709">
        <v>2390</v>
      </c>
      <c r="C709" t="s">
        <v>2011</v>
      </c>
      <c r="D709" s="3">
        <v>2676036</v>
      </c>
      <c r="E709" s="3">
        <v>1228</v>
      </c>
      <c r="F709" s="3">
        <v>60748025</v>
      </c>
      <c r="G709">
        <v>22.3</v>
      </c>
      <c r="H709">
        <v>22.9</v>
      </c>
      <c r="I709">
        <v>22.3</v>
      </c>
      <c r="J709">
        <v>22.65</v>
      </c>
      <c r="K709" t="s">
        <v>1362</v>
      </c>
      <c r="L709">
        <v>0.4</v>
      </c>
      <c r="M709">
        <v>22.65</v>
      </c>
      <c r="N709">
        <v>32</v>
      </c>
      <c r="O709">
        <v>22.7</v>
      </c>
      <c r="P709">
        <v>32</v>
      </c>
      <c r="Q709">
        <v>3.56</v>
      </c>
    </row>
    <row r="710" spans="2:17">
      <c r="B710">
        <v>2392</v>
      </c>
      <c r="C710" t="s">
        <v>2012</v>
      </c>
      <c r="D710" s="3">
        <v>583161</v>
      </c>
      <c r="E710">
        <v>593</v>
      </c>
      <c r="F710" s="3">
        <v>22963906</v>
      </c>
      <c r="G710">
        <v>39.6</v>
      </c>
      <c r="H710">
        <v>39.6</v>
      </c>
      <c r="I710">
        <v>39.25</v>
      </c>
      <c r="J710">
        <v>39.4</v>
      </c>
      <c r="K710" t="s">
        <v>1328</v>
      </c>
      <c r="L710">
        <v>0</v>
      </c>
      <c r="M710">
        <v>39.35</v>
      </c>
      <c r="N710">
        <v>19</v>
      </c>
      <c r="O710">
        <v>39.4</v>
      </c>
      <c r="P710">
        <v>5</v>
      </c>
      <c r="Q710">
        <v>15.89</v>
      </c>
    </row>
    <row r="711" spans="2:17">
      <c r="B711">
        <v>2393</v>
      </c>
      <c r="C711" t="s">
        <v>2013</v>
      </c>
      <c r="D711" s="3">
        <v>2187853</v>
      </c>
      <c r="E711" s="3">
        <v>1971</v>
      </c>
      <c r="F711" s="3">
        <v>115312367</v>
      </c>
      <c r="G711">
        <v>53</v>
      </c>
      <c r="H711">
        <v>53.2</v>
      </c>
      <c r="I711">
        <v>52.2</v>
      </c>
      <c r="J711">
        <v>52.4</v>
      </c>
      <c r="K711" t="s">
        <v>1</v>
      </c>
      <c r="L711">
        <v>0.1</v>
      </c>
      <c r="M711">
        <v>52.3</v>
      </c>
      <c r="N711">
        <v>45</v>
      </c>
      <c r="O711">
        <v>52.5</v>
      </c>
      <c r="P711">
        <v>39</v>
      </c>
      <c r="Q711">
        <v>11.62</v>
      </c>
    </row>
    <row r="712" spans="2:17">
      <c r="B712">
        <v>2395</v>
      </c>
      <c r="C712" t="s">
        <v>2014</v>
      </c>
      <c r="D712" s="3">
        <v>578228</v>
      </c>
      <c r="E712">
        <v>555</v>
      </c>
      <c r="F712" s="3">
        <v>230140405</v>
      </c>
      <c r="G712">
        <v>399.5</v>
      </c>
      <c r="H712">
        <v>401</v>
      </c>
      <c r="I712">
        <v>395</v>
      </c>
      <c r="J712">
        <v>400</v>
      </c>
      <c r="K712" t="s">
        <v>1362</v>
      </c>
      <c r="L712">
        <v>2</v>
      </c>
      <c r="M712">
        <v>398</v>
      </c>
      <c r="N712">
        <v>10</v>
      </c>
      <c r="O712">
        <v>400</v>
      </c>
      <c r="P712">
        <v>9</v>
      </c>
      <c r="Q712">
        <v>40.28</v>
      </c>
    </row>
    <row r="713" spans="2:17">
      <c r="B713">
        <v>2397</v>
      </c>
      <c r="C713" t="s">
        <v>2015</v>
      </c>
      <c r="D713" s="3">
        <v>31121</v>
      </c>
      <c r="E713">
        <v>24</v>
      </c>
      <c r="F713" s="3">
        <v>1876068</v>
      </c>
      <c r="G713">
        <v>60.4</v>
      </c>
      <c r="H713">
        <v>60.4</v>
      </c>
      <c r="I713">
        <v>60.1</v>
      </c>
      <c r="J713">
        <v>60.1</v>
      </c>
      <c r="K713" t="s">
        <v>1</v>
      </c>
      <c r="L713">
        <v>0.2</v>
      </c>
      <c r="M713">
        <v>60</v>
      </c>
      <c r="N713">
        <v>12</v>
      </c>
      <c r="O713">
        <v>60.2</v>
      </c>
      <c r="P713">
        <v>1</v>
      </c>
      <c r="Q713">
        <v>24.83</v>
      </c>
    </row>
    <row r="714" spans="2:17">
      <c r="B714">
        <v>2399</v>
      </c>
      <c r="C714" t="s">
        <v>2016</v>
      </c>
      <c r="D714" s="3">
        <v>17752258</v>
      </c>
      <c r="E714" s="3">
        <v>8652</v>
      </c>
      <c r="F714" s="3">
        <v>475274014</v>
      </c>
      <c r="G714">
        <v>27.95</v>
      </c>
      <c r="H714">
        <v>28</v>
      </c>
      <c r="I714">
        <v>25.8</v>
      </c>
      <c r="J714">
        <v>26</v>
      </c>
      <c r="K714" t="s">
        <v>1</v>
      </c>
      <c r="L714">
        <v>1</v>
      </c>
      <c r="M714">
        <v>25.95</v>
      </c>
      <c r="N714">
        <v>127</v>
      </c>
      <c r="O714">
        <v>26</v>
      </c>
      <c r="P714">
        <v>31</v>
      </c>
      <c r="Q714">
        <v>14.86</v>
      </c>
    </row>
    <row r="715" spans="2:17">
      <c r="B715">
        <v>2401</v>
      </c>
      <c r="C715" t="s">
        <v>2017</v>
      </c>
      <c r="D715" s="3">
        <v>5021572</v>
      </c>
      <c r="E715" s="3">
        <v>2740</v>
      </c>
      <c r="F715" s="3">
        <v>195440642</v>
      </c>
      <c r="G715">
        <v>39.15</v>
      </c>
      <c r="H715">
        <v>39.25</v>
      </c>
      <c r="I715">
        <v>38.549999999999997</v>
      </c>
      <c r="J715">
        <v>39</v>
      </c>
      <c r="K715" t="s">
        <v>1362</v>
      </c>
      <c r="L715">
        <v>0.15</v>
      </c>
      <c r="M715">
        <v>38.950000000000003</v>
      </c>
      <c r="N715">
        <v>48</v>
      </c>
      <c r="O715">
        <v>39</v>
      </c>
      <c r="P715">
        <v>39</v>
      </c>
      <c r="Q715">
        <v>23.08</v>
      </c>
    </row>
    <row r="716" spans="2:17">
      <c r="B716">
        <v>2402</v>
      </c>
      <c r="C716" t="s">
        <v>2018</v>
      </c>
      <c r="D716" s="3">
        <v>1043003</v>
      </c>
      <c r="E716">
        <v>460</v>
      </c>
      <c r="F716" s="3">
        <v>18017701</v>
      </c>
      <c r="G716">
        <v>17.399999999999999</v>
      </c>
      <c r="H716">
        <v>17.45</v>
      </c>
      <c r="I716">
        <v>17.2</v>
      </c>
      <c r="J716">
        <v>17.3</v>
      </c>
      <c r="K716" t="s">
        <v>1</v>
      </c>
      <c r="L716">
        <v>0.05</v>
      </c>
      <c r="M716">
        <v>17.25</v>
      </c>
      <c r="N716">
        <v>33</v>
      </c>
      <c r="O716">
        <v>17.3</v>
      </c>
      <c r="P716">
        <v>23</v>
      </c>
      <c r="Q716">
        <v>23.07</v>
      </c>
    </row>
    <row r="717" spans="2:17">
      <c r="B717">
        <v>2404</v>
      </c>
      <c r="C717" t="s">
        <v>2019</v>
      </c>
      <c r="D717" s="3">
        <v>636564</v>
      </c>
      <c r="E717">
        <v>659</v>
      </c>
      <c r="F717" s="3">
        <v>112660287</v>
      </c>
      <c r="G717">
        <v>178</v>
      </c>
      <c r="H717">
        <v>178</v>
      </c>
      <c r="I717">
        <v>176</v>
      </c>
      <c r="J717">
        <v>177</v>
      </c>
      <c r="K717" t="s">
        <v>1328</v>
      </c>
      <c r="L717">
        <v>0</v>
      </c>
      <c r="M717">
        <v>176.5</v>
      </c>
      <c r="N717">
        <v>20</v>
      </c>
      <c r="O717">
        <v>177</v>
      </c>
      <c r="P717">
        <v>6</v>
      </c>
      <c r="Q717">
        <v>11.81</v>
      </c>
    </row>
    <row r="718" spans="2:17">
      <c r="B718">
        <v>2405</v>
      </c>
      <c r="C718" t="s">
        <v>2020</v>
      </c>
      <c r="D718" s="3">
        <v>10947062</v>
      </c>
      <c r="E718" s="3">
        <v>4093</v>
      </c>
      <c r="F718" s="3">
        <v>209721463</v>
      </c>
      <c r="G718">
        <v>19.95</v>
      </c>
      <c r="H718">
        <v>19.95</v>
      </c>
      <c r="I718">
        <v>18.649999999999999</v>
      </c>
      <c r="J718">
        <v>19.3</v>
      </c>
      <c r="K718" t="s">
        <v>1</v>
      </c>
      <c r="L718">
        <v>0.4</v>
      </c>
      <c r="M718">
        <v>19.3</v>
      </c>
      <c r="N718">
        <v>153</v>
      </c>
      <c r="O718">
        <v>19.350000000000001</v>
      </c>
      <c r="P718">
        <v>51</v>
      </c>
      <c r="Q718">
        <v>66.55</v>
      </c>
    </row>
    <row r="719" spans="2:17">
      <c r="B719">
        <v>2406</v>
      </c>
      <c r="C719" t="s">
        <v>2021</v>
      </c>
      <c r="D719" s="3">
        <v>6772508</v>
      </c>
      <c r="E719" s="3">
        <v>3610</v>
      </c>
      <c r="F719" s="3">
        <v>235045995</v>
      </c>
      <c r="G719">
        <v>35.6</v>
      </c>
      <c r="H719">
        <v>35.6</v>
      </c>
      <c r="I719">
        <v>34</v>
      </c>
      <c r="J719">
        <v>34.299999999999997</v>
      </c>
      <c r="K719" t="s">
        <v>1</v>
      </c>
      <c r="L719">
        <v>0.85</v>
      </c>
      <c r="M719">
        <v>34.299999999999997</v>
      </c>
      <c r="N719">
        <v>757</v>
      </c>
      <c r="O719">
        <v>34.35</v>
      </c>
      <c r="P719">
        <v>16</v>
      </c>
      <c r="Q719">
        <v>87.95</v>
      </c>
    </row>
    <row r="720" spans="2:17">
      <c r="B720">
        <v>2408</v>
      </c>
      <c r="C720" t="s">
        <v>2022</v>
      </c>
      <c r="D720" s="3">
        <v>6473885</v>
      </c>
      <c r="E720" s="3">
        <v>4801</v>
      </c>
      <c r="F720" s="3">
        <v>496078430</v>
      </c>
      <c r="G720">
        <v>76.900000000000006</v>
      </c>
      <c r="H720">
        <v>77</v>
      </c>
      <c r="I720">
        <v>76</v>
      </c>
      <c r="J720">
        <v>76.7</v>
      </c>
      <c r="K720" t="s">
        <v>1362</v>
      </c>
      <c r="L720">
        <v>0.1</v>
      </c>
      <c r="M720">
        <v>76.599999999999994</v>
      </c>
      <c r="N720">
        <v>883</v>
      </c>
      <c r="O720">
        <v>76.7</v>
      </c>
      <c r="P720">
        <v>70</v>
      </c>
      <c r="Q720">
        <v>13.7</v>
      </c>
    </row>
    <row r="721" spans="2:17">
      <c r="B721">
        <v>2409</v>
      </c>
      <c r="C721" t="s">
        <v>2023</v>
      </c>
      <c r="D721" s="3">
        <v>51370173</v>
      </c>
      <c r="E721" s="3">
        <v>13133</v>
      </c>
      <c r="F721" s="3">
        <v>1167730403</v>
      </c>
      <c r="G721">
        <v>22.9</v>
      </c>
      <c r="H721">
        <v>23</v>
      </c>
      <c r="I721">
        <v>22.6</v>
      </c>
      <c r="J721">
        <v>22.65</v>
      </c>
      <c r="K721" t="s">
        <v>1</v>
      </c>
      <c r="L721">
        <v>0.05</v>
      </c>
      <c r="M721">
        <v>22.65</v>
      </c>
      <c r="N721">
        <v>530</v>
      </c>
      <c r="O721">
        <v>22.7</v>
      </c>
      <c r="P721" s="3">
        <v>1152</v>
      </c>
      <c r="Q721">
        <v>3.66</v>
      </c>
    </row>
    <row r="722" spans="2:17">
      <c r="B722">
        <v>2412</v>
      </c>
      <c r="C722" t="s">
        <v>2024</v>
      </c>
      <c r="D722" s="3">
        <v>6137878</v>
      </c>
      <c r="E722" s="3">
        <v>2998</v>
      </c>
      <c r="F722" s="3">
        <v>712477207</v>
      </c>
      <c r="G722">
        <v>116</v>
      </c>
      <c r="H722">
        <v>116.5</v>
      </c>
      <c r="I722">
        <v>115.5</v>
      </c>
      <c r="J722">
        <v>116</v>
      </c>
      <c r="K722" t="s">
        <v>1328</v>
      </c>
      <c r="L722">
        <v>0</v>
      </c>
      <c r="M722">
        <v>116</v>
      </c>
      <c r="N722" s="3">
        <v>1842</v>
      </c>
      <c r="O722">
        <v>116.5</v>
      </c>
      <c r="P722" s="3">
        <v>2099</v>
      </c>
      <c r="Q722">
        <v>25.49</v>
      </c>
    </row>
    <row r="723" spans="2:17">
      <c r="B723">
        <v>2413</v>
      </c>
      <c r="C723" t="s">
        <v>2025</v>
      </c>
      <c r="D723" s="3">
        <v>542242</v>
      </c>
      <c r="E723">
        <v>315</v>
      </c>
      <c r="F723" s="3">
        <v>12262770</v>
      </c>
      <c r="G723">
        <v>22.9</v>
      </c>
      <c r="H723">
        <v>23.05</v>
      </c>
      <c r="I723">
        <v>22.4</v>
      </c>
      <c r="J723">
        <v>22.4</v>
      </c>
      <c r="K723" t="s">
        <v>1</v>
      </c>
      <c r="L723">
        <v>0.3</v>
      </c>
      <c r="M723">
        <v>22.4</v>
      </c>
      <c r="N723">
        <v>31</v>
      </c>
      <c r="O723">
        <v>22.55</v>
      </c>
      <c r="P723">
        <v>2</v>
      </c>
      <c r="Q723">
        <v>280</v>
      </c>
    </row>
    <row r="724" spans="2:17">
      <c r="B724">
        <v>2414</v>
      </c>
      <c r="C724" t="s">
        <v>2026</v>
      </c>
      <c r="D724" s="3">
        <v>143164</v>
      </c>
      <c r="E724">
        <v>139</v>
      </c>
      <c r="F724" s="3">
        <v>5344739</v>
      </c>
      <c r="G724">
        <v>37.25</v>
      </c>
      <c r="H724">
        <v>37.549999999999997</v>
      </c>
      <c r="I724">
        <v>37.25</v>
      </c>
      <c r="J724">
        <v>37.299999999999997</v>
      </c>
      <c r="K724" t="s">
        <v>1362</v>
      </c>
      <c r="L724">
        <v>0.15</v>
      </c>
      <c r="M724">
        <v>37.299999999999997</v>
      </c>
      <c r="N724">
        <v>7</v>
      </c>
      <c r="O724">
        <v>37.450000000000003</v>
      </c>
      <c r="P724">
        <v>6</v>
      </c>
      <c r="Q724">
        <v>11.37</v>
      </c>
    </row>
    <row r="725" spans="2:17">
      <c r="B725">
        <v>2415</v>
      </c>
      <c r="C725" t="s">
        <v>2027</v>
      </c>
      <c r="D725" s="3">
        <v>257408</v>
      </c>
      <c r="E725">
        <v>182</v>
      </c>
      <c r="F725" s="3">
        <v>11198666</v>
      </c>
      <c r="G725">
        <v>44</v>
      </c>
      <c r="H725">
        <v>44.05</v>
      </c>
      <c r="I725">
        <v>43.25</v>
      </c>
      <c r="J725">
        <v>43.35</v>
      </c>
      <c r="K725" t="s">
        <v>1</v>
      </c>
      <c r="L725">
        <v>0.35</v>
      </c>
      <c r="M725">
        <v>43.35</v>
      </c>
      <c r="N725">
        <v>15</v>
      </c>
      <c r="O725">
        <v>43.45</v>
      </c>
      <c r="P725">
        <v>4</v>
      </c>
      <c r="Q725">
        <v>14.26</v>
      </c>
    </row>
    <row r="726" spans="2:17">
      <c r="B726">
        <v>2417</v>
      </c>
      <c r="C726" t="s">
        <v>2842</v>
      </c>
      <c r="D726" s="3">
        <v>25994285</v>
      </c>
      <c r="E726" s="3">
        <v>10227</v>
      </c>
      <c r="F726" s="3">
        <v>867680827</v>
      </c>
      <c r="G726">
        <v>33.4</v>
      </c>
      <c r="H726">
        <v>33.549999999999997</v>
      </c>
      <c r="I726">
        <v>32.799999999999997</v>
      </c>
      <c r="J726">
        <v>33.549999999999997</v>
      </c>
      <c r="K726" t="s">
        <v>1362</v>
      </c>
      <c r="L726">
        <v>3.05</v>
      </c>
      <c r="M726">
        <v>33.549999999999997</v>
      </c>
      <c r="N726" s="3">
        <v>21681</v>
      </c>
      <c r="O726" t="s">
        <v>1391</v>
      </c>
      <c r="P726">
        <v>0</v>
      </c>
      <c r="Q726">
        <v>12.43</v>
      </c>
    </row>
    <row r="727" spans="2:17">
      <c r="B727">
        <v>2419</v>
      </c>
      <c r="C727" t="s">
        <v>2028</v>
      </c>
      <c r="D727" s="3">
        <v>1872278</v>
      </c>
      <c r="E727" s="3">
        <v>1009</v>
      </c>
      <c r="F727" s="3">
        <v>45137847</v>
      </c>
      <c r="G727">
        <v>24.3</v>
      </c>
      <c r="H727">
        <v>24.45</v>
      </c>
      <c r="I727">
        <v>23.85</v>
      </c>
      <c r="J727">
        <v>24.2</v>
      </c>
      <c r="K727" t="s">
        <v>1362</v>
      </c>
      <c r="L727">
        <v>0.1</v>
      </c>
      <c r="M727">
        <v>24.15</v>
      </c>
      <c r="N727">
        <v>4</v>
      </c>
      <c r="O727">
        <v>24.2</v>
      </c>
      <c r="P727">
        <v>1</v>
      </c>
      <c r="Q727">
        <v>49.39</v>
      </c>
    </row>
    <row r="728" spans="2:17">
      <c r="B728">
        <v>2420</v>
      </c>
      <c r="C728" t="s">
        <v>2029</v>
      </c>
      <c r="D728" s="3">
        <v>567494</v>
      </c>
      <c r="E728">
        <v>480</v>
      </c>
      <c r="F728" s="3">
        <v>25373471</v>
      </c>
      <c r="G728">
        <v>44.85</v>
      </c>
      <c r="H728">
        <v>44.95</v>
      </c>
      <c r="I728">
        <v>44.55</v>
      </c>
      <c r="J728">
        <v>44.8</v>
      </c>
      <c r="K728" t="s">
        <v>1</v>
      </c>
      <c r="L728">
        <v>0.05</v>
      </c>
      <c r="M728">
        <v>44.75</v>
      </c>
      <c r="N728">
        <v>2</v>
      </c>
      <c r="O728">
        <v>44.85</v>
      </c>
      <c r="P728">
        <v>10</v>
      </c>
      <c r="Q728">
        <v>12.55</v>
      </c>
    </row>
    <row r="729" spans="2:17">
      <c r="B729">
        <v>2421</v>
      </c>
      <c r="C729" t="s">
        <v>2030</v>
      </c>
      <c r="D729" s="3">
        <v>8023043</v>
      </c>
      <c r="E729" s="3">
        <v>4339</v>
      </c>
      <c r="F729" s="3">
        <v>358259387</v>
      </c>
      <c r="G729">
        <v>42.9</v>
      </c>
      <c r="H729">
        <v>46.6</v>
      </c>
      <c r="I729">
        <v>42.6</v>
      </c>
      <c r="J729">
        <v>46.15</v>
      </c>
      <c r="K729" t="s">
        <v>1362</v>
      </c>
      <c r="L729">
        <v>3.65</v>
      </c>
      <c r="M729">
        <v>46.15</v>
      </c>
      <c r="N729">
        <v>80</v>
      </c>
      <c r="O729">
        <v>46.2</v>
      </c>
      <c r="P729">
        <v>42</v>
      </c>
      <c r="Q729">
        <v>28.31</v>
      </c>
    </row>
    <row r="730" spans="2:17">
      <c r="B730">
        <v>2423</v>
      </c>
      <c r="C730" t="s">
        <v>2031</v>
      </c>
      <c r="D730" s="3">
        <v>509866</v>
      </c>
      <c r="E730">
        <v>383</v>
      </c>
      <c r="F730" s="3">
        <v>14578338</v>
      </c>
      <c r="G730">
        <v>29.3</v>
      </c>
      <c r="H730">
        <v>29.3</v>
      </c>
      <c r="I730">
        <v>28.35</v>
      </c>
      <c r="J730">
        <v>28.35</v>
      </c>
      <c r="K730" t="s">
        <v>1</v>
      </c>
      <c r="L730">
        <v>0.75</v>
      </c>
      <c r="M730">
        <v>28.35</v>
      </c>
      <c r="N730">
        <v>5</v>
      </c>
      <c r="O730">
        <v>28.45</v>
      </c>
      <c r="P730">
        <v>1</v>
      </c>
      <c r="Q730">
        <v>16.29</v>
      </c>
    </row>
    <row r="731" spans="2:17">
      <c r="B731">
        <v>2424</v>
      </c>
      <c r="C731" t="s">
        <v>2032</v>
      </c>
      <c r="D731" s="3">
        <v>4110</v>
      </c>
      <c r="E731">
        <v>11</v>
      </c>
      <c r="F731" s="3">
        <v>84073</v>
      </c>
      <c r="G731">
        <v>20.3</v>
      </c>
      <c r="H731">
        <v>20.6</v>
      </c>
      <c r="I731">
        <v>20.3</v>
      </c>
      <c r="J731">
        <v>20.6</v>
      </c>
      <c r="K731" t="s">
        <v>1572</v>
      </c>
      <c r="L731">
        <v>0</v>
      </c>
      <c r="M731">
        <v>20.5</v>
      </c>
      <c r="N731">
        <v>10</v>
      </c>
      <c r="O731">
        <v>21.3</v>
      </c>
      <c r="P731">
        <v>1</v>
      </c>
      <c r="Q731">
        <v>0</v>
      </c>
    </row>
    <row r="732" spans="2:17">
      <c r="B732">
        <v>2425</v>
      </c>
      <c r="C732" t="s">
        <v>2033</v>
      </c>
      <c r="D732" s="3">
        <v>288150</v>
      </c>
      <c r="E732">
        <v>208</v>
      </c>
      <c r="F732" s="3">
        <v>8269830</v>
      </c>
      <c r="G732">
        <v>29</v>
      </c>
      <c r="H732">
        <v>29</v>
      </c>
      <c r="I732">
        <v>28.5</v>
      </c>
      <c r="J732">
        <v>28.8</v>
      </c>
      <c r="K732" t="s">
        <v>1362</v>
      </c>
      <c r="L732">
        <v>0.1</v>
      </c>
      <c r="M732">
        <v>28.75</v>
      </c>
      <c r="N732">
        <v>8</v>
      </c>
      <c r="O732">
        <v>28.8</v>
      </c>
      <c r="P732">
        <v>9</v>
      </c>
      <c r="Q732">
        <v>24.62</v>
      </c>
    </row>
    <row r="733" spans="2:17">
      <c r="B733">
        <v>2426</v>
      </c>
      <c r="C733" t="s">
        <v>2034</v>
      </c>
      <c r="D733" s="3">
        <v>5261611</v>
      </c>
      <c r="E733" s="3">
        <v>2986</v>
      </c>
      <c r="F733" s="3">
        <v>151416718</v>
      </c>
      <c r="G733">
        <v>29.35</v>
      </c>
      <c r="H733">
        <v>29.45</v>
      </c>
      <c r="I733">
        <v>28.5</v>
      </c>
      <c r="J733">
        <v>28.6</v>
      </c>
      <c r="K733" t="s">
        <v>1</v>
      </c>
      <c r="L733">
        <v>0.45</v>
      </c>
      <c r="M733">
        <v>28.6</v>
      </c>
      <c r="N733">
        <v>22</v>
      </c>
      <c r="O733">
        <v>28.65</v>
      </c>
      <c r="P733">
        <v>19</v>
      </c>
      <c r="Q733">
        <v>34.880000000000003</v>
      </c>
    </row>
    <row r="734" spans="2:17">
      <c r="B734">
        <v>2427</v>
      </c>
      <c r="C734" t="s">
        <v>2035</v>
      </c>
      <c r="D734" s="3">
        <v>990100</v>
      </c>
      <c r="E734">
        <v>318</v>
      </c>
      <c r="F734" s="3">
        <v>11911960</v>
      </c>
      <c r="G734">
        <v>11.9</v>
      </c>
      <c r="H734">
        <v>12.15</v>
      </c>
      <c r="I734">
        <v>11.9</v>
      </c>
      <c r="J734">
        <v>12.15</v>
      </c>
      <c r="K734" t="s">
        <v>1362</v>
      </c>
      <c r="L734">
        <v>0.3</v>
      </c>
      <c r="M734">
        <v>12.1</v>
      </c>
      <c r="N734">
        <v>57</v>
      </c>
      <c r="O734">
        <v>12.15</v>
      </c>
      <c r="P734">
        <v>50</v>
      </c>
      <c r="Q734">
        <v>19.600000000000001</v>
      </c>
    </row>
    <row r="735" spans="2:17">
      <c r="B735">
        <v>2428</v>
      </c>
      <c r="C735" t="s">
        <v>2036</v>
      </c>
      <c r="D735" s="3">
        <v>163077</v>
      </c>
      <c r="E735">
        <v>183</v>
      </c>
      <c r="F735" s="3">
        <v>25199978</v>
      </c>
      <c r="G735">
        <v>155.5</v>
      </c>
      <c r="H735">
        <v>156</v>
      </c>
      <c r="I735">
        <v>153.5</v>
      </c>
      <c r="J735">
        <v>154.5</v>
      </c>
      <c r="K735" t="s">
        <v>1328</v>
      </c>
      <c r="L735">
        <v>0</v>
      </c>
      <c r="M735">
        <v>154.5</v>
      </c>
      <c r="N735">
        <v>1</v>
      </c>
      <c r="O735">
        <v>155</v>
      </c>
      <c r="P735">
        <v>19</v>
      </c>
      <c r="Q735">
        <v>12.02</v>
      </c>
    </row>
    <row r="736" spans="2:17">
      <c r="B736">
        <v>2429</v>
      </c>
      <c r="C736" t="s">
        <v>2037</v>
      </c>
      <c r="D736" s="3">
        <v>94024</v>
      </c>
      <c r="E736">
        <v>50</v>
      </c>
      <c r="F736" s="3">
        <v>2003764</v>
      </c>
      <c r="G736">
        <v>22.05</v>
      </c>
      <c r="H736">
        <v>22.1</v>
      </c>
      <c r="I736">
        <v>20.5</v>
      </c>
      <c r="J736">
        <v>21.4</v>
      </c>
      <c r="K736" t="s">
        <v>1</v>
      </c>
      <c r="L736">
        <v>0.65</v>
      </c>
      <c r="M736">
        <v>21.35</v>
      </c>
      <c r="N736">
        <v>1</v>
      </c>
      <c r="O736">
        <v>21.65</v>
      </c>
      <c r="P736">
        <v>10</v>
      </c>
      <c r="Q736">
        <v>0</v>
      </c>
    </row>
    <row r="737" spans="2:17">
      <c r="B737">
        <v>2430</v>
      </c>
      <c r="C737" t="s">
        <v>2038</v>
      </c>
      <c r="D737" s="3">
        <v>326440</v>
      </c>
      <c r="E737">
        <v>330</v>
      </c>
      <c r="F737" s="3">
        <v>12402248</v>
      </c>
      <c r="G737">
        <v>38.299999999999997</v>
      </c>
      <c r="H737">
        <v>38.35</v>
      </c>
      <c r="I737">
        <v>37.799999999999997</v>
      </c>
      <c r="J737">
        <v>37.950000000000003</v>
      </c>
      <c r="K737" t="s">
        <v>1</v>
      </c>
      <c r="L737">
        <v>0.35</v>
      </c>
      <c r="M737">
        <v>37.950000000000003</v>
      </c>
      <c r="N737">
        <v>10</v>
      </c>
      <c r="O737">
        <v>38.1</v>
      </c>
      <c r="P737">
        <v>1</v>
      </c>
      <c r="Q737">
        <v>11.36</v>
      </c>
    </row>
    <row r="738" spans="2:17">
      <c r="B738">
        <v>2431</v>
      </c>
      <c r="C738" t="s">
        <v>2039</v>
      </c>
      <c r="D738" s="3">
        <v>960673</v>
      </c>
      <c r="E738">
        <v>410</v>
      </c>
      <c r="F738" s="3">
        <v>13141162</v>
      </c>
      <c r="G738">
        <v>13.7</v>
      </c>
      <c r="H738">
        <v>13.8</v>
      </c>
      <c r="I738">
        <v>13.55</v>
      </c>
      <c r="J738">
        <v>13.8</v>
      </c>
      <c r="K738" t="s">
        <v>1362</v>
      </c>
      <c r="L738">
        <v>0.15</v>
      </c>
      <c r="M738">
        <v>13.75</v>
      </c>
      <c r="N738">
        <v>6</v>
      </c>
      <c r="O738">
        <v>13.8</v>
      </c>
      <c r="P738">
        <v>42</v>
      </c>
      <c r="Q738">
        <v>11.22</v>
      </c>
    </row>
    <row r="739" spans="2:17">
      <c r="B739">
        <v>2433</v>
      </c>
      <c r="C739" t="s">
        <v>2040</v>
      </c>
      <c r="D739" s="3">
        <v>46640</v>
      </c>
      <c r="E739">
        <v>43</v>
      </c>
      <c r="F739" s="3">
        <v>2383233</v>
      </c>
      <c r="G739">
        <v>51.2</v>
      </c>
      <c r="H739">
        <v>51.2</v>
      </c>
      <c r="I739">
        <v>51</v>
      </c>
      <c r="J739">
        <v>51.2</v>
      </c>
      <c r="K739" t="s">
        <v>1328</v>
      </c>
      <c r="L739">
        <v>0</v>
      </c>
      <c r="M739">
        <v>51</v>
      </c>
      <c r="N739">
        <v>24</v>
      </c>
      <c r="O739">
        <v>51.1</v>
      </c>
      <c r="P739">
        <v>2</v>
      </c>
      <c r="Q739">
        <v>13.37</v>
      </c>
    </row>
    <row r="740" spans="2:17">
      <c r="B740">
        <v>2434</v>
      </c>
      <c r="C740" t="s">
        <v>2041</v>
      </c>
      <c r="D740">
        <v>206</v>
      </c>
      <c r="E740">
        <v>1</v>
      </c>
      <c r="F740" s="3">
        <v>8157</v>
      </c>
      <c r="G740" t="s">
        <v>1391</v>
      </c>
      <c r="H740" t="s">
        <v>1391</v>
      </c>
      <c r="I740" t="s">
        <v>1391</v>
      </c>
      <c r="J740" t="s">
        <v>1391</v>
      </c>
      <c r="K740" t="s">
        <v>1328</v>
      </c>
      <c r="L740">
        <v>0</v>
      </c>
      <c r="M740">
        <v>40.35</v>
      </c>
      <c r="N740">
        <v>2</v>
      </c>
      <c r="O740">
        <v>41.15</v>
      </c>
      <c r="P740">
        <v>3</v>
      </c>
      <c r="Q740">
        <v>59.64</v>
      </c>
    </row>
    <row r="741" spans="2:17">
      <c r="B741">
        <v>2436</v>
      </c>
      <c r="C741" t="s">
        <v>2042</v>
      </c>
      <c r="D741" s="3">
        <v>15433772</v>
      </c>
      <c r="E741" s="3">
        <v>12251</v>
      </c>
      <c r="F741" s="3">
        <v>1523745291</v>
      </c>
      <c r="G741">
        <v>99.1</v>
      </c>
      <c r="H741">
        <v>100.5</v>
      </c>
      <c r="I741">
        <v>97</v>
      </c>
      <c r="J741">
        <v>97.1</v>
      </c>
      <c r="K741" t="s">
        <v>1</v>
      </c>
      <c r="L741">
        <v>0.5</v>
      </c>
      <c r="M741">
        <v>97</v>
      </c>
      <c r="N741">
        <v>163</v>
      </c>
      <c r="O741">
        <v>97.1</v>
      </c>
      <c r="P741">
        <v>7</v>
      </c>
      <c r="Q741">
        <v>23.45</v>
      </c>
    </row>
    <row r="742" spans="2:17">
      <c r="B742">
        <v>2438</v>
      </c>
      <c r="C742" t="s">
        <v>2043</v>
      </c>
      <c r="D742" s="3">
        <v>827507</v>
      </c>
      <c r="E742">
        <v>424</v>
      </c>
      <c r="F742" s="3">
        <v>13200977</v>
      </c>
      <c r="G742">
        <v>16</v>
      </c>
      <c r="H742">
        <v>16.5</v>
      </c>
      <c r="I742">
        <v>15.5</v>
      </c>
      <c r="J742">
        <v>16.25</v>
      </c>
      <c r="K742" t="s">
        <v>1</v>
      </c>
      <c r="L742">
        <v>0.75</v>
      </c>
      <c r="M742">
        <v>16.100000000000001</v>
      </c>
      <c r="N742">
        <v>3</v>
      </c>
      <c r="O742">
        <v>16.25</v>
      </c>
      <c r="P742">
        <v>3</v>
      </c>
      <c r="Q742">
        <v>541.66999999999996</v>
      </c>
    </row>
    <row r="743" spans="2:17">
      <c r="B743">
        <v>2439</v>
      </c>
      <c r="C743" t="s">
        <v>2044</v>
      </c>
      <c r="D743" s="3">
        <v>484144</v>
      </c>
      <c r="E743">
        <v>535</v>
      </c>
      <c r="F743" s="3">
        <v>45704225</v>
      </c>
      <c r="G743">
        <v>94.2</v>
      </c>
      <c r="H743">
        <v>95</v>
      </c>
      <c r="I743">
        <v>93.8</v>
      </c>
      <c r="J743">
        <v>94.9</v>
      </c>
      <c r="K743" t="s">
        <v>1362</v>
      </c>
      <c r="L743">
        <v>0.7</v>
      </c>
      <c r="M743">
        <v>94.8</v>
      </c>
      <c r="N743">
        <v>5</v>
      </c>
      <c r="O743">
        <v>94.9</v>
      </c>
      <c r="P743">
        <v>15</v>
      </c>
      <c r="Q743">
        <v>17.16</v>
      </c>
    </row>
    <row r="744" spans="2:17">
      <c r="B744">
        <v>2440</v>
      </c>
      <c r="C744" t="s">
        <v>2045</v>
      </c>
      <c r="D744" s="3">
        <v>2019161</v>
      </c>
      <c r="E744" s="3">
        <v>1156</v>
      </c>
      <c r="F744" s="3">
        <v>40194658</v>
      </c>
      <c r="G744">
        <v>20</v>
      </c>
      <c r="H744">
        <v>20.25</v>
      </c>
      <c r="I744">
        <v>19.5</v>
      </c>
      <c r="J744">
        <v>19.95</v>
      </c>
      <c r="K744" t="s">
        <v>1328</v>
      </c>
      <c r="L744">
        <v>0</v>
      </c>
      <c r="M744">
        <v>19.95</v>
      </c>
      <c r="N744">
        <v>18</v>
      </c>
      <c r="O744">
        <v>20</v>
      </c>
      <c r="P744">
        <v>68</v>
      </c>
      <c r="Q744">
        <v>19</v>
      </c>
    </row>
    <row r="745" spans="2:17">
      <c r="B745">
        <v>2441</v>
      </c>
      <c r="C745" t="s">
        <v>2046</v>
      </c>
      <c r="D745" s="3">
        <v>1598843</v>
      </c>
      <c r="E745" s="3">
        <v>1123</v>
      </c>
      <c r="F745" s="3">
        <v>123033463</v>
      </c>
      <c r="G745">
        <v>77.599999999999994</v>
      </c>
      <c r="H745">
        <v>77.900000000000006</v>
      </c>
      <c r="I745">
        <v>76.599999999999994</v>
      </c>
      <c r="J745">
        <v>76.7</v>
      </c>
      <c r="K745" t="s">
        <v>1</v>
      </c>
      <c r="L745">
        <v>0.7</v>
      </c>
      <c r="M745">
        <v>76.7</v>
      </c>
      <c r="N745">
        <v>19</v>
      </c>
      <c r="O745">
        <v>76.8</v>
      </c>
      <c r="P745">
        <v>2</v>
      </c>
      <c r="Q745">
        <v>10.45</v>
      </c>
    </row>
    <row r="746" spans="2:17">
      <c r="B746">
        <v>2442</v>
      </c>
      <c r="C746" t="s">
        <v>2047</v>
      </c>
      <c r="D746" s="3">
        <v>29444542</v>
      </c>
      <c r="E746" s="3">
        <v>9227</v>
      </c>
      <c r="F746" s="3">
        <v>413168173</v>
      </c>
      <c r="G746">
        <v>14.5</v>
      </c>
      <c r="H746">
        <v>14.65</v>
      </c>
      <c r="I746">
        <v>13.65</v>
      </c>
      <c r="J746">
        <v>13.9</v>
      </c>
      <c r="K746" t="s">
        <v>1</v>
      </c>
      <c r="L746">
        <v>0.6</v>
      </c>
      <c r="M746">
        <v>13.85</v>
      </c>
      <c r="N746">
        <v>2</v>
      </c>
      <c r="O746">
        <v>13.9</v>
      </c>
      <c r="P746">
        <v>66</v>
      </c>
      <c r="Q746">
        <v>5.58</v>
      </c>
    </row>
    <row r="747" spans="2:17">
      <c r="B747">
        <v>2443</v>
      </c>
      <c r="C747" t="s">
        <v>3158</v>
      </c>
      <c r="D747" s="3">
        <v>95176</v>
      </c>
      <c r="E747">
        <v>57</v>
      </c>
      <c r="F747" s="3">
        <v>305165</v>
      </c>
      <c r="G747">
        <v>3.16</v>
      </c>
      <c r="H747">
        <v>3.23</v>
      </c>
      <c r="I747">
        <v>3.16</v>
      </c>
      <c r="J747">
        <v>3.23</v>
      </c>
      <c r="K747" t="s">
        <v>1362</v>
      </c>
      <c r="L747">
        <v>7.0000000000000007E-2</v>
      </c>
      <c r="M747">
        <v>3.23</v>
      </c>
      <c r="N747">
        <v>6</v>
      </c>
      <c r="O747">
        <v>3.26</v>
      </c>
      <c r="P747">
        <v>13</v>
      </c>
      <c r="Q747">
        <v>0</v>
      </c>
    </row>
    <row r="748" spans="2:17">
      <c r="B748">
        <v>2444</v>
      </c>
      <c r="C748" t="s">
        <v>2048</v>
      </c>
      <c r="D748" s="3">
        <v>650712</v>
      </c>
      <c r="E748">
        <v>308</v>
      </c>
      <c r="F748" s="3">
        <v>9564396</v>
      </c>
      <c r="G748">
        <v>14.85</v>
      </c>
      <c r="H748">
        <v>14.9</v>
      </c>
      <c r="I748">
        <v>14.55</v>
      </c>
      <c r="J748">
        <v>14.55</v>
      </c>
      <c r="K748" t="s">
        <v>1</v>
      </c>
      <c r="L748">
        <v>0.15</v>
      </c>
      <c r="M748">
        <v>14.55</v>
      </c>
      <c r="N748">
        <v>4</v>
      </c>
      <c r="O748">
        <v>14.6</v>
      </c>
      <c r="P748">
        <v>2</v>
      </c>
      <c r="Q748">
        <v>0</v>
      </c>
    </row>
    <row r="749" spans="2:17">
      <c r="B749">
        <v>2449</v>
      </c>
      <c r="C749" t="s">
        <v>2049</v>
      </c>
      <c r="D749" s="3">
        <v>5962985</v>
      </c>
      <c r="E749" s="3">
        <v>3470</v>
      </c>
      <c r="F749" s="3">
        <v>265850665</v>
      </c>
      <c r="G749">
        <v>44.4</v>
      </c>
      <c r="H749">
        <v>44.8</v>
      </c>
      <c r="I749">
        <v>44.3</v>
      </c>
      <c r="J749">
        <v>44.6</v>
      </c>
      <c r="K749" t="s">
        <v>1362</v>
      </c>
      <c r="L749">
        <v>0.5</v>
      </c>
      <c r="M749">
        <v>44.55</v>
      </c>
      <c r="N749">
        <v>106</v>
      </c>
      <c r="O749">
        <v>44.6</v>
      </c>
      <c r="P749">
        <v>68</v>
      </c>
      <c r="Q749">
        <v>12.89</v>
      </c>
    </row>
    <row r="750" spans="2:17">
      <c r="B750">
        <v>2450</v>
      </c>
      <c r="C750" t="s">
        <v>2050</v>
      </c>
      <c r="D750" s="3">
        <v>127887</v>
      </c>
      <c r="E750">
        <v>100</v>
      </c>
      <c r="F750" s="3">
        <v>4272114</v>
      </c>
      <c r="G750">
        <v>33.4</v>
      </c>
      <c r="H750">
        <v>33.5</v>
      </c>
      <c r="I750">
        <v>33.299999999999997</v>
      </c>
      <c r="J750">
        <v>33.35</v>
      </c>
      <c r="K750" t="s">
        <v>1</v>
      </c>
      <c r="L750">
        <v>0.1</v>
      </c>
      <c r="M750">
        <v>33.35</v>
      </c>
      <c r="N750">
        <v>4</v>
      </c>
      <c r="O750">
        <v>33.4</v>
      </c>
      <c r="P750">
        <v>5</v>
      </c>
      <c r="Q750">
        <v>15.02</v>
      </c>
    </row>
    <row r="751" spans="2:17">
      <c r="B751">
        <v>2451</v>
      </c>
      <c r="C751" t="s">
        <v>2051</v>
      </c>
      <c r="D751" s="3">
        <v>987116</v>
      </c>
      <c r="E751">
        <v>889</v>
      </c>
      <c r="F751" s="3">
        <v>72357498</v>
      </c>
      <c r="G751">
        <v>73.900000000000006</v>
      </c>
      <c r="H751">
        <v>74.2</v>
      </c>
      <c r="I751">
        <v>73</v>
      </c>
      <c r="J751">
        <v>73</v>
      </c>
      <c r="K751" t="s">
        <v>1</v>
      </c>
      <c r="L751">
        <v>0.8</v>
      </c>
      <c r="M751">
        <v>73</v>
      </c>
      <c r="N751">
        <v>2</v>
      </c>
      <c r="O751">
        <v>73.099999999999994</v>
      </c>
      <c r="P751">
        <v>3</v>
      </c>
      <c r="Q751">
        <v>13.57</v>
      </c>
    </row>
    <row r="752" spans="2:17">
      <c r="B752">
        <v>2453</v>
      </c>
      <c r="C752" t="s">
        <v>2052</v>
      </c>
      <c r="D752" s="3">
        <v>4353956</v>
      </c>
      <c r="E752" s="3">
        <v>2512</v>
      </c>
      <c r="F752" s="3">
        <v>129666380</v>
      </c>
      <c r="G752">
        <v>30</v>
      </c>
      <c r="H752">
        <v>32.35</v>
      </c>
      <c r="I752">
        <v>28</v>
      </c>
      <c r="J752">
        <v>28.05</v>
      </c>
      <c r="K752" t="s">
        <v>1</v>
      </c>
      <c r="L752">
        <v>1.75</v>
      </c>
      <c r="M752">
        <v>28.05</v>
      </c>
      <c r="N752">
        <v>9</v>
      </c>
      <c r="O752">
        <v>28.15</v>
      </c>
      <c r="P752">
        <v>4</v>
      </c>
      <c r="Q752">
        <v>13.75</v>
      </c>
    </row>
    <row r="753" spans="2:17">
      <c r="B753">
        <v>2454</v>
      </c>
      <c r="C753" t="s">
        <v>2053</v>
      </c>
      <c r="D753" s="3">
        <v>5042669</v>
      </c>
      <c r="E753" s="3">
        <v>6293</v>
      </c>
      <c r="F753" s="3">
        <v>5892194005</v>
      </c>
      <c r="G753" s="8">
        <v>1160</v>
      </c>
      <c r="H753" s="8">
        <v>1180</v>
      </c>
      <c r="I753" s="8">
        <v>1155</v>
      </c>
      <c r="J753" s="8">
        <v>1175</v>
      </c>
      <c r="K753" t="s">
        <v>1362</v>
      </c>
      <c r="L753">
        <v>30</v>
      </c>
      <c r="M753" s="8">
        <v>1170</v>
      </c>
      <c r="N753">
        <v>16</v>
      </c>
      <c r="O753" s="8">
        <v>1175</v>
      </c>
      <c r="P753">
        <v>110</v>
      </c>
      <c r="Q753">
        <v>19.45</v>
      </c>
    </row>
    <row r="754" spans="2:17">
      <c r="B754">
        <v>2455</v>
      </c>
      <c r="C754" t="s">
        <v>2054</v>
      </c>
      <c r="D754" s="3">
        <v>3350664</v>
      </c>
      <c r="E754" s="3">
        <v>2406</v>
      </c>
      <c r="F754" s="3">
        <v>497253761</v>
      </c>
      <c r="G754">
        <v>148.5</v>
      </c>
      <c r="H754">
        <v>149.5</v>
      </c>
      <c r="I754">
        <v>147</v>
      </c>
      <c r="J754">
        <v>148</v>
      </c>
      <c r="K754" t="s">
        <v>1</v>
      </c>
      <c r="L754">
        <v>0.5</v>
      </c>
      <c r="M754">
        <v>148</v>
      </c>
      <c r="N754">
        <v>33</v>
      </c>
      <c r="O754">
        <v>148.5</v>
      </c>
      <c r="P754">
        <v>51</v>
      </c>
      <c r="Q754">
        <v>33.79</v>
      </c>
    </row>
    <row r="755" spans="2:17">
      <c r="B755">
        <v>2456</v>
      </c>
      <c r="C755" t="s">
        <v>2055</v>
      </c>
      <c r="D755" s="3">
        <v>5123033</v>
      </c>
      <c r="E755" s="3">
        <v>2140</v>
      </c>
      <c r="F755" s="3">
        <v>485341955</v>
      </c>
      <c r="G755">
        <v>96.2</v>
      </c>
      <c r="H755">
        <v>96.2</v>
      </c>
      <c r="I755">
        <v>94.5</v>
      </c>
      <c r="J755">
        <v>94.6</v>
      </c>
      <c r="K755" t="s">
        <v>1</v>
      </c>
      <c r="L755">
        <v>0.6</v>
      </c>
      <c r="M755">
        <v>94.6</v>
      </c>
      <c r="N755">
        <v>33</v>
      </c>
      <c r="O755">
        <v>94.8</v>
      </c>
      <c r="P755">
        <v>18</v>
      </c>
      <c r="Q755">
        <v>20.52</v>
      </c>
    </row>
    <row r="756" spans="2:17">
      <c r="B756">
        <v>2457</v>
      </c>
      <c r="C756" t="s">
        <v>2056</v>
      </c>
      <c r="D756" s="3">
        <v>34025290</v>
      </c>
      <c r="E756" s="3">
        <v>18476</v>
      </c>
      <c r="F756" s="3">
        <v>1710924184</v>
      </c>
      <c r="G756">
        <v>50.7</v>
      </c>
      <c r="H756">
        <v>51.1</v>
      </c>
      <c r="I756">
        <v>49.9</v>
      </c>
      <c r="J756">
        <v>50</v>
      </c>
      <c r="K756" t="s">
        <v>1</v>
      </c>
      <c r="L756">
        <v>1.7</v>
      </c>
      <c r="M756">
        <v>50</v>
      </c>
      <c r="N756">
        <v>965</v>
      </c>
      <c r="O756">
        <v>50.1</v>
      </c>
      <c r="P756">
        <v>17</v>
      </c>
      <c r="Q756">
        <v>0</v>
      </c>
    </row>
    <row r="757" spans="2:17">
      <c r="B757">
        <v>2458</v>
      </c>
      <c r="C757" t="s">
        <v>2057</v>
      </c>
      <c r="D757" s="3">
        <v>1283053</v>
      </c>
      <c r="E757" s="3">
        <v>7823</v>
      </c>
      <c r="F757" s="3">
        <v>213428062</v>
      </c>
      <c r="G757">
        <v>169</v>
      </c>
      <c r="H757">
        <v>169</v>
      </c>
      <c r="I757">
        <v>165.5</v>
      </c>
      <c r="J757">
        <v>165.5</v>
      </c>
      <c r="K757" t="s">
        <v>1</v>
      </c>
      <c r="L757">
        <v>2.5</v>
      </c>
      <c r="M757">
        <v>165.5</v>
      </c>
      <c r="N757">
        <v>16</v>
      </c>
      <c r="O757">
        <v>166</v>
      </c>
      <c r="P757">
        <v>20</v>
      </c>
      <c r="Q757">
        <v>9.48</v>
      </c>
    </row>
    <row r="758" spans="2:17">
      <c r="B758">
        <v>2459</v>
      </c>
      <c r="C758" t="s">
        <v>2058</v>
      </c>
      <c r="D758" s="3">
        <v>70836</v>
      </c>
      <c r="E758">
        <v>84</v>
      </c>
      <c r="F758" s="3">
        <v>4204748</v>
      </c>
      <c r="G758">
        <v>59.1</v>
      </c>
      <c r="H758">
        <v>59.6</v>
      </c>
      <c r="I758">
        <v>59.1</v>
      </c>
      <c r="J758">
        <v>59.6</v>
      </c>
      <c r="K758" t="s">
        <v>1362</v>
      </c>
      <c r="L758">
        <v>0.6</v>
      </c>
      <c r="M758">
        <v>59.4</v>
      </c>
      <c r="N758">
        <v>2</v>
      </c>
      <c r="O758">
        <v>59.6</v>
      </c>
      <c r="P758">
        <v>1</v>
      </c>
      <c r="Q758">
        <v>11.55</v>
      </c>
    </row>
    <row r="759" spans="2:17">
      <c r="B759">
        <v>2460</v>
      </c>
      <c r="C759" t="s">
        <v>2059</v>
      </c>
      <c r="D759" s="3">
        <v>2274935</v>
      </c>
      <c r="E759" s="3">
        <v>1249</v>
      </c>
      <c r="F759" s="3">
        <v>66579720</v>
      </c>
      <c r="G759">
        <v>28.85</v>
      </c>
      <c r="H759">
        <v>29.9</v>
      </c>
      <c r="I759">
        <v>28.5</v>
      </c>
      <c r="J759">
        <v>29.6</v>
      </c>
      <c r="K759" t="s">
        <v>1362</v>
      </c>
      <c r="L759">
        <v>0.75</v>
      </c>
      <c r="M759">
        <v>29.6</v>
      </c>
      <c r="N759">
        <v>2</v>
      </c>
      <c r="O759">
        <v>29.65</v>
      </c>
      <c r="P759">
        <v>27</v>
      </c>
      <c r="Q759">
        <v>21.61</v>
      </c>
    </row>
    <row r="760" spans="2:17">
      <c r="B760">
        <v>2461</v>
      </c>
      <c r="C760" t="s">
        <v>2060</v>
      </c>
      <c r="D760" s="3">
        <v>12970168</v>
      </c>
      <c r="E760" s="3">
        <v>5384</v>
      </c>
      <c r="F760" s="3">
        <v>332778481</v>
      </c>
      <c r="G760">
        <v>25.85</v>
      </c>
      <c r="H760">
        <v>26.35</v>
      </c>
      <c r="I760">
        <v>25.15</v>
      </c>
      <c r="J760">
        <v>25.3</v>
      </c>
      <c r="K760" t="s">
        <v>1</v>
      </c>
      <c r="L760">
        <v>1.1499999999999999</v>
      </c>
      <c r="M760">
        <v>25.25</v>
      </c>
      <c r="N760">
        <v>156</v>
      </c>
      <c r="O760">
        <v>25.3</v>
      </c>
      <c r="P760">
        <v>3</v>
      </c>
      <c r="Q760">
        <v>9.9600000000000009</v>
      </c>
    </row>
    <row r="761" spans="2:17">
      <c r="B761">
        <v>2462</v>
      </c>
      <c r="C761" t="s">
        <v>2061</v>
      </c>
      <c r="D761" s="3">
        <v>575736</v>
      </c>
      <c r="E761">
        <v>379</v>
      </c>
      <c r="F761" s="3">
        <v>16901558</v>
      </c>
      <c r="G761">
        <v>29.45</v>
      </c>
      <c r="H761">
        <v>29.95</v>
      </c>
      <c r="I761">
        <v>29.05</v>
      </c>
      <c r="J761">
        <v>29.25</v>
      </c>
      <c r="K761" t="s">
        <v>1</v>
      </c>
      <c r="L761">
        <v>0.25</v>
      </c>
      <c r="M761">
        <v>29.1</v>
      </c>
      <c r="N761">
        <v>4</v>
      </c>
      <c r="O761">
        <v>29.25</v>
      </c>
      <c r="P761">
        <v>6</v>
      </c>
      <c r="Q761">
        <v>34.01</v>
      </c>
    </row>
    <row r="762" spans="2:17">
      <c r="B762">
        <v>2464</v>
      </c>
      <c r="C762" t="s">
        <v>10</v>
      </c>
      <c r="D762" s="3">
        <v>347303</v>
      </c>
      <c r="E762">
        <v>247</v>
      </c>
      <c r="F762" s="3">
        <v>14710171</v>
      </c>
      <c r="G762">
        <v>42.25</v>
      </c>
      <c r="H762">
        <v>42.4</v>
      </c>
      <c r="I762">
        <v>42.25</v>
      </c>
      <c r="J762">
        <v>42.3</v>
      </c>
      <c r="K762" t="s">
        <v>1362</v>
      </c>
      <c r="L762">
        <v>0.05</v>
      </c>
      <c r="M762">
        <v>42.3</v>
      </c>
      <c r="N762">
        <v>22</v>
      </c>
      <c r="O762">
        <v>42.35</v>
      </c>
      <c r="P762">
        <v>1</v>
      </c>
      <c r="Q762">
        <v>15.72</v>
      </c>
    </row>
    <row r="763" spans="2:17">
      <c r="B763">
        <v>2465</v>
      </c>
      <c r="C763" t="s">
        <v>2062</v>
      </c>
      <c r="D763" s="3">
        <v>11059639</v>
      </c>
      <c r="E763" s="3">
        <v>7307</v>
      </c>
      <c r="F763" s="3">
        <v>919841437</v>
      </c>
      <c r="G763">
        <v>82.6</v>
      </c>
      <c r="H763">
        <v>85.4</v>
      </c>
      <c r="I763">
        <v>81.5</v>
      </c>
      <c r="J763">
        <v>81.5</v>
      </c>
      <c r="K763" t="s">
        <v>1</v>
      </c>
      <c r="L763">
        <v>0.1</v>
      </c>
      <c r="M763">
        <v>81.5</v>
      </c>
      <c r="N763">
        <v>54</v>
      </c>
      <c r="O763">
        <v>81.599999999999994</v>
      </c>
      <c r="P763">
        <v>11</v>
      </c>
      <c r="Q763">
        <v>11.3</v>
      </c>
    </row>
    <row r="764" spans="2:17">
      <c r="B764">
        <v>2466</v>
      </c>
      <c r="C764" t="s">
        <v>2063</v>
      </c>
      <c r="D764" s="3">
        <v>72442</v>
      </c>
      <c r="E764">
        <v>39</v>
      </c>
      <c r="F764" s="3">
        <v>2662827</v>
      </c>
      <c r="G764">
        <v>36.700000000000003</v>
      </c>
      <c r="H764">
        <v>36.85</v>
      </c>
      <c r="I764">
        <v>36.6</v>
      </c>
      <c r="J764">
        <v>36.75</v>
      </c>
      <c r="K764" t="s">
        <v>1328</v>
      </c>
      <c r="L764">
        <v>0</v>
      </c>
      <c r="M764">
        <v>36.75</v>
      </c>
      <c r="N764">
        <v>1</v>
      </c>
      <c r="O764">
        <v>36.85</v>
      </c>
      <c r="P764">
        <v>2</v>
      </c>
      <c r="Q764" s="8">
        <v>1225</v>
      </c>
    </row>
    <row r="765" spans="2:17">
      <c r="B765">
        <v>2467</v>
      </c>
      <c r="C765" t="s">
        <v>2064</v>
      </c>
      <c r="D765" s="3">
        <v>200700</v>
      </c>
      <c r="E765">
        <v>187</v>
      </c>
      <c r="F765" s="3">
        <v>10227410</v>
      </c>
      <c r="G765">
        <v>50.8</v>
      </c>
      <c r="H765">
        <v>51.1</v>
      </c>
      <c r="I765">
        <v>50.8</v>
      </c>
      <c r="J765">
        <v>51.1</v>
      </c>
      <c r="K765" t="s">
        <v>1362</v>
      </c>
      <c r="L765">
        <v>0.4</v>
      </c>
      <c r="M765">
        <v>51</v>
      </c>
      <c r="N765">
        <v>13</v>
      </c>
      <c r="O765">
        <v>51.1</v>
      </c>
      <c r="P765">
        <v>7</v>
      </c>
      <c r="Q765">
        <v>12.25</v>
      </c>
    </row>
    <row r="766" spans="2:17">
      <c r="B766">
        <v>2468</v>
      </c>
      <c r="C766" t="s">
        <v>2065</v>
      </c>
      <c r="D766" s="3">
        <v>135035</v>
      </c>
      <c r="E766">
        <v>84</v>
      </c>
      <c r="F766" s="3">
        <v>1930700</v>
      </c>
      <c r="G766">
        <v>14.5</v>
      </c>
      <c r="H766">
        <v>14.5</v>
      </c>
      <c r="I766">
        <v>14.15</v>
      </c>
      <c r="J766">
        <v>14.15</v>
      </c>
      <c r="K766" t="s">
        <v>1</v>
      </c>
      <c r="L766">
        <v>0.15</v>
      </c>
      <c r="M766">
        <v>14.1</v>
      </c>
      <c r="N766">
        <v>33</v>
      </c>
      <c r="O766">
        <v>14.2</v>
      </c>
      <c r="P766">
        <v>4</v>
      </c>
      <c r="Q766">
        <v>32.159999999999997</v>
      </c>
    </row>
    <row r="767" spans="2:17">
      <c r="B767">
        <v>2471</v>
      </c>
      <c r="C767" t="s">
        <v>2066</v>
      </c>
      <c r="D767" s="3">
        <v>382906</v>
      </c>
      <c r="E767">
        <v>253</v>
      </c>
      <c r="F767" s="3">
        <v>10348374</v>
      </c>
      <c r="G767">
        <v>27.35</v>
      </c>
      <c r="H767">
        <v>27.5</v>
      </c>
      <c r="I767">
        <v>26.7</v>
      </c>
      <c r="J767">
        <v>26.75</v>
      </c>
      <c r="K767" t="s">
        <v>1</v>
      </c>
      <c r="L767">
        <v>0.45</v>
      </c>
      <c r="M767">
        <v>26.7</v>
      </c>
      <c r="N767">
        <v>13</v>
      </c>
      <c r="O767">
        <v>26.75</v>
      </c>
      <c r="P767">
        <v>6</v>
      </c>
      <c r="Q767">
        <v>13.93</v>
      </c>
    </row>
    <row r="768" spans="2:17">
      <c r="B768">
        <v>2472</v>
      </c>
      <c r="C768" t="s">
        <v>2067</v>
      </c>
      <c r="D768" s="3">
        <v>430710</v>
      </c>
      <c r="E768">
        <v>475</v>
      </c>
      <c r="F768" s="3">
        <v>28349880</v>
      </c>
      <c r="G768">
        <v>66.2</v>
      </c>
      <c r="H768">
        <v>66.5</v>
      </c>
      <c r="I768">
        <v>65.400000000000006</v>
      </c>
      <c r="J768">
        <v>66.099999999999994</v>
      </c>
      <c r="K768" t="s">
        <v>1362</v>
      </c>
      <c r="L768">
        <v>0.1</v>
      </c>
      <c r="M768">
        <v>66</v>
      </c>
      <c r="N768">
        <v>1</v>
      </c>
      <c r="O768">
        <v>66.099999999999994</v>
      </c>
      <c r="P768">
        <v>3</v>
      </c>
      <c r="Q768">
        <v>12.47</v>
      </c>
    </row>
    <row r="769" spans="2:17">
      <c r="B769">
        <v>2474</v>
      </c>
      <c r="C769" t="s">
        <v>2068</v>
      </c>
      <c r="D769" s="3">
        <v>2926014</v>
      </c>
      <c r="E769" s="3">
        <v>2179</v>
      </c>
      <c r="F769" s="3">
        <v>460506891</v>
      </c>
      <c r="G769">
        <v>156</v>
      </c>
      <c r="H769">
        <v>159.5</v>
      </c>
      <c r="I769">
        <v>155.5</v>
      </c>
      <c r="J769">
        <v>157.5</v>
      </c>
      <c r="K769" t="s">
        <v>1362</v>
      </c>
      <c r="L769">
        <v>2</v>
      </c>
      <c r="M769">
        <v>157</v>
      </c>
      <c r="N769">
        <v>192</v>
      </c>
      <c r="O769">
        <v>157.5</v>
      </c>
      <c r="P769">
        <v>6</v>
      </c>
      <c r="Q769">
        <v>6.27</v>
      </c>
    </row>
    <row r="770" spans="2:17">
      <c r="B770">
        <v>2476</v>
      </c>
      <c r="C770" t="s">
        <v>2069</v>
      </c>
      <c r="D770" s="3">
        <v>17234612</v>
      </c>
      <c r="E770" s="3">
        <v>10545</v>
      </c>
      <c r="F770" s="3">
        <v>1355018305</v>
      </c>
      <c r="G770">
        <v>78</v>
      </c>
      <c r="H770">
        <v>80.599999999999994</v>
      </c>
      <c r="I770">
        <v>77</v>
      </c>
      <c r="J770">
        <v>79.2</v>
      </c>
      <c r="K770" t="s">
        <v>1362</v>
      </c>
      <c r="L770">
        <v>1.8</v>
      </c>
      <c r="M770">
        <v>79.099999999999994</v>
      </c>
      <c r="N770">
        <v>17</v>
      </c>
      <c r="O770">
        <v>79.2</v>
      </c>
      <c r="P770">
        <v>32</v>
      </c>
      <c r="Q770">
        <v>23.23</v>
      </c>
    </row>
    <row r="771" spans="2:17">
      <c r="B771">
        <v>2477</v>
      </c>
      <c r="C771" t="s">
        <v>2070</v>
      </c>
      <c r="D771" s="3">
        <v>339023</v>
      </c>
      <c r="E771">
        <v>246</v>
      </c>
      <c r="F771" s="3">
        <v>10500663</v>
      </c>
      <c r="G771">
        <v>31.5</v>
      </c>
      <c r="H771">
        <v>31.5</v>
      </c>
      <c r="I771">
        <v>30.75</v>
      </c>
      <c r="J771">
        <v>30.9</v>
      </c>
      <c r="K771" t="s">
        <v>1</v>
      </c>
      <c r="L771">
        <v>0.4</v>
      </c>
      <c r="M771">
        <v>30.9</v>
      </c>
      <c r="N771">
        <v>3</v>
      </c>
      <c r="O771">
        <v>30.95</v>
      </c>
      <c r="P771">
        <v>2</v>
      </c>
      <c r="Q771">
        <v>3.67</v>
      </c>
    </row>
    <row r="772" spans="2:17">
      <c r="B772">
        <v>2478</v>
      </c>
      <c r="C772" t="s">
        <v>2071</v>
      </c>
      <c r="D772" s="3">
        <v>192722</v>
      </c>
      <c r="E772">
        <v>175</v>
      </c>
      <c r="F772" s="3">
        <v>12508909</v>
      </c>
      <c r="G772">
        <v>65.2</v>
      </c>
      <c r="H772">
        <v>65.3</v>
      </c>
      <c r="I772">
        <v>64.5</v>
      </c>
      <c r="J772">
        <v>64.5</v>
      </c>
      <c r="K772" t="s">
        <v>1</v>
      </c>
      <c r="L772">
        <v>0.3</v>
      </c>
      <c r="M772">
        <v>64.5</v>
      </c>
      <c r="N772">
        <v>4</v>
      </c>
      <c r="O772">
        <v>64.8</v>
      </c>
      <c r="P772">
        <v>4</v>
      </c>
      <c r="Q772">
        <v>11.44</v>
      </c>
    </row>
    <row r="773" spans="2:17">
      <c r="B773">
        <v>2480</v>
      </c>
      <c r="C773" t="s">
        <v>2072</v>
      </c>
      <c r="D773" s="3">
        <v>161379</v>
      </c>
      <c r="E773">
        <v>152</v>
      </c>
      <c r="F773" s="3">
        <v>11730010</v>
      </c>
      <c r="G773">
        <v>72.8</v>
      </c>
      <c r="H773">
        <v>72.900000000000006</v>
      </c>
      <c r="I773">
        <v>72.5</v>
      </c>
      <c r="J773">
        <v>72.900000000000006</v>
      </c>
      <c r="K773" t="s">
        <v>1362</v>
      </c>
      <c r="L773">
        <v>0.1</v>
      </c>
      <c r="M773">
        <v>72.599999999999994</v>
      </c>
      <c r="N773">
        <v>3</v>
      </c>
      <c r="O773">
        <v>72.900000000000006</v>
      </c>
      <c r="P773">
        <v>20</v>
      </c>
      <c r="Q773">
        <v>14.02</v>
      </c>
    </row>
    <row r="774" spans="2:17">
      <c r="B774">
        <v>2481</v>
      </c>
      <c r="C774" t="s">
        <v>2073</v>
      </c>
      <c r="D774" s="3">
        <v>8535281</v>
      </c>
      <c r="E774" s="3">
        <v>6678</v>
      </c>
      <c r="F774" s="3">
        <v>932270002</v>
      </c>
      <c r="G774">
        <v>110.5</v>
      </c>
      <c r="H774">
        <v>111.5</v>
      </c>
      <c r="I774">
        <v>107.5</v>
      </c>
      <c r="J774">
        <v>108</v>
      </c>
      <c r="K774" t="s">
        <v>1</v>
      </c>
      <c r="L774">
        <v>1</v>
      </c>
      <c r="M774">
        <v>108</v>
      </c>
      <c r="N774">
        <v>158</v>
      </c>
      <c r="O774">
        <v>108.5</v>
      </c>
      <c r="P774">
        <v>82</v>
      </c>
      <c r="Q774">
        <v>21.18</v>
      </c>
    </row>
    <row r="775" spans="2:17">
      <c r="B775">
        <v>2482</v>
      </c>
      <c r="C775" t="s">
        <v>2074</v>
      </c>
      <c r="D775" s="3">
        <v>6363899</v>
      </c>
      <c r="E775" s="3">
        <v>2251</v>
      </c>
      <c r="F775" s="3">
        <v>109009601</v>
      </c>
      <c r="G775">
        <v>16.7</v>
      </c>
      <c r="H775">
        <v>17.55</v>
      </c>
      <c r="I775">
        <v>16.649999999999999</v>
      </c>
      <c r="J775">
        <v>17.5</v>
      </c>
      <c r="K775" t="s">
        <v>1362</v>
      </c>
      <c r="L775">
        <v>0.85</v>
      </c>
      <c r="M775">
        <v>17.5</v>
      </c>
      <c r="N775">
        <v>24</v>
      </c>
      <c r="O775">
        <v>17.55</v>
      </c>
      <c r="P775">
        <v>78</v>
      </c>
      <c r="Q775">
        <v>0</v>
      </c>
    </row>
    <row r="776" spans="2:17">
      <c r="B776">
        <v>2483</v>
      </c>
      <c r="C776" t="s">
        <v>2075</v>
      </c>
      <c r="D776" s="3">
        <v>1461828</v>
      </c>
      <c r="E776">
        <v>866</v>
      </c>
      <c r="F776" s="3">
        <v>38468044</v>
      </c>
      <c r="G776">
        <v>26.55</v>
      </c>
      <c r="H776">
        <v>26.8</v>
      </c>
      <c r="I776">
        <v>26</v>
      </c>
      <c r="J776">
        <v>26</v>
      </c>
      <c r="K776" t="s">
        <v>1</v>
      </c>
      <c r="L776">
        <v>0.8</v>
      </c>
      <c r="M776">
        <v>26</v>
      </c>
      <c r="N776">
        <v>10</v>
      </c>
      <c r="O776">
        <v>26.05</v>
      </c>
      <c r="P776">
        <v>6</v>
      </c>
      <c r="Q776">
        <v>22.41</v>
      </c>
    </row>
    <row r="777" spans="2:17">
      <c r="B777">
        <v>2484</v>
      </c>
      <c r="C777" t="s">
        <v>2076</v>
      </c>
      <c r="D777" s="3">
        <v>1602150</v>
      </c>
      <c r="E777" s="3">
        <v>1134</v>
      </c>
      <c r="F777" s="3">
        <v>62915772</v>
      </c>
      <c r="G777">
        <v>39.6</v>
      </c>
      <c r="H777">
        <v>39.950000000000003</v>
      </c>
      <c r="I777">
        <v>39</v>
      </c>
      <c r="J777">
        <v>39</v>
      </c>
      <c r="K777" t="s">
        <v>1</v>
      </c>
      <c r="L777">
        <v>0.45</v>
      </c>
      <c r="M777">
        <v>39</v>
      </c>
      <c r="N777">
        <v>48</v>
      </c>
      <c r="O777">
        <v>39.049999999999997</v>
      </c>
      <c r="P777">
        <v>29</v>
      </c>
      <c r="Q777">
        <v>20.100000000000001</v>
      </c>
    </row>
    <row r="778" spans="2:17">
      <c r="B778">
        <v>2485</v>
      </c>
      <c r="C778" t="s">
        <v>2077</v>
      </c>
      <c r="D778" s="3">
        <v>2390851</v>
      </c>
      <c r="E778" s="3">
        <v>1361</v>
      </c>
      <c r="F778" s="3">
        <v>52073608</v>
      </c>
      <c r="G778">
        <v>22.05</v>
      </c>
      <c r="H778">
        <v>22.2</v>
      </c>
      <c r="I778">
        <v>21.55</v>
      </c>
      <c r="J778">
        <v>21.6</v>
      </c>
      <c r="K778" t="s">
        <v>1</v>
      </c>
      <c r="L778">
        <v>0.35</v>
      </c>
      <c r="M778">
        <v>21.6</v>
      </c>
      <c r="N778">
        <v>79</v>
      </c>
      <c r="O778">
        <v>21.7</v>
      </c>
      <c r="P778">
        <v>108</v>
      </c>
      <c r="Q778">
        <v>0</v>
      </c>
    </row>
    <row r="779" spans="2:17">
      <c r="B779">
        <v>2486</v>
      </c>
      <c r="C779" t="s">
        <v>2078</v>
      </c>
      <c r="D779" s="3">
        <v>2499657</v>
      </c>
      <c r="E779" s="3">
        <v>1666</v>
      </c>
      <c r="F779" s="3">
        <v>127730970</v>
      </c>
      <c r="G779">
        <v>52</v>
      </c>
      <c r="H779">
        <v>52</v>
      </c>
      <c r="I779">
        <v>50.7</v>
      </c>
      <c r="J779">
        <v>50.9</v>
      </c>
      <c r="K779" t="s">
        <v>1</v>
      </c>
      <c r="L779">
        <v>0.6</v>
      </c>
      <c r="M779">
        <v>50.8</v>
      </c>
      <c r="N779">
        <v>53</v>
      </c>
      <c r="O779">
        <v>50.9</v>
      </c>
      <c r="P779">
        <v>10</v>
      </c>
      <c r="Q779">
        <v>39.46</v>
      </c>
    </row>
    <row r="780" spans="2:17">
      <c r="B780">
        <v>2488</v>
      </c>
      <c r="C780" t="s">
        <v>2079</v>
      </c>
      <c r="D780" s="3">
        <v>86110</v>
      </c>
      <c r="E780">
        <v>64</v>
      </c>
      <c r="F780" s="3">
        <v>2345764</v>
      </c>
      <c r="G780">
        <v>27.05</v>
      </c>
      <c r="H780">
        <v>27.3</v>
      </c>
      <c r="I780">
        <v>27.05</v>
      </c>
      <c r="J780">
        <v>27.3</v>
      </c>
      <c r="K780" t="s">
        <v>1362</v>
      </c>
      <c r="L780">
        <v>0.25</v>
      </c>
      <c r="M780">
        <v>27.25</v>
      </c>
      <c r="N780">
        <v>4</v>
      </c>
      <c r="O780">
        <v>27.3</v>
      </c>
      <c r="P780">
        <v>1</v>
      </c>
      <c r="Q780">
        <v>14.76</v>
      </c>
    </row>
    <row r="781" spans="2:17">
      <c r="B781">
        <v>2489</v>
      </c>
      <c r="C781" t="s">
        <v>2907</v>
      </c>
      <c r="D781" s="3">
        <v>1964454</v>
      </c>
      <c r="E781">
        <v>956</v>
      </c>
      <c r="F781" s="3">
        <v>34162697</v>
      </c>
      <c r="G781">
        <v>17.45</v>
      </c>
      <c r="H781">
        <v>17.45</v>
      </c>
      <c r="I781">
        <v>17.350000000000001</v>
      </c>
      <c r="J781">
        <v>17.350000000000001</v>
      </c>
      <c r="K781" t="s">
        <v>1328</v>
      </c>
      <c r="L781">
        <v>0</v>
      </c>
      <c r="M781">
        <v>17.350000000000001</v>
      </c>
      <c r="N781">
        <v>8</v>
      </c>
      <c r="O781">
        <v>17.399999999999999</v>
      </c>
      <c r="P781">
        <v>62</v>
      </c>
      <c r="Q781">
        <v>2.19</v>
      </c>
    </row>
    <row r="782" spans="2:17">
      <c r="B782">
        <v>2491</v>
      </c>
      <c r="C782" t="s">
        <v>2080</v>
      </c>
      <c r="D782" s="3">
        <v>121880</v>
      </c>
      <c r="E782">
        <v>80</v>
      </c>
      <c r="F782" s="3">
        <v>2576873</v>
      </c>
      <c r="G782">
        <v>21.4</v>
      </c>
      <c r="H782">
        <v>21.4</v>
      </c>
      <c r="I782">
        <v>20.8</v>
      </c>
      <c r="J782">
        <v>20.9</v>
      </c>
      <c r="K782" t="s">
        <v>1</v>
      </c>
      <c r="L782">
        <v>0.45</v>
      </c>
      <c r="M782">
        <v>20.9</v>
      </c>
      <c r="N782">
        <v>11</v>
      </c>
      <c r="O782">
        <v>20.95</v>
      </c>
      <c r="P782">
        <v>1</v>
      </c>
      <c r="Q782">
        <v>11.68</v>
      </c>
    </row>
    <row r="783" spans="2:17">
      <c r="B783">
        <v>2492</v>
      </c>
      <c r="C783" t="s">
        <v>2081</v>
      </c>
      <c r="D783" s="3">
        <v>1337580</v>
      </c>
      <c r="E783" s="3">
        <v>4886</v>
      </c>
      <c r="F783" s="3">
        <v>224465300</v>
      </c>
      <c r="G783">
        <v>168</v>
      </c>
      <c r="H783">
        <v>169.5</v>
      </c>
      <c r="I783">
        <v>167</v>
      </c>
      <c r="J783">
        <v>167.5</v>
      </c>
      <c r="K783" t="s">
        <v>1362</v>
      </c>
      <c r="L783">
        <v>0.5</v>
      </c>
      <c r="M783">
        <v>167.5</v>
      </c>
      <c r="N783">
        <v>67</v>
      </c>
      <c r="O783">
        <v>168</v>
      </c>
      <c r="P783">
        <v>58</v>
      </c>
      <c r="Q783">
        <v>9.3800000000000008</v>
      </c>
    </row>
    <row r="784" spans="2:17">
      <c r="B784">
        <v>2493</v>
      </c>
      <c r="C784" t="s">
        <v>2082</v>
      </c>
      <c r="D784" s="3">
        <v>152427</v>
      </c>
      <c r="E784">
        <v>129</v>
      </c>
      <c r="F784" s="3">
        <v>5818318</v>
      </c>
      <c r="G784">
        <v>38.15</v>
      </c>
      <c r="H784">
        <v>38.25</v>
      </c>
      <c r="I784">
        <v>38.1</v>
      </c>
      <c r="J784">
        <v>38.25</v>
      </c>
      <c r="K784" t="s">
        <v>1362</v>
      </c>
      <c r="L784">
        <v>0.15</v>
      </c>
      <c r="M784">
        <v>38.200000000000003</v>
      </c>
      <c r="N784">
        <v>9</v>
      </c>
      <c r="O784">
        <v>38.25</v>
      </c>
      <c r="P784">
        <v>1</v>
      </c>
      <c r="Q784">
        <v>14.38</v>
      </c>
    </row>
    <row r="785" spans="2:17">
      <c r="B785">
        <v>2495</v>
      </c>
      <c r="C785" t="s">
        <v>2083</v>
      </c>
      <c r="D785" s="3">
        <v>5192827</v>
      </c>
      <c r="E785" s="3">
        <v>2311</v>
      </c>
      <c r="F785" s="3">
        <v>102486746</v>
      </c>
      <c r="G785">
        <v>19.8</v>
      </c>
      <c r="H785">
        <v>20.2</v>
      </c>
      <c r="I785">
        <v>19.3</v>
      </c>
      <c r="J785">
        <v>19.3</v>
      </c>
      <c r="K785" t="s">
        <v>1</v>
      </c>
      <c r="L785">
        <v>0.2</v>
      </c>
      <c r="M785">
        <v>19.3</v>
      </c>
      <c r="N785">
        <v>149</v>
      </c>
      <c r="O785">
        <v>19.350000000000001</v>
      </c>
      <c r="P785">
        <v>41</v>
      </c>
      <c r="Q785">
        <v>77.2</v>
      </c>
    </row>
    <row r="786" spans="2:17">
      <c r="B786">
        <v>2496</v>
      </c>
      <c r="C786" t="s">
        <v>2084</v>
      </c>
      <c r="D786" s="3">
        <v>11168</v>
      </c>
      <c r="E786">
        <v>17</v>
      </c>
      <c r="F786" s="3">
        <v>549822</v>
      </c>
      <c r="G786">
        <v>49.2</v>
      </c>
      <c r="H786">
        <v>49.3</v>
      </c>
      <c r="I786">
        <v>49.1</v>
      </c>
      <c r="J786">
        <v>49.3</v>
      </c>
      <c r="K786" t="s">
        <v>1328</v>
      </c>
      <c r="L786">
        <v>0</v>
      </c>
      <c r="M786">
        <v>49.1</v>
      </c>
      <c r="N786">
        <v>1</v>
      </c>
      <c r="O786">
        <v>49.35</v>
      </c>
      <c r="P786">
        <v>1</v>
      </c>
      <c r="Q786">
        <v>16.829999999999998</v>
      </c>
    </row>
    <row r="787" spans="2:17">
      <c r="B787">
        <v>2497</v>
      </c>
      <c r="C787" t="s">
        <v>2085</v>
      </c>
      <c r="D787" s="3">
        <v>11966312</v>
      </c>
      <c r="E787" s="3">
        <v>8415</v>
      </c>
      <c r="F787" s="3">
        <v>992605425</v>
      </c>
      <c r="G787">
        <v>80.8</v>
      </c>
      <c r="H787">
        <v>84.5</v>
      </c>
      <c r="I787">
        <v>80.2</v>
      </c>
      <c r="J787">
        <v>83.2</v>
      </c>
      <c r="K787" t="s">
        <v>1362</v>
      </c>
      <c r="L787">
        <v>2.4</v>
      </c>
      <c r="M787">
        <v>83.1</v>
      </c>
      <c r="N787">
        <v>22</v>
      </c>
      <c r="O787">
        <v>83.2</v>
      </c>
      <c r="P787">
        <v>5</v>
      </c>
      <c r="Q787">
        <v>520</v>
      </c>
    </row>
    <row r="788" spans="2:17">
      <c r="B788">
        <v>2498</v>
      </c>
      <c r="C788" t="s">
        <v>2086</v>
      </c>
      <c r="D788" s="3">
        <v>51816220</v>
      </c>
      <c r="E788" s="3">
        <v>27665</v>
      </c>
      <c r="F788" s="3">
        <v>4369362859</v>
      </c>
      <c r="G788">
        <v>86.5</v>
      </c>
      <c r="H788">
        <v>86.9</v>
      </c>
      <c r="I788">
        <v>83</v>
      </c>
      <c r="J788">
        <v>83</v>
      </c>
      <c r="K788" t="s">
        <v>1</v>
      </c>
      <c r="L788">
        <v>2.6</v>
      </c>
      <c r="M788">
        <v>83</v>
      </c>
      <c r="N788" s="3">
        <v>1482</v>
      </c>
      <c r="O788">
        <v>83.1</v>
      </c>
      <c r="P788">
        <v>76</v>
      </c>
      <c r="Q788">
        <v>0</v>
      </c>
    </row>
    <row r="789" spans="2:17">
      <c r="B789">
        <v>2501</v>
      </c>
      <c r="C789" t="s">
        <v>2087</v>
      </c>
      <c r="D789" s="3">
        <v>240057</v>
      </c>
      <c r="E789">
        <v>140</v>
      </c>
      <c r="F789" s="3">
        <v>4615826</v>
      </c>
      <c r="G789">
        <v>19.25</v>
      </c>
      <c r="H789">
        <v>19.3</v>
      </c>
      <c r="I789">
        <v>19.2</v>
      </c>
      <c r="J789">
        <v>19.25</v>
      </c>
      <c r="K789" t="s">
        <v>1362</v>
      </c>
      <c r="L789">
        <v>0.05</v>
      </c>
      <c r="M789">
        <v>19.25</v>
      </c>
      <c r="N789">
        <v>7</v>
      </c>
      <c r="O789">
        <v>19.3</v>
      </c>
      <c r="P789">
        <v>67</v>
      </c>
      <c r="Q789">
        <v>25.33</v>
      </c>
    </row>
    <row r="790" spans="2:17">
      <c r="B790">
        <v>2504</v>
      </c>
      <c r="C790" t="s">
        <v>2088</v>
      </c>
      <c r="D790" s="3">
        <v>6107478</v>
      </c>
      <c r="E790" s="3">
        <v>3263</v>
      </c>
      <c r="F790" s="3">
        <v>176929708</v>
      </c>
      <c r="G790">
        <v>29.5</v>
      </c>
      <c r="H790">
        <v>29.5</v>
      </c>
      <c r="I790">
        <v>28.65</v>
      </c>
      <c r="J790">
        <v>28.9</v>
      </c>
      <c r="K790" t="s">
        <v>1</v>
      </c>
      <c r="L790">
        <v>0.45</v>
      </c>
      <c r="M790">
        <v>28.9</v>
      </c>
      <c r="N790">
        <v>27</v>
      </c>
      <c r="O790">
        <v>28.95</v>
      </c>
      <c r="P790">
        <v>22</v>
      </c>
      <c r="Q790">
        <v>12.25</v>
      </c>
    </row>
    <row r="791" spans="2:17">
      <c r="B791">
        <v>2505</v>
      </c>
      <c r="C791" t="s">
        <v>2089</v>
      </c>
      <c r="D791" s="3">
        <v>1559446</v>
      </c>
      <c r="E791">
        <v>949</v>
      </c>
      <c r="F791" s="3">
        <v>38028823</v>
      </c>
      <c r="G791">
        <v>23.9</v>
      </c>
      <c r="H791">
        <v>24.7</v>
      </c>
      <c r="I791">
        <v>23.9</v>
      </c>
      <c r="J791">
        <v>24.4</v>
      </c>
      <c r="K791" t="s">
        <v>1362</v>
      </c>
      <c r="L791">
        <v>0.7</v>
      </c>
      <c r="M791">
        <v>24.35</v>
      </c>
      <c r="N791">
        <v>11</v>
      </c>
      <c r="O791">
        <v>24.4</v>
      </c>
      <c r="P791">
        <v>19</v>
      </c>
      <c r="Q791">
        <v>9.0399999999999991</v>
      </c>
    </row>
    <row r="792" spans="2:17">
      <c r="B792">
        <v>2506</v>
      </c>
      <c r="C792" t="s">
        <v>2090</v>
      </c>
      <c r="D792" s="3">
        <v>117007</v>
      </c>
      <c r="E792">
        <v>84</v>
      </c>
      <c r="F792" s="3">
        <v>1140955</v>
      </c>
      <c r="G792">
        <v>9.75</v>
      </c>
      <c r="H792">
        <v>9.82</v>
      </c>
      <c r="I792">
        <v>9.7100000000000009</v>
      </c>
      <c r="J792">
        <v>9.7200000000000006</v>
      </c>
      <c r="K792" t="s">
        <v>1</v>
      </c>
      <c r="L792">
        <v>0.01</v>
      </c>
      <c r="M792">
        <v>9.7200000000000006</v>
      </c>
      <c r="N792">
        <v>6</v>
      </c>
      <c r="O792">
        <v>9.73</v>
      </c>
      <c r="P792">
        <v>1</v>
      </c>
      <c r="Q792">
        <v>19.440000000000001</v>
      </c>
    </row>
    <row r="793" spans="2:17">
      <c r="B793">
        <v>2509</v>
      </c>
      <c r="C793" t="s">
        <v>2091</v>
      </c>
      <c r="D793" s="3">
        <v>121906</v>
      </c>
      <c r="E793">
        <v>241</v>
      </c>
      <c r="F793" s="3">
        <v>2229345</v>
      </c>
      <c r="G793">
        <v>18.3</v>
      </c>
      <c r="H793">
        <v>18.350000000000001</v>
      </c>
      <c r="I793">
        <v>18.25</v>
      </c>
      <c r="J793">
        <v>18.25</v>
      </c>
      <c r="K793" t="s">
        <v>1</v>
      </c>
      <c r="L793">
        <v>0.05</v>
      </c>
      <c r="M793">
        <v>18.25</v>
      </c>
      <c r="N793">
        <v>4</v>
      </c>
      <c r="O793">
        <v>18.3</v>
      </c>
      <c r="P793">
        <v>11</v>
      </c>
      <c r="Q793">
        <v>17.55</v>
      </c>
    </row>
    <row r="794" spans="2:17">
      <c r="B794">
        <v>2511</v>
      </c>
      <c r="C794" t="s">
        <v>2092</v>
      </c>
      <c r="D794" s="3">
        <v>982864</v>
      </c>
      <c r="E794">
        <v>305</v>
      </c>
      <c r="F794" s="3">
        <v>13015824</v>
      </c>
      <c r="G794">
        <v>13.3</v>
      </c>
      <c r="H794">
        <v>13.3</v>
      </c>
      <c r="I794">
        <v>13.2</v>
      </c>
      <c r="J794">
        <v>13.25</v>
      </c>
      <c r="K794" t="s">
        <v>1328</v>
      </c>
      <c r="L794">
        <v>0</v>
      </c>
      <c r="M794">
        <v>13.2</v>
      </c>
      <c r="N794">
        <v>119</v>
      </c>
      <c r="O794">
        <v>13.3</v>
      </c>
      <c r="P794">
        <v>135</v>
      </c>
      <c r="Q794">
        <v>13.25</v>
      </c>
    </row>
    <row r="795" spans="2:17">
      <c r="B795">
        <v>2514</v>
      </c>
      <c r="C795" t="s">
        <v>2093</v>
      </c>
      <c r="D795" s="3">
        <v>78966</v>
      </c>
      <c r="E795">
        <v>59</v>
      </c>
      <c r="F795" s="3">
        <v>1389994</v>
      </c>
      <c r="G795">
        <v>17.600000000000001</v>
      </c>
      <c r="H795">
        <v>17.7</v>
      </c>
      <c r="I795">
        <v>17.5</v>
      </c>
      <c r="J795">
        <v>17.649999999999999</v>
      </c>
      <c r="K795" t="s">
        <v>1362</v>
      </c>
      <c r="L795">
        <v>0.1</v>
      </c>
      <c r="M795">
        <v>17.649999999999999</v>
      </c>
      <c r="N795">
        <v>6</v>
      </c>
      <c r="O795">
        <v>17.7</v>
      </c>
      <c r="P795">
        <v>12</v>
      </c>
      <c r="Q795">
        <v>2.91</v>
      </c>
    </row>
    <row r="796" spans="2:17">
      <c r="B796">
        <v>2515</v>
      </c>
      <c r="C796" t="s">
        <v>2094</v>
      </c>
      <c r="D796" s="3">
        <v>2520384</v>
      </c>
      <c r="E796">
        <v>776</v>
      </c>
      <c r="F796" s="3">
        <v>22544702</v>
      </c>
      <c r="G796">
        <v>8.99</v>
      </c>
      <c r="H796">
        <v>8.99</v>
      </c>
      <c r="I796">
        <v>8.92</v>
      </c>
      <c r="J796">
        <v>8.93</v>
      </c>
      <c r="K796" t="s">
        <v>1362</v>
      </c>
      <c r="L796">
        <v>0.01</v>
      </c>
      <c r="M796">
        <v>8.93</v>
      </c>
      <c r="N796">
        <v>38</v>
      </c>
      <c r="O796">
        <v>8.94</v>
      </c>
      <c r="P796">
        <v>38</v>
      </c>
      <c r="Q796">
        <v>27.06</v>
      </c>
    </row>
    <row r="797" spans="2:17">
      <c r="B797">
        <v>2516</v>
      </c>
      <c r="C797" t="s">
        <v>2095</v>
      </c>
      <c r="D797" s="3">
        <v>272160</v>
      </c>
      <c r="E797">
        <v>129</v>
      </c>
      <c r="F797" s="3">
        <v>1679859</v>
      </c>
      <c r="G797">
        <v>6.2</v>
      </c>
      <c r="H797">
        <v>6.2</v>
      </c>
      <c r="I797">
        <v>6.16</v>
      </c>
      <c r="J797">
        <v>6.18</v>
      </c>
      <c r="K797" t="s">
        <v>1</v>
      </c>
      <c r="L797">
        <v>0.02</v>
      </c>
      <c r="M797">
        <v>6.18</v>
      </c>
      <c r="N797">
        <v>2</v>
      </c>
      <c r="O797">
        <v>6.19</v>
      </c>
      <c r="P797">
        <v>10</v>
      </c>
      <c r="Q797">
        <v>0</v>
      </c>
    </row>
    <row r="798" spans="2:17">
      <c r="B798">
        <v>2520</v>
      </c>
      <c r="C798" t="s">
        <v>11</v>
      </c>
      <c r="D798" s="3">
        <v>781194</v>
      </c>
      <c r="E798">
        <v>607</v>
      </c>
      <c r="F798" s="3">
        <v>29380141</v>
      </c>
      <c r="G798">
        <v>37.6</v>
      </c>
      <c r="H798">
        <v>37.700000000000003</v>
      </c>
      <c r="I798">
        <v>37.549999999999997</v>
      </c>
      <c r="J798">
        <v>37.6</v>
      </c>
      <c r="K798" t="s">
        <v>1328</v>
      </c>
      <c r="L798">
        <v>0</v>
      </c>
      <c r="M798">
        <v>37.6</v>
      </c>
      <c r="N798">
        <v>37</v>
      </c>
      <c r="O798">
        <v>37.65</v>
      </c>
      <c r="P798">
        <v>36</v>
      </c>
      <c r="Q798">
        <v>4.42</v>
      </c>
    </row>
    <row r="799" spans="2:17">
      <c r="B799">
        <v>2524</v>
      </c>
      <c r="C799" t="s">
        <v>2096</v>
      </c>
      <c r="D799" s="3">
        <v>96744</v>
      </c>
      <c r="E799">
        <v>94</v>
      </c>
      <c r="F799" s="3">
        <v>3962637</v>
      </c>
      <c r="G799">
        <v>41.9</v>
      </c>
      <c r="H799">
        <v>41.9</v>
      </c>
      <c r="I799">
        <v>40.5</v>
      </c>
      <c r="J799">
        <v>41.05</v>
      </c>
      <c r="K799" t="s">
        <v>1</v>
      </c>
      <c r="L799">
        <v>0.4</v>
      </c>
      <c r="M799">
        <v>41.05</v>
      </c>
      <c r="N799">
        <v>2</v>
      </c>
      <c r="O799">
        <v>41.2</v>
      </c>
      <c r="P799">
        <v>5</v>
      </c>
      <c r="Q799">
        <v>9.89</v>
      </c>
    </row>
    <row r="800" spans="2:17">
      <c r="B800">
        <v>2527</v>
      </c>
      <c r="C800" t="s">
        <v>2097</v>
      </c>
      <c r="D800" s="3">
        <v>233195</v>
      </c>
      <c r="E800">
        <v>142</v>
      </c>
      <c r="F800" s="3">
        <v>7286507</v>
      </c>
      <c r="G800">
        <v>31.2</v>
      </c>
      <c r="H800">
        <v>31.4</v>
      </c>
      <c r="I800">
        <v>31.05</v>
      </c>
      <c r="J800">
        <v>31.35</v>
      </c>
      <c r="K800" t="s">
        <v>1362</v>
      </c>
      <c r="L800">
        <v>0.15</v>
      </c>
      <c r="M800">
        <v>31.3</v>
      </c>
      <c r="N800">
        <v>7</v>
      </c>
      <c r="O800">
        <v>31.35</v>
      </c>
      <c r="P800">
        <v>2</v>
      </c>
      <c r="Q800">
        <v>5.1100000000000003</v>
      </c>
    </row>
    <row r="801" spans="2:17">
      <c r="B801">
        <v>2528</v>
      </c>
      <c r="C801" t="s">
        <v>2098</v>
      </c>
      <c r="D801" s="3">
        <v>73619</v>
      </c>
      <c r="E801">
        <v>35</v>
      </c>
      <c r="F801" s="3">
        <v>1600860</v>
      </c>
      <c r="G801">
        <v>21.9</v>
      </c>
      <c r="H801">
        <v>21.9</v>
      </c>
      <c r="I801">
        <v>21.65</v>
      </c>
      <c r="J801">
        <v>21.8</v>
      </c>
      <c r="K801" t="s">
        <v>1328</v>
      </c>
      <c r="L801">
        <v>0</v>
      </c>
      <c r="M801">
        <v>21.7</v>
      </c>
      <c r="N801">
        <v>8</v>
      </c>
      <c r="O801">
        <v>21.85</v>
      </c>
      <c r="P801">
        <v>2</v>
      </c>
      <c r="Q801">
        <v>34.06</v>
      </c>
    </row>
    <row r="802" spans="2:17">
      <c r="B802">
        <v>2530</v>
      </c>
      <c r="C802" t="s">
        <v>2099</v>
      </c>
      <c r="D802" s="3">
        <v>384715</v>
      </c>
      <c r="E802">
        <v>154</v>
      </c>
      <c r="F802" s="3">
        <v>5613408</v>
      </c>
      <c r="G802">
        <v>14.65</v>
      </c>
      <c r="H802">
        <v>14.7</v>
      </c>
      <c r="I802">
        <v>14.55</v>
      </c>
      <c r="J802">
        <v>14.6</v>
      </c>
      <c r="K802" t="s">
        <v>1</v>
      </c>
      <c r="L802">
        <v>0.05</v>
      </c>
      <c r="M802">
        <v>14.55</v>
      </c>
      <c r="N802">
        <v>4</v>
      </c>
      <c r="O802">
        <v>14.6</v>
      </c>
      <c r="P802">
        <v>4</v>
      </c>
      <c r="Q802">
        <v>0</v>
      </c>
    </row>
    <row r="803" spans="2:17">
      <c r="B803">
        <v>2534</v>
      </c>
      <c r="C803" t="s">
        <v>2100</v>
      </c>
      <c r="D803" s="3">
        <v>2174033</v>
      </c>
      <c r="E803">
        <v>955</v>
      </c>
      <c r="F803" s="3">
        <v>52307202</v>
      </c>
      <c r="G803">
        <v>24.4</v>
      </c>
      <c r="H803">
        <v>24.45</v>
      </c>
      <c r="I803">
        <v>23.8</v>
      </c>
      <c r="J803">
        <v>23.8</v>
      </c>
      <c r="K803" t="s">
        <v>1</v>
      </c>
      <c r="L803">
        <v>0.5</v>
      </c>
      <c r="M803">
        <v>23.8</v>
      </c>
      <c r="N803">
        <v>75</v>
      </c>
      <c r="O803">
        <v>23.85</v>
      </c>
      <c r="P803">
        <v>1</v>
      </c>
      <c r="Q803">
        <v>13.37</v>
      </c>
    </row>
    <row r="804" spans="2:17">
      <c r="B804">
        <v>2535</v>
      </c>
      <c r="C804" t="s">
        <v>2101</v>
      </c>
      <c r="D804" s="3">
        <v>340964</v>
      </c>
      <c r="E804">
        <v>217</v>
      </c>
      <c r="F804" s="3">
        <v>10990634</v>
      </c>
      <c r="G804">
        <v>32.25</v>
      </c>
      <c r="H804">
        <v>32.299999999999997</v>
      </c>
      <c r="I804">
        <v>32.15</v>
      </c>
      <c r="J804">
        <v>32.25</v>
      </c>
      <c r="K804" t="s">
        <v>1328</v>
      </c>
      <c r="L804">
        <v>0</v>
      </c>
      <c r="M804">
        <v>32.200000000000003</v>
      </c>
      <c r="N804">
        <v>37</v>
      </c>
      <c r="O804">
        <v>32.25</v>
      </c>
      <c r="P804">
        <v>35</v>
      </c>
      <c r="Q804">
        <v>8.49</v>
      </c>
    </row>
    <row r="805" spans="2:17">
      <c r="B805">
        <v>2536</v>
      </c>
      <c r="C805" t="s">
        <v>2102</v>
      </c>
      <c r="D805" s="3">
        <v>228128</v>
      </c>
      <c r="E805">
        <v>124</v>
      </c>
      <c r="F805" s="3">
        <v>5241486</v>
      </c>
      <c r="G805">
        <v>23</v>
      </c>
      <c r="H805">
        <v>23.1</v>
      </c>
      <c r="I805">
        <v>22.9</v>
      </c>
      <c r="J805">
        <v>23</v>
      </c>
      <c r="K805" t="s">
        <v>1</v>
      </c>
      <c r="L805">
        <v>0.2</v>
      </c>
      <c r="M805">
        <v>23</v>
      </c>
      <c r="N805">
        <v>11</v>
      </c>
      <c r="O805">
        <v>23.05</v>
      </c>
      <c r="P805">
        <v>1</v>
      </c>
      <c r="Q805">
        <v>76.67</v>
      </c>
    </row>
    <row r="806" spans="2:17">
      <c r="B806">
        <v>2537</v>
      </c>
      <c r="C806" t="s">
        <v>2103</v>
      </c>
      <c r="D806" s="3">
        <v>2464945</v>
      </c>
      <c r="E806">
        <v>637</v>
      </c>
      <c r="F806" s="3">
        <v>25374738</v>
      </c>
      <c r="G806">
        <v>10.25</v>
      </c>
      <c r="H806">
        <v>10.4</v>
      </c>
      <c r="I806">
        <v>10.199999999999999</v>
      </c>
      <c r="J806">
        <v>10.3</v>
      </c>
      <c r="K806" t="s">
        <v>1362</v>
      </c>
      <c r="L806">
        <v>0.05</v>
      </c>
      <c r="M806">
        <v>10.3</v>
      </c>
      <c r="N806">
        <v>81</v>
      </c>
      <c r="O806">
        <v>10.35</v>
      </c>
      <c r="P806">
        <v>133</v>
      </c>
      <c r="Q806">
        <v>9.81</v>
      </c>
    </row>
    <row r="807" spans="2:17">
      <c r="B807">
        <v>2538</v>
      </c>
      <c r="C807" t="s">
        <v>2104</v>
      </c>
      <c r="D807" s="3">
        <v>895663</v>
      </c>
      <c r="E807">
        <v>379</v>
      </c>
      <c r="F807" s="3">
        <v>11105734</v>
      </c>
      <c r="G807">
        <v>12.4</v>
      </c>
      <c r="H807">
        <v>12.5</v>
      </c>
      <c r="I807">
        <v>12.35</v>
      </c>
      <c r="J807">
        <v>12.45</v>
      </c>
      <c r="K807" t="s">
        <v>1362</v>
      </c>
      <c r="L807">
        <v>0.1</v>
      </c>
      <c r="M807">
        <v>12.4</v>
      </c>
      <c r="N807">
        <v>66</v>
      </c>
      <c r="O807">
        <v>12.45</v>
      </c>
      <c r="P807">
        <v>80</v>
      </c>
      <c r="Q807">
        <v>0</v>
      </c>
    </row>
    <row r="808" spans="2:17">
      <c r="B808">
        <v>2539</v>
      </c>
      <c r="C808" t="s">
        <v>2105</v>
      </c>
      <c r="D808" s="3">
        <v>483573</v>
      </c>
      <c r="E808">
        <v>285</v>
      </c>
      <c r="F808" s="3">
        <v>15027312</v>
      </c>
      <c r="G808">
        <v>31.25</v>
      </c>
      <c r="H808">
        <v>31.25</v>
      </c>
      <c r="I808">
        <v>31</v>
      </c>
      <c r="J808">
        <v>31.1</v>
      </c>
      <c r="K808" t="s">
        <v>1</v>
      </c>
      <c r="L808">
        <v>0.15</v>
      </c>
      <c r="M808">
        <v>31.05</v>
      </c>
      <c r="N808">
        <v>7</v>
      </c>
      <c r="O808">
        <v>31.1</v>
      </c>
      <c r="P808">
        <v>22</v>
      </c>
      <c r="Q808">
        <v>23.38</v>
      </c>
    </row>
    <row r="809" spans="2:17">
      <c r="B809">
        <v>2540</v>
      </c>
      <c r="C809" t="s">
        <v>2106</v>
      </c>
      <c r="D809" s="3">
        <v>20152</v>
      </c>
      <c r="E809">
        <v>19</v>
      </c>
      <c r="F809" s="3">
        <v>1459658</v>
      </c>
      <c r="G809">
        <v>72.099999999999994</v>
      </c>
      <c r="H809">
        <v>72.8</v>
      </c>
      <c r="I809">
        <v>72.099999999999994</v>
      </c>
      <c r="J809">
        <v>72.400000000000006</v>
      </c>
      <c r="K809" t="s">
        <v>1</v>
      </c>
      <c r="L809">
        <v>0.5</v>
      </c>
      <c r="M809">
        <v>72.3</v>
      </c>
      <c r="N809">
        <v>4</v>
      </c>
      <c r="O809">
        <v>72.599999999999994</v>
      </c>
      <c r="P809">
        <v>1</v>
      </c>
      <c r="Q809">
        <v>13.14</v>
      </c>
    </row>
    <row r="810" spans="2:17">
      <c r="B810">
        <v>2542</v>
      </c>
      <c r="C810" t="s">
        <v>2107</v>
      </c>
      <c r="D810" s="3">
        <v>3628517</v>
      </c>
      <c r="E810" s="3">
        <v>1944</v>
      </c>
      <c r="F810" s="3">
        <v>167460149</v>
      </c>
      <c r="G810">
        <v>46.3</v>
      </c>
      <c r="H810">
        <v>46.35</v>
      </c>
      <c r="I810">
        <v>46.05</v>
      </c>
      <c r="J810">
        <v>46.15</v>
      </c>
      <c r="K810" t="s">
        <v>1</v>
      </c>
      <c r="L810">
        <v>0.1</v>
      </c>
      <c r="M810">
        <v>46.1</v>
      </c>
      <c r="N810">
        <v>68</v>
      </c>
      <c r="O810">
        <v>46.15</v>
      </c>
      <c r="P810">
        <v>10</v>
      </c>
      <c r="Q810">
        <v>7.62</v>
      </c>
    </row>
    <row r="811" spans="2:17">
      <c r="B811">
        <v>2543</v>
      </c>
      <c r="C811" t="s">
        <v>2108</v>
      </c>
      <c r="D811" s="3">
        <v>121184</v>
      </c>
      <c r="E811">
        <v>63</v>
      </c>
      <c r="F811" s="3">
        <v>954634</v>
      </c>
      <c r="G811">
        <v>8</v>
      </c>
      <c r="H811">
        <v>8</v>
      </c>
      <c r="I811">
        <v>7.83</v>
      </c>
      <c r="J811">
        <v>7.96</v>
      </c>
      <c r="K811" t="s">
        <v>1</v>
      </c>
      <c r="L811">
        <v>0.03</v>
      </c>
      <c r="M811">
        <v>7.87</v>
      </c>
      <c r="N811">
        <v>2</v>
      </c>
      <c r="O811">
        <v>7.96</v>
      </c>
      <c r="P811">
        <v>4</v>
      </c>
      <c r="Q811">
        <v>33.17</v>
      </c>
    </row>
    <row r="812" spans="2:17">
      <c r="B812">
        <v>2545</v>
      </c>
      <c r="C812" t="s">
        <v>2109</v>
      </c>
      <c r="D812" s="3">
        <v>110071</v>
      </c>
      <c r="E812">
        <v>104</v>
      </c>
      <c r="F812" s="3">
        <v>4089031</v>
      </c>
      <c r="G812">
        <v>37.25</v>
      </c>
      <c r="H812">
        <v>37.25</v>
      </c>
      <c r="I812">
        <v>37.049999999999997</v>
      </c>
      <c r="J812">
        <v>37.25</v>
      </c>
      <c r="K812" t="s">
        <v>1362</v>
      </c>
      <c r="L812">
        <v>0.1</v>
      </c>
      <c r="M812">
        <v>37.1</v>
      </c>
      <c r="N812">
        <v>6</v>
      </c>
      <c r="O812">
        <v>37.25</v>
      </c>
      <c r="P812">
        <v>28</v>
      </c>
      <c r="Q812">
        <v>8.26</v>
      </c>
    </row>
    <row r="813" spans="2:17">
      <c r="B813">
        <v>2546</v>
      </c>
      <c r="C813" t="s">
        <v>2110</v>
      </c>
      <c r="D813" s="3">
        <v>179706</v>
      </c>
      <c r="E813">
        <v>166</v>
      </c>
      <c r="F813" s="3">
        <v>8929975</v>
      </c>
      <c r="G813">
        <v>49.75</v>
      </c>
      <c r="H813">
        <v>49.8</v>
      </c>
      <c r="I813">
        <v>49.55</v>
      </c>
      <c r="J813">
        <v>49.7</v>
      </c>
      <c r="K813" t="s">
        <v>1362</v>
      </c>
      <c r="L813">
        <v>0.1</v>
      </c>
      <c r="M813">
        <v>49.7</v>
      </c>
      <c r="N813">
        <v>2</v>
      </c>
      <c r="O813">
        <v>49.75</v>
      </c>
      <c r="P813">
        <v>9</v>
      </c>
      <c r="Q813">
        <v>7.07</v>
      </c>
    </row>
    <row r="814" spans="2:17">
      <c r="B814">
        <v>2547</v>
      </c>
      <c r="C814" t="s">
        <v>2111</v>
      </c>
      <c r="D814" s="3">
        <v>3235705</v>
      </c>
      <c r="E814">
        <v>851</v>
      </c>
      <c r="F814" s="3">
        <v>34088057</v>
      </c>
      <c r="G814">
        <v>10.55</v>
      </c>
      <c r="H814">
        <v>10.6</v>
      </c>
      <c r="I814">
        <v>10.5</v>
      </c>
      <c r="J814">
        <v>10.5</v>
      </c>
      <c r="K814" t="s">
        <v>1</v>
      </c>
      <c r="L814">
        <v>0.05</v>
      </c>
      <c r="M814">
        <v>10.45</v>
      </c>
      <c r="N814">
        <v>161</v>
      </c>
      <c r="O814">
        <v>10.5</v>
      </c>
      <c r="P814">
        <v>34</v>
      </c>
      <c r="Q814">
        <v>52.5</v>
      </c>
    </row>
    <row r="815" spans="2:17">
      <c r="B815">
        <v>2548</v>
      </c>
      <c r="C815" t="s">
        <v>2112</v>
      </c>
      <c r="D815" s="3">
        <v>168530</v>
      </c>
      <c r="E815">
        <v>238</v>
      </c>
      <c r="F815" s="3">
        <v>15352416</v>
      </c>
      <c r="G815">
        <v>91.5</v>
      </c>
      <c r="H815">
        <v>91.5</v>
      </c>
      <c r="I815">
        <v>90.9</v>
      </c>
      <c r="J815">
        <v>91.4</v>
      </c>
      <c r="K815" t="s">
        <v>1362</v>
      </c>
      <c r="L815">
        <v>0.4</v>
      </c>
      <c r="M815">
        <v>91.4</v>
      </c>
      <c r="N815">
        <v>2</v>
      </c>
      <c r="O815">
        <v>91.5</v>
      </c>
      <c r="P815">
        <v>3</v>
      </c>
      <c r="Q815">
        <v>11.31</v>
      </c>
    </row>
    <row r="816" spans="2:17">
      <c r="B816">
        <v>2597</v>
      </c>
      <c r="C816" t="s">
        <v>2113</v>
      </c>
      <c r="D816" s="3">
        <v>66848</v>
      </c>
      <c r="E816">
        <v>219</v>
      </c>
      <c r="F816" s="3">
        <v>8130871</v>
      </c>
      <c r="G816">
        <v>121.5</v>
      </c>
      <c r="H816">
        <v>122</v>
      </c>
      <c r="I816">
        <v>121</v>
      </c>
      <c r="J816">
        <v>122</v>
      </c>
      <c r="K816" t="s">
        <v>1362</v>
      </c>
      <c r="L816">
        <v>0.5</v>
      </c>
      <c r="M816">
        <v>121.5</v>
      </c>
      <c r="N816">
        <v>9</v>
      </c>
      <c r="O816">
        <v>122</v>
      </c>
      <c r="P816">
        <v>22</v>
      </c>
      <c r="Q816">
        <v>12.7</v>
      </c>
    </row>
    <row r="817" spans="2:17">
      <c r="B817">
        <v>2601</v>
      </c>
      <c r="C817" t="s">
        <v>2114</v>
      </c>
      <c r="D817" s="3">
        <v>5849301</v>
      </c>
      <c r="E817" s="3">
        <v>2021</v>
      </c>
      <c r="F817" s="3">
        <v>76846057</v>
      </c>
      <c r="G817">
        <v>13.1</v>
      </c>
      <c r="H817">
        <v>13.3</v>
      </c>
      <c r="I817">
        <v>13</v>
      </c>
      <c r="J817">
        <v>13</v>
      </c>
      <c r="K817" t="s">
        <v>1</v>
      </c>
      <c r="L817">
        <v>0.1</v>
      </c>
      <c r="M817">
        <v>13</v>
      </c>
      <c r="N817">
        <v>442</v>
      </c>
      <c r="O817">
        <v>13.05</v>
      </c>
      <c r="P817">
        <v>38</v>
      </c>
      <c r="Q817">
        <v>54.17</v>
      </c>
    </row>
    <row r="818" spans="2:17">
      <c r="B818">
        <v>2603</v>
      </c>
      <c r="C818" t="s">
        <v>2115</v>
      </c>
      <c r="D818" s="3">
        <v>124546591</v>
      </c>
      <c r="E818" s="3">
        <v>57057</v>
      </c>
      <c r="F818" s="3">
        <v>17888866699</v>
      </c>
      <c r="G818">
        <v>141</v>
      </c>
      <c r="H818">
        <v>145</v>
      </c>
      <c r="I818">
        <v>140.5</v>
      </c>
      <c r="J818">
        <v>143.5</v>
      </c>
      <c r="K818" t="s">
        <v>1362</v>
      </c>
      <c r="L818">
        <v>4</v>
      </c>
      <c r="M818">
        <v>143</v>
      </c>
      <c r="N818" s="3">
        <v>4594</v>
      </c>
      <c r="O818">
        <v>143.5</v>
      </c>
      <c r="P818">
        <v>328</v>
      </c>
      <c r="Q818">
        <v>4.42</v>
      </c>
    </row>
    <row r="819" spans="2:17">
      <c r="B819">
        <v>2605</v>
      </c>
      <c r="C819" t="s">
        <v>2116</v>
      </c>
      <c r="D819" s="3">
        <v>6511054</v>
      </c>
      <c r="E819" s="3">
        <v>3172</v>
      </c>
      <c r="F819" s="3">
        <v>192452330</v>
      </c>
      <c r="G819">
        <v>29.55</v>
      </c>
      <c r="H819">
        <v>30.05</v>
      </c>
      <c r="I819">
        <v>29.25</v>
      </c>
      <c r="J819">
        <v>29.25</v>
      </c>
      <c r="K819" t="s">
        <v>1328</v>
      </c>
      <c r="L819">
        <v>0</v>
      </c>
      <c r="M819">
        <v>29.25</v>
      </c>
      <c r="N819">
        <v>226</v>
      </c>
      <c r="O819">
        <v>29.3</v>
      </c>
      <c r="P819">
        <v>15</v>
      </c>
      <c r="Q819">
        <v>75</v>
      </c>
    </row>
    <row r="820" spans="2:17">
      <c r="B820">
        <v>2606</v>
      </c>
      <c r="C820" t="s">
        <v>2117</v>
      </c>
      <c r="D820" s="3">
        <v>8217338</v>
      </c>
      <c r="E820" s="3">
        <v>5362</v>
      </c>
      <c r="F820" s="3">
        <v>505943619</v>
      </c>
      <c r="G820">
        <v>61.9</v>
      </c>
      <c r="H820">
        <v>62.5</v>
      </c>
      <c r="I820">
        <v>61</v>
      </c>
      <c r="J820">
        <v>61</v>
      </c>
      <c r="K820" t="s">
        <v>1</v>
      </c>
      <c r="L820">
        <v>0.2</v>
      </c>
      <c r="M820">
        <v>61</v>
      </c>
      <c r="N820">
        <v>23</v>
      </c>
      <c r="O820">
        <v>61.1</v>
      </c>
      <c r="P820">
        <v>3</v>
      </c>
      <c r="Q820">
        <v>14.42</v>
      </c>
    </row>
    <row r="821" spans="2:17">
      <c r="B821">
        <v>2607</v>
      </c>
      <c r="C821" t="s">
        <v>2118</v>
      </c>
      <c r="D821" s="3">
        <v>6778886</v>
      </c>
      <c r="E821" s="3">
        <v>3313</v>
      </c>
      <c r="F821" s="3">
        <v>200260965</v>
      </c>
      <c r="G821">
        <v>29.8</v>
      </c>
      <c r="H821">
        <v>29.9</v>
      </c>
      <c r="I821">
        <v>29.25</v>
      </c>
      <c r="J821">
        <v>29.25</v>
      </c>
      <c r="K821" t="s">
        <v>1</v>
      </c>
      <c r="L821">
        <v>0.45</v>
      </c>
      <c r="M821">
        <v>29.25</v>
      </c>
      <c r="N821">
        <v>76</v>
      </c>
      <c r="O821">
        <v>29.3</v>
      </c>
      <c r="P821">
        <v>1</v>
      </c>
      <c r="Q821">
        <v>37.5</v>
      </c>
    </row>
    <row r="822" spans="2:17">
      <c r="B822">
        <v>2608</v>
      </c>
      <c r="C822" t="s">
        <v>2119</v>
      </c>
      <c r="D822" s="3">
        <v>428102</v>
      </c>
      <c r="E822">
        <v>551</v>
      </c>
      <c r="F822" s="3">
        <v>19240530</v>
      </c>
      <c r="G822">
        <v>44.75</v>
      </c>
      <c r="H822">
        <v>45.15</v>
      </c>
      <c r="I822">
        <v>44.75</v>
      </c>
      <c r="J822">
        <v>44.85</v>
      </c>
      <c r="K822" t="s">
        <v>1362</v>
      </c>
      <c r="L822">
        <v>0.15</v>
      </c>
      <c r="M822">
        <v>44.8</v>
      </c>
      <c r="N822">
        <v>1</v>
      </c>
      <c r="O822">
        <v>44.85</v>
      </c>
      <c r="P822">
        <v>1</v>
      </c>
      <c r="Q822">
        <v>15.1</v>
      </c>
    </row>
    <row r="823" spans="2:17">
      <c r="B823">
        <v>2609</v>
      </c>
      <c r="C823" t="s">
        <v>2120</v>
      </c>
      <c r="D823" s="3">
        <v>56247714</v>
      </c>
      <c r="E823" s="3">
        <v>25822</v>
      </c>
      <c r="F823" s="3">
        <v>7057509415</v>
      </c>
      <c r="G823">
        <v>124</v>
      </c>
      <c r="H823">
        <v>127</v>
      </c>
      <c r="I823">
        <v>123.5</v>
      </c>
      <c r="J823">
        <v>125</v>
      </c>
      <c r="K823" t="s">
        <v>1362</v>
      </c>
      <c r="L823">
        <v>2.5</v>
      </c>
      <c r="M823">
        <v>125</v>
      </c>
      <c r="N823">
        <v>13</v>
      </c>
      <c r="O823">
        <v>125.5</v>
      </c>
      <c r="P823" s="3">
        <v>1641</v>
      </c>
      <c r="Q823">
        <v>3.64</v>
      </c>
    </row>
    <row r="824" spans="2:17">
      <c r="B824">
        <v>2610</v>
      </c>
      <c r="C824" t="s">
        <v>2121</v>
      </c>
      <c r="D824" s="3">
        <v>113787334</v>
      </c>
      <c r="E824" s="3">
        <v>31699</v>
      </c>
      <c r="F824" s="3">
        <v>3069688836</v>
      </c>
      <c r="G824">
        <v>26.85</v>
      </c>
      <c r="H824">
        <v>27.2</v>
      </c>
      <c r="I824">
        <v>26.75</v>
      </c>
      <c r="J824">
        <v>26.9</v>
      </c>
      <c r="K824" t="s">
        <v>1</v>
      </c>
      <c r="L824">
        <v>0.1</v>
      </c>
      <c r="M824">
        <v>26.85</v>
      </c>
      <c r="N824" s="3">
        <v>1197</v>
      </c>
      <c r="O824">
        <v>26.9</v>
      </c>
      <c r="P824">
        <v>267</v>
      </c>
      <c r="Q824">
        <v>41.38</v>
      </c>
    </row>
    <row r="825" spans="2:17">
      <c r="B825">
        <v>2611</v>
      </c>
      <c r="C825" t="s">
        <v>2122</v>
      </c>
      <c r="D825" s="3">
        <v>1226294</v>
      </c>
      <c r="E825">
        <v>611</v>
      </c>
      <c r="F825" s="3">
        <v>24887299</v>
      </c>
      <c r="G825">
        <v>20.25</v>
      </c>
      <c r="H825">
        <v>20.55</v>
      </c>
      <c r="I825">
        <v>20.05</v>
      </c>
      <c r="J825">
        <v>20.05</v>
      </c>
      <c r="K825" t="s">
        <v>1</v>
      </c>
      <c r="L825">
        <v>0.15</v>
      </c>
      <c r="M825">
        <v>20.05</v>
      </c>
      <c r="N825">
        <v>69</v>
      </c>
      <c r="O825">
        <v>20.100000000000001</v>
      </c>
      <c r="P825">
        <v>10</v>
      </c>
      <c r="Q825">
        <v>7.19</v>
      </c>
    </row>
    <row r="826" spans="2:17">
      <c r="B826">
        <v>2612</v>
      </c>
      <c r="C826" t="s">
        <v>2123</v>
      </c>
      <c r="D826" s="3">
        <v>1084969</v>
      </c>
      <c r="E826">
        <v>666</v>
      </c>
      <c r="F826" s="3">
        <v>64457911</v>
      </c>
      <c r="G826">
        <v>59.4</v>
      </c>
      <c r="H826">
        <v>60.4</v>
      </c>
      <c r="I826">
        <v>58.8</v>
      </c>
      <c r="J826">
        <v>58.9</v>
      </c>
      <c r="K826" t="s">
        <v>1</v>
      </c>
      <c r="L826">
        <v>0.2</v>
      </c>
      <c r="M826">
        <v>58.9</v>
      </c>
      <c r="N826">
        <v>4</v>
      </c>
      <c r="O826">
        <v>59</v>
      </c>
      <c r="P826">
        <v>3</v>
      </c>
      <c r="Q826">
        <v>15.06</v>
      </c>
    </row>
    <row r="827" spans="2:17">
      <c r="B827">
        <v>2613</v>
      </c>
      <c r="C827" t="s">
        <v>2124</v>
      </c>
      <c r="D827" s="3">
        <v>160719</v>
      </c>
      <c r="E827">
        <v>133</v>
      </c>
      <c r="F827" s="3">
        <v>4266846</v>
      </c>
      <c r="G827">
        <v>26.5</v>
      </c>
      <c r="H827">
        <v>26.7</v>
      </c>
      <c r="I827">
        <v>26.4</v>
      </c>
      <c r="J827">
        <v>26.4</v>
      </c>
      <c r="K827" t="s">
        <v>1362</v>
      </c>
      <c r="L827">
        <v>0.05</v>
      </c>
      <c r="M827">
        <v>26.35</v>
      </c>
      <c r="N827">
        <v>6</v>
      </c>
      <c r="O827">
        <v>26.4</v>
      </c>
      <c r="P827">
        <v>1</v>
      </c>
      <c r="Q827">
        <v>25.63</v>
      </c>
    </row>
    <row r="828" spans="2:17">
      <c r="B828">
        <v>2614</v>
      </c>
      <c r="C828" t="s">
        <v>2125</v>
      </c>
      <c r="D828" s="3">
        <v>5897411</v>
      </c>
      <c r="E828" s="3">
        <v>3735</v>
      </c>
      <c r="F828" s="3">
        <v>194830300</v>
      </c>
      <c r="G828">
        <v>32.85</v>
      </c>
      <c r="H828">
        <v>33.450000000000003</v>
      </c>
      <c r="I828">
        <v>32.700000000000003</v>
      </c>
      <c r="J828">
        <v>32.75</v>
      </c>
      <c r="K828" t="s">
        <v>1362</v>
      </c>
      <c r="L828">
        <v>0.25</v>
      </c>
      <c r="M828">
        <v>32.75</v>
      </c>
      <c r="N828">
        <v>203</v>
      </c>
      <c r="O828">
        <v>32.799999999999997</v>
      </c>
      <c r="P828">
        <v>15</v>
      </c>
      <c r="Q828">
        <v>21.55</v>
      </c>
    </row>
    <row r="829" spans="2:17">
      <c r="B829">
        <v>2615</v>
      </c>
      <c r="C829" t="s">
        <v>2126</v>
      </c>
      <c r="D829" s="3">
        <v>36358426</v>
      </c>
      <c r="E829" s="3">
        <v>19531</v>
      </c>
      <c r="F829" s="3">
        <v>7381231762</v>
      </c>
      <c r="G829">
        <v>200</v>
      </c>
      <c r="H829">
        <v>206</v>
      </c>
      <c r="I829">
        <v>199</v>
      </c>
      <c r="J829">
        <v>200.5</v>
      </c>
      <c r="K829" t="s">
        <v>1362</v>
      </c>
      <c r="L829">
        <v>1.5</v>
      </c>
      <c r="M829">
        <v>200.5</v>
      </c>
      <c r="N829">
        <v>203</v>
      </c>
      <c r="O829">
        <v>201</v>
      </c>
      <c r="P829">
        <v>94</v>
      </c>
      <c r="Q829">
        <v>6.35</v>
      </c>
    </row>
    <row r="830" spans="2:17">
      <c r="B830">
        <v>2616</v>
      </c>
      <c r="C830" t="s">
        <v>2127</v>
      </c>
      <c r="D830" s="3">
        <v>77747</v>
      </c>
      <c r="E830">
        <v>159</v>
      </c>
      <c r="F830" s="3">
        <v>2831745</v>
      </c>
      <c r="G830">
        <v>36.450000000000003</v>
      </c>
      <c r="H830">
        <v>36.6</v>
      </c>
      <c r="I830">
        <v>36.299999999999997</v>
      </c>
      <c r="J830">
        <v>36.450000000000003</v>
      </c>
      <c r="K830" t="s">
        <v>1328</v>
      </c>
      <c r="L830">
        <v>0</v>
      </c>
      <c r="M830">
        <v>36.450000000000003</v>
      </c>
      <c r="N830">
        <v>2</v>
      </c>
      <c r="O830">
        <v>36.549999999999997</v>
      </c>
      <c r="P830">
        <v>12</v>
      </c>
      <c r="Q830">
        <v>11.91</v>
      </c>
    </row>
    <row r="831" spans="2:17">
      <c r="B831">
        <v>2617</v>
      </c>
      <c r="C831" t="s">
        <v>2128</v>
      </c>
      <c r="D831" s="3">
        <v>2153780</v>
      </c>
      <c r="E831" s="3">
        <v>1173</v>
      </c>
      <c r="F831" s="3">
        <v>80985983</v>
      </c>
      <c r="G831">
        <v>37.35</v>
      </c>
      <c r="H831">
        <v>38</v>
      </c>
      <c r="I831">
        <v>37.299999999999997</v>
      </c>
      <c r="J831">
        <v>37.4</v>
      </c>
      <c r="K831" t="s">
        <v>1362</v>
      </c>
      <c r="L831">
        <v>0.35</v>
      </c>
      <c r="M831">
        <v>37.35</v>
      </c>
      <c r="N831">
        <v>88</v>
      </c>
      <c r="O831">
        <v>37.4</v>
      </c>
      <c r="P831">
        <v>13</v>
      </c>
      <c r="Q831">
        <v>14.55</v>
      </c>
    </row>
    <row r="832" spans="2:17">
      <c r="B832">
        <v>2618</v>
      </c>
      <c r="C832" t="s">
        <v>2129</v>
      </c>
      <c r="D832" s="3">
        <v>61162828</v>
      </c>
      <c r="E832" s="3">
        <v>18563</v>
      </c>
      <c r="F832" s="3">
        <v>1675103361</v>
      </c>
      <c r="G832">
        <v>27.25</v>
      </c>
      <c r="H832">
        <v>27.6</v>
      </c>
      <c r="I832">
        <v>27.15</v>
      </c>
      <c r="J832">
        <v>27.4</v>
      </c>
      <c r="K832" t="s">
        <v>1328</v>
      </c>
      <c r="L832">
        <v>0</v>
      </c>
      <c r="M832">
        <v>27.4</v>
      </c>
      <c r="N832">
        <v>98</v>
      </c>
      <c r="O832">
        <v>27.45</v>
      </c>
      <c r="P832">
        <v>425</v>
      </c>
      <c r="Q832">
        <v>0</v>
      </c>
    </row>
    <row r="833" spans="2:17">
      <c r="B833">
        <v>2630</v>
      </c>
      <c r="C833" t="s">
        <v>2130</v>
      </c>
      <c r="D833" s="3">
        <v>72219</v>
      </c>
      <c r="E833">
        <v>62</v>
      </c>
      <c r="F833" s="3">
        <v>1347645</v>
      </c>
      <c r="G833">
        <v>18.7</v>
      </c>
      <c r="H833">
        <v>18.75</v>
      </c>
      <c r="I833">
        <v>18.600000000000001</v>
      </c>
      <c r="J833">
        <v>18.649999999999999</v>
      </c>
      <c r="K833" t="s">
        <v>1</v>
      </c>
      <c r="L833">
        <v>0.05</v>
      </c>
      <c r="M833">
        <v>18.649999999999999</v>
      </c>
      <c r="N833">
        <v>7</v>
      </c>
      <c r="O833">
        <v>18.7</v>
      </c>
      <c r="P833">
        <v>1</v>
      </c>
      <c r="Q833">
        <v>38.85</v>
      </c>
    </row>
    <row r="834" spans="2:17">
      <c r="B834">
        <v>2633</v>
      </c>
      <c r="C834" t="s">
        <v>2131</v>
      </c>
      <c r="D834" s="3">
        <v>4423308</v>
      </c>
      <c r="E834" s="3">
        <v>1675</v>
      </c>
      <c r="F834" s="3">
        <v>130762564</v>
      </c>
      <c r="G834">
        <v>29.5</v>
      </c>
      <c r="H834">
        <v>29.65</v>
      </c>
      <c r="I834">
        <v>29.4</v>
      </c>
      <c r="J834">
        <v>29.6</v>
      </c>
      <c r="K834" t="s">
        <v>1362</v>
      </c>
      <c r="L834">
        <v>0.15</v>
      </c>
      <c r="M834">
        <v>29.55</v>
      </c>
      <c r="N834">
        <v>115</v>
      </c>
      <c r="O834">
        <v>29.6</v>
      </c>
      <c r="P834">
        <v>183</v>
      </c>
      <c r="Q834">
        <v>31.49</v>
      </c>
    </row>
    <row r="835" spans="2:17">
      <c r="B835">
        <v>2634</v>
      </c>
      <c r="C835" t="s">
        <v>2132</v>
      </c>
      <c r="D835" s="3">
        <v>1573491</v>
      </c>
      <c r="E835">
        <v>827</v>
      </c>
      <c r="F835" s="3">
        <v>46638116</v>
      </c>
      <c r="G835">
        <v>29.9</v>
      </c>
      <c r="H835">
        <v>29.9</v>
      </c>
      <c r="I835">
        <v>29.45</v>
      </c>
      <c r="J835">
        <v>29.55</v>
      </c>
      <c r="K835" t="s">
        <v>1</v>
      </c>
      <c r="L835">
        <v>0.15</v>
      </c>
      <c r="M835">
        <v>29.55</v>
      </c>
      <c r="N835">
        <v>29</v>
      </c>
      <c r="O835">
        <v>29.6</v>
      </c>
      <c r="P835">
        <v>2</v>
      </c>
      <c r="Q835">
        <v>57.94</v>
      </c>
    </row>
    <row r="836" spans="2:17">
      <c r="B836">
        <v>2636</v>
      </c>
      <c r="C836" t="s">
        <v>2133</v>
      </c>
      <c r="D836" s="3">
        <v>5332169</v>
      </c>
      <c r="E836" s="3">
        <v>4176</v>
      </c>
      <c r="F836" s="3">
        <v>754456690</v>
      </c>
      <c r="G836">
        <v>140.5</v>
      </c>
      <c r="H836">
        <v>144</v>
      </c>
      <c r="I836">
        <v>138.5</v>
      </c>
      <c r="J836">
        <v>139</v>
      </c>
      <c r="K836" t="s">
        <v>1362</v>
      </c>
      <c r="L836">
        <v>2</v>
      </c>
      <c r="M836">
        <v>139</v>
      </c>
      <c r="N836">
        <v>4</v>
      </c>
      <c r="O836">
        <v>139.5</v>
      </c>
      <c r="P836">
        <v>29</v>
      </c>
      <c r="Q836">
        <v>6.48</v>
      </c>
    </row>
    <row r="837" spans="2:17">
      <c r="B837">
        <v>2637</v>
      </c>
      <c r="C837" t="s">
        <v>2134</v>
      </c>
      <c r="D837" s="3">
        <v>6449051</v>
      </c>
      <c r="E837" s="3">
        <v>6054</v>
      </c>
      <c r="F837" s="3">
        <v>535785728</v>
      </c>
      <c r="G837">
        <v>83.2</v>
      </c>
      <c r="H837">
        <v>84.3</v>
      </c>
      <c r="I837">
        <v>81.900000000000006</v>
      </c>
      <c r="J837">
        <v>81.900000000000006</v>
      </c>
      <c r="K837" t="s">
        <v>1</v>
      </c>
      <c r="L837">
        <v>0.6</v>
      </c>
      <c r="M837">
        <v>81.8</v>
      </c>
      <c r="N837">
        <v>91</v>
      </c>
      <c r="O837">
        <v>81.900000000000006</v>
      </c>
      <c r="P837">
        <v>5</v>
      </c>
      <c r="Q837">
        <v>11.01</v>
      </c>
    </row>
    <row r="838" spans="2:17">
      <c r="B838">
        <v>2642</v>
      </c>
      <c r="C838" t="s">
        <v>2135</v>
      </c>
      <c r="D838" s="3">
        <v>288724</v>
      </c>
      <c r="E838">
        <v>281</v>
      </c>
      <c r="F838" s="3">
        <v>20844793</v>
      </c>
      <c r="G838">
        <v>72.3</v>
      </c>
      <c r="H838">
        <v>72.7</v>
      </c>
      <c r="I838">
        <v>72</v>
      </c>
      <c r="J838">
        <v>72.099999999999994</v>
      </c>
      <c r="K838" t="s">
        <v>1</v>
      </c>
      <c r="L838">
        <v>0.2</v>
      </c>
      <c r="M838">
        <v>72.099999999999994</v>
      </c>
      <c r="N838">
        <v>2</v>
      </c>
      <c r="O838">
        <v>72.2</v>
      </c>
      <c r="P838">
        <v>1</v>
      </c>
      <c r="Q838">
        <v>27.52</v>
      </c>
    </row>
    <row r="839" spans="2:17">
      <c r="B839">
        <v>2701</v>
      </c>
      <c r="C839" t="s">
        <v>2136</v>
      </c>
      <c r="D839" s="3">
        <v>57524</v>
      </c>
      <c r="E839">
        <v>44</v>
      </c>
      <c r="F839" s="3">
        <v>699152</v>
      </c>
      <c r="G839">
        <v>12.15</v>
      </c>
      <c r="H839">
        <v>12.2</v>
      </c>
      <c r="I839">
        <v>12.15</v>
      </c>
      <c r="J839">
        <v>12.15</v>
      </c>
      <c r="K839" t="s">
        <v>1362</v>
      </c>
      <c r="L839">
        <v>0.05</v>
      </c>
      <c r="M839">
        <v>12.15</v>
      </c>
      <c r="N839">
        <v>2</v>
      </c>
      <c r="O839">
        <v>12.2</v>
      </c>
      <c r="P839">
        <v>13</v>
      </c>
      <c r="Q839">
        <v>45</v>
      </c>
    </row>
    <row r="840" spans="2:17">
      <c r="B840">
        <v>2702</v>
      </c>
      <c r="C840" t="s">
        <v>2137</v>
      </c>
      <c r="D840" s="3">
        <v>166000</v>
      </c>
      <c r="E840">
        <v>123</v>
      </c>
      <c r="F840" s="3">
        <v>4304500</v>
      </c>
      <c r="G840">
        <v>26</v>
      </c>
      <c r="H840">
        <v>26.1</v>
      </c>
      <c r="I840">
        <v>25.7</v>
      </c>
      <c r="J840">
        <v>25.95</v>
      </c>
      <c r="K840" t="s">
        <v>1328</v>
      </c>
      <c r="L840">
        <v>0</v>
      </c>
      <c r="M840">
        <v>25.95</v>
      </c>
      <c r="N840">
        <v>6</v>
      </c>
      <c r="O840">
        <v>26</v>
      </c>
      <c r="P840">
        <v>7</v>
      </c>
      <c r="Q840">
        <v>0</v>
      </c>
    </row>
    <row r="841" spans="2:17">
      <c r="B841">
        <v>2704</v>
      </c>
      <c r="C841" t="s">
        <v>2138</v>
      </c>
      <c r="D841" s="3">
        <v>96418</v>
      </c>
      <c r="E841">
        <v>100</v>
      </c>
      <c r="F841" s="3">
        <v>3006453</v>
      </c>
      <c r="G841">
        <v>31.3</v>
      </c>
      <c r="H841">
        <v>31.4</v>
      </c>
      <c r="I841">
        <v>30.9</v>
      </c>
      <c r="J841">
        <v>31.4</v>
      </c>
      <c r="K841" t="s">
        <v>1362</v>
      </c>
      <c r="L841">
        <v>0.1</v>
      </c>
      <c r="M841">
        <v>31.25</v>
      </c>
      <c r="N841">
        <v>1</v>
      </c>
      <c r="O841">
        <v>31.45</v>
      </c>
      <c r="P841">
        <v>1</v>
      </c>
      <c r="Q841">
        <v>0</v>
      </c>
    </row>
    <row r="842" spans="2:17">
      <c r="B842">
        <v>2705</v>
      </c>
      <c r="C842" t="s">
        <v>2139</v>
      </c>
      <c r="D842" s="3">
        <v>94061</v>
      </c>
      <c r="E842">
        <v>93</v>
      </c>
      <c r="F842" s="3">
        <v>1641786</v>
      </c>
      <c r="G842">
        <v>17.399999999999999</v>
      </c>
      <c r="H842">
        <v>17.55</v>
      </c>
      <c r="I842">
        <v>17.399999999999999</v>
      </c>
      <c r="J842">
        <v>17.55</v>
      </c>
      <c r="K842" t="s">
        <v>1362</v>
      </c>
      <c r="L842">
        <v>0.2</v>
      </c>
      <c r="M842">
        <v>17.5</v>
      </c>
      <c r="N842">
        <v>2</v>
      </c>
      <c r="O842">
        <v>17.55</v>
      </c>
      <c r="P842">
        <v>10</v>
      </c>
      <c r="Q842">
        <v>0</v>
      </c>
    </row>
    <row r="843" spans="2:17">
      <c r="B843">
        <v>2706</v>
      </c>
      <c r="C843" t="s">
        <v>2140</v>
      </c>
      <c r="D843" s="3">
        <v>119299</v>
      </c>
      <c r="E843">
        <v>145</v>
      </c>
      <c r="F843" s="3">
        <v>1720331</v>
      </c>
      <c r="G843">
        <v>14.5</v>
      </c>
      <c r="H843">
        <v>14.5</v>
      </c>
      <c r="I843">
        <v>14.35</v>
      </c>
      <c r="J843">
        <v>14.45</v>
      </c>
      <c r="K843" t="s">
        <v>1362</v>
      </c>
      <c r="L843">
        <v>0.1</v>
      </c>
      <c r="M843">
        <v>14.4</v>
      </c>
      <c r="N843">
        <v>1</v>
      </c>
      <c r="O843">
        <v>14.45</v>
      </c>
      <c r="P843">
        <v>28</v>
      </c>
      <c r="Q843">
        <v>48.17</v>
      </c>
    </row>
    <row r="844" spans="2:17">
      <c r="B844">
        <v>2707</v>
      </c>
      <c r="C844" t="s">
        <v>2141</v>
      </c>
      <c r="D844" s="3">
        <v>202537</v>
      </c>
      <c r="E844">
        <v>200</v>
      </c>
      <c r="F844" s="3">
        <v>30743108</v>
      </c>
      <c r="G844">
        <v>151</v>
      </c>
      <c r="H844">
        <v>152.5</v>
      </c>
      <c r="I844">
        <v>151</v>
      </c>
      <c r="J844">
        <v>152</v>
      </c>
      <c r="K844" t="s">
        <v>1362</v>
      </c>
      <c r="L844">
        <v>1</v>
      </c>
      <c r="M844">
        <v>151.5</v>
      </c>
      <c r="N844">
        <v>15</v>
      </c>
      <c r="O844">
        <v>152</v>
      </c>
      <c r="P844">
        <v>42</v>
      </c>
      <c r="Q844">
        <v>9.1999999999999993</v>
      </c>
    </row>
    <row r="845" spans="2:17">
      <c r="B845">
        <v>2712</v>
      </c>
      <c r="C845" t="s">
        <v>2142</v>
      </c>
      <c r="D845" s="3">
        <v>25000</v>
      </c>
      <c r="E845">
        <v>23</v>
      </c>
      <c r="F845" s="3">
        <v>973500</v>
      </c>
      <c r="G845">
        <v>38.549999999999997</v>
      </c>
      <c r="H845">
        <v>39.15</v>
      </c>
      <c r="I845">
        <v>38.549999999999997</v>
      </c>
      <c r="J845">
        <v>39.1</v>
      </c>
      <c r="K845" t="s">
        <v>1362</v>
      </c>
      <c r="L845">
        <v>0.1</v>
      </c>
      <c r="M845">
        <v>38.700000000000003</v>
      </c>
      <c r="N845">
        <v>1</v>
      </c>
      <c r="O845">
        <v>38.9</v>
      </c>
      <c r="P845">
        <v>1</v>
      </c>
      <c r="Q845" s="8">
        <v>1303.33</v>
      </c>
    </row>
    <row r="846" spans="2:17">
      <c r="B846">
        <v>2722</v>
      </c>
      <c r="C846" t="s">
        <v>2143</v>
      </c>
      <c r="D846" s="3">
        <v>6128</v>
      </c>
      <c r="E846">
        <v>8</v>
      </c>
      <c r="F846" s="3">
        <v>187071</v>
      </c>
      <c r="G846">
        <v>30.55</v>
      </c>
      <c r="H846">
        <v>30.55</v>
      </c>
      <c r="I846">
        <v>30.45</v>
      </c>
      <c r="J846">
        <v>30.55</v>
      </c>
      <c r="K846" t="s">
        <v>1362</v>
      </c>
      <c r="L846">
        <v>0.05</v>
      </c>
      <c r="M846">
        <v>30.45</v>
      </c>
      <c r="N846">
        <v>1</v>
      </c>
      <c r="O846">
        <v>30.5</v>
      </c>
      <c r="P846">
        <v>1</v>
      </c>
      <c r="Q846" s="8">
        <v>1527.5</v>
      </c>
    </row>
    <row r="847" spans="2:17">
      <c r="B847">
        <v>2723</v>
      </c>
      <c r="C847" t="s">
        <v>2144</v>
      </c>
      <c r="D847" s="3">
        <v>162511</v>
      </c>
      <c r="E847">
        <v>196</v>
      </c>
      <c r="F847" s="3">
        <v>18285299</v>
      </c>
      <c r="G847">
        <v>113</v>
      </c>
      <c r="H847">
        <v>113</v>
      </c>
      <c r="I847">
        <v>112</v>
      </c>
      <c r="J847">
        <v>112.5</v>
      </c>
      <c r="K847" t="s">
        <v>1362</v>
      </c>
      <c r="L847">
        <v>0.5</v>
      </c>
      <c r="M847">
        <v>112.5</v>
      </c>
      <c r="N847">
        <v>2</v>
      </c>
      <c r="O847">
        <v>113</v>
      </c>
      <c r="P847">
        <v>10</v>
      </c>
      <c r="Q847">
        <v>16.03</v>
      </c>
    </row>
    <row r="848" spans="2:17">
      <c r="B848">
        <v>2727</v>
      </c>
      <c r="C848" t="s">
        <v>2145</v>
      </c>
      <c r="D848" s="3">
        <v>166885</v>
      </c>
      <c r="E848">
        <v>333</v>
      </c>
      <c r="F848" s="3">
        <v>22534850</v>
      </c>
      <c r="G848">
        <v>134.5</v>
      </c>
      <c r="H848">
        <v>135.5</v>
      </c>
      <c r="I848">
        <v>134.5</v>
      </c>
      <c r="J848">
        <v>135.5</v>
      </c>
      <c r="K848" t="s">
        <v>1362</v>
      </c>
      <c r="L848">
        <v>1.5</v>
      </c>
      <c r="M848">
        <v>135</v>
      </c>
      <c r="N848">
        <v>20</v>
      </c>
      <c r="O848">
        <v>135.5</v>
      </c>
      <c r="P848">
        <v>33</v>
      </c>
      <c r="Q848">
        <v>0</v>
      </c>
    </row>
    <row r="849" spans="2:17">
      <c r="B849">
        <v>2731</v>
      </c>
      <c r="C849" t="s">
        <v>2146</v>
      </c>
      <c r="D849" s="3">
        <v>49168</v>
      </c>
      <c r="E849">
        <v>88</v>
      </c>
      <c r="F849" s="3">
        <v>4219659</v>
      </c>
      <c r="G849">
        <v>85.5</v>
      </c>
      <c r="H849">
        <v>86</v>
      </c>
      <c r="I849">
        <v>85.5</v>
      </c>
      <c r="J849">
        <v>85.8</v>
      </c>
      <c r="K849" t="s">
        <v>1362</v>
      </c>
      <c r="L849">
        <v>0.1</v>
      </c>
      <c r="M849">
        <v>85.7</v>
      </c>
      <c r="N849">
        <v>3</v>
      </c>
      <c r="O849">
        <v>85.9</v>
      </c>
      <c r="P849">
        <v>1</v>
      </c>
      <c r="Q849">
        <v>0</v>
      </c>
    </row>
    <row r="850" spans="2:17">
      <c r="B850">
        <v>2739</v>
      </c>
      <c r="C850" t="s">
        <v>2147</v>
      </c>
      <c r="D850" s="3">
        <v>21001</v>
      </c>
      <c r="E850">
        <v>17</v>
      </c>
      <c r="F850" s="3">
        <v>474672</v>
      </c>
      <c r="G850">
        <v>22.6</v>
      </c>
      <c r="H850">
        <v>22.7</v>
      </c>
      <c r="I850">
        <v>22.55</v>
      </c>
      <c r="J850">
        <v>22.7</v>
      </c>
      <c r="K850" t="s">
        <v>1362</v>
      </c>
      <c r="L850">
        <v>0.1</v>
      </c>
      <c r="M850">
        <v>22.5</v>
      </c>
      <c r="N850">
        <v>8</v>
      </c>
      <c r="O850">
        <v>22.7</v>
      </c>
      <c r="P850">
        <v>1</v>
      </c>
      <c r="Q850">
        <v>0</v>
      </c>
    </row>
    <row r="851" spans="2:17">
      <c r="B851">
        <v>2748</v>
      </c>
      <c r="C851" t="s">
        <v>2148</v>
      </c>
      <c r="D851" s="3">
        <v>43520</v>
      </c>
      <c r="E851">
        <v>55</v>
      </c>
      <c r="F851" s="3">
        <v>1709297</v>
      </c>
      <c r="G851">
        <v>39.200000000000003</v>
      </c>
      <c r="H851">
        <v>39.5</v>
      </c>
      <c r="I851">
        <v>39.1</v>
      </c>
      <c r="J851">
        <v>39.35</v>
      </c>
      <c r="K851" t="s">
        <v>1362</v>
      </c>
      <c r="L851">
        <v>0.35</v>
      </c>
      <c r="M851">
        <v>39.299999999999997</v>
      </c>
      <c r="N851">
        <v>5</v>
      </c>
      <c r="O851">
        <v>39.35</v>
      </c>
      <c r="P851">
        <v>1</v>
      </c>
      <c r="Q851">
        <v>0</v>
      </c>
    </row>
    <row r="852" spans="2:17">
      <c r="B852">
        <v>2753</v>
      </c>
      <c r="C852" t="s">
        <v>161</v>
      </c>
      <c r="D852" s="3">
        <v>101456</v>
      </c>
      <c r="E852">
        <v>175</v>
      </c>
      <c r="F852" s="3">
        <v>12949226</v>
      </c>
      <c r="G852">
        <v>128</v>
      </c>
      <c r="H852">
        <v>128.5</v>
      </c>
      <c r="I852">
        <v>127</v>
      </c>
      <c r="J852">
        <v>128</v>
      </c>
      <c r="K852" t="s">
        <v>1328</v>
      </c>
      <c r="L852">
        <v>0</v>
      </c>
      <c r="M852">
        <v>127.5</v>
      </c>
      <c r="N852">
        <v>1</v>
      </c>
      <c r="O852">
        <v>128</v>
      </c>
      <c r="P852">
        <v>7</v>
      </c>
      <c r="Q852">
        <v>13.7</v>
      </c>
    </row>
    <row r="853" spans="2:17">
      <c r="B853">
        <v>2801</v>
      </c>
      <c r="C853" t="s">
        <v>2149</v>
      </c>
      <c r="D853" s="3">
        <v>6405075</v>
      </c>
      <c r="E853" s="3">
        <v>1739</v>
      </c>
      <c r="F853" s="3">
        <v>108255884</v>
      </c>
      <c r="G853">
        <v>16.850000000000001</v>
      </c>
      <c r="H853">
        <v>16.95</v>
      </c>
      <c r="I853">
        <v>16.8</v>
      </c>
      <c r="J853">
        <v>16.95</v>
      </c>
      <c r="K853" t="s">
        <v>1362</v>
      </c>
      <c r="L853">
        <v>0.15</v>
      </c>
      <c r="M853">
        <v>16.899999999999999</v>
      </c>
      <c r="N853">
        <v>438</v>
      </c>
      <c r="O853">
        <v>16.95</v>
      </c>
      <c r="P853" s="3">
        <v>1019</v>
      </c>
      <c r="Q853">
        <v>21.73</v>
      </c>
    </row>
    <row r="854" spans="2:17">
      <c r="B854">
        <v>2809</v>
      </c>
      <c r="C854" t="s">
        <v>2150</v>
      </c>
      <c r="D854" s="3">
        <v>2979379</v>
      </c>
      <c r="E854" s="3">
        <v>1603</v>
      </c>
      <c r="F854" s="3">
        <v>120641304</v>
      </c>
      <c r="G854">
        <v>40.549999999999997</v>
      </c>
      <c r="H854">
        <v>40.700000000000003</v>
      </c>
      <c r="I854">
        <v>40.35</v>
      </c>
      <c r="J854">
        <v>40.5</v>
      </c>
      <c r="K854" t="s">
        <v>1328</v>
      </c>
      <c r="L854">
        <v>0</v>
      </c>
      <c r="M854">
        <v>40.450000000000003</v>
      </c>
      <c r="N854">
        <v>52</v>
      </c>
      <c r="O854">
        <v>40.5</v>
      </c>
      <c r="P854">
        <v>63</v>
      </c>
      <c r="Q854">
        <v>5.89</v>
      </c>
    </row>
    <row r="855" spans="2:17">
      <c r="B855">
        <v>2812</v>
      </c>
      <c r="C855" t="s">
        <v>2151</v>
      </c>
      <c r="D855" s="3">
        <v>10200452</v>
      </c>
      <c r="E855" s="3">
        <v>3172</v>
      </c>
      <c r="F855" s="3">
        <v>122927133</v>
      </c>
      <c r="G855">
        <v>12</v>
      </c>
      <c r="H855">
        <v>12.1</v>
      </c>
      <c r="I855">
        <v>12</v>
      </c>
      <c r="J855">
        <v>12.05</v>
      </c>
      <c r="K855" t="s">
        <v>1362</v>
      </c>
      <c r="L855">
        <v>0.05</v>
      </c>
      <c r="M855">
        <v>12.05</v>
      </c>
      <c r="N855" s="3">
        <v>1131</v>
      </c>
      <c r="O855">
        <v>12.1</v>
      </c>
      <c r="P855" s="3">
        <v>2496</v>
      </c>
      <c r="Q855">
        <v>11.26</v>
      </c>
    </row>
    <row r="856" spans="2:17">
      <c r="B856">
        <v>2816</v>
      </c>
      <c r="C856" t="s">
        <v>2152</v>
      </c>
      <c r="D856" s="3">
        <v>47890</v>
      </c>
      <c r="E856">
        <v>43</v>
      </c>
      <c r="F856" s="3">
        <v>935204</v>
      </c>
      <c r="G856">
        <v>19.5</v>
      </c>
      <c r="H856">
        <v>19.55</v>
      </c>
      <c r="I856">
        <v>19.5</v>
      </c>
      <c r="J856">
        <v>19.5</v>
      </c>
      <c r="K856" t="s">
        <v>1328</v>
      </c>
      <c r="L856">
        <v>0</v>
      </c>
      <c r="M856">
        <v>19.5</v>
      </c>
      <c r="N856">
        <v>13</v>
      </c>
      <c r="O856">
        <v>19.55</v>
      </c>
      <c r="P856">
        <v>2</v>
      </c>
      <c r="Q856">
        <v>9.1999999999999993</v>
      </c>
    </row>
    <row r="857" spans="2:17">
      <c r="B857">
        <v>2820</v>
      </c>
      <c r="C857" t="s">
        <v>2153</v>
      </c>
      <c r="D857" s="3">
        <v>750912</v>
      </c>
      <c r="E857">
        <v>306</v>
      </c>
      <c r="F857" s="3">
        <v>12790617</v>
      </c>
      <c r="G857">
        <v>17</v>
      </c>
      <c r="H857">
        <v>17.100000000000001</v>
      </c>
      <c r="I857">
        <v>17</v>
      </c>
      <c r="J857">
        <v>17.100000000000001</v>
      </c>
      <c r="K857" t="s">
        <v>1362</v>
      </c>
      <c r="L857">
        <v>0.1</v>
      </c>
      <c r="M857">
        <v>17.05</v>
      </c>
      <c r="N857">
        <v>87</v>
      </c>
      <c r="O857">
        <v>17.100000000000001</v>
      </c>
      <c r="P857">
        <v>85</v>
      </c>
      <c r="Q857">
        <v>12.57</v>
      </c>
    </row>
    <row r="858" spans="2:17">
      <c r="B858">
        <v>2832</v>
      </c>
      <c r="C858" t="s">
        <v>2154</v>
      </c>
      <c r="D858" s="3">
        <v>236090</v>
      </c>
      <c r="E858">
        <v>100</v>
      </c>
      <c r="F858" s="3">
        <v>4796508</v>
      </c>
      <c r="G858">
        <v>20.350000000000001</v>
      </c>
      <c r="H858">
        <v>20.399999999999999</v>
      </c>
      <c r="I858">
        <v>20.25</v>
      </c>
      <c r="J858">
        <v>20.350000000000001</v>
      </c>
      <c r="K858" t="s">
        <v>1362</v>
      </c>
      <c r="L858">
        <v>0.1</v>
      </c>
      <c r="M858">
        <v>20.350000000000001</v>
      </c>
      <c r="N858">
        <v>24</v>
      </c>
      <c r="O858">
        <v>20.399999999999999</v>
      </c>
      <c r="P858">
        <v>66</v>
      </c>
      <c r="Q858">
        <v>290.70999999999998</v>
      </c>
    </row>
    <row r="859" spans="2:17">
      <c r="B859">
        <v>2834</v>
      </c>
      <c r="C859" t="s">
        <v>2155</v>
      </c>
      <c r="D859" s="3">
        <v>30618160</v>
      </c>
      <c r="E859" s="3">
        <v>6513</v>
      </c>
      <c r="F859" s="3">
        <v>302505535</v>
      </c>
      <c r="G859">
        <v>9.83</v>
      </c>
      <c r="H859">
        <v>9.91</v>
      </c>
      <c r="I859">
        <v>9.82</v>
      </c>
      <c r="J859">
        <v>9.9</v>
      </c>
      <c r="K859" t="s">
        <v>1362</v>
      </c>
      <c r="L859">
        <v>0.09</v>
      </c>
      <c r="M859">
        <v>9.89</v>
      </c>
      <c r="N859">
        <v>435</v>
      </c>
      <c r="O859">
        <v>9.9</v>
      </c>
      <c r="P859">
        <v>101</v>
      </c>
      <c r="Q859">
        <v>15</v>
      </c>
    </row>
    <row r="860" spans="2:17">
      <c r="B860">
        <v>2836</v>
      </c>
      <c r="C860" t="s">
        <v>2156</v>
      </c>
      <c r="D860" s="3">
        <v>605407</v>
      </c>
      <c r="E860">
        <v>225</v>
      </c>
      <c r="F860" s="3">
        <v>7233489</v>
      </c>
      <c r="G860">
        <v>11.95</v>
      </c>
      <c r="H860">
        <v>12</v>
      </c>
      <c r="I860">
        <v>11.85</v>
      </c>
      <c r="J860">
        <v>12</v>
      </c>
      <c r="K860" t="s">
        <v>1362</v>
      </c>
      <c r="L860">
        <v>0.1</v>
      </c>
      <c r="M860">
        <v>11.95</v>
      </c>
      <c r="N860">
        <v>79</v>
      </c>
      <c r="O860">
        <v>12</v>
      </c>
      <c r="P860">
        <v>141</v>
      </c>
      <c r="Q860">
        <v>16.440000000000001</v>
      </c>
    </row>
    <row r="861" spans="2:17">
      <c r="B861" t="s">
        <v>2157</v>
      </c>
      <c r="C861" t="s">
        <v>2158</v>
      </c>
      <c r="D861" s="3">
        <v>24000</v>
      </c>
      <c r="E861">
        <v>5</v>
      </c>
      <c r="F861" s="3">
        <v>583100</v>
      </c>
      <c r="G861">
        <v>24.2</v>
      </c>
      <c r="H861">
        <v>24.3</v>
      </c>
      <c r="I861">
        <v>24.2</v>
      </c>
      <c r="J861">
        <v>24.3</v>
      </c>
      <c r="K861" t="s">
        <v>1328</v>
      </c>
      <c r="L861">
        <v>0</v>
      </c>
      <c r="M861">
        <v>24.25</v>
      </c>
      <c r="N861">
        <v>2</v>
      </c>
      <c r="O861">
        <v>24.3</v>
      </c>
      <c r="P861">
        <v>2</v>
      </c>
      <c r="Q861">
        <v>0</v>
      </c>
    </row>
    <row r="862" spans="2:17">
      <c r="B862">
        <v>2838</v>
      </c>
      <c r="C862" t="s">
        <v>2159</v>
      </c>
      <c r="D862" s="3">
        <v>2659645</v>
      </c>
      <c r="E862">
        <v>766</v>
      </c>
      <c r="F862" s="3">
        <v>35420062</v>
      </c>
      <c r="G862">
        <v>13.15</v>
      </c>
      <c r="H862">
        <v>13.5</v>
      </c>
      <c r="I862">
        <v>13.15</v>
      </c>
      <c r="J862">
        <v>13.4</v>
      </c>
      <c r="K862" t="s">
        <v>1362</v>
      </c>
      <c r="L862">
        <v>0.25</v>
      </c>
      <c r="M862">
        <v>13.4</v>
      </c>
      <c r="N862">
        <v>61</v>
      </c>
      <c r="O862">
        <v>13.45</v>
      </c>
      <c r="P862">
        <v>183</v>
      </c>
      <c r="Q862">
        <v>10.31</v>
      </c>
    </row>
    <row r="863" spans="2:17">
      <c r="B863" t="s">
        <v>2160</v>
      </c>
      <c r="C863" t="s">
        <v>2161</v>
      </c>
      <c r="D863" s="3">
        <v>32404</v>
      </c>
      <c r="E863">
        <v>20</v>
      </c>
      <c r="F863" s="3">
        <v>1708210</v>
      </c>
      <c r="G863">
        <v>52.7</v>
      </c>
      <c r="H863">
        <v>52.8</v>
      </c>
      <c r="I863">
        <v>52.6</v>
      </c>
      <c r="J863">
        <v>52.8</v>
      </c>
      <c r="K863" t="s">
        <v>1328</v>
      </c>
      <c r="L863">
        <v>0</v>
      </c>
      <c r="M863">
        <v>52.6</v>
      </c>
      <c r="N863">
        <v>21</v>
      </c>
      <c r="O863">
        <v>52.8</v>
      </c>
      <c r="P863">
        <v>36</v>
      </c>
      <c r="Q863">
        <v>0</v>
      </c>
    </row>
    <row r="864" spans="2:17">
      <c r="B864">
        <v>2841</v>
      </c>
      <c r="C864" t="s">
        <v>2162</v>
      </c>
      <c r="D864" s="3">
        <v>1208950</v>
      </c>
      <c r="E864">
        <v>343</v>
      </c>
      <c r="F864" s="3">
        <v>5205188</v>
      </c>
      <c r="G864">
        <v>4.3</v>
      </c>
      <c r="H864">
        <v>4.3600000000000003</v>
      </c>
      <c r="I864">
        <v>4.24</v>
      </c>
      <c r="J864">
        <v>4.24</v>
      </c>
      <c r="K864" t="s">
        <v>1</v>
      </c>
      <c r="L864">
        <v>0.04</v>
      </c>
      <c r="M864">
        <v>4.22</v>
      </c>
      <c r="N864">
        <v>8</v>
      </c>
      <c r="O864">
        <v>4.24</v>
      </c>
      <c r="P864">
        <v>1</v>
      </c>
      <c r="Q864">
        <v>0</v>
      </c>
    </row>
    <row r="865" spans="2:17">
      <c r="B865">
        <v>2845</v>
      </c>
      <c r="C865" t="s">
        <v>2163</v>
      </c>
      <c r="D865" s="3">
        <v>3495102</v>
      </c>
      <c r="E865">
        <v>729</v>
      </c>
      <c r="F865" s="3">
        <v>37566752</v>
      </c>
      <c r="G865">
        <v>10.75</v>
      </c>
      <c r="H865">
        <v>10.8</v>
      </c>
      <c r="I865">
        <v>10.7</v>
      </c>
      <c r="J865">
        <v>10.8</v>
      </c>
      <c r="K865" t="s">
        <v>1362</v>
      </c>
      <c r="L865">
        <v>0.1</v>
      </c>
      <c r="M865">
        <v>10.75</v>
      </c>
      <c r="N865">
        <v>156</v>
      </c>
      <c r="O865">
        <v>10.8</v>
      </c>
      <c r="P865" s="3">
        <v>1569</v>
      </c>
      <c r="Q865">
        <v>15.88</v>
      </c>
    </row>
    <row r="866" spans="2:17">
      <c r="B866">
        <v>2849</v>
      </c>
      <c r="C866" t="s">
        <v>2164</v>
      </c>
      <c r="D866" s="3">
        <v>130970</v>
      </c>
      <c r="E866">
        <v>66</v>
      </c>
      <c r="F866" s="3">
        <v>2145481</v>
      </c>
      <c r="G866">
        <v>16.399999999999999</v>
      </c>
      <c r="H866">
        <v>16.45</v>
      </c>
      <c r="I866">
        <v>16.350000000000001</v>
      </c>
      <c r="J866">
        <v>16.399999999999999</v>
      </c>
      <c r="K866" t="s">
        <v>1328</v>
      </c>
      <c r="L866">
        <v>0</v>
      </c>
      <c r="M866">
        <v>16.399999999999999</v>
      </c>
      <c r="N866">
        <v>24</v>
      </c>
      <c r="O866">
        <v>16.45</v>
      </c>
      <c r="P866">
        <v>54</v>
      </c>
      <c r="Q866">
        <v>12.91</v>
      </c>
    </row>
    <row r="867" spans="2:17">
      <c r="B867">
        <v>2850</v>
      </c>
      <c r="C867" t="s">
        <v>2165</v>
      </c>
      <c r="D867" s="3">
        <v>178530</v>
      </c>
      <c r="E867">
        <v>131</v>
      </c>
      <c r="F867" s="3">
        <v>8425483</v>
      </c>
      <c r="G867">
        <v>47.5</v>
      </c>
      <c r="H867">
        <v>47.6</v>
      </c>
      <c r="I867">
        <v>47.1</v>
      </c>
      <c r="J867">
        <v>47.2</v>
      </c>
      <c r="K867" t="s">
        <v>1328</v>
      </c>
      <c r="L867">
        <v>0</v>
      </c>
      <c r="M867">
        <v>47.15</v>
      </c>
      <c r="N867">
        <v>7</v>
      </c>
      <c r="O867">
        <v>47.2</v>
      </c>
      <c r="P867">
        <v>3</v>
      </c>
      <c r="Q867">
        <v>6.99</v>
      </c>
    </row>
    <row r="868" spans="2:17">
      <c r="B868">
        <v>2851</v>
      </c>
      <c r="C868" t="s">
        <v>2166</v>
      </c>
      <c r="D868" s="3">
        <v>399293</v>
      </c>
      <c r="E868">
        <v>287</v>
      </c>
      <c r="F868" s="3">
        <v>11408880</v>
      </c>
      <c r="G868">
        <v>28.55</v>
      </c>
      <c r="H868">
        <v>28.75</v>
      </c>
      <c r="I868">
        <v>28.5</v>
      </c>
      <c r="J868">
        <v>28.55</v>
      </c>
      <c r="K868" t="s">
        <v>1328</v>
      </c>
      <c r="L868">
        <v>0</v>
      </c>
      <c r="M868">
        <v>28.5</v>
      </c>
      <c r="N868">
        <v>31</v>
      </c>
      <c r="O868">
        <v>28.55</v>
      </c>
      <c r="P868">
        <v>7</v>
      </c>
      <c r="Q868">
        <v>9.7100000000000009</v>
      </c>
    </row>
    <row r="869" spans="2:17">
      <c r="B869">
        <v>2852</v>
      </c>
      <c r="C869" t="s">
        <v>2167</v>
      </c>
      <c r="D869" s="3">
        <v>209779</v>
      </c>
      <c r="E869">
        <v>119</v>
      </c>
      <c r="F869" s="3">
        <v>3048774</v>
      </c>
      <c r="G869">
        <v>14.55</v>
      </c>
      <c r="H869">
        <v>14.6</v>
      </c>
      <c r="I869">
        <v>14.5</v>
      </c>
      <c r="J869">
        <v>14.6</v>
      </c>
      <c r="K869" t="s">
        <v>1362</v>
      </c>
      <c r="L869">
        <v>0.05</v>
      </c>
      <c r="M869">
        <v>14.55</v>
      </c>
      <c r="N869">
        <v>9</v>
      </c>
      <c r="O869">
        <v>14.6</v>
      </c>
      <c r="P869">
        <v>32</v>
      </c>
      <c r="Q869">
        <v>10.14</v>
      </c>
    </row>
    <row r="870" spans="2:17">
      <c r="B870">
        <v>2855</v>
      </c>
      <c r="C870" t="s">
        <v>2168</v>
      </c>
      <c r="D870" s="3">
        <v>1133525</v>
      </c>
      <c r="E870">
        <v>560</v>
      </c>
      <c r="F870" s="3">
        <v>26503144</v>
      </c>
      <c r="G870">
        <v>23.45</v>
      </c>
      <c r="H870">
        <v>23.5</v>
      </c>
      <c r="I870">
        <v>23.3</v>
      </c>
      <c r="J870">
        <v>23.35</v>
      </c>
      <c r="K870" t="s">
        <v>1362</v>
      </c>
      <c r="L870">
        <v>0.05</v>
      </c>
      <c r="M870">
        <v>23.3</v>
      </c>
      <c r="N870">
        <v>133</v>
      </c>
      <c r="O870">
        <v>23.4</v>
      </c>
      <c r="P870">
        <v>50</v>
      </c>
      <c r="Q870">
        <v>6.71</v>
      </c>
    </row>
    <row r="871" spans="2:17">
      <c r="B871">
        <v>2867</v>
      </c>
      <c r="C871" t="s">
        <v>2169</v>
      </c>
      <c r="D871" s="3">
        <v>3052332</v>
      </c>
      <c r="E871">
        <v>862</v>
      </c>
      <c r="F871" s="3">
        <v>28053551</v>
      </c>
      <c r="G871">
        <v>9.18</v>
      </c>
      <c r="H871">
        <v>9.24</v>
      </c>
      <c r="I871">
        <v>9.16</v>
      </c>
      <c r="J871">
        <v>9.18</v>
      </c>
      <c r="K871" t="s">
        <v>1362</v>
      </c>
      <c r="L871">
        <v>0.01</v>
      </c>
      <c r="M871">
        <v>9.18</v>
      </c>
      <c r="N871">
        <v>133</v>
      </c>
      <c r="O871">
        <v>9.1999999999999993</v>
      </c>
      <c r="P871">
        <v>59</v>
      </c>
      <c r="Q871">
        <v>7.91</v>
      </c>
    </row>
    <row r="872" spans="2:17">
      <c r="B872">
        <v>2880</v>
      </c>
      <c r="C872" t="s">
        <v>2170</v>
      </c>
      <c r="D872" s="3">
        <v>11156927</v>
      </c>
      <c r="E872" s="3">
        <v>3718</v>
      </c>
      <c r="F872" s="3">
        <v>234936793</v>
      </c>
      <c r="G872">
        <v>20.95</v>
      </c>
      <c r="H872">
        <v>21.15</v>
      </c>
      <c r="I872">
        <v>20.9</v>
      </c>
      <c r="J872">
        <v>21.15</v>
      </c>
      <c r="K872" t="s">
        <v>1362</v>
      </c>
      <c r="L872">
        <v>0.2</v>
      </c>
      <c r="M872">
        <v>21.1</v>
      </c>
      <c r="N872">
        <v>176</v>
      </c>
      <c r="O872">
        <v>21.15</v>
      </c>
      <c r="P872">
        <v>755</v>
      </c>
      <c r="Q872">
        <v>15.55</v>
      </c>
    </row>
    <row r="873" spans="2:17">
      <c r="B873">
        <v>2881</v>
      </c>
      <c r="C873" t="s">
        <v>2171</v>
      </c>
      <c r="D873" s="3">
        <v>17437907</v>
      </c>
      <c r="E873" s="3">
        <v>7433</v>
      </c>
      <c r="F873" s="3">
        <v>1319501033</v>
      </c>
      <c r="G873">
        <v>75.5</v>
      </c>
      <c r="H873">
        <v>75.900000000000006</v>
      </c>
      <c r="I873">
        <v>75.2</v>
      </c>
      <c r="J873">
        <v>75.900000000000006</v>
      </c>
      <c r="K873" t="s">
        <v>1362</v>
      </c>
      <c r="L873">
        <v>0.7</v>
      </c>
      <c r="M873">
        <v>75.8</v>
      </c>
      <c r="N873">
        <v>322</v>
      </c>
      <c r="O873">
        <v>75.900000000000006</v>
      </c>
      <c r="P873">
        <v>275</v>
      </c>
      <c r="Q873">
        <v>6.25</v>
      </c>
    </row>
    <row r="874" spans="2:17">
      <c r="B874" t="s">
        <v>2172</v>
      </c>
      <c r="C874" t="s">
        <v>2173</v>
      </c>
      <c r="D874" s="3">
        <v>396106</v>
      </c>
      <c r="E874">
        <v>44</v>
      </c>
      <c r="F874" s="3">
        <v>24998766</v>
      </c>
      <c r="G874">
        <v>63.2</v>
      </c>
      <c r="H874">
        <v>63.3</v>
      </c>
      <c r="I874">
        <v>63.1</v>
      </c>
      <c r="J874">
        <v>63.2</v>
      </c>
      <c r="K874" t="s">
        <v>1</v>
      </c>
      <c r="L874">
        <v>0.1</v>
      </c>
      <c r="M874">
        <v>63.1</v>
      </c>
      <c r="N874">
        <v>53</v>
      </c>
      <c r="O874">
        <v>63.2</v>
      </c>
      <c r="P874">
        <v>25</v>
      </c>
      <c r="Q874">
        <v>0</v>
      </c>
    </row>
    <row r="875" spans="2:17">
      <c r="B875" t="s">
        <v>2174</v>
      </c>
      <c r="C875" t="s">
        <v>2175</v>
      </c>
      <c r="D875" s="3">
        <v>22668</v>
      </c>
      <c r="E875">
        <v>18</v>
      </c>
      <c r="F875" s="3">
        <v>1420404</v>
      </c>
      <c r="G875">
        <v>62.6</v>
      </c>
      <c r="H875">
        <v>62.8</v>
      </c>
      <c r="I875">
        <v>62.6</v>
      </c>
      <c r="J875">
        <v>62.8</v>
      </c>
      <c r="K875" t="s">
        <v>1328</v>
      </c>
      <c r="L875">
        <v>0</v>
      </c>
      <c r="M875">
        <v>62.6</v>
      </c>
      <c r="N875">
        <v>3</v>
      </c>
      <c r="O875">
        <v>62.8</v>
      </c>
      <c r="P875">
        <v>60</v>
      </c>
      <c r="Q875">
        <v>0</v>
      </c>
    </row>
    <row r="876" spans="2:17">
      <c r="B876" t="s">
        <v>2901</v>
      </c>
      <c r="C876" t="s">
        <v>2902</v>
      </c>
      <c r="D876" s="3">
        <v>94444</v>
      </c>
      <c r="E876">
        <v>165</v>
      </c>
      <c r="F876" s="3">
        <v>5676841</v>
      </c>
      <c r="G876">
        <v>60.2</v>
      </c>
      <c r="H876">
        <v>60.2</v>
      </c>
      <c r="I876">
        <v>60.1</v>
      </c>
      <c r="J876">
        <v>60.2</v>
      </c>
      <c r="K876" t="s">
        <v>1362</v>
      </c>
      <c r="L876">
        <v>0.1</v>
      </c>
      <c r="M876">
        <v>60.1</v>
      </c>
      <c r="N876">
        <v>346</v>
      </c>
      <c r="O876">
        <v>60.2</v>
      </c>
      <c r="P876">
        <v>187</v>
      </c>
      <c r="Q876">
        <v>0</v>
      </c>
    </row>
    <row r="877" spans="2:17">
      <c r="B877">
        <v>2882</v>
      </c>
      <c r="C877" t="s">
        <v>2176</v>
      </c>
      <c r="D877" s="3">
        <v>33848176</v>
      </c>
      <c r="E877" s="3">
        <v>12200</v>
      </c>
      <c r="F877" s="3">
        <v>2101652549</v>
      </c>
      <c r="G877">
        <v>61.7</v>
      </c>
      <c r="H877">
        <v>62.4</v>
      </c>
      <c r="I877">
        <v>61.5</v>
      </c>
      <c r="J877">
        <v>62.3</v>
      </c>
      <c r="K877" t="s">
        <v>1362</v>
      </c>
      <c r="L877">
        <v>1</v>
      </c>
      <c r="M877">
        <v>62.2</v>
      </c>
      <c r="N877">
        <v>319</v>
      </c>
      <c r="O877">
        <v>62.3</v>
      </c>
      <c r="P877" s="3">
        <v>1586</v>
      </c>
      <c r="Q877">
        <v>6.9</v>
      </c>
    </row>
    <row r="878" spans="2:17">
      <c r="B878" t="s">
        <v>2177</v>
      </c>
      <c r="C878" t="s">
        <v>2178</v>
      </c>
      <c r="D878" s="3">
        <v>88460</v>
      </c>
      <c r="E878">
        <v>23</v>
      </c>
      <c r="F878" s="3">
        <v>5565359</v>
      </c>
      <c r="G878">
        <v>62.9</v>
      </c>
      <c r="H878">
        <v>63.1</v>
      </c>
      <c r="I878">
        <v>62.9</v>
      </c>
      <c r="J878">
        <v>63.1</v>
      </c>
      <c r="K878" t="s">
        <v>1362</v>
      </c>
      <c r="L878">
        <v>0.1</v>
      </c>
      <c r="M878">
        <v>62.9</v>
      </c>
      <c r="N878">
        <v>54</v>
      </c>
      <c r="O878">
        <v>63</v>
      </c>
      <c r="P878">
        <v>32</v>
      </c>
      <c r="Q878">
        <v>0</v>
      </c>
    </row>
    <row r="879" spans="2:17">
      <c r="B879" t="s">
        <v>2179</v>
      </c>
      <c r="C879" t="s">
        <v>2180</v>
      </c>
      <c r="D879" s="3">
        <v>1678</v>
      </c>
      <c r="E879">
        <v>10</v>
      </c>
      <c r="F879" s="3">
        <v>105298</v>
      </c>
      <c r="G879">
        <v>62.9</v>
      </c>
      <c r="H879">
        <v>62.9</v>
      </c>
      <c r="I879">
        <v>62.9</v>
      </c>
      <c r="J879">
        <v>62.9</v>
      </c>
      <c r="K879" t="s">
        <v>1</v>
      </c>
      <c r="L879">
        <v>0.1</v>
      </c>
      <c r="M879">
        <v>62.6</v>
      </c>
      <c r="N879">
        <v>14</v>
      </c>
      <c r="O879">
        <v>62.8</v>
      </c>
      <c r="P879">
        <v>5</v>
      </c>
      <c r="Q879">
        <v>0</v>
      </c>
    </row>
    <row r="880" spans="2:17">
      <c r="B880">
        <v>2883</v>
      </c>
      <c r="C880" t="s">
        <v>2181</v>
      </c>
      <c r="D880" s="3">
        <v>69523573</v>
      </c>
      <c r="E880" s="3">
        <v>14942</v>
      </c>
      <c r="F880" s="3">
        <v>1182102537</v>
      </c>
      <c r="G880">
        <v>16.95</v>
      </c>
      <c r="H880">
        <v>17.100000000000001</v>
      </c>
      <c r="I880">
        <v>16.899999999999999</v>
      </c>
      <c r="J880">
        <v>17.100000000000001</v>
      </c>
      <c r="K880" t="s">
        <v>1362</v>
      </c>
      <c r="L880">
        <v>0.2</v>
      </c>
      <c r="M880">
        <v>17.05</v>
      </c>
      <c r="N880">
        <v>575</v>
      </c>
      <c r="O880">
        <v>17.100000000000001</v>
      </c>
      <c r="P880" s="3">
        <v>4577</v>
      </c>
      <c r="Q880">
        <v>7.43</v>
      </c>
    </row>
    <row r="881" spans="2:17">
      <c r="B881">
        <v>2884</v>
      </c>
      <c r="C881" t="s">
        <v>2182</v>
      </c>
      <c r="D881" s="3">
        <v>16229204</v>
      </c>
      <c r="E881" s="3">
        <v>4758</v>
      </c>
      <c r="F881" s="3">
        <v>453981039</v>
      </c>
      <c r="G881">
        <v>27.95</v>
      </c>
      <c r="H881">
        <v>28</v>
      </c>
      <c r="I881">
        <v>27.9</v>
      </c>
      <c r="J881">
        <v>28</v>
      </c>
      <c r="K881" t="s">
        <v>1362</v>
      </c>
      <c r="L881">
        <v>0.05</v>
      </c>
      <c r="M881">
        <v>27.95</v>
      </c>
      <c r="N881" s="3">
        <v>2292</v>
      </c>
      <c r="O881">
        <v>28</v>
      </c>
      <c r="P881" s="3">
        <v>5042</v>
      </c>
      <c r="Q881">
        <v>18.79</v>
      </c>
    </row>
    <row r="882" spans="2:17">
      <c r="B882">
        <v>2885</v>
      </c>
      <c r="C882" t="s">
        <v>2183</v>
      </c>
      <c r="D882" s="3">
        <v>12845633</v>
      </c>
      <c r="E882" s="3">
        <v>3209</v>
      </c>
      <c r="F882" s="3">
        <v>321323051</v>
      </c>
      <c r="G882">
        <v>25</v>
      </c>
      <c r="H882">
        <v>25.05</v>
      </c>
      <c r="I882">
        <v>24.95</v>
      </c>
      <c r="J882">
        <v>25.05</v>
      </c>
      <c r="K882" t="s">
        <v>1362</v>
      </c>
      <c r="L882">
        <v>0.05</v>
      </c>
      <c r="M882">
        <v>25</v>
      </c>
      <c r="N882">
        <v>888</v>
      </c>
      <c r="O882">
        <v>25.05</v>
      </c>
      <c r="P882" s="3">
        <v>1242</v>
      </c>
      <c r="Q882">
        <v>9.24</v>
      </c>
    </row>
    <row r="883" spans="2:17">
      <c r="B883">
        <v>2886</v>
      </c>
      <c r="C883" t="s">
        <v>2184</v>
      </c>
      <c r="D883" s="3">
        <v>8822358</v>
      </c>
      <c r="E883" s="3">
        <v>4470</v>
      </c>
      <c r="F883" s="3">
        <v>313350009</v>
      </c>
      <c r="G883">
        <v>35.6</v>
      </c>
      <c r="H883">
        <v>35.6</v>
      </c>
      <c r="I883">
        <v>35.4</v>
      </c>
      <c r="J883">
        <v>35.6</v>
      </c>
      <c r="K883" t="s">
        <v>1328</v>
      </c>
      <c r="L883">
        <v>0</v>
      </c>
      <c r="M883">
        <v>35.549999999999997</v>
      </c>
      <c r="N883">
        <v>208</v>
      </c>
      <c r="O883">
        <v>35.6</v>
      </c>
      <c r="P883" s="3">
        <v>1716</v>
      </c>
      <c r="Q883">
        <v>18.84</v>
      </c>
    </row>
    <row r="884" spans="2:17">
      <c r="B884">
        <v>2887</v>
      </c>
      <c r="C884" t="s">
        <v>2185</v>
      </c>
      <c r="D884" s="3">
        <v>15639012</v>
      </c>
      <c r="E884" s="3">
        <v>5397</v>
      </c>
      <c r="F884" s="3">
        <v>294328862</v>
      </c>
      <c r="G884">
        <v>18.75</v>
      </c>
      <c r="H884">
        <v>18.95</v>
      </c>
      <c r="I884">
        <v>18.7</v>
      </c>
      <c r="J884">
        <v>18.899999999999999</v>
      </c>
      <c r="K884" t="s">
        <v>1362</v>
      </c>
      <c r="L884">
        <v>0.15</v>
      </c>
      <c r="M884">
        <v>18.850000000000001</v>
      </c>
      <c r="N884" s="3">
        <v>1281</v>
      </c>
      <c r="O884">
        <v>18.899999999999999</v>
      </c>
      <c r="P884" s="3">
        <v>1806</v>
      </c>
      <c r="Q884">
        <v>11.25</v>
      </c>
    </row>
    <row r="885" spans="2:17">
      <c r="B885" t="s">
        <v>2186</v>
      </c>
      <c r="C885" t="s">
        <v>2187</v>
      </c>
      <c r="D885" s="3">
        <v>55620</v>
      </c>
      <c r="E885">
        <v>18</v>
      </c>
      <c r="F885" s="3">
        <v>2955841</v>
      </c>
      <c r="G885">
        <v>53</v>
      </c>
      <c r="H885">
        <v>53.2</v>
      </c>
      <c r="I885">
        <v>53</v>
      </c>
      <c r="J885">
        <v>53.1</v>
      </c>
      <c r="K885" t="s">
        <v>1328</v>
      </c>
      <c r="L885">
        <v>0</v>
      </c>
      <c r="M885">
        <v>53.1</v>
      </c>
      <c r="N885">
        <v>2</v>
      </c>
      <c r="O885">
        <v>53.2</v>
      </c>
      <c r="P885">
        <v>11</v>
      </c>
      <c r="Q885">
        <v>0</v>
      </c>
    </row>
    <row r="886" spans="2:17">
      <c r="B886" t="s">
        <v>2188</v>
      </c>
      <c r="C886" t="s">
        <v>2189</v>
      </c>
      <c r="D886" s="3">
        <v>32111</v>
      </c>
      <c r="E886">
        <v>16</v>
      </c>
      <c r="F886" s="3">
        <v>1669650</v>
      </c>
      <c r="G886">
        <v>52</v>
      </c>
      <c r="H886">
        <v>52</v>
      </c>
      <c r="I886">
        <v>52</v>
      </c>
      <c r="J886">
        <v>52</v>
      </c>
      <c r="K886" t="s">
        <v>1328</v>
      </c>
      <c r="L886">
        <v>0</v>
      </c>
      <c r="M886">
        <v>51.9</v>
      </c>
      <c r="N886">
        <v>11</v>
      </c>
      <c r="O886">
        <v>52</v>
      </c>
      <c r="P886">
        <v>9</v>
      </c>
      <c r="Q886">
        <v>0</v>
      </c>
    </row>
    <row r="887" spans="2:17">
      <c r="B887">
        <v>2888</v>
      </c>
      <c r="C887" t="s">
        <v>2190</v>
      </c>
      <c r="D887" s="3">
        <v>90392283</v>
      </c>
      <c r="E887" s="3">
        <v>11316</v>
      </c>
      <c r="F887" s="3">
        <v>979927586</v>
      </c>
      <c r="G887">
        <v>10.7</v>
      </c>
      <c r="H887">
        <v>10.9</v>
      </c>
      <c r="I887">
        <v>10.7</v>
      </c>
      <c r="J887">
        <v>10.9</v>
      </c>
      <c r="K887" t="s">
        <v>1362</v>
      </c>
      <c r="L887">
        <v>0.25</v>
      </c>
      <c r="M887">
        <v>10.85</v>
      </c>
      <c r="N887" s="3">
        <v>2359</v>
      </c>
      <c r="O887">
        <v>10.9</v>
      </c>
      <c r="P887" s="3">
        <v>8674</v>
      </c>
      <c r="Q887">
        <v>8.52</v>
      </c>
    </row>
    <row r="888" spans="2:17">
      <c r="B888" t="s">
        <v>2191</v>
      </c>
      <c r="C888" t="s">
        <v>2192</v>
      </c>
      <c r="D888" s="3">
        <v>13247</v>
      </c>
      <c r="E888">
        <v>24</v>
      </c>
      <c r="F888" s="3">
        <v>562467</v>
      </c>
      <c r="G888">
        <v>42.5</v>
      </c>
      <c r="H888">
        <v>42.5</v>
      </c>
      <c r="I888">
        <v>42.45</v>
      </c>
      <c r="J888">
        <v>42.5</v>
      </c>
      <c r="K888" t="s">
        <v>1328</v>
      </c>
      <c r="L888">
        <v>0</v>
      </c>
      <c r="M888">
        <v>42.45</v>
      </c>
      <c r="N888">
        <v>38</v>
      </c>
      <c r="O888">
        <v>42.5</v>
      </c>
      <c r="P888">
        <v>17</v>
      </c>
      <c r="Q888">
        <v>0</v>
      </c>
    </row>
    <row r="889" spans="2:17">
      <c r="B889" t="s">
        <v>2193</v>
      </c>
      <c r="C889" t="s">
        <v>2194</v>
      </c>
      <c r="D889" s="3">
        <v>209908</v>
      </c>
      <c r="E889">
        <v>101</v>
      </c>
      <c r="F889" s="3">
        <v>8977435</v>
      </c>
      <c r="G889">
        <v>42.7</v>
      </c>
      <c r="H889">
        <v>42.8</v>
      </c>
      <c r="I889">
        <v>42.7</v>
      </c>
      <c r="J889">
        <v>42.8</v>
      </c>
      <c r="K889" t="s">
        <v>1362</v>
      </c>
      <c r="L889">
        <v>0.1</v>
      </c>
      <c r="M889">
        <v>42.8</v>
      </c>
      <c r="N889">
        <v>6</v>
      </c>
      <c r="O889">
        <v>42.85</v>
      </c>
      <c r="P889">
        <v>66</v>
      </c>
      <c r="Q889">
        <v>0</v>
      </c>
    </row>
    <row r="890" spans="2:17">
      <c r="B890">
        <v>2889</v>
      </c>
      <c r="C890" t="s">
        <v>2195</v>
      </c>
      <c r="D890" s="3">
        <v>5648997</v>
      </c>
      <c r="E890" s="3">
        <v>2431</v>
      </c>
      <c r="F890" s="3">
        <v>89415915</v>
      </c>
      <c r="G890">
        <v>15.85</v>
      </c>
      <c r="H890">
        <v>15.9</v>
      </c>
      <c r="I890">
        <v>15.8</v>
      </c>
      <c r="J890">
        <v>15.9</v>
      </c>
      <c r="K890" t="s">
        <v>1362</v>
      </c>
      <c r="L890">
        <v>0.05</v>
      </c>
      <c r="M890">
        <v>15.85</v>
      </c>
      <c r="N890">
        <v>110</v>
      </c>
      <c r="O890">
        <v>15.9</v>
      </c>
      <c r="P890">
        <v>518</v>
      </c>
      <c r="Q890">
        <v>11.95</v>
      </c>
    </row>
    <row r="891" spans="2:17">
      <c r="B891">
        <v>2890</v>
      </c>
      <c r="C891" t="s">
        <v>2196</v>
      </c>
      <c r="D891" s="3">
        <v>12086359</v>
      </c>
      <c r="E891" s="3">
        <v>3043</v>
      </c>
      <c r="F891" s="3">
        <v>193289455</v>
      </c>
      <c r="G891">
        <v>15.95</v>
      </c>
      <c r="H891">
        <v>16.05</v>
      </c>
      <c r="I891">
        <v>15.9</v>
      </c>
      <c r="J891">
        <v>16.05</v>
      </c>
      <c r="K891" t="s">
        <v>1362</v>
      </c>
      <c r="L891">
        <v>0.1</v>
      </c>
      <c r="M891">
        <v>16</v>
      </c>
      <c r="N891" s="3">
        <v>1900</v>
      </c>
      <c r="O891">
        <v>16.05</v>
      </c>
      <c r="P891">
        <v>574</v>
      </c>
      <c r="Q891">
        <v>11.46</v>
      </c>
    </row>
    <row r="892" spans="2:17">
      <c r="B892">
        <v>2891</v>
      </c>
      <c r="C892" t="s">
        <v>2197</v>
      </c>
      <c r="D892" s="3">
        <v>20572259</v>
      </c>
      <c r="E892" s="3">
        <v>5588</v>
      </c>
      <c r="F892" s="3">
        <v>532525341</v>
      </c>
      <c r="G892">
        <v>25.8</v>
      </c>
      <c r="H892">
        <v>25.95</v>
      </c>
      <c r="I892">
        <v>25.8</v>
      </c>
      <c r="J892">
        <v>25.95</v>
      </c>
      <c r="K892" t="s">
        <v>1362</v>
      </c>
      <c r="L892">
        <v>0.15</v>
      </c>
      <c r="M892">
        <v>25.9</v>
      </c>
      <c r="N892">
        <v>586</v>
      </c>
      <c r="O892">
        <v>25.95</v>
      </c>
      <c r="P892">
        <v>25</v>
      </c>
      <c r="Q892">
        <v>9.76</v>
      </c>
    </row>
    <row r="893" spans="2:17">
      <c r="B893" t="s">
        <v>2198</v>
      </c>
      <c r="C893" t="s">
        <v>2199</v>
      </c>
      <c r="D893" s="3">
        <v>55378</v>
      </c>
      <c r="E893">
        <v>17</v>
      </c>
      <c r="F893" s="3">
        <v>3505696</v>
      </c>
      <c r="G893">
        <v>63.3</v>
      </c>
      <c r="H893">
        <v>63.5</v>
      </c>
      <c r="I893">
        <v>63.2</v>
      </c>
      <c r="J893">
        <v>63.5</v>
      </c>
      <c r="K893" t="s">
        <v>1362</v>
      </c>
      <c r="L893">
        <v>0.1</v>
      </c>
      <c r="M893">
        <v>62.9</v>
      </c>
      <c r="N893">
        <v>12</v>
      </c>
      <c r="O893">
        <v>63.4</v>
      </c>
      <c r="P893">
        <v>20</v>
      </c>
      <c r="Q893">
        <v>0</v>
      </c>
    </row>
    <row r="894" spans="2:17">
      <c r="B894" t="s">
        <v>2200</v>
      </c>
      <c r="C894" t="s">
        <v>2201</v>
      </c>
      <c r="D894" s="3">
        <v>8378</v>
      </c>
      <c r="E894">
        <v>16</v>
      </c>
      <c r="F894" s="3">
        <v>512259</v>
      </c>
      <c r="G894">
        <v>61.1</v>
      </c>
      <c r="H894">
        <v>61.3</v>
      </c>
      <c r="I894">
        <v>61.1</v>
      </c>
      <c r="J894">
        <v>61.3</v>
      </c>
      <c r="K894" t="s">
        <v>1328</v>
      </c>
      <c r="L894">
        <v>0</v>
      </c>
      <c r="M894">
        <v>61</v>
      </c>
      <c r="N894">
        <v>17</v>
      </c>
      <c r="O894">
        <v>61.2</v>
      </c>
      <c r="P894">
        <v>30</v>
      </c>
      <c r="Q894">
        <v>0</v>
      </c>
    </row>
    <row r="895" spans="2:17">
      <c r="B895">
        <v>2892</v>
      </c>
      <c r="C895" t="s">
        <v>2202</v>
      </c>
      <c r="D895" s="3">
        <v>11713898</v>
      </c>
      <c r="E895" s="3">
        <v>4600</v>
      </c>
      <c r="F895" s="3">
        <v>284839061</v>
      </c>
      <c r="G895">
        <v>24.3</v>
      </c>
      <c r="H895">
        <v>24.4</v>
      </c>
      <c r="I895">
        <v>24.25</v>
      </c>
      <c r="J895">
        <v>24.35</v>
      </c>
      <c r="K895" t="s">
        <v>1362</v>
      </c>
      <c r="L895">
        <v>0.1</v>
      </c>
      <c r="M895">
        <v>24.35</v>
      </c>
      <c r="N895">
        <v>894</v>
      </c>
      <c r="O895">
        <v>24.4</v>
      </c>
      <c r="P895" s="3">
        <v>1121</v>
      </c>
      <c r="Q895">
        <v>15.81</v>
      </c>
    </row>
    <row r="896" spans="2:17">
      <c r="B896">
        <v>2897</v>
      </c>
      <c r="C896" t="s">
        <v>2203</v>
      </c>
      <c r="D896" s="3">
        <v>2862302</v>
      </c>
      <c r="E896">
        <v>563</v>
      </c>
      <c r="F896" s="3">
        <v>22655908</v>
      </c>
      <c r="G896">
        <v>7.9</v>
      </c>
      <c r="H896">
        <v>7.95</v>
      </c>
      <c r="I896">
        <v>7.88</v>
      </c>
      <c r="J896">
        <v>7.94</v>
      </c>
      <c r="K896" t="s">
        <v>1362</v>
      </c>
      <c r="L896">
        <v>0.04</v>
      </c>
      <c r="M896">
        <v>7.93</v>
      </c>
      <c r="N896">
        <v>1</v>
      </c>
      <c r="O896">
        <v>7.94</v>
      </c>
      <c r="P896">
        <v>77</v>
      </c>
      <c r="Q896">
        <v>14.18</v>
      </c>
    </row>
    <row r="897" spans="2:17">
      <c r="B897" t="s">
        <v>2204</v>
      </c>
      <c r="C897" t="s">
        <v>2205</v>
      </c>
      <c r="D897" s="3">
        <v>61048</v>
      </c>
      <c r="E897">
        <v>21</v>
      </c>
      <c r="F897" s="3">
        <v>616580</v>
      </c>
      <c r="G897">
        <v>10.1</v>
      </c>
      <c r="H897">
        <v>10.1</v>
      </c>
      <c r="I897">
        <v>10.1</v>
      </c>
      <c r="J897">
        <v>10.1</v>
      </c>
      <c r="K897" t="s">
        <v>1328</v>
      </c>
      <c r="L897">
        <v>0</v>
      </c>
      <c r="M897">
        <v>10.1</v>
      </c>
      <c r="N897">
        <v>1</v>
      </c>
      <c r="O897">
        <v>10.15</v>
      </c>
      <c r="P897">
        <v>113</v>
      </c>
      <c r="Q897">
        <v>0</v>
      </c>
    </row>
    <row r="898" spans="2:17">
      <c r="B898">
        <v>2901</v>
      </c>
      <c r="C898" t="s">
        <v>2206</v>
      </c>
      <c r="D898" s="3">
        <v>455847</v>
      </c>
      <c r="E898">
        <v>68</v>
      </c>
      <c r="F898" s="3">
        <v>11509727</v>
      </c>
      <c r="G898">
        <v>25.15</v>
      </c>
      <c r="H898">
        <v>25.25</v>
      </c>
      <c r="I898">
        <v>25.15</v>
      </c>
      <c r="J898">
        <v>25.25</v>
      </c>
      <c r="K898" t="s">
        <v>1</v>
      </c>
      <c r="L898">
        <v>0.05</v>
      </c>
      <c r="M898">
        <v>25.2</v>
      </c>
      <c r="N898">
        <v>1</v>
      </c>
      <c r="O898">
        <v>25.25</v>
      </c>
      <c r="P898">
        <v>2</v>
      </c>
      <c r="Q898">
        <v>631.25</v>
      </c>
    </row>
    <row r="899" spans="2:17">
      <c r="B899">
        <v>2903</v>
      </c>
      <c r="C899" t="s">
        <v>2207</v>
      </c>
      <c r="D899" s="3">
        <v>346718</v>
      </c>
      <c r="E899">
        <v>338</v>
      </c>
      <c r="F899" s="3">
        <v>7388808</v>
      </c>
      <c r="G899">
        <v>21.4</v>
      </c>
      <c r="H899">
        <v>21.4</v>
      </c>
      <c r="I899">
        <v>21.25</v>
      </c>
      <c r="J899">
        <v>21.3</v>
      </c>
      <c r="K899" t="s">
        <v>1</v>
      </c>
      <c r="L899">
        <v>0.1</v>
      </c>
      <c r="M899">
        <v>21.25</v>
      </c>
      <c r="N899">
        <v>52</v>
      </c>
      <c r="O899">
        <v>21.3</v>
      </c>
      <c r="P899">
        <v>31</v>
      </c>
      <c r="Q899">
        <v>18.52</v>
      </c>
    </row>
    <row r="900" spans="2:17">
      <c r="B900">
        <v>2904</v>
      </c>
      <c r="C900" t="s">
        <v>2208</v>
      </c>
      <c r="D900" s="3">
        <v>33457</v>
      </c>
      <c r="E900">
        <v>41</v>
      </c>
      <c r="F900" s="3">
        <v>853578</v>
      </c>
      <c r="G900">
        <v>25.2</v>
      </c>
      <c r="H900">
        <v>25.9</v>
      </c>
      <c r="I900">
        <v>25.1</v>
      </c>
      <c r="J900">
        <v>25.25</v>
      </c>
      <c r="K900" t="s">
        <v>1362</v>
      </c>
      <c r="L900">
        <v>0.05</v>
      </c>
      <c r="M900">
        <v>25.25</v>
      </c>
      <c r="N900">
        <v>12</v>
      </c>
      <c r="O900">
        <v>25.3</v>
      </c>
      <c r="P900">
        <v>2</v>
      </c>
      <c r="Q900">
        <v>17.059999999999999</v>
      </c>
    </row>
    <row r="901" spans="2:17">
      <c r="B901">
        <v>2905</v>
      </c>
      <c r="C901" t="s">
        <v>2209</v>
      </c>
      <c r="D901" s="3">
        <v>236799</v>
      </c>
      <c r="E901">
        <v>183</v>
      </c>
      <c r="F901" s="3">
        <v>5342769</v>
      </c>
      <c r="G901">
        <v>22.5</v>
      </c>
      <c r="H901">
        <v>22.65</v>
      </c>
      <c r="I901">
        <v>22.5</v>
      </c>
      <c r="J901">
        <v>22.5</v>
      </c>
      <c r="K901" t="s">
        <v>1</v>
      </c>
      <c r="L901">
        <v>0.05</v>
      </c>
      <c r="M901">
        <v>22.45</v>
      </c>
      <c r="N901">
        <v>22</v>
      </c>
      <c r="O901">
        <v>22.6</v>
      </c>
      <c r="P901">
        <v>19</v>
      </c>
      <c r="Q901">
        <v>9.15</v>
      </c>
    </row>
    <row r="902" spans="2:17">
      <c r="B902">
        <v>2906</v>
      </c>
      <c r="C902" t="s">
        <v>2210</v>
      </c>
      <c r="D902" s="3">
        <v>143474</v>
      </c>
      <c r="E902">
        <v>85</v>
      </c>
      <c r="F902" s="3">
        <v>2201655</v>
      </c>
      <c r="G902">
        <v>15.35</v>
      </c>
      <c r="H902">
        <v>15.4</v>
      </c>
      <c r="I902">
        <v>15.3</v>
      </c>
      <c r="J902">
        <v>15.35</v>
      </c>
      <c r="K902" t="s">
        <v>1328</v>
      </c>
      <c r="L902">
        <v>0</v>
      </c>
      <c r="M902">
        <v>15.35</v>
      </c>
      <c r="N902">
        <v>6</v>
      </c>
      <c r="O902">
        <v>15.4</v>
      </c>
      <c r="P902">
        <v>18</v>
      </c>
      <c r="Q902">
        <v>34.11</v>
      </c>
    </row>
    <row r="903" spans="2:17">
      <c r="B903">
        <v>2908</v>
      </c>
      <c r="C903" t="s">
        <v>2211</v>
      </c>
      <c r="D903" s="3">
        <v>247594</v>
      </c>
      <c r="E903">
        <v>172</v>
      </c>
      <c r="F903" s="3">
        <v>5342232</v>
      </c>
      <c r="G903">
        <v>21.5</v>
      </c>
      <c r="H903">
        <v>21.65</v>
      </c>
      <c r="I903">
        <v>21.45</v>
      </c>
      <c r="J903">
        <v>21.65</v>
      </c>
      <c r="K903" t="s">
        <v>1362</v>
      </c>
      <c r="L903">
        <v>0.2</v>
      </c>
      <c r="M903">
        <v>21.6</v>
      </c>
      <c r="N903">
        <v>65</v>
      </c>
      <c r="O903">
        <v>21.7</v>
      </c>
      <c r="P903">
        <v>36</v>
      </c>
      <c r="Q903">
        <v>13.28</v>
      </c>
    </row>
    <row r="904" spans="2:17">
      <c r="B904">
        <v>2910</v>
      </c>
      <c r="C904" t="s">
        <v>2212</v>
      </c>
      <c r="D904" s="3">
        <v>43118</v>
      </c>
      <c r="E904">
        <v>43</v>
      </c>
      <c r="F904" s="3">
        <v>1760392</v>
      </c>
      <c r="G904">
        <v>40</v>
      </c>
      <c r="H904">
        <v>41.35</v>
      </c>
      <c r="I904">
        <v>39.65</v>
      </c>
      <c r="J904">
        <v>41.25</v>
      </c>
      <c r="K904" t="s">
        <v>1362</v>
      </c>
      <c r="L904">
        <v>1.35</v>
      </c>
      <c r="M904">
        <v>41.1</v>
      </c>
      <c r="N904">
        <v>3</v>
      </c>
      <c r="O904">
        <v>41.25</v>
      </c>
      <c r="P904">
        <v>1</v>
      </c>
      <c r="Q904">
        <v>52.88</v>
      </c>
    </row>
    <row r="905" spans="2:17">
      <c r="B905">
        <v>2911</v>
      </c>
      <c r="C905" t="s">
        <v>2213</v>
      </c>
      <c r="D905" s="3">
        <v>211629</v>
      </c>
      <c r="E905">
        <v>350</v>
      </c>
      <c r="F905" s="3">
        <v>1711361</v>
      </c>
      <c r="G905">
        <v>8.11</v>
      </c>
      <c r="H905">
        <v>8.11</v>
      </c>
      <c r="I905">
        <v>8.07</v>
      </c>
      <c r="J905">
        <v>8.1</v>
      </c>
      <c r="K905" t="s">
        <v>1</v>
      </c>
      <c r="L905">
        <v>0.01</v>
      </c>
      <c r="M905">
        <v>8.09</v>
      </c>
      <c r="N905">
        <v>1</v>
      </c>
      <c r="O905">
        <v>8.1</v>
      </c>
      <c r="P905">
        <v>1</v>
      </c>
      <c r="Q905">
        <v>0</v>
      </c>
    </row>
    <row r="906" spans="2:17">
      <c r="B906">
        <v>2912</v>
      </c>
      <c r="C906" t="s">
        <v>2214</v>
      </c>
      <c r="D906" s="3">
        <v>557865</v>
      </c>
      <c r="E906" s="3">
        <v>1336</v>
      </c>
      <c r="F906" s="3">
        <v>152539175</v>
      </c>
      <c r="G906">
        <v>274.5</v>
      </c>
      <c r="H906">
        <v>275</v>
      </c>
      <c r="I906">
        <v>272.5</v>
      </c>
      <c r="J906">
        <v>273</v>
      </c>
      <c r="K906" t="s">
        <v>1</v>
      </c>
      <c r="L906">
        <v>1</v>
      </c>
      <c r="M906">
        <v>273</v>
      </c>
      <c r="N906">
        <v>28</v>
      </c>
      <c r="O906">
        <v>273.5</v>
      </c>
      <c r="P906">
        <v>61</v>
      </c>
      <c r="Q906">
        <v>32.19</v>
      </c>
    </row>
    <row r="907" spans="2:17">
      <c r="B907">
        <v>2913</v>
      </c>
      <c r="C907" t="s">
        <v>2215</v>
      </c>
      <c r="D907" s="3">
        <v>1277757</v>
      </c>
      <c r="E907">
        <v>662</v>
      </c>
      <c r="F907" s="3">
        <v>25718580</v>
      </c>
      <c r="G907">
        <v>20.05</v>
      </c>
      <c r="H907">
        <v>20.25</v>
      </c>
      <c r="I907">
        <v>20</v>
      </c>
      <c r="J907">
        <v>20.2</v>
      </c>
      <c r="K907" t="s">
        <v>1362</v>
      </c>
      <c r="L907">
        <v>0.2</v>
      </c>
      <c r="M907">
        <v>20.149999999999999</v>
      </c>
      <c r="N907">
        <v>46</v>
      </c>
      <c r="O907">
        <v>20.2</v>
      </c>
      <c r="P907">
        <v>38</v>
      </c>
      <c r="Q907" s="8">
        <v>1010</v>
      </c>
    </row>
    <row r="908" spans="2:17">
      <c r="B908">
        <v>2915</v>
      </c>
      <c r="C908" t="s">
        <v>2216</v>
      </c>
      <c r="D908" s="3">
        <v>1677314</v>
      </c>
      <c r="E908" s="3">
        <v>1354</v>
      </c>
      <c r="F908" s="3">
        <v>161119148</v>
      </c>
      <c r="G908">
        <v>96.2</v>
      </c>
      <c r="H908">
        <v>96.4</v>
      </c>
      <c r="I908">
        <v>95.5</v>
      </c>
      <c r="J908">
        <v>96.2</v>
      </c>
      <c r="K908" t="s">
        <v>1362</v>
      </c>
      <c r="L908">
        <v>0.1</v>
      </c>
      <c r="M908">
        <v>96.2</v>
      </c>
      <c r="N908">
        <v>28</v>
      </c>
      <c r="O908">
        <v>96.3</v>
      </c>
      <c r="P908">
        <v>7</v>
      </c>
      <c r="Q908">
        <v>3.64</v>
      </c>
    </row>
    <row r="909" spans="2:17">
      <c r="B909">
        <v>2923</v>
      </c>
      <c r="C909" t="s">
        <v>2217</v>
      </c>
      <c r="D909" s="3">
        <v>15151</v>
      </c>
      <c r="E909">
        <v>13</v>
      </c>
      <c r="F909" s="3">
        <v>436206</v>
      </c>
      <c r="G909">
        <v>28.95</v>
      </c>
      <c r="H909">
        <v>28.95</v>
      </c>
      <c r="I909">
        <v>28.1</v>
      </c>
      <c r="J909">
        <v>28.8</v>
      </c>
      <c r="K909" t="s">
        <v>1</v>
      </c>
      <c r="L909">
        <v>0.2</v>
      </c>
      <c r="M909">
        <v>28.15</v>
      </c>
      <c r="N909">
        <v>10</v>
      </c>
      <c r="O909">
        <v>28.6</v>
      </c>
      <c r="P909">
        <v>1</v>
      </c>
      <c r="Q909">
        <v>29.69</v>
      </c>
    </row>
    <row r="910" spans="2:17">
      <c r="B910">
        <v>2929</v>
      </c>
      <c r="C910" t="s">
        <v>2218</v>
      </c>
      <c r="D910" s="3">
        <v>336833</v>
      </c>
      <c r="E910">
        <v>198</v>
      </c>
      <c r="F910" s="3">
        <v>4114176</v>
      </c>
      <c r="G910">
        <v>12.3</v>
      </c>
      <c r="H910">
        <v>12.5</v>
      </c>
      <c r="I910">
        <v>12</v>
      </c>
      <c r="J910">
        <v>12.05</v>
      </c>
      <c r="K910" t="s">
        <v>1</v>
      </c>
      <c r="L910">
        <v>0.3</v>
      </c>
      <c r="M910">
        <v>12.05</v>
      </c>
      <c r="N910">
        <v>3</v>
      </c>
      <c r="O910">
        <v>12.1</v>
      </c>
      <c r="P910">
        <v>1</v>
      </c>
      <c r="Q910">
        <v>0</v>
      </c>
    </row>
    <row r="911" spans="2:17">
      <c r="B911">
        <v>2936</v>
      </c>
      <c r="C911" t="s">
        <v>2219</v>
      </c>
      <c r="D911" s="3">
        <v>9000</v>
      </c>
      <c r="E911">
        <v>5</v>
      </c>
      <c r="F911" s="3">
        <v>243800</v>
      </c>
      <c r="G911">
        <v>27.05</v>
      </c>
      <c r="H911">
        <v>27.1</v>
      </c>
      <c r="I911">
        <v>27.05</v>
      </c>
      <c r="J911">
        <v>27.1</v>
      </c>
      <c r="K911" t="s">
        <v>1328</v>
      </c>
      <c r="L911">
        <v>0</v>
      </c>
      <c r="M911">
        <v>27.1</v>
      </c>
      <c r="N911">
        <v>6</v>
      </c>
      <c r="O911">
        <v>27.15</v>
      </c>
      <c r="P911">
        <v>1</v>
      </c>
      <c r="Q911">
        <v>7.9</v>
      </c>
    </row>
    <row r="912" spans="2:17">
      <c r="B912">
        <v>2939</v>
      </c>
      <c r="C912" t="s">
        <v>2220</v>
      </c>
      <c r="D912" s="3">
        <v>71869</v>
      </c>
      <c r="E912">
        <v>37</v>
      </c>
      <c r="F912" s="3">
        <v>2700878</v>
      </c>
      <c r="G912">
        <v>38.15</v>
      </c>
      <c r="H912">
        <v>38.15</v>
      </c>
      <c r="I912">
        <v>37</v>
      </c>
      <c r="J912">
        <v>37.049999999999997</v>
      </c>
      <c r="K912" t="s">
        <v>1</v>
      </c>
      <c r="L912">
        <v>0.45</v>
      </c>
      <c r="M912">
        <v>37.049999999999997</v>
      </c>
      <c r="N912">
        <v>1</v>
      </c>
      <c r="O912">
        <v>37.299999999999997</v>
      </c>
      <c r="P912">
        <v>40</v>
      </c>
      <c r="Q912">
        <v>62.8</v>
      </c>
    </row>
    <row r="913" spans="2:17">
      <c r="B913">
        <v>2945</v>
      </c>
      <c r="C913" t="s">
        <v>3080</v>
      </c>
      <c r="D913" s="3">
        <v>150193</v>
      </c>
      <c r="E913">
        <v>193</v>
      </c>
      <c r="F913" s="3">
        <v>10663727</v>
      </c>
      <c r="G913">
        <v>71.3</v>
      </c>
      <c r="H913">
        <v>71.400000000000006</v>
      </c>
      <c r="I913">
        <v>70.7</v>
      </c>
      <c r="J913">
        <v>70.900000000000006</v>
      </c>
      <c r="K913" t="s">
        <v>1</v>
      </c>
      <c r="L913">
        <v>0.5</v>
      </c>
      <c r="M913">
        <v>70.900000000000006</v>
      </c>
      <c r="N913">
        <v>2</v>
      </c>
      <c r="O913">
        <v>71.2</v>
      </c>
      <c r="P913">
        <v>3</v>
      </c>
      <c r="Q913">
        <v>23.32</v>
      </c>
    </row>
    <row r="914" spans="2:17">
      <c r="B914">
        <v>3002</v>
      </c>
      <c r="C914" t="s">
        <v>2221</v>
      </c>
      <c r="D914" s="3">
        <v>942870</v>
      </c>
      <c r="E914">
        <v>404</v>
      </c>
      <c r="F914" s="3">
        <v>12426562</v>
      </c>
      <c r="G914">
        <v>12.85</v>
      </c>
      <c r="H914">
        <v>13.45</v>
      </c>
      <c r="I914">
        <v>12.85</v>
      </c>
      <c r="J914">
        <v>13.25</v>
      </c>
      <c r="K914" t="s">
        <v>1362</v>
      </c>
      <c r="L914">
        <v>0.4</v>
      </c>
      <c r="M914">
        <v>13.2</v>
      </c>
      <c r="N914">
        <v>19</v>
      </c>
      <c r="O914">
        <v>13.25</v>
      </c>
      <c r="P914">
        <v>16</v>
      </c>
      <c r="Q914">
        <v>331.25</v>
      </c>
    </row>
    <row r="915" spans="2:17">
      <c r="B915">
        <v>3003</v>
      </c>
      <c r="C915" t="s">
        <v>2222</v>
      </c>
      <c r="D915" s="3">
        <v>1058955</v>
      </c>
      <c r="E915">
        <v>837</v>
      </c>
      <c r="F915" s="3">
        <v>98416196</v>
      </c>
      <c r="G915">
        <v>93</v>
      </c>
      <c r="H915">
        <v>93.7</v>
      </c>
      <c r="I915">
        <v>92.5</v>
      </c>
      <c r="J915">
        <v>92.5</v>
      </c>
      <c r="K915" t="s">
        <v>1362</v>
      </c>
      <c r="L915">
        <v>0.4</v>
      </c>
      <c r="M915">
        <v>92.5</v>
      </c>
      <c r="N915">
        <v>22</v>
      </c>
      <c r="O915">
        <v>92.6</v>
      </c>
      <c r="P915">
        <v>6</v>
      </c>
      <c r="Q915">
        <v>22.84</v>
      </c>
    </row>
    <row r="916" spans="2:17">
      <c r="B916">
        <v>3004</v>
      </c>
      <c r="C916" t="s">
        <v>2223</v>
      </c>
      <c r="D916" s="3">
        <v>16389</v>
      </c>
      <c r="E916">
        <v>26</v>
      </c>
      <c r="F916" s="3">
        <v>937930</v>
      </c>
      <c r="G916">
        <v>57.2</v>
      </c>
      <c r="H916">
        <v>57.3</v>
      </c>
      <c r="I916">
        <v>57.2</v>
      </c>
      <c r="J916">
        <v>57.3</v>
      </c>
      <c r="K916" t="s">
        <v>1362</v>
      </c>
      <c r="L916">
        <v>0.2</v>
      </c>
      <c r="M916">
        <v>57.2</v>
      </c>
      <c r="N916">
        <v>8</v>
      </c>
      <c r="O916">
        <v>57.5</v>
      </c>
      <c r="P916">
        <v>2</v>
      </c>
      <c r="Q916">
        <v>0</v>
      </c>
    </row>
    <row r="917" spans="2:17">
      <c r="B917">
        <v>3005</v>
      </c>
      <c r="C917" t="s">
        <v>2224</v>
      </c>
      <c r="D917" s="3">
        <v>477609</v>
      </c>
      <c r="E917">
        <v>361</v>
      </c>
      <c r="F917" s="3">
        <v>26171564</v>
      </c>
      <c r="G917">
        <v>55</v>
      </c>
      <c r="H917">
        <v>55</v>
      </c>
      <c r="I917">
        <v>54.7</v>
      </c>
      <c r="J917">
        <v>54.8</v>
      </c>
      <c r="K917" t="s">
        <v>1362</v>
      </c>
      <c r="L917">
        <v>0.2</v>
      </c>
      <c r="M917">
        <v>54.7</v>
      </c>
      <c r="N917">
        <v>42</v>
      </c>
      <c r="O917">
        <v>54.8</v>
      </c>
      <c r="P917">
        <v>23</v>
      </c>
      <c r="Q917">
        <v>7.55</v>
      </c>
    </row>
    <row r="918" spans="2:17">
      <c r="B918">
        <v>3006</v>
      </c>
      <c r="C918" t="s">
        <v>2225</v>
      </c>
      <c r="D918" s="3">
        <v>3516290</v>
      </c>
      <c r="E918" s="3">
        <v>7928</v>
      </c>
      <c r="F918" s="3">
        <v>584780173</v>
      </c>
      <c r="G918">
        <v>169</v>
      </c>
      <c r="H918">
        <v>169.5</v>
      </c>
      <c r="I918">
        <v>165</v>
      </c>
      <c r="J918">
        <v>165.5</v>
      </c>
      <c r="K918" t="s">
        <v>1</v>
      </c>
      <c r="L918">
        <v>2.5</v>
      </c>
      <c r="M918">
        <v>165</v>
      </c>
      <c r="N918">
        <v>412</v>
      </c>
      <c r="O918">
        <v>165.5</v>
      </c>
      <c r="P918">
        <v>3</v>
      </c>
      <c r="Q918">
        <v>11.03</v>
      </c>
    </row>
    <row r="919" spans="2:17">
      <c r="B919">
        <v>3008</v>
      </c>
      <c r="C919" t="s">
        <v>2226</v>
      </c>
      <c r="D919" s="3">
        <v>989754</v>
      </c>
      <c r="E919" s="3">
        <v>4995</v>
      </c>
      <c r="F919" s="3">
        <v>2398927055</v>
      </c>
      <c r="G919" s="8">
        <v>2475</v>
      </c>
      <c r="H919" s="8">
        <v>2475</v>
      </c>
      <c r="I919" s="8">
        <v>2400</v>
      </c>
      <c r="J919" s="8">
        <v>2405</v>
      </c>
      <c r="K919" t="s">
        <v>1</v>
      </c>
      <c r="L919">
        <v>45</v>
      </c>
      <c r="M919" s="8">
        <v>2400</v>
      </c>
      <c r="N919">
        <v>43</v>
      </c>
      <c r="O919" s="8">
        <v>2410</v>
      </c>
      <c r="P919">
        <v>6</v>
      </c>
      <c r="Q919">
        <v>15.74</v>
      </c>
    </row>
    <row r="920" spans="2:17">
      <c r="B920">
        <v>3010</v>
      </c>
      <c r="C920" t="s">
        <v>2227</v>
      </c>
      <c r="D920" s="3">
        <v>3149256</v>
      </c>
      <c r="E920" s="3">
        <v>3417</v>
      </c>
      <c r="F920" s="3">
        <v>340114389</v>
      </c>
      <c r="G920">
        <v>109.5</v>
      </c>
      <c r="H920">
        <v>111.5</v>
      </c>
      <c r="I920">
        <v>105.5</v>
      </c>
      <c r="J920">
        <v>108</v>
      </c>
      <c r="K920" t="s">
        <v>1</v>
      </c>
      <c r="L920">
        <v>0.5</v>
      </c>
      <c r="M920">
        <v>107.5</v>
      </c>
      <c r="N920">
        <v>21</v>
      </c>
      <c r="O920">
        <v>108</v>
      </c>
      <c r="P920">
        <v>19</v>
      </c>
      <c r="Q920">
        <v>10.119999999999999</v>
      </c>
    </row>
    <row r="921" spans="2:17">
      <c r="B921">
        <v>3011</v>
      </c>
      <c r="C921" t="s">
        <v>2228</v>
      </c>
      <c r="D921" s="3">
        <v>2002680</v>
      </c>
      <c r="E921">
        <v>487</v>
      </c>
      <c r="F921" s="3">
        <v>24562795</v>
      </c>
      <c r="G921">
        <v>12.05</v>
      </c>
      <c r="H921">
        <v>12.2</v>
      </c>
      <c r="I921">
        <v>11.9</v>
      </c>
      <c r="J921">
        <v>12</v>
      </c>
      <c r="K921" t="s">
        <v>1362</v>
      </c>
      <c r="L921">
        <v>0.1</v>
      </c>
      <c r="M921">
        <v>12</v>
      </c>
      <c r="N921">
        <v>11</v>
      </c>
      <c r="O921">
        <v>12.05</v>
      </c>
      <c r="P921">
        <v>29</v>
      </c>
      <c r="Q921">
        <v>0</v>
      </c>
    </row>
    <row r="922" spans="2:17">
      <c r="B922">
        <v>3013</v>
      </c>
      <c r="C922" t="s">
        <v>2229</v>
      </c>
      <c r="D922" s="3">
        <v>1134469</v>
      </c>
      <c r="E922">
        <v>552</v>
      </c>
      <c r="F922" s="3">
        <v>17669740</v>
      </c>
      <c r="G922">
        <v>15.6</v>
      </c>
      <c r="H922">
        <v>15.9</v>
      </c>
      <c r="I922">
        <v>15.35</v>
      </c>
      <c r="J922">
        <v>15.6</v>
      </c>
      <c r="K922" t="s">
        <v>1328</v>
      </c>
      <c r="L922">
        <v>0</v>
      </c>
      <c r="M922">
        <v>15.55</v>
      </c>
      <c r="N922">
        <v>19</v>
      </c>
      <c r="O922">
        <v>15.6</v>
      </c>
      <c r="P922">
        <v>2</v>
      </c>
      <c r="Q922">
        <v>0</v>
      </c>
    </row>
    <row r="923" spans="2:17">
      <c r="B923">
        <v>3014</v>
      </c>
      <c r="C923" t="s">
        <v>2230</v>
      </c>
      <c r="D923" s="3">
        <v>640371</v>
      </c>
      <c r="E923">
        <v>623</v>
      </c>
      <c r="F923" s="3">
        <v>68682191</v>
      </c>
      <c r="G923">
        <v>108</v>
      </c>
      <c r="H923">
        <v>108.5</v>
      </c>
      <c r="I923">
        <v>106.5</v>
      </c>
      <c r="J923">
        <v>107</v>
      </c>
      <c r="K923" t="s">
        <v>1</v>
      </c>
      <c r="L923">
        <v>0.5</v>
      </c>
      <c r="M923">
        <v>107</v>
      </c>
      <c r="N923">
        <v>1</v>
      </c>
      <c r="O923">
        <v>107.5</v>
      </c>
      <c r="P923">
        <v>99</v>
      </c>
      <c r="Q923">
        <v>10.51</v>
      </c>
    </row>
    <row r="924" spans="2:17">
      <c r="B924">
        <v>3015</v>
      </c>
      <c r="C924" t="s">
        <v>2231</v>
      </c>
      <c r="D924" s="3">
        <v>191478</v>
      </c>
      <c r="E924">
        <v>133</v>
      </c>
      <c r="F924" s="3">
        <v>8539343</v>
      </c>
      <c r="G924">
        <v>44.85</v>
      </c>
      <c r="H924">
        <v>44.85</v>
      </c>
      <c r="I924">
        <v>44.4</v>
      </c>
      <c r="J924">
        <v>44.6</v>
      </c>
      <c r="K924" t="s">
        <v>1</v>
      </c>
      <c r="L924">
        <v>0.2</v>
      </c>
      <c r="M924">
        <v>44.55</v>
      </c>
      <c r="N924">
        <v>15</v>
      </c>
      <c r="O924">
        <v>44.6</v>
      </c>
      <c r="P924">
        <v>2</v>
      </c>
      <c r="Q924">
        <v>12.09</v>
      </c>
    </row>
    <row r="925" spans="2:17">
      <c r="B925">
        <v>3016</v>
      </c>
      <c r="C925" t="s">
        <v>2232</v>
      </c>
      <c r="D925" s="3">
        <v>4671484</v>
      </c>
      <c r="E925" s="3">
        <v>3763</v>
      </c>
      <c r="F925" s="3">
        <v>636023375</v>
      </c>
      <c r="G925">
        <v>137.5</v>
      </c>
      <c r="H925">
        <v>139</v>
      </c>
      <c r="I925">
        <v>134.5</v>
      </c>
      <c r="J925">
        <v>135</v>
      </c>
      <c r="K925" t="s">
        <v>1</v>
      </c>
      <c r="L925">
        <v>1.5</v>
      </c>
      <c r="M925">
        <v>135</v>
      </c>
      <c r="N925">
        <v>23</v>
      </c>
      <c r="O925">
        <v>135.5</v>
      </c>
      <c r="P925">
        <v>27</v>
      </c>
      <c r="Q925">
        <v>137.76</v>
      </c>
    </row>
    <row r="926" spans="2:17">
      <c r="B926">
        <v>3017</v>
      </c>
      <c r="C926" t="s">
        <v>2233</v>
      </c>
      <c r="D926" s="3">
        <v>2205655</v>
      </c>
      <c r="E926" s="3">
        <v>2150</v>
      </c>
      <c r="F926" s="3">
        <v>194393886</v>
      </c>
      <c r="G926">
        <v>88</v>
      </c>
      <c r="H926">
        <v>88.5</v>
      </c>
      <c r="I926">
        <v>87.7</v>
      </c>
      <c r="J926">
        <v>87.7</v>
      </c>
      <c r="K926" t="s">
        <v>1362</v>
      </c>
      <c r="L926">
        <v>0.2</v>
      </c>
      <c r="M926">
        <v>87.6</v>
      </c>
      <c r="N926">
        <v>50</v>
      </c>
      <c r="O926">
        <v>87.8</v>
      </c>
      <c r="P926">
        <v>3</v>
      </c>
      <c r="Q926">
        <v>11.46</v>
      </c>
    </row>
    <row r="927" spans="2:17">
      <c r="B927">
        <v>3018</v>
      </c>
      <c r="C927" t="s">
        <v>2234</v>
      </c>
      <c r="D927" s="3">
        <v>989922</v>
      </c>
      <c r="E927">
        <v>593</v>
      </c>
      <c r="F927" s="3">
        <v>20903938</v>
      </c>
      <c r="G927">
        <v>21.9</v>
      </c>
      <c r="H927">
        <v>21.9</v>
      </c>
      <c r="I927">
        <v>20.399999999999999</v>
      </c>
      <c r="J927">
        <v>20.399999999999999</v>
      </c>
      <c r="K927" t="s">
        <v>1</v>
      </c>
      <c r="L927">
        <v>0.7</v>
      </c>
      <c r="M927">
        <v>20.350000000000001</v>
      </c>
      <c r="N927">
        <v>10</v>
      </c>
      <c r="O927">
        <v>20.399999999999999</v>
      </c>
      <c r="P927">
        <v>7</v>
      </c>
      <c r="Q927">
        <v>0</v>
      </c>
    </row>
    <row r="928" spans="2:17">
      <c r="B928">
        <v>3019</v>
      </c>
      <c r="C928" t="s">
        <v>2235</v>
      </c>
      <c r="D928" s="3">
        <v>2608138</v>
      </c>
      <c r="E928" s="3">
        <v>2473</v>
      </c>
      <c r="F928" s="3">
        <v>244386161</v>
      </c>
      <c r="G928">
        <v>94.9</v>
      </c>
      <c r="H928">
        <v>94.9</v>
      </c>
      <c r="I928">
        <v>93</v>
      </c>
      <c r="J928">
        <v>93.9</v>
      </c>
      <c r="K928" t="s">
        <v>1</v>
      </c>
      <c r="L928">
        <v>0.1</v>
      </c>
      <c r="M928">
        <v>93.9</v>
      </c>
      <c r="N928">
        <v>23</v>
      </c>
      <c r="O928">
        <v>94</v>
      </c>
      <c r="P928">
        <v>32</v>
      </c>
      <c r="Q928">
        <v>21.79</v>
      </c>
    </row>
    <row r="929" spans="2:17">
      <c r="B929">
        <v>3021</v>
      </c>
      <c r="C929" t="s">
        <v>2236</v>
      </c>
      <c r="D929" s="3">
        <v>735499</v>
      </c>
      <c r="E929">
        <v>379</v>
      </c>
      <c r="F929" s="3">
        <v>19164325</v>
      </c>
      <c r="G929">
        <v>26.6</v>
      </c>
      <c r="H929">
        <v>26.6</v>
      </c>
      <c r="I929">
        <v>25.75</v>
      </c>
      <c r="J929">
        <v>25.75</v>
      </c>
      <c r="K929" t="s">
        <v>1</v>
      </c>
      <c r="L929">
        <v>0.5</v>
      </c>
      <c r="M929">
        <v>25.75</v>
      </c>
      <c r="N929">
        <v>6</v>
      </c>
      <c r="O929">
        <v>25.8</v>
      </c>
      <c r="P929">
        <v>1</v>
      </c>
      <c r="Q929">
        <v>17.760000000000002</v>
      </c>
    </row>
    <row r="930" spans="2:17">
      <c r="B930">
        <v>3022</v>
      </c>
      <c r="C930" t="s">
        <v>2237</v>
      </c>
      <c r="D930" s="3">
        <v>386997</v>
      </c>
      <c r="E930">
        <v>385</v>
      </c>
      <c r="F930" s="3">
        <v>18020825</v>
      </c>
      <c r="G930">
        <v>46.65</v>
      </c>
      <c r="H930">
        <v>47.15</v>
      </c>
      <c r="I930">
        <v>46.25</v>
      </c>
      <c r="J930">
        <v>46.5</v>
      </c>
      <c r="K930" t="s">
        <v>1362</v>
      </c>
      <c r="L930">
        <v>0.2</v>
      </c>
      <c r="M930">
        <v>46.35</v>
      </c>
      <c r="N930">
        <v>6</v>
      </c>
      <c r="O930">
        <v>46.5</v>
      </c>
      <c r="P930">
        <v>10</v>
      </c>
      <c r="Q930">
        <v>8.58</v>
      </c>
    </row>
    <row r="931" spans="2:17">
      <c r="B931">
        <v>3023</v>
      </c>
      <c r="C931" t="s">
        <v>2238</v>
      </c>
      <c r="D931" s="3">
        <v>2031430</v>
      </c>
      <c r="E931" s="3">
        <v>4842</v>
      </c>
      <c r="F931" s="3">
        <v>600189579</v>
      </c>
      <c r="G931">
        <v>298</v>
      </c>
      <c r="H931">
        <v>301.5</v>
      </c>
      <c r="I931">
        <v>290.5</v>
      </c>
      <c r="J931">
        <v>295</v>
      </c>
      <c r="K931" t="s">
        <v>1</v>
      </c>
      <c r="L931">
        <v>2</v>
      </c>
      <c r="M931">
        <v>293</v>
      </c>
      <c r="N931">
        <v>5</v>
      </c>
      <c r="O931">
        <v>295</v>
      </c>
      <c r="P931">
        <v>8</v>
      </c>
      <c r="Q931">
        <v>29.38</v>
      </c>
    </row>
    <row r="932" spans="2:17">
      <c r="B932">
        <v>3024</v>
      </c>
      <c r="C932" t="s">
        <v>2239</v>
      </c>
      <c r="D932" s="3">
        <v>502327</v>
      </c>
      <c r="E932">
        <v>242</v>
      </c>
      <c r="F932" s="3">
        <v>6991029</v>
      </c>
      <c r="G932">
        <v>13.95</v>
      </c>
      <c r="H932">
        <v>14.05</v>
      </c>
      <c r="I932">
        <v>13.85</v>
      </c>
      <c r="J932">
        <v>13.85</v>
      </c>
      <c r="K932" t="s">
        <v>1</v>
      </c>
      <c r="L932">
        <v>0.05</v>
      </c>
      <c r="M932">
        <v>13.85</v>
      </c>
      <c r="N932">
        <v>81</v>
      </c>
      <c r="O932">
        <v>13.9</v>
      </c>
      <c r="P932">
        <v>5</v>
      </c>
      <c r="Q932">
        <v>21.64</v>
      </c>
    </row>
    <row r="933" spans="2:17">
      <c r="B933">
        <v>3025</v>
      </c>
      <c r="C933" t="s">
        <v>2240</v>
      </c>
      <c r="D933" s="3">
        <v>259057</v>
      </c>
      <c r="E933">
        <v>194</v>
      </c>
      <c r="F933" s="3">
        <v>6224403</v>
      </c>
      <c r="G933">
        <v>24.45</v>
      </c>
      <c r="H933">
        <v>24.45</v>
      </c>
      <c r="I933">
        <v>23.85</v>
      </c>
      <c r="J933">
        <v>23.9</v>
      </c>
      <c r="K933" t="s">
        <v>1</v>
      </c>
      <c r="L933">
        <v>0.4</v>
      </c>
      <c r="M933">
        <v>23.9</v>
      </c>
      <c r="N933">
        <v>3</v>
      </c>
      <c r="O933">
        <v>23.95</v>
      </c>
      <c r="P933">
        <v>4</v>
      </c>
      <c r="Q933">
        <v>103.91</v>
      </c>
    </row>
    <row r="934" spans="2:17">
      <c r="B934">
        <v>3026</v>
      </c>
      <c r="C934" t="s">
        <v>2241</v>
      </c>
      <c r="D934" s="3">
        <v>197048</v>
      </c>
      <c r="E934">
        <v>201</v>
      </c>
      <c r="F934" s="3">
        <v>23513165</v>
      </c>
      <c r="G934">
        <v>119.5</v>
      </c>
      <c r="H934">
        <v>119.5</v>
      </c>
      <c r="I934">
        <v>119</v>
      </c>
      <c r="J934">
        <v>119.5</v>
      </c>
      <c r="K934" t="s">
        <v>1362</v>
      </c>
      <c r="L934">
        <v>0.5</v>
      </c>
      <c r="M934">
        <v>119</v>
      </c>
      <c r="N934">
        <v>41</v>
      </c>
      <c r="O934">
        <v>119.5</v>
      </c>
      <c r="P934">
        <v>17</v>
      </c>
      <c r="Q934">
        <v>9.98</v>
      </c>
    </row>
    <row r="935" spans="2:17">
      <c r="B935">
        <v>3027</v>
      </c>
      <c r="C935" t="s">
        <v>2242</v>
      </c>
      <c r="D935" s="3">
        <v>544705</v>
      </c>
      <c r="E935">
        <v>311</v>
      </c>
      <c r="F935" s="3">
        <v>12370117</v>
      </c>
      <c r="G935">
        <v>22.9</v>
      </c>
      <c r="H935">
        <v>23.15</v>
      </c>
      <c r="I935">
        <v>22.25</v>
      </c>
      <c r="J935">
        <v>22.35</v>
      </c>
      <c r="K935" t="s">
        <v>1</v>
      </c>
      <c r="L935">
        <v>0.35</v>
      </c>
      <c r="M935">
        <v>22.35</v>
      </c>
      <c r="N935">
        <v>16</v>
      </c>
      <c r="O935">
        <v>22.6</v>
      </c>
      <c r="P935">
        <v>3</v>
      </c>
      <c r="Q935">
        <v>131.47</v>
      </c>
    </row>
    <row r="936" spans="2:17">
      <c r="B936">
        <v>3028</v>
      </c>
      <c r="C936" t="s">
        <v>2243</v>
      </c>
      <c r="D936" s="3">
        <v>2700017</v>
      </c>
      <c r="E936" s="3">
        <v>2007</v>
      </c>
      <c r="F936" s="3">
        <v>93887371</v>
      </c>
      <c r="G936">
        <v>34.85</v>
      </c>
      <c r="H936">
        <v>35.35</v>
      </c>
      <c r="I936">
        <v>34.5</v>
      </c>
      <c r="J936">
        <v>34.75</v>
      </c>
      <c r="K936" t="s">
        <v>1</v>
      </c>
      <c r="L936">
        <v>0.3</v>
      </c>
      <c r="M936">
        <v>34.700000000000003</v>
      </c>
      <c r="N936">
        <v>15</v>
      </c>
      <c r="O936">
        <v>34.75</v>
      </c>
      <c r="P936">
        <v>10</v>
      </c>
      <c r="Q936">
        <v>8.9600000000000009</v>
      </c>
    </row>
    <row r="937" spans="2:17">
      <c r="B937">
        <v>3029</v>
      </c>
      <c r="C937" t="s">
        <v>2244</v>
      </c>
      <c r="D937" s="3">
        <v>613296</v>
      </c>
      <c r="E937">
        <v>666</v>
      </c>
      <c r="F937" s="3">
        <v>26492000</v>
      </c>
      <c r="G937">
        <v>42.8</v>
      </c>
      <c r="H937">
        <v>43.35</v>
      </c>
      <c r="I937">
        <v>42.8</v>
      </c>
      <c r="J937">
        <v>43.3</v>
      </c>
      <c r="K937" t="s">
        <v>1362</v>
      </c>
      <c r="L937">
        <v>0.5</v>
      </c>
      <c r="M937">
        <v>43.25</v>
      </c>
      <c r="N937">
        <v>20</v>
      </c>
      <c r="O937">
        <v>43.3</v>
      </c>
      <c r="P937">
        <v>3</v>
      </c>
      <c r="Q937">
        <v>10.91</v>
      </c>
    </row>
    <row r="938" spans="2:17">
      <c r="B938">
        <v>3030</v>
      </c>
      <c r="C938" t="s">
        <v>2245</v>
      </c>
      <c r="D938" s="3">
        <v>199942</v>
      </c>
      <c r="E938">
        <v>169</v>
      </c>
      <c r="F938" s="3">
        <v>11392996</v>
      </c>
      <c r="G938">
        <v>57.1</v>
      </c>
      <c r="H938">
        <v>57.2</v>
      </c>
      <c r="I938">
        <v>56.9</v>
      </c>
      <c r="J938">
        <v>56.9</v>
      </c>
      <c r="K938" t="s">
        <v>1</v>
      </c>
      <c r="L938">
        <v>0.2</v>
      </c>
      <c r="M938">
        <v>56.9</v>
      </c>
      <c r="N938">
        <v>60</v>
      </c>
      <c r="O938">
        <v>57</v>
      </c>
      <c r="P938">
        <v>8</v>
      </c>
      <c r="Q938">
        <v>12.56</v>
      </c>
    </row>
    <row r="939" spans="2:17">
      <c r="B939">
        <v>3031</v>
      </c>
      <c r="C939" t="s">
        <v>2246</v>
      </c>
      <c r="D939" s="3">
        <v>13648212</v>
      </c>
      <c r="E939" s="3">
        <v>7004</v>
      </c>
      <c r="F939" s="3">
        <v>370586265</v>
      </c>
      <c r="G939">
        <v>28.1</v>
      </c>
      <c r="H939">
        <v>28.1</v>
      </c>
      <c r="I939">
        <v>26.45</v>
      </c>
      <c r="J939">
        <v>27</v>
      </c>
      <c r="K939" t="s">
        <v>1</v>
      </c>
      <c r="L939">
        <v>1</v>
      </c>
      <c r="M939">
        <v>27</v>
      </c>
      <c r="N939">
        <v>44</v>
      </c>
      <c r="O939">
        <v>27.05</v>
      </c>
      <c r="P939">
        <v>38</v>
      </c>
      <c r="Q939">
        <v>18.62</v>
      </c>
    </row>
    <row r="940" spans="2:17">
      <c r="B940">
        <v>3032</v>
      </c>
      <c r="C940" t="s">
        <v>2247</v>
      </c>
      <c r="D940" s="3">
        <v>137705</v>
      </c>
      <c r="E940">
        <v>121</v>
      </c>
      <c r="F940" s="3">
        <v>4410550</v>
      </c>
      <c r="G940">
        <v>32</v>
      </c>
      <c r="H940">
        <v>32.15</v>
      </c>
      <c r="I940">
        <v>32</v>
      </c>
      <c r="J940">
        <v>32.049999999999997</v>
      </c>
      <c r="K940" t="s">
        <v>1362</v>
      </c>
      <c r="L940">
        <v>0.1</v>
      </c>
      <c r="M940">
        <v>32.049999999999997</v>
      </c>
      <c r="N940">
        <v>3</v>
      </c>
      <c r="O940">
        <v>32.1</v>
      </c>
      <c r="P940">
        <v>16</v>
      </c>
      <c r="Q940">
        <v>10.76</v>
      </c>
    </row>
    <row r="941" spans="2:17">
      <c r="B941">
        <v>3033</v>
      </c>
      <c r="C941" t="s">
        <v>2248</v>
      </c>
      <c r="D941" s="3">
        <v>35401110</v>
      </c>
      <c r="E941" s="3">
        <v>16673</v>
      </c>
      <c r="F941" s="3">
        <v>1150163043</v>
      </c>
      <c r="G941">
        <v>32.950000000000003</v>
      </c>
      <c r="H941">
        <v>33.5</v>
      </c>
      <c r="I941">
        <v>31.6</v>
      </c>
      <c r="J941">
        <v>32.1</v>
      </c>
      <c r="K941" t="s">
        <v>1</v>
      </c>
      <c r="L941">
        <v>0.4</v>
      </c>
      <c r="M941">
        <v>32.049999999999997</v>
      </c>
      <c r="N941">
        <v>2</v>
      </c>
      <c r="O941">
        <v>32.1</v>
      </c>
      <c r="P941">
        <v>7</v>
      </c>
      <c r="Q941">
        <v>8.94</v>
      </c>
    </row>
    <row r="942" spans="2:17">
      <c r="B942">
        <v>3034</v>
      </c>
      <c r="C942" t="s">
        <v>2249</v>
      </c>
      <c r="D942" s="3">
        <v>3167258</v>
      </c>
      <c r="E942" s="3">
        <v>3921</v>
      </c>
      <c r="F942" s="3">
        <v>1698574140</v>
      </c>
      <c r="G942">
        <v>536</v>
      </c>
      <c r="H942">
        <v>539</v>
      </c>
      <c r="I942">
        <v>531</v>
      </c>
      <c r="J942">
        <v>537</v>
      </c>
      <c r="K942" t="s">
        <v>1362</v>
      </c>
      <c r="L942">
        <v>6</v>
      </c>
      <c r="M942">
        <v>537</v>
      </c>
      <c r="N942">
        <v>39</v>
      </c>
      <c r="O942">
        <v>538</v>
      </c>
      <c r="P942">
        <v>235</v>
      </c>
      <c r="Q942">
        <v>10.35</v>
      </c>
    </row>
    <row r="943" spans="2:17">
      <c r="B943">
        <v>3035</v>
      </c>
      <c r="C943" t="s">
        <v>2250</v>
      </c>
      <c r="D943" s="3">
        <v>27084104</v>
      </c>
      <c r="E943" s="3">
        <v>19429</v>
      </c>
      <c r="F943" s="3">
        <v>6520142002</v>
      </c>
      <c r="G943">
        <v>239</v>
      </c>
      <c r="H943">
        <v>245.5</v>
      </c>
      <c r="I943">
        <v>236</v>
      </c>
      <c r="J943">
        <v>245.5</v>
      </c>
      <c r="K943" t="s">
        <v>1362</v>
      </c>
      <c r="L943">
        <v>7</v>
      </c>
      <c r="M943">
        <v>245</v>
      </c>
      <c r="N943">
        <v>4</v>
      </c>
      <c r="O943">
        <v>245.5</v>
      </c>
      <c r="P943">
        <v>14</v>
      </c>
      <c r="Q943">
        <v>87.06</v>
      </c>
    </row>
    <row r="944" spans="2:17">
      <c r="B944">
        <v>3036</v>
      </c>
      <c r="C944" t="s">
        <v>2251</v>
      </c>
      <c r="D944" s="3">
        <v>3546021</v>
      </c>
      <c r="E944" s="3">
        <v>2439</v>
      </c>
      <c r="F944" s="3">
        <v>239268667</v>
      </c>
      <c r="G944">
        <v>67.3</v>
      </c>
      <c r="H944">
        <v>68</v>
      </c>
      <c r="I944">
        <v>66.5</v>
      </c>
      <c r="J944">
        <v>67.900000000000006</v>
      </c>
      <c r="K944" t="s">
        <v>1362</v>
      </c>
      <c r="L944">
        <v>0.9</v>
      </c>
      <c r="M944">
        <v>67.8</v>
      </c>
      <c r="N944">
        <v>31</v>
      </c>
      <c r="O944">
        <v>67.900000000000006</v>
      </c>
      <c r="P944">
        <v>35</v>
      </c>
      <c r="Q944">
        <v>8.92</v>
      </c>
    </row>
    <row r="945" spans="2:17">
      <c r="B945" t="s">
        <v>2252</v>
      </c>
      <c r="C945" t="s">
        <v>2253</v>
      </c>
      <c r="D945" s="3">
        <v>35319</v>
      </c>
      <c r="E945">
        <v>23</v>
      </c>
      <c r="F945" s="3">
        <v>1730631</v>
      </c>
      <c r="G945">
        <v>49</v>
      </c>
      <c r="H945">
        <v>49</v>
      </c>
      <c r="I945">
        <v>49</v>
      </c>
      <c r="J945">
        <v>49</v>
      </c>
      <c r="K945" t="s">
        <v>1328</v>
      </c>
      <c r="L945">
        <v>0</v>
      </c>
      <c r="M945">
        <v>49</v>
      </c>
      <c r="N945">
        <v>3</v>
      </c>
      <c r="O945">
        <v>49.05</v>
      </c>
      <c r="P945">
        <v>27</v>
      </c>
      <c r="Q945">
        <v>0</v>
      </c>
    </row>
    <row r="946" spans="2:17">
      <c r="B946">
        <v>3037</v>
      </c>
      <c r="C946" t="s">
        <v>2254</v>
      </c>
      <c r="D946" s="3">
        <v>13274826</v>
      </c>
      <c r="E946" s="3">
        <v>9205</v>
      </c>
      <c r="F946" s="3">
        <v>3163933497</v>
      </c>
      <c r="G946">
        <v>239.5</v>
      </c>
      <c r="H946">
        <v>240</v>
      </c>
      <c r="I946">
        <v>236</v>
      </c>
      <c r="J946">
        <v>239</v>
      </c>
      <c r="K946" t="s">
        <v>1362</v>
      </c>
      <c r="L946">
        <v>3</v>
      </c>
      <c r="M946">
        <v>238.5</v>
      </c>
      <c r="N946">
        <v>23</v>
      </c>
      <c r="O946">
        <v>239</v>
      </c>
      <c r="P946">
        <v>182</v>
      </c>
      <c r="Q946">
        <v>34.29</v>
      </c>
    </row>
    <row r="947" spans="2:17">
      <c r="B947">
        <v>3038</v>
      </c>
      <c r="C947" t="s">
        <v>2255</v>
      </c>
      <c r="D947" s="3">
        <v>4859314</v>
      </c>
      <c r="E947" s="3">
        <v>1136</v>
      </c>
      <c r="F947" s="3">
        <v>95440852</v>
      </c>
      <c r="G947">
        <v>19.5</v>
      </c>
      <c r="H947">
        <v>19.8</v>
      </c>
      <c r="I947">
        <v>19.2</v>
      </c>
      <c r="J947">
        <v>19.649999999999999</v>
      </c>
      <c r="K947" t="s">
        <v>1362</v>
      </c>
      <c r="L947">
        <v>0.2</v>
      </c>
      <c r="M947">
        <v>19.600000000000001</v>
      </c>
      <c r="N947">
        <v>46</v>
      </c>
      <c r="O947">
        <v>19.649999999999999</v>
      </c>
      <c r="P947">
        <v>44</v>
      </c>
      <c r="Q947">
        <v>13.94</v>
      </c>
    </row>
    <row r="948" spans="2:17">
      <c r="B948">
        <v>3040</v>
      </c>
      <c r="C948" t="s">
        <v>2256</v>
      </c>
      <c r="D948" s="3">
        <v>30950</v>
      </c>
      <c r="E948">
        <v>35</v>
      </c>
      <c r="F948" s="3">
        <v>1177211</v>
      </c>
      <c r="G948">
        <v>38</v>
      </c>
      <c r="H948">
        <v>38.1</v>
      </c>
      <c r="I948">
        <v>38</v>
      </c>
      <c r="J948">
        <v>38</v>
      </c>
      <c r="K948" t="s">
        <v>1362</v>
      </c>
      <c r="L948">
        <v>0.05</v>
      </c>
      <c r="M948">
        <v>38</v>
      </c>
      <c r="N948">
        <v>12</v>
      </c>
      <c r="O948">
        <v>38.049999999999997</v>
      </c>
      <c r="P948">
        <v>1</v>
      </c>
      <c r="Q948">
        <v>15.9</v>
      </c>
    </row>
    <row r="949" spans="2:17">
      <c r="B949">
        <v>3041</v>
      </c>
      <c r="C949" t="s">
        <v>2257</v>
      </c>
      <c r="D949" s="3">
        <v>103673365</v>
      </c>
      <c r="E949" s="3">
        <v>44510</v>
      </c>
      <c r="F949" s="3">
        <v>4315100146</v>
      </c>
      <c r="G949">
        <v>43.2</v>
      </c>
      <c r="H949">
        <v>43.9</v>
      </c>
      <c r="I949">
        <v>39.049999999999997</v>
      </c>
      <c r="J949">
        <v>40.5</v>
      </c>
      <c r="K949" t="s">
        <v>1</v>
      </c>
      <c r="L949">
        <v>2.2000000000000002</v>
      </c>
      <c r="M949">
        <v>40.5</v>
      </c>
      <c r="N949">
        <v>23</v>
      </c>
      <c r="O949">
        <v>40.549999999999997</v>
      </c>
      <c r="P949">
        <v>17</v>
      </c>
      <c r="Q949">
        <v>0</v>
      </c>
    </row>
    <row r="950" spans="2:17">
      <c r="B950">
        <v>3042</v>
      </c>
      <c r="C950" t="s">
        <v>2258</v>
      </c>
      <c r="D950" s="3">
        <v>4558133</v>
      </c>
      <c r="E950" s="3">
        <v>3389</v>
      </c>
      <c r="F950" s="3">
        <v>481440492</v>
      </c>
      <c r="G950">
        <v>107.5</v>
      </c>
      <c r="H950">
        <v>107.5</v>
      </c>
      <c r="I950">
        <v>104.5</v>
      </c>
      <c r="J950">
        <v>105.5</v>
      </c>
      <c r="K950" t="s">
        <v>1</v>
      </c>
      <c r="L950">
        <v>1</v>
      </c>
      <c r="M950">
        <v>105</v>
      </c>
      <c r="N950">
        <v>297</v>
      </c>
      <c r="O950">
        <v>105.5</v>
      </c>
      <c r="P950">
        <v>11</v>
      </c>
      <c r="Q950">
        <v>11.61</v>
      </c>
    </row>
    <row r="951" spans="2:17">
      <c r="B951">
        <v>3043</v>
      </c>
      <c r="C951" t="s">
        <v>2259</v>
      </c>
      <c r="D951" s="3">
        <v>678710</v>
      </c>
      <c r="E951">
        <v>153</v>
      </c>
      <c r="F951" s="3">
        <v>2699151</v>
      </c>
      <c r="G951">
        <v>3.93</v>
      </c>
      <c r="H951">
        <v>4</v>
      </c>
      <c r="I951">
        <v>3.93</v>
      </c>
      <c r="J951">
        <v>4</v>
      </c>
      <c r="K951" t="s">
        <v>1362</v>
      </c>
      <c r="L951">
        <v>7.0000000000000007E-2</v>
      </c>
      <c r="M951">
        <v>3.98</v>
      </c>
      <c r="N951">
        <v>4</v>
      </c>
      <c r="O951">
        <v>4</v>
      </c>
      <c r="P951">
        <v>37</v>
      </c>
      <c r="Q951">
        <v>0</v>
      </c>
    </row>
    <row r="952" spans="2:17">
      <c r="B952">
        <v>3044</v>
      </c>
      <c r="C952" t="s">
        <v>2260</v>
      </c>
      <c r="D952" s="3">
        <v>424824</v>
      </c>
      <c r="E952">
        <v>325</v>
      </c>
      <c r="F952" s="3">
        <v>52557927</v>
      </c>
      <c r="G952">
        <v>124</v>
      </c>
      <c r="H952">
        <v>124.5</v>
      </c>
      <c r="I952">
        <v>123</v>
      </c>
      <c r="J952">
        <v>124</v>
      </c>
      <c r="K952" t="s">
        <v>1328</v>
      </c>
      <c r="L952">
        <v>0</v>
      </c>
      <c r="M952">
        <v>123.5</v>
      </c>
      <c r="N952">
        <v>7</v>
      </c>
      <c r="O952">
        <v>124</v>
      </c>
      <c r="P952">
        <v>18</v>
      </c>
      <c r="Q952">
        <v>10.57</v>
      </c>
    </row>
    <row r="953" spans="2:17">
      <c r="B953">
        <v>3045</v>
      </c>
      <c r="C953" t="s">
        <v>2261</v>
      </c>
      <c r="D953" s="3">
        <v>2289701</v>
      </c>
      <c r="E953" s="3">
        <v>1457</v>
      </c>
      <c r="F953" s="3">
        <v>229352976</v>
      </c>
      <c r="G953">
        <v>99.9</v>
      </c>
      <c r="H953">
        <v>100.5</v>
      </c>
      <c r="I953">
        <v>99.8</v>
      </c>
      <c r="J953">
        <v>100.5</v>
      </c>
      <c r="K953" t="s">
        <v>1362</v>
      </c>
      <c r="L953">
        <v>0.6</v>
      </c>
      <c r="M953">
        <v>100</v>
      </c>
      <c r="N953">
        <v>219</v>
      </c>
      <c r="O953">
        <v>100.5</v>
      </c>
      <c r="P953" s="3">
        <v>1110</v>
      </c>
      <c r="Q953">
        <v>26.66</v>
      </c>
    </row>
    <row r="954" spans="2:17">
      <c r="B954">
        <v>3046</v>
      </c>
      <c r="C954" t="s">
        <v>2262</v>
      </c>
      <c r="D954" s="3">
        <v>627928</v>
      </c>
      <c r="E954">
        <v>544</v>
      </c>
      <c r="F954" s="3">
        <v>29110260</v>
      </c>
      <c r="G954">
        <v>47.8</v>
      </c>
      <c r="H954">
        <v>47.8</v>
      </c>
      <c r="I954">
        <v>46</v>
      </c>
      <c r="J954">
        <v>46.1</v>
      </c>
      <c r="K954" t="s">
        <v>1</v>
      </c>
      <c r="L954">
        <v>1.05</v>
      </c>
      <c r="M954">
        <v>46.1</v>
      </c>
      <c r="N954">
        <v>8</v>
      </c>
      <c r="O954">
        <v>46.35</v>
      </c>
      <c r="P954">
        <v>3</v>
      </c>
      <c r="Q954">
        <v>31.79</v>
      </c>
    </row>
    <row r="955" spans="2:17">
      <c r="B955">
        <v>3047</v>
      </c>
      <c r="C955" t="s">
        <v>2263</v>
      </c>
      <c r="D955" s="3">
        <v>14066956</v>
      </c>
      <c r="E955" s="3">
        <v>5770</v>
      </c>
      <c r="F955" s="3">
        <v>199289122</v>
      </c>
      <c r="G955">
        <v>14.25</v>
      </c>
      <c r="H955">
        <v>14.7</v>
      </c>
      <c r="I955">
        <v>13.8</v>
      </c>
      <c r="J955">
        <v>14.45</v>
      </c>
      <c r="K955" t="s">
        <v>1362</v>
      </c>
      <c r="L955">
        <v>0.15</v>
      </c>
      <c r="M955">
        <v>14.4</v>
      </c>
      <c r="N955">
        <v>141</v>
      </c>
      <c r="O955">
        <v>14.45</v>
      </c>
      <c r="P955">
        <v>20</v>
      </c>
      <c r="Q955">
        <v>0</v>
      </c>
    </row>
    <row r="956" spans="2:17">
      <c r="B956">
        <v>3048</v>
      </c>
      <c r="C956" t="s">
        <v>2264</v>
      </c>
      <c r="D956" s="3">
        <v>814143</v>
      </c>
      <c r="E956">
        <v>473</v>
      </c>
      <c r="F956" s="3">
        <v>26401632</v>
      </c>
      <c r="G956">
        <v>32.450000000000003</v>
      </c>
      <c r="H956">
        <v>32.6</v>
      </c>
      <c r="I956">
        <v>32.25</v>
      </c>
      <c r="J956">
        <v>32.4</v>
      </c>
      <c r="K956" t="s">
        <v>1362</v>
      </c>
      <c r="L956">
        <v>0.15</v>
      </c>
      <c r="M956">
        <v>32.35</v>
      </c>
      <c r="N956">
        <v>19</v>
      </c>
      <c r="O956">
        <v>32.4</v>
      </c>
      <c r="P956">
        <v>20</v>
      </c>
      <c r="Q956">
        <v>7.55</v>
      </c>
    </row>
    <row r="957" spans="2:17">
      <c r="B957">
        <v>3049</v>
      </c>
      <c r="C957" t="s">
        <v>2265</v>
      </c>
      <c r="D957" s="3">
        <v>163133742</v>
      </c>
      <c r="E957" s="3">
        <v>43830</v>
      </c>
      <c r="F957" s="3">
        <v>2901158584</v>
      </c>
      <c r="G957">
        <v>17.850000000000001</v>
      </c>
      <c r="H957">
        <v>18.2</v>
      </c>
      <c r="I957">
        <v>17.25</v>
      </c>
      <c r="J957">
        <v>18.05</v>
      </c>
      <c r="K957" t="s">
        <v>1362</v>
      </c>
      <c r="L957">
        <v>0.2</v>
      </c>
      <c r="M957">
        <v>18.05</v>
      </c>
      <c r="N957">
        <v>172</v>
      </c>
      <c r="O957">
        <v>18.100000000000001</v>
      </c>
      <c r="P957">
        <v>749</v>
      </c>
      <c r="Q957">
        <v>14.67</v>
      </c>
    </row>
    <row r="958" spans="2:17">
      <c r="B958">
        <v>3050</v>
      </c>
      <c r="C958" t="s">
        <v>2266</v>
      </c>
      <c r="D958" s="3">
        <v>12213664</v>
      </c>
      <c r="E958" s="3">
        <v>4289</v>
      </c>
      <c r="F958" s="3">
        <v>233379672</v>
      </c>
      <c r="G958">
        <v>19.100000000000001</v>
      </c>
      <c r="H958">
        <v>19.45</v>
      </c>
      <c r="I958">
        <v>18.75</v>
      </c>
      <c r="J958">
        <v>18.95</v>
      </c>
      <c r="K958" t="s">
        <v>1</v>
      </c>
      <c r="L958">
        <v>0.05</v>
      </c>
      <c r="M958">
        <v>18.95</v>
      </c>
      <c r="N958">
        <v>113</v>
      </c>
      <c r="O958">
        <v>19</v>
      </c>
      <c r="P958">
        <v>36</v>
      </c>
      <c r="Q958">
        <v>20.82</v>
      </c>
    </row>
    <row r="959" spans="2:17">
      <c r="B959">
        <v>3051</v>
      </c>
      <c r="C959" t="s">
        <v>3159</v>
      </c>
      <c r="D959" s="3">
        <v>9896294</v>
      </c>
      <c r="E959" s="3">
        <v>8132</v>
      </c>
      <c r="F959" s="3">
        <v>396168063</v>
      </c>
      <c r="G959">
        <v>41.85</v>
      </c>
      <c r="H959">
        <v>41.85</v>
      </c>
      <c r="I959">
        <v>38.049999999999997</v>
      </c>
      <c r="J959">
        <v>38.1</v>
      </c>
      <c r="K959" t="s">
        <v>1362</v>
      </c>
      <c r="L959">
        <v>0.05</v>
      </c>
      <c r="M959">
        <v>38.1</v>
      </c>
      <c r="N959">
        <v>18</v>
      </c>
      <c r="O959">
        <v>38.15</v>
      </c>
      <c r="P959">
        <v>1</v>
      </c>
      <c r="Q959">
        <v>14.88</v>
      </c>
    </row>
    <row r="960" spans="2:17">
      <c r="B960">
        <v>3052</v>
      </c>
      <c r="C960" t="s">
        <v>2267</v>
      </c>
      <c r="D960" s="3">
        <v>167914</v>
      </c>
      <c r="E960">
        <v>91</v>
      </c>
      <c r="F960" s="3">
        <v>1783051</v>
      </c>
      <c r="G960">
        <v>10.6</v>
      </c>
      <c r="H960">
        <v>10.65</v>
      </c>
      <c r="I960">
        <v>10.6</v>
      </c>
      <c r="J960">
        <v>10.65</v>
      </c>
      <c r="K960" t="s">
        <v>1328</v>
      </c>
      <c r="L960">
        <v>0</v>
      </c>
      <c r="M960">
        <v>10.6</v>
      </c>
      <c r="N960">
        <v>21</v>
      </c>
      <c r="O960">
        <v>10.65</v>
      </c>
      <c r="P960">
        <v>34</v>
      </c>
      <c r="Q960">
        <v>21.73</v>
      </c>
    </row>
    <row r="961" spans="2:17">
      <c r="B961">
        <v>3054</v>
      </c>
      <c r="C961" t="s">
        <v>2268</v>
      </c>
      <c r="D961" s="3">
        <v>86265</v>
      </c>
      <c r="E961">
        <v>74</v>
      </c>
      <c r="F961" s="3">
        <v>2121939</v>
      </c>
      <c r="G961">
        <v>24.95</v>
      </c>
      <c r="H961">
        <v>25</v>
      </c>
      <c r="I961">
        <v>24.4</v>
      </c>
      <c r="J961">
        <v>24.9</v>
      </c>
      <c r="K961" t="s">
        <v>1362</v>
      </c>
      <c r="L961">
        <v>0.25</v>
      </c>
      <c r="M961">
        <v>24.7</v>
      </c>
      <c r="N961">
        <v>1</v>
      </c>
      <c r="O961">
        <v>24.9</v>
      </c>
      <c r="P961">
        <v>5</v>
      </c>
      <c r="Q961">
        <v>49.8</v>
      </c>
    </row>
    <row r="962" spans="2:17">
      <c r="B962">
        <v>3055</v>
      </c>
      <c r="C962" t="s">
        <v>2269</v>
      </c>
      <c r="D962" s="3">
        <v>659656</v>
      </c>
      <c r="E962">
        <v>498</v>
      </c>
      <c r="F962" s="3">
        <v>19628310</v>
      </c>
      <c r="G962">
        <v>29.9</v>
      </c>
      <c r="H962">
        <v>30.2</v>
      </c>
      <c r="I962">
        <v>29.15</v>
      </c>
      <c r="J962">
        <v>29.15</v>
      </c>
      <c r="K962" t="s">
        <v>1362</v>
      </c>
      <c r="L962">
        <v>0.6</v>
      </c>
      <c r="M962">
        <v>29.1</v>
      </c>
      <c r="N962">
        <v>1</v>
      </c>
      <c r="O962">
        <v>29.15</v>
      </c>
      <c r="P962">
        <v>4</v>
      </c>
      <c r="Q962">
        <v>0</v>
      </c>
    </row>
    <row r="963" spans="2:17">
      <c r="B963">
        <v>3056</v>
      </c>
      <c r="C963" t="s">
        <v>2270</v>
      </c>
      <c r="D963" s="3">
        <v>285686</v>
      </c>
      <c r="E963">
        <v>255</v>
      </c>
      <c r="F963" s="3">
        <v>11516340</v>
      </c>
      <c r="G963">
        <v>40.35</v>
      </c>
      <c r="H963">
        <v>40.35</v>
      </c>
      <c r="I963">
        <v>40.25</v>
      </c>
      <c r="J963">
        <v>40.299999999999997</v>
      </c>
      <c r="K963" t="s">
        <v>1328</v>
      </c>
      <c r="L963">
        <v>0</v>
      </c>
      <c r="M963">
        <v>40.299999999999997</v>
      </c>
      <c r="N963">
        <v>23</v>
      </c>
      <c r="O963">
        <v>40.35</v>
      </c>
      <c r="P963">
        <v>11</v>
      </c>
      <c r="Q963">
        <v>5.69</v>
      </c>
    </row>
    <row r="964" spans="2:17">
      <c r="B964">
        <v>3057</v>
      </c>
      <c r="C964" t="s">
        <v>2271</v>
      </c>
      <c r="D964" s="3">
        <v>271236</v>
      </c>
      <c r="E964">
        <v>239</v>
      </c>
      <c r="F964" s="3">
        <v>4101838</v>
      </c>
      <c r="G964">
        <v>15.3</v>
      </c>
      <c r="H964">
        <v>15.3</v>
      </c>
      <c r="I964">
        <v>15.05</v>
      </c>
      <c r="J964">
        <v>15.05</v>
      </c>
      <c r="K964" t="s">
        <v>1</v>
      </c>
      <c r="L964">
        <v>0.2</v>
      </c>
      <c r="M964">
        <v>15.05</v>
      </c>
      <c r="N964">
        <v>41</v>
      </c>
      <c r="O964">
        <v>15.1</v>
      </c>
      <c r="P964">
        <v>3</v>
      </c>
      <c r="Q964">
        <v>0</v>
      </c>
    </row>
    <row r="965" spans="2:17">
      <c r="B965">
        <v>3058</v>
      </c>
      <c r="C965" t="s">
        <v>2272</v>
      </c>
      <c r="D965" s="3">
        <v>722030</v>
      </c>
      <c r="E965">
        <v>405</v>
      </c>
      <c r="F965" s="3">
        <v>11856931</v>
      </c>
      <c r="G965">
        <v>16.649999999999999</v>
      </c>
      <c r="H965">
        <v>16.7</v>
      </c>
      <c r="I965">
        <v>16.25</v>
      </c>
      <c r="J965">
        <v>16.3</v>
      </c>
      <c r="K965" t="s">
        <v>1</v>
      </c>
      <c r="L965">
        <v>0.2</v>
      </c>
      <c r="M965">
        <v>16.3</v>
      </c>
      <c r="N965">
        <v>44</v>
      </c>
      <c r="O965">
        <v>16.350000000000001</v>
      </c>
      <c r="P965">
        <v>4</v>
      </c>
      <c r="Q965">
        <v>0</v>
      </c>
    </row>
    <row r="966" spans="2:17">
      <c r="B966">
        <v>3059</v>
      </c>
      <c r="C966" t="s">
        <v>2273</v>
      </c>
      <c r="D966" s="3">
        <v>22999446</v>
      </c>
      <c r="E966" s="3">
        <v>12111</v>
      </c>
      <c r="F966" s="3">
        <v>1124113413</v>
      </c>
      <c r="G966">
        <v>49.1</v>
      </c>
      <c r="H966">
        <v>49.8</v>
      </c>
      <c r="I966">
        <v>48.15</v>
      </c>
      <c r="J966">
        <v>48.2</v>
      </c>
      <c r="K966" t="s">
        <v>1</v>
      </c>
      <c r="L966">
        <v>0.8</v>
      </c>
      <c r="M966">
        <v>48.2</v>
      </c>
      <c r="N966">
        <v>225</v>
      </c>
      <c r="O966">
        <v>48.3</v>
      </c>
      <c r="P966">
        <v>4</v>
      </c>
      <c r="Q966">
        <v>58.07</v>
      </c>
    </row>
    <row r="967" spans="2:17">
      <c r="B967">
        <v>3060</v>
      </c>
      <c r="C967" t="s">
        <v>2274</v>
      </c>
      <c r="D967" s="3">
        <v>1781891</v>
      </c>
      <c r="E967" s="3">
        <v>1042</v>
      </c>
      <c r="F967" s="3">
        <v>46181658</v>
      </c>
      <c r="G967">
        <v>26.6</v>
      </c>
      <c r="H967">
        <v>26.6</v>
      </c>
      <c r="I967">
        <v>25.6</v>
      </c>
      <c r="J967">
        <v>25.65</v>
      </c>
      <c r="K967" t="s">
        <v>1</v>
      </c>
      <c r="L967">
        <v>0.55000000000000004</v>
      </c>
      <c r="M967">
        <v>25.65</v>
      </c>
      <c r="N967">
        <v>2</v>
      </c>
      <c r="O967">
        <v>25.7</v>
      </c>
      <c r="P967">
        <v>3</v>
      </c>
      <c r="Q967">
        <v>64.12</v>
      </c>
    </row>
    <row r="968" spans="2:17">
      <c r="B968">
        <v>3062</v>
      </c>
      <c r="C968" t="s">
        <v>2275</v>
      </c>
      <c r="D968" s="3">
        <v>19421491</v>
      </c>
      <c r="E968" s="3">
        <v>10588</v>
      </c>
      <c r="F968" s="3">
        <v>623736877</v>
      </c>
      <c r="G968">
        <v>32.700000000000003</v>
      </c>
      <c r="H968">
        <v>32.75</v>
      </c>
      <c r="I968">
        <v>31.75</v>
      </c>
      <c r="J968">
        <v>31.85</v>
      </c>
      <c r="K968" t="s">
        <v>1</v>
      </c>
      <c r="L968">
        <v>1.1000000000000001</v>
      </c>
      <c r="M968">
        <v>31.85</v>
      </c>
      <c r="N968">
        <v>164</v>
      </c>
      <c r="O968">
        <v>31.9</v>
      </c>
      <c r="P968">
        <v>21</v>
      </c>
      <c r="Q968">
        <v>127.4</v>
      </c>
    </row>
    <row r="969" spans="2:17">
      <c r="B969">
        <v>3090</v>
      </c>
      <c r="C969" t="s">
        <v>2276</v>
      </c>
      <c r="D969" s="3">
        <v>519752</v>
      </c>
      <c r="E969">
        <v>306</v>
      </c>
      <c r="F969" s="3">
        <v>28004833</v>
      </c>
      <c r="G969">
        <v>53.6</v>
      </c>
      <c r="H969">
        <v>54</v>
      </c>
      <c r="I969">
        <v>53.6</v>
      </c>
      <c r="J969">
        <v>53.9</v>
      </c>
      <c r="K969" t="s">
        <v>1362</v>
      </c>
      <c r="L969">
        <v>0.3</v>
      </c>
      <c r="M969">
        <v>53.8</v>
      </c>
      <c r="N969">
        <v>8</v>
      </c>
      <c r="O969">
        <v>54</v>
      </c>
      <c r="P969">
        <v>62</v>
      </c>
      <c r="Q969">
        <v>12.19</v>
      </c>
    </row>
    <row r="970" spans="2:17">
      <c r="B970">
        <v>3092</v>
      </c>
      <c r="C970" t="s">
        <v>2277</v>
      </c>
      <c r="D970" s="3">
        <v>3874998</v>
      </c>
      <c r="E970" s="3">
        <v>2329</v>
      </c>
      <c r="F970" s="3">
        <v>223151282</v>
      </c>
      <c r="G970">
        <v>55.7</v>
      </c>
      <c r="H970">
        <v>60.2</v>
      </c>
      <c r="I970">
        <v>55</v>
      </c>
      <c r="J970">
        <v>57</v>
      </c>
      <c r="K970" t="s">
        <v>1362</v>
      </c>
      <c r="L970">
        <v>2.1</v>
      </c>
      <c r="M970">
        <v>57</v>
      </c>
      <c r="N970">
        <v>18</v>
      </c>
      <c r="O970">
        <v>57.4</v>
      </c>
      <c r="P970">
        <v>4</v>
      </c>
      <c r="Q970">
        <v>0</v>
      </c>
    </row>
    <row r="971" spans="2:17">
      <c r="B971">
        <v>3094</v>
      </c>
      <c r="C971" t="s">
        <v>2278</v>
      </c>
      <c r="D971" s="3">
        <v>60272029</v>
      </c>
      <c r="E971" s="3">
        <v>28925</v>
      </c>
      <c r="F971" s="3">
        <v>2570889144</v>
      </c>
      <c r="G971">
        <v>43.2</v>
      </c>
      <c r="H971">
        <v>44</v>
      </c>
      <c r="I971">
        <v>41.3</v>
      </c>
      <c r="J971">
        <v>41.9</v>
      </c>
      <c r="K971" t="s">
        <v>1362</v>
      </c>
      <c r="L971">
        <v>0.75</v>
      </c>
      <c r="M971">
        <v>41.85</v>
      </c>
      <c r="N971">
        <v>30</v>
      </c>
      <c r="O971">
        <v>41.9</v>
      </c>
      <c r="P971">
        <v>62</v>
      </c>
      <c r="Q971">
        <v>57.4</v>
      </c>
    </row>
    <row r="972" spans="2:17">
      <c r="B972">
        <v>3130</v>
      </c>
      <c r="C972" t="s">
        <v>2279</v>
      </c>
      <c r="D972" s="3">
        <v>26577</v>
      </c>
      <c r="E972">
        <v>86</v>
      </c>
      <c r="F972" s="3">
        <v>4729505</v>
      </c>
      <c r="G972">
        <v>178</v>
      </c>
      <c r="H972">
        <v>178</v>
      </c>
      <c r="I972">
        <v>177.5</v>
      </c>
      <c r="J972">
        <v>178</v>
      </c>
      <c r="K972" t="s">
        <v>1328</v>
      </c>
      <c r="L972">
        <v>0</v>
      </c>
      <c r="M972">
        <v>177.5</v>
      </c>
      <c r="N972">
        <v>2</v>
      </c>
      <c r="O972">
        <v>178</v>
      </c>
      <c r="P972">
        <v>1</v>
      </c>
      <c r="Q972">
        <v>17.05</v>
      </c>
    </row>
    <row r="973" spans="2:17">
      <c r="B973">
        <v>3138</v>
      </c>
      <c r="C973" t="s">
        <v>2280</v>
      </c>
      <c r="D973" s="3">
        <v>655011</v>
      </c>
      <c r="E973">
        <v>692</v>
      </c>
      <c r="F973" s="3">
        <v>147739909</v>
      </c>
      <c r="G973">
        <v>223</v>
      </c>
      <c r="H973">
        <v>228</v>
      </c>
      <c r="I973">
        <v>220.5</v>
      </c>
      <c r="J973">
        <v>225.5</v>
      </c>
      <c r="K973" t="s">
        <v>1362</v>
      </c>
      <c r="L973">
        <v>5.5</v>
      </c>
      <c r="M973">
        <v>225.5</v>
      </c>
      <c r="N973">
        <v>13</v>
      </c>
      <c r="O973">
        <v>226</v>
      </c>
      <c r="P973">
        <v>12</v>
      </c>
      <c r="Q973">
        <v>52.81</v>
      </c>
    </row>
    <row r="974" spans="2:17">
      <c r="B974">
        <v>3149</v>
      </c>
      <c r="C974" t="s">
        <v>2281</v>
      </c>
      <c r="D974" s="3">
        <v>499352</v>
      </c>
      <c r="E974">
        <v>360</v>
      </c>
      <c r="F974" s="3">
        <v>15604941</v>
      </c>
      <c r="G974">
        <v>31.25</v>
      </c>
      <c r="H974">
        <v>31.5</v>
      </c>
      <c r="I974">
        <v>31.1</v>
      </c>
      <c r="J974">
        <v>31.25</v>
      </c>
      <c r="K974" t="s">
        <v>1328</v>
      </c>
      <c r="L974">
        <v>0</v>
      </c>
      <c r="M974">
        <v>31.25</v>
      </c>
      <c r="N974">
        <v>15</v>
      </c>
      <c r="O974">
        <v>31.3</v>
      </c>
      <c r="P974">
        <v>17</v>
      </c>
      <c r="Q974">
        <v>0</v>
      </c>
    </row>
    <row r="975" spans="2:17">
      <c r="B975">
        <v>3164</v>
      </c>
      <c r="C975" t="s">
        <v>2282</v>
      </c>
      <c r="D975" s="3">
        <v>41163</v>
      </c>
      <c r="E975">
        <v>91</v>
      </c>
      <c r="F975" s="3">
        <v>991824</v>
      </c>
      <c r="G975">
        <v>24.1</v>
      </c>
      <c r="H975">
        <v>24.2</v>
      </c>
      <c r="I975">
        <v>23.95</v>
      </c>
      <c r="J975">
        <v>24.1</v>
      </c>
      <c r="K975" t="s">
        <v>1328</v>
      </c>
      <c r="L975">
        <v>0</v>
      </c>
      <c r="M975">
        <v>24.05</v>
      </c>
      <c r="N975">
        <v>2</v>
      </c>
      <c r="O975">
        <v>24.1</v>
      </c>
      <c r="P975">
        <v>1</v>
      </c>
      <c r="Q975">
        <v>27.08</v>
      </c>
    </row>
    <row r="976" spans="2:17">
      <c r="B976">
        <v>3167</v>
      </c>
      <c r="C976" t="s">
        <v>2283</v>
      </c>
      <c r="D976" s="3">
        <v>1927473</v>
      </c>
      <c r="E976" s="3">
        <v>1321</v>
      </c>
      <c r="F976" s="3">
        <v>204924737</v>
      </c>
      <c r="G976">
        <v>105.5</v>
      </c>
      <c r="H976">
        <v>109</v>
      </c>
      <c r="I976">
        <v>103</v>
      </c>
      <c r="J976">
        <v>105</v>
      </c>
      <c r="K976" t="s">
        <v>1</v>
      </c>
      <c r="L976">
        <v>0.5</v>
      </c>
      <c r="M976">
        <v>105</v>
      </c>
      <c r="N976">
        <v>16</v>
      </c>
      <c r="O976">
        <v>105.5</v>
      </c>
      <c r="P976">
        <v>4</v>
      </c>
      <c r="Q976">
        <v>12.79</v>
      </c>
    </row>
    <row r="977" spans="2:17">
      <c r="B977">
        <v>3189</v>
      </c>
      <c r="C977" t="s">
        <v>2284</v>
      </c>
      <c r="D977" s="3">
        <v>4055825</v>
      </c>
      <c r="E977" s="3">
        <v>3497</v>
      </c>
      <c r="F977" s="3">
        <v>967078450</v>
      </c>
      <c r="G977">
        <v>238.5</v>
      </c>
      <c r="H977">
        <v>240</v>
      </c>
      <c r="I977">
        <v>235.5</v>
      </c>
      <c r="J977">
        <v>239.5</v>
      </c>
      <c r="K977" t="s">
        <v>1362</v>
      </c>
      <c r="L977">
        <v>2.5</v>
      </c>
      <c r="M977">
        <v>239</v>
      </c>
      <c r="N977">
        <v>8</v>
      </c>
      <c r="O977">
        <v>239.5</v>
      </c>
      <c r="P977">
        <v>4</v>
      </c>
      <c r="Q977">
        <v>40.520000000000003</v>
      </c>
    </row>
    <row r="978" spans="2:17">
      <c r="B978">
        <v>3209</v>
      </c>
      <c r="C978" t="s">
        <v>2285</v>
      </c>
      <c r="D978" s="3">
        <v>736881</v>
      </c>
      <c r="E978">
        <v>641</v>
      </c>
      <c r="F978" s="3">
        <v>21725682</v>
      </c>
      <c r="G978">
        <v>29.4</v>
      </c>
      <c r="H978">
        <v>29.7</v>
      </c>
      <c r="I978">
        <v>29.35</v>
      </c>
      <c r="J978">
        <v>29.4</v>
      </c>
      <c r="K978" t="s">
        <v>1362</v>
      </c>
      <c r="L978">
        <v>0.25</v>
      </c>
      <c r="M978">
        <v>29.35</v>
      </c>
      <c r="N978">
        <v>7</v>
      </c>
      <c r="O978">
        <v>29.4</v>
      </c>
      <c r="P978">
        <v>7</v>
      </c>
      <c r="Q978">
        <v>8.24</v>
      </c>
    </row>
    <row r="979" spans="2:17">
      <c r="B979">
        <v>3229</v>
      </c>
      <c r="C979" t="s">
        <v>2286</v>
      </c>
      <c r="D979" s="3">
        <v>309955</v>
      </c>
      <c r="E979">
        <v>154</v>
      </c>
      <c r="F979" s="3">
        <v>2025256</v>
      </c>
      <c r="G979">
        <v>6.3</v>
      </c>
      <c r="H979">
        <v>6.88</v>
      </c>
      <c r="I979">
        <v>6.28</v>
      </c>
      <c r="J979">
        <v>6.5</v>
      </c>
      <c r="K979" t="s">
        <v>1362</v>
      </c>
      <c r="L979">
        <v>0.18</v>
      </c>
      <c r="M979">
        <v>6.5</v>
      </c>
      <c r="N979">
        <v>9</v>
      </c>
      <c r="O979">
        <v>6.7</v>
      </c>
      <c r="P979">
        <v>1</v>
      </c>
      <c r="Q979">
        <v>0</v>
      </c>
    </row>
    <row r="980" spans="2:17">
      <c r="B980">
        <v>3231</v>
      </c>
      <c r="C980" t="s">
        <v>2287</v>
      </c>
      <c r="D980" s="3">
        <v>7279508</v>
      </c>
      <c r="E980" s="3">
        <v>2666</v>
      </c>
      <c r="F980" s="3">
        <v>212180568</v>
      </c>
      <c r="G980">
        <v>29.2</v>
      </c>
      <c r="H980">
        <v>29.2</v>
      </c>
      <c r="I980">
        <v>29.05</v>
      </c>
      <c r="J980">
        <v>29.2</v>
      </c>
      <c r="K980" t="s">
        <v>1328</v>
      </c>
      <c r="L980">
        <v>0</v>
      </c>
      <c r="M980">
        <v>29.15</v>
      </c>
      <c r="N980">
        <v>126</v>
      </c>
      <c r="O980">
        <v>29.2</v>
      </c>
      <c r="P980">
        <v>128</v>
      </c>
      <c r="Q980">
        <v>11.19</v>
      </c>
    </row>
    <row r="981" spans="2:17">
      <c r="B981">
        <v>3257</v>
      </c>
      <c r="C981" t="s">
        <v>2288</v>
      </c>
      <c r="D981" s="3">
        <v>347922</v>
      </c>
      <c r="E981">
        <v>271</v>
      </c>
      <c r="F981" s="3">
        <v>23347448</v>
      </c>
      <c r="G981">
        <v>67</v>
      </c>
      <c r="H981">
        <v>67.7</v>
      </c>
      <c r="I981">
        <v>66.599999999999994</v>
      </c>
      <c r="J981">
        <v>67</v>
      </c>
      <c r="K981" t="s">
        <v>1328</v>
      </c>
      <c r="L981">
        <v>0</v>
      </c>
      <c r="M981">
        <v>67</v>
      </c>
      <c r="N981">
        <v>105</v>
      </c>
      <c r="O981">
        <v>67.2</v>
      </c>
      <c r="P981">
        <v>2</v>
      </c>
      <c r="Q981">
        <v>13.27</v>
      </c>
    </row>
    <row r="982" spans="2:17">
      <c r="B982">
        <v>3266</v>
      </c>
      <c r="C982" t="s">
        <v>2289</v>
      </c>
      <c r="D982" s="3">
        <v>188680</v>
      </c>
      <c r="E982">
        <v>81</v>
      </c>
      <c r="F982" s="3">
        <v>2605315</v>
      </c>
      <c r="G982">
        <v>13.75</v>
      </c>
      <c r="H982">
        <v>13.9</v>
      </c>
      <c r="I982">
        <v>13.7</v>
      </c>
      <c r="J982">
        <v>13.9</v>
      </c>
      <c r="K982" t="s">
        <v>1362</v>
      </c>
      <c r="L982">
        <v>0.2</v>
      </c>
      <c r="M982">
        <v>13.9</v>
      </c>
      <c r="N982">
        <v>2</v>
      </c>
      <c r="O982">
        <v>13.95</v>
      </c>
      <c r="P982">
        <v>24</v>
      </c>
      <c r="Q982">
        <v>38.61</v>
      </c>
    </row>
    <row r="983" spans="2:17">
      <c r="B983">
        <v>3296</v>
      </c>
      <c r="C983" t="s">
        <v>2290</v>
      </c>
      <c r="D983" s="3">
        <v>229240</v>
      </c>
      <c r="E983">
        <v>128</v>
      </c>
      <c r="F983" s="3">
        <v>4307300</v>
      </c>
      <c r="G983">
        <v>19.100000000000001</v>
      </c>
      <c r="H983">
        <v>19.100000000000001</v>
      </c>
      <c r="I983">
        <v>18.7</v>
      </c>
      <c r="J983">
        <v>18.7</v>
      </c>
      <c r="K983" t="s">
        <v>1</v>
      </c>
      <c r="L983">
        <v>0.35</v>
      </c>
      <c r="M983">
        <v>18.649999999999999</v>
      </c>
      <c r="N983">
        <v>4</v>
      </c>
      <c r="O983">
        <v>18.75</v>
      </c>
      <c r="P983">
        <v>5</v>
      </c>
      <c r="Q983">
        <v>0</v>
      </c>
    </row>
    <row r="984" spans="2:17">
      <c r="B984">
        <v>3305</v>
      </c>
      <c r="C984" t="s">
        <v>2291</v>
      </c>
      <c r="D984" s="3">
        <v>3867271</v>
      </c>
      <c r="E984" s="3">
        <v>3330</v>
      </c>
      <c r="F984" s="3">
        <v>311764755</v>
      </c>
      <c r="G984">
        <v>81.3</v>
      </c>
      <c r="H984">
        <v>82.2</v>
      </c>
      <c r="I984">
        <v>79.7</v>
      </c>
      <c r="J984">
        <v>80.2</v>
      </c>
      <c r="K984" t="s">
        <v>1</v>
      </c>
      <c r="L984">
        <v>1.1000000000000001</v>
      </c>
      <c r="M984">
        <v>80.2</v>
      </c>
      <c r="N984">
        <v>34</v>
      </c>
      <c r="O984">
        <v>80.3</v>
      </c>
      <c r="P984">
        <v>4</v>
      </c>
      <c r="Q984">
        <v>20.51</v>
      </c>
    </row>
    <row r="985" spans="2:17">
      <c r="B985">
        <v>3308</v>
      </c>
      <c r="C985" t="s">
        <v>2292</v>
      </c>
      <c r="D985" s="3">
        <v>719626</v>
      </c>
      <c r="E985">
        <v>398</v>
      </c>
      <c r="F985" s="3">
        <v>8496025</v>
      </c>
      <c r="G985">
        <v>11.8</v>
      </c>
      <c r="H985">
        <v>12.1</v>
      </c>
      <c r="I985">
        <v>11.5</v>
      </c>
      <c r="J985">
        <v>12.1</v>
      </c>
      <c r="K985" t="s">
        <v>1362</v>
      </c>
      <c r="L985">
        <v>0.2</v>
      </c>
      <c r="M985">
        <v>12.05</v>
      </c>
      <c r="N985">
        <v>21</v>
      </c>
      <c r="O985">
        <v>12.1</v>
      </c>
      <c r="P985">
        <v>22</v>
      </c>
      <c r="Q985">
        <v>0</v>
      </c>
    </row>
    <row r="986" spans="2:17">
      <c r="B986">
        <v>3311</v>
      </c>
      <c r="C986" t="s">
        <v>2293</v>
      </c>
      <c r="D986" s="3">
        <v>195224</v>
      </c>
      <c r="E986">
        <v>171</v>
      </c>
      <c r="F986" s="3">
        <v>6976295</v>
      </c>
      <c r="G986">
        <v>35.549999999999997</v>
      </c>
      <c r="H986">
        <v>36.35</v>
      </c>
      <c r="I986">
        <v>35.35</v>
      </c>
      <c r="J986">
        <v>35.4</v>
      </c>
      <c r="K986" t="s">
        <v>1362</v>
      </c>
      <c r="L986">
        <v>0.05</v>
      </c>
      <c r="M986">
        <v>35.35</v>
      </c>
      <c r="N986">
        <v>21</v>
      </c>
      <c r="O986">
        <v>35.5</v>
      </c>
      <c r="P986">
        <v>13</v>
      </c>
      <c r="Q986">
        <v>33.71</v>
      </c>
    </row>
    <row r="987" spans="2:17">
      <c r="B987">
        <v>3312</v>
      </c>
      <c r="C987" t="s">
        <v>2294</v>
      </c>
      <c r="D987" s="3">
        <v>1232271</v>
      </c>
      <c r="E987">
        <v>705</v>
      </c>
      <c r="F987" s="3">
        <v>30142558</v>
      </c>
      <c r="G987">
        <v>24.45</v>
      </c>
      <c r="H987">
        <v>24.7</v>
      </c>
      <c r="I987">
        <v>24.2</v>
      </c>
      <c r="J987">
        <v>24.35</v>
      </c>
      <c r="K987" t="s">
        <v>1362</v>
      </c>
      <c r="L987">
        <v>0.1</v>
      </c>
      <c r="M987">
        <v>24.3</v>
      </c>
      <c r="N987">
        <v>173</v>
      </c>
      <c r="O987">
        <v>24.35</v>
      </c>
      <c r="P987">
        <v>6</v>
      </c>
      <c r="Q987">
        <v>7.75</v>
      </c>
    </row>
    <row r="988" spans="2:17">
      <c r="B988">
        <v>3321</v>
      </c>
      <c r="C988" t="s">
        <v>2295</v>
      </c>
      <c r="D988" s="3">
        <v>545331</v>
      </c>
      <c r="E988">
        <v>259</v>
      </c>
      <c r="F988" s="3">
        <v>7779408</v>
      </c>
      <c r="G988">
        <v>14.3</v>
      </c>
      <c r="H988">
        <v>14.5</v>
      </c>
      <c r="I988">
        <v>14.1</v>
      </c>
      <c r="J988">
        <v>14.1</v>
      </c>
      <c r="K988" t="s">
        <v>1</v>
      </c>
      <c r="L988">
        <v>0.2</v>
      </c>
      <c r="M988">
        <v>14.1</v>
      </c>
      <c r="N988">
        <v>44</v>
      </c>
      <c r="O988">
        <v>14.2</v>
      </c>
      <c r="P988">
        <v>20</v>
      </c>
      <c r="Q988">
        <v>0</v>
      </c>
    </row>
    <row r="989" spans="2:17">
      <c r="B989">
        <v>3338</v>
      </c>
      <c r="C989" t="s">
        <v>2296</v>
      </c>
      <c r="D989" s="3">
        <v>783929</v>
      </c>
      <c r="E989">
        <v>619</v>
      </c>
      <c r="F989" s="3">
        <v>41785185</v>
      </c>
      <c r="G989">
        <v>54</v>
      </c>
      <c r="H989">
        <v>54.3</v>
      </c>
      <c r="I989">
        <v>52.8</v>
      </c>
      <c r="J989">
        <v>52.9</v>
      </c>
      <c r="K989" t="s">
        <v>1</v>
      </c>
      <c r="L989">
        <v>0.8</v>
      </c>
      <c r="M989">
        <v>52.8</v>
      </c>
      <c r="N989">
        <v>106</v>
      </c>
      <c r="O989">
        <v>52.9</v>
      </c>
      <c r="P989">
        <v>1</v>
      </c>
      <c r="Q989">
        <v>30.06</v>
      </c>
    </row>
    <row r="990" spans="2:17">
      <c r="B990">
        <v>3346</v>
      </c>
      <c r="C990" t="s">
        <v>2297</v>
      </c>
      <c r="D990" s="3">
        <v>669451</v>
      </c>
      <c r="E990">
        <v>691</v>
      </c>
      <c r="F990" s="3">
        <v>30386852</v>
      </c>
      <c r="G990">
        <v>46.35</v>
      </c>
      <c r="H990">
        <v>46.4</v>
      </c>
      <c r="I990">
        <v>44.95</v>
      </c>
      <c r="J990">
        <v>44.95</v>
      </c>
      <c r="K990" t="s">
        <v>1</v>
      </c>
      <c r="L990">
        <v>0.65</v>
      </c>
      <c r="M990">
        <v>44.95</v>
      </c>
      <c r="N990">
        <v>4</v>
      </c>
      <c r="O990">
        <v>45</v>
      </c>
      <c r="P990">
        <v>2</v>
      </c>
      <c r="Q990">
        <v>36.25</v>
      </c>
    </row>
    <row r="991" spans="2:17">
      <c r="B991">
        <v>3356</v>
      </c>
      <c r="C991" t="s">
        <v>2298</v>
      </c>
      <c r="D991" s="3">
        <v>219401</v>
      </c>
      <c r="E991">
        <v>236</v>
      </c>
      <c r="F991" s="3">
        <v>6943460</v>
      </c>
      <c r="G991">
        <v>32.1</v>
      </c>
      <c r="H991">
        <v>32.1</v>
      </c>
      <c r="I991">
        <v>31.5</v>
      </c>
      <c r="J991">
        <v>31.5</v>
      </c>
      <c r="K991" t="s">
        <v>1</v>
      </c>
      <c r="L991">
        <v>0.35</v>
      </c>
      <c r="M991">
        <v>31.5</v>
      </c>
      <c r="N991">
        <v>23</v>
      </c>
      <c r="O991">
        <v>31.55</v>
      </c>
      <c r="P991">
        <v>1</v>
      </c>
      <c r="Q991">
        <v>14.65</v>
      </c>
    </row>
    <row r="992" spans="2:17">
      <c r="B992">
        <v>3376</v>
      </c>
      <c r="C992" t="s">
        <v>2299</v>
      </c>
      <c r="D992" s="3">
        <v>1019256</v>
      </c>
      <c r="E992" s="3">
        <v>1150</v>
      </c>
      <c r="F992" s="3">
        <v>96824282</v>
      </c>
      <c r="G992">
        <v>94.2</v>
      </c>
      <c r="H992">
        <v>96</v>
      </c>
      <c r="I992">
        <v>94</v>
      </c>
      <c r="J992">
        <v>94.8</v>
      </c>
      <c r="K992" t="s">
        <v>1362</v>
      </c>
      <c r="L992">
        <v>0.9</v>
      </c>
      <c r="M992">
        <v>94.8</v>
      </c>
      <c r="N992">
        <v>11</v>
      </c>
      <c r="O992">
        <v>94.9</v>
      </c>
      <c r="P992">
        <v>1</v>
      </c>
      <c r="Q992">
        <v>13.2</v>
      </c>
    </row>
    <row r="993" spans="2:17">
      <c r="B993">
        <v>3380</v>
      </c>
      <c r="C993" t="s">
        <v>2300</v>
      </c>
      <c r="D993" s="3">
        <v>6446549</v>
      </c>
      <c r="E993" s="3">
        <v>3395</v>
      </c>
      <c r="F993" s="3">
        <v>217581546</v>
      </c>
      <c r="G993">
        <v>33.799999999999997</v>
      </c>
      <c r="H993">
        <v>34.4</v>
      </c>
      <c r="I993">
        <v>33.049999999999997</v>
      </c>
      <c r="J993">
        <v>34</v>
      </c>
      <c r="K993" t="s">
        <v>1362</v>
      </c>
      <c r="L993">
        <v>0.7</v>
      </c>
      <c r="M993">
        <v>33.950000000000003</v>
      </c>
      <c r="N993">
        <v>23</v>
      </c>
      <c r="O993">
        <v>34</v>
      </c>
      <c r="P993">
        <v>15</v>
      </c>
      <c r="Q993">
        <v>32.08</v>
      </c>
    </row>
    <row r="994" spans="2:17">
      <c r="B994">
        <v>3383</v>
      </c>
      <c r="C994" t="s">
        <v>2301</v>
      </c>
      <c r="D994" s="3">
        <v>2512447</v>
      </c>
      <c r="E994">
        <v>665</v>
      </c>
      <c r="F994" s="3">
        <v>17436218</v>
      </c>
      <c r="G994">
        <v>6.94</v>
      </c>
      <c r="H994">
        <v>6.94</v>
      </c>
      <c r="I994">
        <v>6.94</v>
      </c>
      <c r="J994">
        <v>6.94</v>
      </c>
      <c r="K994" t="s">
        <v>1362</v>
      </c>
      <c r="L994">
        <v>0.63</v>
      </c>
      <c r="M994">
        <v>6.94</v>
      </c>
      <c r="N994">
        <v>410</v>
      </c>
      <c r="O994" t="s">
        <v>1391</v>
      </c>
      <c r="P994">
        <v>0</v>
      </c>
      <c r="Q994">
        <v>0</v>
      </c>
    </row>
    <row r="995" spans="2:17">
      <c r="B995">
        <v>3406</v>
      </c>
      <c r="C995" t="s">
        <v>2302</v>
      </c>
      <c r="D995" s="3">
        <v>1052698</v>
      </c>
      <c r="E995" s="3">
        <v>1213</v>
      </c>
      <c r="F995" s="3">
        <v>567281823</v>
      </c>
      <c r="G995">
        <v>542</v>
      </c>
      <c r="H995">
        <v>545</v>
      </c>
      <c r="I995">
        <v>537</v>
      </c>
      <c r="J995">
        <v>538</v>
      </c>
      <c r="K995" t="s">
        <v>1</v>
      </c>
      <c r="L995">
        <v>1</v>
      </c>
      <c r="M995">
        <v>538</v>
      </c>
      <c r="N995">
        <v>128</v>
      </c>
      <c r="O995">
        <v>539</v>
      </c>
      <c r="P995">
        <v>4</v>
      </c>
      <c r="Q995">
        <v>25.41</v>
      </c>
    </row>
    <row r="996" spans="2:17">
      <c r="B996">
        <v>3413</v>
      </c>
      <c r="C996" t="s">
        <v>2303</v>
      </c>
      <c r="D996" s="3">
        <v>2382534</v>
      </c>
      <c r="E996" s="3">
        <v>2367</v>
      </c>
      <c r="F996" s="3">
        <v>597531154</v>
      </c>
      <c r="G996">
        <v>250</v>
      </c>
      <c r="H996">
        <v>253</v>
      </c>
      <c r="I996">
        <v>247</v>
      </c>
      <c r="J996">
        <v>252.5</v>
      </c>
      <c r="K996" t="s">
        <v>1362</v>
      </c>
      <c r="L996">
        <v>4</v>
      </c>
      <c r="M996">
        <v>252.5</v>
      </c>
      <c r="N996">
        <v>8</v>
      </c>
      <c r="O996">
        <v>253</v>
      </c>
      <c r="P996">
        <v>78</v>
      </c>
      <c r="Q996">
        <v>15.75</v>
      </c>
    </row>
    <row r="997" spans="2:17">
      <c r="B997">
        <v>3416</v>
      </c>
      <c r="C997" t="s">
        <v>2304</v>
      </c>
      <c r="D997" s="3">
        <v>13505</v>
      </c>
      <c r="E997">
        <v>31</v>
      </c>
      <c r="F997" s="3">
        <v>1058819</v>
      </c>
      <c r="G997">
        <v>78.900000000000006</v>
      </c>
      <c r="H997">
        <v>78.900000000000006</v>
      </c>
      <c r="I997">
        <v>78.2</v>
      </c>
      <c r="J997">
        <v>78.5</v>
      </c>
      <c r="K997" t="s">
        <v>1328</v>
      </c>
      <c r="L997">
        <v>0</v>
      </c>
      <c r="M997">
        <v>78.400000000000006</v>
      </c>
      <c r="N997">
        <v>3</v>
      </c>
      <c r="O997">
        <v>78.5</v>
      </c>
      <c r="P997">
        <v>7</v>
      </c>
      <c r="Q997">
        <v>15.83</v>
      </c>
    </row>
    <row r="998" spans="2:17">
      <c r="B998">
        <v>3419</v>
      </c>
      <c r="C998" t="s">
        <v>2305</v>
      </c>
      <c r="D998" s="3">
        <v>4011249</v>
      </c>
      <c r="E998" s="3">
        <v>1910</v>
      </c>
      <c r="F998" s="3">
        <v>103605076</v>
      </c>
      <c r="G998">
        <v>26.45</v>
      </c>
      <c r="H998">
        <v>26.45</v>
      </c>
      <c r="I998">
        <v>25.3</v>
      </c>
      <c r="J998">
        <v>25.4</v>
      </c>
      <c r="K998" t="s">
        <v>1</v>
      </c>
      <c r="L998">
        <v>0.6</v>
      </c>
      <c r="M998">
        <v>25.4</v>
      </c>
      <c r="N998">
        <v>26</v>
      </c>
      <c r="O998">
        <v>25.5</v>
      </c>
      <c r="P998">
        <v>6</v>
      </c>
      <c r="Q998">
        <v>0</v>
      </c>
    </row>
    <row r="999" spans="2:17">
      <c r="B999">
        <v>3432</v>
      </c>
      <c r="C999" t="s">
        <v>2306</v>
      </c>
      <c r="D999" s="3">
        <v>138000</v>
      </c>
      <c r="E999">
        <v>77</v>
      </c>
      <c r="F999" s="3">
        <v>2082500</v>
      </c>
      <c r="G999">
        <v>15.25</v>
      </c>
      <c r="H999">
        <v>15.25</v>
      </c>
      <c r="I999">
        <v>15</v>
      </c>
      <c r="J999">
        <v>15.1</v>
      </c>
      <c r="K999" t="s">
        <v>1</v>
      </c>
      <c r="L999">
        <v>0.1</v>
      </c>
      <c r="M999">
        <v>15.1</v>
      </c>
      <c r="N999">
        <v>4</v>
      </c>
      <c r="O999">
        <v>15.15</v>
      </c>
      <c r="P999">
        <v>9</v>
      </c>
      <c r="Q999">
        <v>23.23</v>
      </c>
    </row>
    <row r="1000" spans="2:17">
      <c r="B1000">
        <v>3437</v>
      </c>
      <c r="C1000" t="s">
        <v>2307</v>
      </c>
      <c r="D1000" s="3">
        <v>879279</v>
      </c>
      <c r="E1000">
        <v>519</v>
      </c>
      <c r="F1000" s="3">
        <v>22948151</v>
      </c>
      <c r="G1000">
        <v>26.7</v>
      </c>
      <c r="H1000">
        <v>26.8</v>
      </c>
      <c r="I1000">
        <v>25.8</v>
      </c>
      <c r="J1000">
        <v>25.85</v>
      </c>
      <c r="K1000" t="s">
        <v>1</v>
      </c>
      <c r="L1000">
        <v>0.4</v>
      </c>
      <c r="M1000">
        <v>25.85</v>
      </c>
      <c r="N1000">
        <v>18</v>
      </c>
      <c r="O1000">
        <v>25.95</v>
      </c>
      <c r="P1000">
        <v>1</v>
      </c>
      <c r="Q1000">
        <v>80.78</v>
      </c>
    </row>
    <row r="1001" spans="2:17">
      <c r="B1001">
        <v>3443</v>
      </c>
      <c r="C1001" t="s">
        <v>2308</v>
      </c>
      <c r="D1001" s="3">
        <v>671114</v>
      </c>
      <c r="E1001">
        <v>777</v>
      </c>
      <c r="F1001" s="3">
        <v>399611838</v>
      </c>
      <c r="G1001">
        <v>600</v>
      </c>
      <c r="H1001">
        <v>603</v>
      </c>
      <c r="I1001">
        <v>591</v>
      </c>
      <c r="J1001">
        <v>591</v>
      </c>
      <c r="K1001" t="s">
        <v>1</v>
      </c>
      <c r="L1001">
        <v>4</v>
      </c>
      <c r="M1001">
        <v>591</v>
      </c>
      <c r="N1001">
        <v>26</v>
      </c>
      <c r="O1001">
        <v>592</v>
      </c>
      <c r="P1001">
        <v>4</v>
      </c>
      <c r="Q1001">
        <v>50.99</v>
      </c>
    </row>
    <row r="1002" spans="2:17">
      <c r="B1002">
        <v>3450</v>
      </c>
      <c r="C1002" t="s">
        <v>2309</v>
      </c>
      <c r="D1002" s="3">
        <v>187287</v>
      </c>
      <c r="E1002">
        <v>185</v>
      </c>
      <c r="F1002" s="3">
        <v>10449236</v>
      </c>
      <c r="G1002">
        <v>56.1</v>
      </c>
      <c r="H1002">
        <v>56.1</v>
      </c>
      <c r="I1002">
        <v>55.6</v>
      </c>
      <c r="J1002">
        <v>55.7</v>
      </c>
      <c r="K1002" t="s">
        <v>1328</v>
      </c>
      <c r="L1002">
        <v>0</v>
      </c>
      <c r="M1002">
        <v>55.7</v>
      </c>
      <c r="N1002">
        <v>4</v>
      </c>
      <c r="O1002">
        <v>55.8</v>
      </c>
      <c r="P1002">
        <v>9</v>
      </c>
      <c r="Q1002">
        <v>22.92</v>
      </c>
    </row>
    <row r="1003" spans="2:17">
      <c r="B1003">
        <v>3454</v>
      </c>
      <c r="C1003" t="s">
        <v>2310</v>
      </c>
      <c r="D1003" s="3">
        <v>25549</v>
      </c>
      <c r="E1003">
        <v>52</v>
      </c>
      <c r="F1003" s="3">
        <v>1874939</v>
      </c>
      <c r="G1003">
        <v>72.900000000000006</v>
      </c>
      <c r="H1003">
        <v>73.5</v>
      </c>
      <c r="I1003">
        <v>72.900000000000006</v>
      </c>
      <c r="J1003">
        <v>73.400000000000006</v>
      </c>
      <c r="K1003" t="s">
        <v>1362</v>
      </c>
      <c r="L1003">
        <v>0.8</v>
      </c>
      <c r="M1003">
        <v>73.3</v>
      </c>
      <c r="N1003">
        <v>6</v>
      </c>
      <c r="O1003">
        <v>73.400000000000006</v>
      </c>
      <c r="P1003">
        <v>2</v>
      </c>
      <c r="Q1003">
        <v>38.03</v>
      </c>
    </row>
    <row r="1004" spans="2:17">
      <c r="B1004">
        <v>3481</v>
      </c>
      <c r="C1004" t="s">
        <v>2311</v>
      </c>
      <c r="D1004" s="3">
        <v>102676668</v>
      </c>
      <c r="E1004" s="3">
        <v>21307</v>
      </c>
      <c r="F1004" s="3">
        <v>1999584496</v>
      </c>
      <c r="G1004">
        <v>19.55</v>
      </c>
      <c r="H1004">
        <v>19.649999999999999</v>
      </c>
      <c r="I1004">
        <v>19.350000000000001</v>
      </c>
      <c r="J1004">
        <v>19.399999999999999</v>
      </c>
      <c r="K1004" t="s">
        <v>1362</v>
      </c>
      <c r="L1004">
        <v>0.1</v>
      </c>
      <c r="M1004">
        <v>19.399999999999999</v>
      </c>
      <c r="N1004" s="3">
        <v>1557</v>
      </c>
      <c r="O1004">
        <v>19.45</v>
      </c>
      <c r="P1004" s="3">
        <v>3608</v>
      </c>
      <c r="Q1004">
        <v>3.32</v>
      </c>
    </row>
    <row r="1005" spans="2:17">
      <c r="B1005">
        <v>3494</v>
      </c>
      <c r="C1005" t="s">
        <v>3081</v>
      </c>
      <c r="D1005" s="3">
        <v>111660</v>
      </c>
      <c r="E1005">
        <v>47</v>
      </c>
      <c r="F1005" s="3">
        <v>547504</v>
      </c>
      <c r="G1005">
        <v>4.9000000000000004</v>
      </c>
      <c r="H1005">
        <v>4.96</v>
      </c>
      <c r="I1005">
        <v>4.8499999999999996</v>
      </c>
      <c r="J1005">
        <v>4.92</v>
      </c>
      <c r="K1005" t="s">
        <v>1362</v>
      </c>
      <c r="L1005">
        <v>0.09</v>
      </c>
      <c r="M1005">
        <v>4.8499999999999996</v>
      </c>
      <c r="N1005">
        <v>4</v>
      </c>
      <c r="O1005">
        <v>4.92</v>
      </c>
      <c r="P1005">
        <v>1</v>
      </c>
      <c r="Q1005">
        <v>0</v>
      </c>
    </row>
    <row r="1006" spans="2:17">
      <c r="B1006">
        <v>3501</v>
      </c>
      <c r="C1006" t="s">
        <v>2312</v>
      </c>
      <c r="D1006" s="3">
        <v>115129</v>
      </c>
      <c r="E1006">
        <v>87</v>
      </c>
      <c r="F1006" s="3">
        <v>5548552</v>
      </c>
      <c r="G1006">
        <v>48.1</v>
      </c>
      <c r="H1006">
        <v>48.4</v>
      </c>
      <c r="I1006">
        <v>48.05</v>
      </c>
      <c r="J1006">
        <v>48.05</v>
      </c>
      <c r="K1006" t="s">
        <v>1362</v>
      </c>
      <c r="L1006">
        <v>0.1</v>
      </c>
      <c r="M1006">
        <v>48</v>
      </c>
      <c r="N1006">
        <v>7</v>
      </c>
      <c r="O1006">
        <v>48.1</v>
      </c>
      <c r="P1006">
        <v>1</v>
      </c>
      <c r="Q1006">
        <v>16.18</v>
      </c>
    </row>
    <row r="1007" spans="2:17">
      <c r="B1007">
        <v>3504</v>
      </c>
      <c r="C1007" t="s">
        <v>2313</v>
      </c>
      <c r="D1007" s="3">
        <v>1375590</v>
      </c>
      <c r="E1007" s="3">
        <v>1321</v>
      </c>
      <c r="F1007" s="3">
        <v>165920489</v>
      </c>
      <c r="G1007">
        <v>124</v>
      </c>
      <c r="H1007">
        <v>124</v>
      </c>
      <c r="I1007">
        <v>119</v>
      </c>
      <c r="J1007">
        <v>119.5</v>
      </c>
      <c r="K1007" t="s">
        <v>1</v>
      </c>
      <c r="L1007">
        <v>2.5</v>
      </c>
      <c r="M1007">
        <v>119</v>
      </c>
      <c r="N1007">
        <v>163</v>
      </c>
      <c r="O1007">
        <v>119.5</v>
      </c>
      <c r="P1007">
        <v>1</v>
      </c>
      <c r="Q1007">
        <v>0</v>
      </c>
    </row>
    <row r="1008" spans="2:17">
      <c r="B1008">
        <v>3515</v>
      </c>
      <c r="C1008" t="s">
        <v>2314</v>
      </c>
      <c r="D1008" s="3">
        <v>3208412</v>
      </c>
      <c r="E1008" s="3">
        <v>2793</v>
      </c>
      <c r="F1008" s="3">
        <v>898596361</v>
      </c>
      <c r="G1008">
        <v>275.5</v>
      </c>
      <c r="H1008">
        <v>283</v>
      </c>
      <c r="I1008">
        <v>272.5</v>
      </c>
      <c r="J1008">
        <v>282.5</v>
      </c>
      <c r="K1008" t="s">
        <v>1362</v>
      </c>
      <c r="L1008">
        <v>10</v>
      </c>
      <c r="M1008">
        <v>282</v>
      </c>
      <c r="N1008">
        <v>1</v>
      </c>
      <c r="O1008">
        <v>283</v>
      </c>
      <c r="P1008">
        <v>81</v>
      </c>
      <c r="Q1008">
        <v>16.57</v>
      </c>
    </row>
    <row r="1009" spans="2:17">
      <c r="B1009">
        <v>3518</v>
      </c>
      <c r="C1009" t="s">
        <v>2315</v>
      </c>
      <c r="D1009" s="3">
        <v>1708124</v>
      </c>
      <c r="E1009">
        <v>920</v>
      </c>
      <c r="F1009" s="3">
        <v>44265650</v>
      </c>
      <c r="G1009">
        <v>26.25</v>
      </c>
      <c r="H1009">
        <v>26.7</v>
      </c>
      <c r="I1009">
        <v>25.25</v>
      </c>
      <c r="J1009">
        <v>25.65</v>
      </c>
      <c r="K1009" t="s">
        <v>1</v>
      </c>
      <c r="L1009">
        <v>1.1000000000000001</v>
      </c>
      <c r="M1009">
        <v>25.6</v>
      </c>
      <c r="N1009">
        <v>6</v>
      </c>
      <c r="O1009">
        <v>25.65</v>
      </c>
      <c r="P1009">
        <v>8</v>
      </c>
      <c r="Q1009">
        <v>641.25</v>
      </c>
    </row>
    <row r="1010" spans="2:17">
      <c r="B1010">
        <v>3528</v>
      </c>
      <c r="C1010" t="s">
        <v>2316</v>
      </c>
      <c r="D1010" s="3">
        <v>28066</v>
      </c>
      <c r="E1010">
        <v>23</v>
      </c>
      <c r="F1010" s="3">
        <v>1395955</v>
      </c>
      <c r="G1010">
        <v>50</v>
      </c>
      <c r="H1010">
        <v>50</v>
      </c>
      <c r="I1010">
        <v>49.6</v>
      </c>
      <c r="J1010">
        <v>49.85</v>
      </c>
      <c r="K1010" t="s">
        <v>1362</v>
      </c>
      <c r="L1010">
        <v>0.05</v>
      </c>
      <c r="M1010">
        <v>49.7</v>
      </c>
      <c r="N1010">
        <v>3</v>
      </c>
      <c r="O1010">
        <v>49.75</v>
      </c>
      <c r="P1010">
        <v>1</v>
      </c>
      <c r="Q1010">
        <v>12.43</v>
      </c>
    </row>
    <row r="1011" spans="2:17">
      <c r="B1011">
        <v>3530</v>
      </c>
      <c r="C1011" t="s">
        <v>2317</v>
      </c>
      <c r="D1011" s="3">
        <v>616838</v>
      </c>
      <c r="E1011">
        <v>834</v>
      </c>
      <c r="F1011" s="3">
        <v>84884801</v>
      </c>
      <c r="G1011">
        <v>137.5</v>
      </c>
      <c r="H1011">
        <v>138.5</v>
      </c>
      <c r="I1011">
        <v>136.5</v>
      </c>
      <c r="J1011">
        <v>137</v>
      </c>
      <c r="K1011" t="s">
        <v>1362</v>
      </c>
      <c r="L1011">
        <v>0.5</v>
      </c>
      <c r="M1011">
        <v>136.5</v>
      </c>
      <c r="N1011">
        <v>50</v>
      </c>
      <c r="O1011">
        <v>137.5</v>
      </c>
      <c r="P1011">
        <v>6</v>
      </c>
      <c r="Q1011">
        <v>14.18</v>
      </c>
    </row>
    <row r="1012" spans="2:17">
      <c r="B1012">
        <v>3532</v>
      </c>
      <c r="C1012" t="s">
        <v>2318</v>
      </c>
      <c r="D1012" s="3">
        <v>1807583</v>
      </c>
      <c r="E1012" s="3">
        <v>2027</v>
      </c>
      <c r="F1012" s="3">
        <v>533995287</v>
      </c>
      <c r="G1012">
        <v>301.5</v>
      </c>
      <c r="H1012">
        <v>301.5</v>
      </c>
      <c r="I1012">
        <v>292</v>
      </c>
      <c r="J1012">
        <v>292.5</v>
      </c>
      <c r="K1012" t="s">
        <v>1</v>
      </c>
      <c r="L1012">
        <v>4.5</v>
      </c>
      <c r="M1012">
        <v>292.5</v>
      </c>
      <c r="N1012">
        <v>15</v>
      </c>
      <c r="O1012">
        <v>293.5</v>
      </c>
      <c r="P1012">
        <v>1</v>
      </c>
      <c r="Q1012">
        <v>85.28</v>
      </c>
    </row>
    <row r="1013" spans="2:17">
      <c r="B1013">
        <v>3533</v>
      </c>
      <c r="C1013" t="s">
        <v>2319</v>
      </c>
      <c r="D1013" s="3">
        <v>415050</v>
      </c>
      <c r="E1013">
        <v>558</v>
      </c>
      <c r="F1013" s="3">
        <v>316719300</v>
      </c>
      <c r="G1013">
        <v>760</v>
      </c>
      <c r="H1013">
        <v>774</v>
      </c>
      <c r="I1013">
        <v>750</v>
      </c>
      <c r="J1013">
        <v>769</v>
      </c>
      <c r="K1013" t="s">
        <v>1362</v>
      </c>
      <c r="L1013">
        <v>13</v>
      </c>
      <c r="M1013">
        <v>769</v>
      </c>
      <c r="N1013">
        <v>6</v>
      </c>
      <c r="O1013">
        <v>770</v>
      </c>
      <c r="P1013">
        <v>43</v>
      </c>
      <c r="Q1013">
        <v>26.15</v>
      </c>
    </row>
    <row r="1014" spans="2:17">
      <c r="B1014">
        <v>3535</v>
      </c>
      <c r="C1014" t="s">
        <v>2320</v>
      </c>
      <c r="D1014" s="3">
        <v>280010</v>
      </c>
      <c r="E1014">
        <v>165</v>
      </c>
      <c r="F1014" s="3">
        <v>5060578</v>
      </c>
      <c r="G1014">
        <v>18.100000000000001</v>
      </c>
      <c r="H1014">
        <v>18.25</v>
      </c>
      <c r="I1014">
        <v>17.95</v>
      </c>
      <c r="J1014">
        <v>17.95</v>
      </c>
      <c r="K1014" t="s">
        <v>1328</v>
      </c>
      <c r="L1014">
        <v>0</v>
      </c>
      <c r="M1014">
        <v>17.95</v>
      </c>
      <c r="N1014">
        <v>11</v>
      </c>
      <c r="O1014">
        <v>18</v>
      </c>
      <c r="P1014">
        <v>6</v>
      </c>
      <c r="Q1014">
        <v>0</v>
      </c>
    </row>
    <row r="1015" spans="2:17">
      <c r="B1015">
        <v>3536</v>
      </c>
      <c r="C1015" t="s">
        <v>2321</v>
      </c>
      <c r="D1015" s="3">
        <v>136482</v>
      </c>
      <c r="E1015">
        <v>58</v>
      </c>
      <c r="F1015" s="3">
        <v>882003</v>
      </c>
      <c r="G1015">
        <v>6.57</v>
      </c>
      <c r="H1015">
        <v>6.57</v>
      </c>
      <c r="I1015">
        <v>6.35</v>
      </c>
      <c r="J1015">
        <v>6.39</v>
      </c>
      <c r="K1015" t="s">
        <v>1362</v>
      </c>
      <c r="L1015">
        <v>0.41</v>
      </c>
      <c r="M1015">
        <v>6.36</v>
      </c>
      <c r="N1015">
        <v>1</v>
      </c>
      <c r="O1015">
        <v>6.39</v>
      </c>
      <c r="P1015">
        <v>14</v>
      </c>
      <c r="Q1015">
        <v>0</v>
      </c>
    </row>
    <row r="1016" spans="2:17">
      <c r="B1016">
        <v>3543</v>
      </c>
      <c r="C1016" t="s">
        <v>2322</v>
      </c>
      <c r="D1016" s="3">
        <v>62002</v>
      </c>
      <c r="E1016">
        <v>35</v>
      </c>
      <c r="F1016" s="3">
        <v>1612454</v>
      </c>
      <c r="G1016">
        <v>26</v>
      </c>
      <c r="H1016">
        <v>26.1</v>
      </c>
      <c r="I1016">
        <v>25.95</v>
      </c>
      <c r="J1016">
        <v>26</v>
      </c>
      <c r="K1016" t="s">
        <v>1328</v>
      </c>
      <c r="L1016">
        <v>0</v>
      </c>
      <c r="M1016">
        <v>25.95</v>
      </c>
      <c r="N1016">
        <v>3</v>
      </c>
      <c r="O1016">
        <v>26</v>
      </c>
      <c r="P1016">
        <v>14</v>
      </c>
      <c r="Q1016">
        <v>9.6999999999999993</v>
      </c>
    </row>
    <row r="1017" spans="2:17">
      <c r="B1017">
        <v>3545</v>
      </c>
      <c r="C1017" t="s">
        <v>2323</v>
      </c>
      <c r="D1017" s="3">
        <v>8983489</v>
      </c>
      <c r="E1017" s="3">
        <v>7118</v>
      </c>
      <c r="F1017" s="3">
        <v>1555226651</v>
      </c>
      <c r="G1017">
        <v>175</v>
      </c>
      <c r="H1017">
        <v>175.5</v>
      </c>
      <c r="I1017">
        <v>170.5</v>
      </c>
      <c r="J1017">
        <v>171</v>
      </c>
      <c r="K1017" t="s">
        <v>1</v>
      </c>
      <c r="L1017">
        <v>2</v>
      </c>
      <c r="M1017">
        <v>171</v>
      </c>
      <c r="N1017">
        <v>24</v>
      </c>
      <c r="O1017">
        <v>171.5</v>
      </c>
      <c r="P1017">
        <v>16</v>
      </c>
      <c r="Q1017">
        <v>6.92</v>
      </c>
    </row>
    <row r="1018" spans="2:17">
      <c r="B1018">
        <v>3550</v>
      </c>
      <c r="C1018" t="s">
        <v>2324</v>
      </c>
      <c r="D1018" s="3">
        <v>327130</v>
      </c>
      <c r="E1018">
        <v>187</v>
      </c>
      <c r="F1018" s="3">
        <v>6071801</v>
      </c>
      <c r="G1018">
        <v>18.8</v>
      </c>
      <c r="H1018">
        <v>18.8</v>
      </c>
      <c r="I1018">
        <v>18.399999999999999</v>
      </c>
      <c r="J1018">
        <v>18.649999999999999</v>
      </c>
      <c r="K1018" t="s">
        <v>1362</v>
      </c>
      <c r="L1018">
        <v>0.15</v>
      </c>
      <c r="M1018">
        <v>18.600000000000001</v>
      </c>
      <c r="N1018">
        <v>23</v>
      </c>
      <c r="O1018">
        <v>18.649999999999999</v>
      </c>
      <c r="P1018">
        <v>12</v>
      </c>
      <c r="Q1018">
        <v>12.69</v>
      </c>
    </row>
    <row r="1019" spans="2:17">
      <c r="B1019">
        <v>3557</v>
      </c>
      <c r="C1019" t="s">
        <v>2325</v>
      </c>
      <c r="D1019" s="3">
        <v>59519</v>
      </c>
      <c r="E1019">
        <v>54</v>
      </c>
      <c r="F1019" s="3">
        <v>4570302</v>
      </c>
      <c r="G1019">
        <v>77.900000000000006</v>
      </c>
      <c r="H1019">
        <v>78.400000000000006</v>
      </c>
      <c r="I1019">
        <v>76.400000000000006</v>
      </c>
      <c r="J1019">
        <v>76.400000000000006</v>
      </c>
      <c r="K1019" t="s">
        <v>1</v>
      </c>
      <c r="L1019">
        <v>0.4</v>
      </c>
      <c r="M1019">
        <v>76.3</v>
      </c>
      <c r="N1019">
        <v>2</v>
      </c>
      <c r="O1019">
        <v>76.7</v>
      </c>
      <c r="P1019">
        <v>1</v>
      </c>
      <c r="Q1019">
        <v>9.6199999999999992</v>
      </c>
    </row>
    <row r="1020" spans="2:17">
      <c r="B1020">
        <v>3563</v>
      </c>
      <c r="C1020" t="s">
        <v>2326</v>
      </c>
      <c r="D1020" s="3">
        <v>497920</v>
      </c>
      <c r="E1020" s="3">
        <v>1025</v>
      </c>
      <c r="F1020" s="3">
        <v>127339577</v>
      </c>
      <c r="G1020">
        <v>256</v>
      </c>
      <c r="H1020">
        <v>258</v>
      </c>
      <c r="I1020">
        <v>254</v>
      </c>
      <c r="J1020">
        <v>255</v>
      </c>
      <c r="K1020" t="s">
        <v>1362</v>
      </c>
      <c r="L1020">
        <v>0.5</v>
      </c>
      <c r="M1020">
        <v>255</v>
      </c>
      <c r="N1020">
        <v>1</v>
      </c>
      <c r="O1020">
        <v>255.5</v>
      </c>
      <c r="P1020">
        <v>10</v>
      </c>
      <c r="Q1020">
        <v>14.29</v>
      </c>
    </row>
    <row r="1021" spans="2:17">
      <c r="B1021">
        <v>3576</v>
      </c>
      <c r="C1021" t="s">
        <v>2692</v>
      </c>
      <c r="D1021" s="3">
        <v>4855214</v>
      </c>
      <c r="E1021" s="3">
        <v>2427</v>
      </c>
      <c r="F1021" s="3">
        <v>106130869</v>
      </c>
      <c r="G1021">
        <v>21.95</v>
      </c>
      <c r="H1021">
        <v>22.05</v>
      </c>
      <c r="I1021">
        <v>21.7</v>
      </c>
      <c r="J1021">
        <v>21.75</v>
      </c>
      <c r="K1021" t="s">
        <v>1328</v>
      </c>
      <c r="L1021">
        <v>0</v>
      </c>
      <c r="M1021">
        <v>21.7</v>
      </c>
      <c r="N1021">
        <v>389</v>
      </c>
      <c r="O1021">
        <v>21.8</v>
      </c>
      <c r="P1021">
        <v>67</v>
      </c>
      <c r="Q1021">
        <v>0</v>
      </c>
    </row>
    <row r="1022" spans="2:17">
      <c r="B1022">
        <v>3583</v>
      </c>
      <c r="C1022" t="s">
        <v>2327</v>
      </c>
      <c r="D1022" s="3">
        <v>18045192</v>
      </c>
      <c r="E1022" s="3">
        <v>13095</v>
      </c>
      <c r="F1022" s="3">
        <v>1612714736</v>
      </c>
      <c r="G1022">
        <v>87</v>
      </c>
      <c r="H1022">
        <v>93</v>
      </c>
      <c r="I1022">
        <v>86</v>
      </c>
      <c r="J1022">
        <v>89.3</v>
      </c>
      <c r="K1022" t="s">
        <v>1362</v>
      </c>
      <c r="L1022">
        <v>3.6</v>
      </c>
      <c r="M1022">
        <v>89.3</v>
      </c>
      <c r="N1022">
        <v>16</v>
      </c>
      <c r="O1022">
        <v>89.4</v>
      </c>
      <c r="P1022">
        <v>18</v>
      </c>
      <c r="Q1022">
        <v>17.86</v>
      </c>
    </row>
    <row r="1023" spans="2:17">
      <c r="B1023">
        <v>3588</v>
      </c>
      <c r="C1023" t="s">
        <v>2328</v>
      </c>
      <c r="D1023" s="3">
        <v>4615442</v>
      </c>
      <c r="E1023" s="3">
        <v>3863</v>
      </c>
      <c r="F1023" s="3">
        <v>711634859</v>
      </c>
      <c r="G1023">
        <v>154.5</v>
      </c>
      <c r="H1023">
        <v>158</v>
      </c>
      <c r="I1023">
        <v>150.5</v>
      </c>
      <c r="J1023">
        <v>153.5</v>
      </c>
      <c r="K1023" t="s">
        <v>1362</v>
      </c>
      <c r="L1023">
        <v>0.5</v>
      </c>
      <c r="M1023">
        <v>153</v>
      </c>
      <c r="N1023">
        <v>64</v>
      </c>
      <c r="O1023">
        <v>153.5</v>
      </c>
      <c r="P1023">
        <v>14</v>
      </c>
      <c r="Q1023">
        <v>34.11</v>
      </c>
    </row>
    <row r="1024" spans="2:17">
      <c r="B1024">
        <v>3591</v>
      </c>
      <c r="C1024" t="s">
        <v>2329</v>
      </c>
      <c r="D1024" s="3">
        <v>931642</v>
      </c>
      <c r="E1024">
        <v>472</v>
      </c>
      <c r="F1024" s="3">
        <v>22105529</v>
      </c>
      <c r="G1024">
        <v>23.85</v>
      </c>
      <c r="H1024">
        <v>24</v>
      </c>
      <c r="I1024">
        <v>23.5</v>
      </c>
      <c r="J1024">
        <v>23.5</v>
      </c>
      <c r="K1024" t="s">
        <v>1</v>
      </c>
      <c r="L1024">
        <v>0.45</v>
      </c>
      <c r="M1024">
        <v>23.5</v>
      </c>
      <c r="N1024">
        <v>40</v>
      </c>
      <c r="O1024">
        <v>23.55</v>
      </c>
      <c r="P1024">
        <v>1</v>
      </c>
      <c r="Q1024">
        <v>27.65</v>
      </c>
    </row>
    <row r="1025" spans="2:17">
      <c r="B1025">
        <v>3593</v>
      </c>
      <c r="C1025" t="s">
        <v>2330</v>
      </c>
      <c r="D1025" s="3">
        <v>127447</v>
      </c>
      <c r="E1025">
        <v>101</v>
      </c>
      <c r="F1025" s="3">
        <v>1965924</v>
      </c>
      <c r="G1025">
        <v>15.45</v>
      </c>
      <c r="H1025">
        <v>15.6</v>
      </c>
      <c r="I1025">
        <v>15.3</v>
      </c>
      <c r="J1025">
        <v>15.5</v>
      </c>
      <c r="K1025" t="s">
        <v>1362</v>
      </c>
      <c r="L1025">
        <v>0.05</v>
      </c>
      <c r="M1025">
        <v>15.5</v>
      </c>
      <c r="N1025">
        <v>4</v>
      </c>
      <c r="O1025">
        <v>15.55</v>
      </c>
      <c r="P1025">
        <v>13</v>
      </c>
      <c r="Q1025">
        <v>23.13</v>
      </c>
    </row>
    <row r="1026" spans="2:17">
      <c r="B1026">
        <v>3596</v>
      </c>
      <c r="C1026" t="s">
        <v>2331</v>
      </c>
      <c r="D1026" s="3">
        <v>3279131</v>
      </c>
      <c r="E1026" s="3">
        <v>2645</v>
      </c>
      <c r="F1026" s="3">
        <v>411879913</v>
      </c>
      <c r="G1026">
        <v>127.5</v>
      </c>
      <c r="H1026">
        <v>127.5</v>
      </c>
      <c r="I1026">
        <v>125</v>
      </c>
      <c r="J1026">
        <v>125</v>
      </c>
      <c r="K1026" t="s">
        <v>1</v>
      </c>
      <c r="L1026">
        <v>1.5</v>
      </c>
      <c r="M1026">
        <v>125</v>
      </c>
      <c r="N1026">
        <v>51</v>
      </c>
      <c r="O1026">
        <v>125.5</v>
      </c>
      <c r="P1026">
        <v>29</v>
      </c>
      <c r="Q1026">
        <v>14.17</v>
      </c>
    </row>
    <row r="1027" spans="2:17">
      <c r="B1027">
        <v>3605</v>
      </c>
      <c r="C1027" t="s">
        <v>2332</v>
      </c>
      <c r="D1027" s="3">
        <v>10161456</v>
      </c>
      <c r="E1027" s="3">
        <v>6800</v>
      </c>
      <c r="F1027" s="3">
        <v>538280362</v>
      </c>
      <c r="G1027">
        <v>51.9</v>
      </c>
      <c r="H1027">
        <v>54.3</v>
      </c>
      <c r="I1027">
        <v>51.5</v>
      </c>
      <c r="J1027">
        <v>52.6</v>
      </c>
      <c r="K1027" t="s">
        <v>1362</v>
      </c>
      <c r="L1027">
        <v>0.5</v>
      </c>
      <c r="M1027">
        <v>52.6</v>
      </c>
      <c r="N1027">
        <v>81</v>
      </c>
      <c r="O1027">
        <v>52.7</v>
      </c>
      <c r="P1027">
        <v>4</v>
      </c>
      <c r="Q1027">
        <v>12.61</v>
      </c>
    </row>
    <row r="1028" spans="2:17">
      <c r="B1028">
        <v>3607</v>
      </c>
      <c r="C1028" t="s">
        <v>2333</v>
      </c>
      <c r="D1028" s="3">
        <v>23732282</v>
      </c>
      <c r="E1028" s="3">
        <v>7523</v>
      </c>
      <c r="F1028" s="3">
        <v>459370809</v>
      </c>
      <c r="G1028">
        <v>18.5</v>
      </c>
      <c r="H1028">
        <v>19.899999999999999</v>
      </c>
      <c r="I1028">
        <v>18.100000000000001</v>
      </c>
      <c r="J1028">
        <v>19.3</v>
      </c>
      <c r="K1028" t="s">
        <v>1362</v>
      </c>
      <c r="L1028">
        <v>1.2</v>
      </c>
      <c r="M1028">
        <v>19.25</v>
      </c>
      <c r="N1028">
        <v>113</v>
      </c>
      <c r="O1028">
        <v>19.3</v>
      </c>
      <c r="P1028">
        <v>42</v>
      </c>
      <c r="Q1028">
        <v>0</v>
      </c>
    </row>
    <row r="1029" spans="2:17">
      <c r="B1029">
        <v>3617</v>
      </c>
      <c r="C1029" t="s">
        <v>2334</v>
      </c>
      <c r="D1029" s="3">
        <v>53352</v>
      </c>
      <c r="E1029">
        <v>53</v>
      </c>
      <c r="F1029" s="3">
        <v>3715307</v>
      </c>
      <c r="G1029">
        <v>70.099999999999994</v>
      </c>
      <c r="H1029">
        <v>70.099999999999994</v>
      </c>
      <c r="I1029">
        <v>69.3</v>
      </c>
      <c r="J1029">
        <v>70</v>
      </c>
      <c r="K1029" t="s">
        <v>1</v>
      </c>
      <c r="L1029">
        <v>0.1</v>
      </c>
      <c r="M1029">
        <v>70</v>
      </c>
      <c r="N1029">
        <v>2</v>
      </c>
      <c r="O1029">
        <v>70.099999999999994</v>
      </c>
      <c r="P1029">
        <v>2</v>
      </c>
      <c r="Q1029">
        <v>21.6</v>
      </c>
    </row>
    <row r="1030" spans="2:17">
      <c r="B1030">
        <v>3622</v>
      </c>
      <c r="C1030" t="s">
        <v>2335</v>
      </c>
      <c r="D1030" s="3">
        <v>216527</v>
      </c>
      <c r="E1030">
        <v>182</v>
      </c>
      <c r="F1030" s="3">
        <v>6264451</v>
      </c>
      <c r="G1030">
        <v>29.5</v>
      </c>
      <c r="H1030">
        <v>29.5</v>
      </c>
      <c r="I1030">
        <v>28.65</v>
      </c>
      <c r="J1030">
        <v>28.65</v>
      </c>
      <c r="K1030" t="s">
        <v>1</v>
      </c>
      <c r="L1030">
        <v>0.6</v>
      </c>
      <c r="M1030">
        <v>28.65</v>
      </c>
      <c r="N1030">
        <v>13</v>
      </c>
      <c r="O1030">
        <v>28.75</v>
      </c>
      <c r="P1030">
        <v>3</v>
      </c>
      <c r="Q1030">
        <v>19.36</v>
      </c>
    </row>
    <row r="1031" spans="2:17">
      <c r="B1031">
        <v>3645</v>
      </c>
      <c r="C1031" t="s">
        <v>2336</v>
      </c>
      <c r="D1031" s="3">
        <v>291529</v>
      </c>
      <c r="E1031">
        <v>194</v>
      </c>
      <c r="F1031" s="3">
        <v>12325469</v>
      </c>
      <c r="G1031">
        <v>42.35</v>
      </c>
      <c r="H1031">
        <v>42.5</v>
      </c>
      <c r="I1031">
        <v>42.1</v>
      </c>
      <c r="J1031">
        <v>42.1</v>
      </c>
      <c r="K1031" t="s">
        <v>1</v>
      </c>
      <c r="L1031">
        <v>0.25</v>
      </c>
      <c r="M1031">
        <v>42.1</v>
      </c>
      <c r="N1031">
        <v>5</v>
      </c>
      <c r="O1031">
        <v>42.25</v>
      </c>
      <c r="P1031">
        <v>2</v>
      </c>
      <c r="Q1031">
        <v>16.32</v>
      </c>
    </row>
    <row r="1032" spans="2:17">
      <c r="B1032">
        <v>3653</v>
      </c>
      <c r="C1032" t="s">
        <v>2337</v>
      </c>
      <c r="D1032" s="3">
        <v>388851</v>
      </c>
      <c r="E1032">
        <v>417</v>
      </c>
      <c r="F1032" s="3">
        <v>156551527</v>
      </c>
      <c r="G1032">
        <v>400</v>
      </c>
      <c r="H1032">
        <v>406.5</v>
      </c>
      <c r="I1032">
        <v>400</v>
      </c>
      <c r="J1032">
        <v>403</v>
      </c>
      <c r="K1032" t="s">
        <v>1362</v>
      </c>
      <c r="L1032">
        <v>2</v>
      </c>
      <c r="M1032">
        <v>403</v>
      </c>
      <c r="N1032">
        <v>1</v>
      </c>
      <c r="O1032">
        <v>403.5</v>
      </c>
      <c r="P1032">
        <v>1</v>
      </c>
      <c r="Q1032">
        <v>48.09</v>
      </c>
    </row>
    <row r="1033" spans="2:17">
      <c r="B1033">
        <v>3661</v>
      </c>
      <c r="C1033" t="s">
        <v>2338</v>
      </c>
      <c r="D1033" s="3">
        <v>828366</v>
      </c>
      <c r="E1033" s="3">
        <v>1087</v>
      </c>
      <c r="F1033" s="3">
        <v>834081917</v>
      </c>
      <c r="G1033" s="8">
        <v>1025</v>
      </c>
      <c r="H1033" s="8">
        <v>1035</v>
      </c>
      <c r="I1033">
        <v>994</v>
      </c>
      <c r="J1033">
        <v>994</v>
      </c>
      <c r="K1033" t="s">
        <v>1</v>
      </c>
      <c r="L1033">
        <v>31</v>
      </c>
      <c r="M1033">
        <v>994</v>
      </c>
      <c r="N1033">
        <v>8</v>
      </c>
      <c r="O1033" s="8">
        <v>1005</v>
      </c>
      <c r="P1033">
        <v>9</v>
      </c>
      <c r="Q1033">
        <v>50.95</v>
      </c>
    </row>
    <row r="1034" spans="2:17">
      <c r="B1034">
        <v>3665</v>
      </c>
      <c r="C1034" t="s">
        <v>2339</v>
      </c>
      <c r="D1034" s="3">
        <v>428909</v>
      </c>
      <c r="E1034">
        <v>307</v>
      </c>
      <c r="F1034" s="3">
        <v>109118811</v>
      </c>
      <c r="G1034">
        <v>255.5</v>
      </c>
      <c r="H1034">
        <v>256</v>
      </c>
      <c r="I1034">
        <v>254</v>
      </c>
      <c r="J1034">
        <v>255</v>
      </c>
      <c r="K1034" t="s">
        <v>1</v>
      </c>
      <c r="L1034">
        <v>0.5</v>
      </c>
      <c r="M1034">
        <v>255</v>
      </c>
      <c r="N1034">
        <v>8</v>
      </c>
      <c r="O1034">
        <v>255.5</v>
      </c>
      <c r="P1034">
        <v>21</v>
      </c>
      <c r="Q1034">
        <v>16.579999999999998</v>
      </c>
    </row>
    <row r="1035" spans="2:17">
      <c r="B1035">
        <v>3669</v>
      </c>
      <c r="C1035" t="s">
        <v>2340</v>
      </c>
      <c r="D1035" s="3">
        <v>11374296</v>
      </c>
      <c r="E1035" s="3">
        <v>7363</v>
      </c>
      <c r="F1035" s="3">
        <v>731989724</v>
      </c>
      <c r="G1035">
        <v>61.9</v>
      </c>
      <c r="H1035">
        <v>66.7</v>
      </c>
      <c r="I1035">
        <v>61.9</v>
      </c>
      <c r="J1035">
        <v>65.599999999999994</v>
      </c>
      <c r="K1035" t="s">
        <v>1362</v>
      </c>
      <c r="L1035">
        <v>4.8</v>
      </c>
      <c r="M1035">
        <v>65.5</v>
      </c>
      <c r="N1035">
        <v>96</v>
      </c>
      <c r="O1035">
        <v>65.599999999999994</v>
      </c>
      <c r="P1035">
        <v>7</v>
      </c>
      <c r="Q1035">
        <v>7.45</v>
      </c>
    </row>
    <row r="1036" spans="2:17">
      <c r="B1036">
        <v>3673</v>
      </c>
      <c r="C1036" t="s">
        <v>2341</v>
      </c>
      <c r="D1036" s="3">
        <v>1284301</v>
      </c>
      <c r="E1036">
        <v>883</v>
      </c>
      <c r="F1036" s="3">
        <v>55640378</v>
      </c>
      <c r="G1036">
        <v>43.45</v>
      </c>
      <c r="H1036">
        <v>43.65</v>
      </c>
      <c r="I1036">
        <v>43.1</v>
      </c>
      <c r="J1036">
        <v>43.3</v>
      </c>
      <c r="K1036" t="s">
        <v>1362</v>
      </c>
      <c r="L1036">
        <v>0.2</v>
      </c>
      <c r="M1036">
        <v>43.25</v>
      </c>
      <c r="N1036">
        <v>2</v>
      </c>
      <c r="O1036">
        <v>43.3</v>
      </c>
      <c r="P1036">
        <v>18</v>
      </c>
      <c r="Q1036">
        <v>14.78</v>
      </c>
    </row>
    <row r="1037" spans="2:17">
      <c r="B1037">
        <v>3679</v>
      </c>
      <c r="C1037" t="s">
        <v>2342</v>
      </c>
      <c r="D1037" s="3">
        <v>34600</v>
      </c>
      <c r="E1037">
        <v>47</v>
      </c>
      <c r="F1037" s="3">
        <v>3074421</v>
      </c>
      <c r="G1037">
        <v>89.4</v>
      </c>
      <c r="H1037">
        <v>89.4</v>
      </c>
      <c r="I1037">
        <v>88.6</v>
      </c>
      <c r="J1037">
        <v>88.7</v>
      </c>
      <c r="K1037" t="s">
        <v>1</v>
      </c>
      <c r="L1037">
        <v>0.4</v>
      </c>
      <c r="M1037">
        <v>88.6</v>
      </c>
      <c r="N1037">
        <v>6</v>
      </c>
      <c r="O1037">
        <v>88.7</v>
      </c>
      <c r="P1037">
        <v>1</v>
      </c>
      <c r="Q1037">
        <v>8.76</v>
      </c>
    </row>
    <row r="1038" spans="2:17">
      <c r="B1038">
        <v>3682</v>
      </c>
      <c r="C1038" t="s">
        <v>2343</v>
      </c>
      <c r="D1038" s="3">
        <v>2670201</v>
      </c>
      <c r="E1038">
        <v>816</v>
      </c>
      <c r="F1038" s="3">
        <v>21909796</v>
      </c>
      <c r="G1038">
        <v>8.2200000000000006</v>
      </c>
      <c r="H1038">
        <v>8.25</v>
      </c>
      <c r="I1038">
        <v>8.18</v>
      </c>
      <c r="J1038">
        <v>8.1999999999999993</v>
      </c>
      <c r="K1038" t="s">
        <v>1</v>
      </c>
      <c r="L1038">
        <v>0.02</v>
      </c>
      <c r="M1038">
        <v>8.1999999999999993</v>
      </c>
      <c r="N1038">
        <v>21</v>
      </c>
      <c r="O1038">
        <v>8.2100000000000009</v>
      </c>
      <c r="P1038">
        <v>8</v>
      </c>
      <c r="Q1038">
        <v>0</v>
      </c>
    </row>
    <row r="1039" spans="2:17">
      <c r="B1039">
        <v>3686</v>
      </c>
      <c r="C1039" t="s">
        <v>2344</v>
      </c>
      <c r="D1039" s="3">
        <v>420962</v>
      </c>
      <c r="E1039">
        <v>273</v>
      </c>
      <c r="F1039" s="3">
        <v>6691372</v>
      </c>
      <c r="G1039">
        <v>15.95</v>
      </c>
      <c r="H1039">
        <v>16.05</v>
      </c>
      <c r="I1039">
        <v>15.85</v>
      </c>
      <c r="J1039">
        <v>15.85</v>
      </c>
      <c r="K1039" t="s">
        <v>1</v>
      </c>
      <c r="L1039">
        <v>0.05</v>
      </c>
      <c r="M1039">
        <v>15.85</v>
      </c>
      <c r="N1039">
        <v>4</v>
      </c>
      <c r="O1039">
        <v>15.9</v>
      </c>
      <c r="P1039">
        <v>31</v>
      </c>
      <c r="Q1039">
        <v>0</v>
      </c>
    </row>
    <row r="1040" spans="2:17">
      <c r="B1040">
        <v>3694</v>
      </c>
      <c r="C1040" t="s">
        <v>2345</v>
      </c>
      <c r="D1040" s="3">
        <v>1940263</v>
      </c>
      <c r="E1040">
        <v>974</v>
      </c>
      <c r="F1040" s="3">
        <v>54663563</v>
      </c>
      <c r="G1040">
        <v>27.9</v>
      </c>
      <c r="H1040">
        <v>28.7</v>
      </c>
      <c r="I1040">
        <v>27.7</v>
      </c>
      <c r="J1040">
        <v>28.7</v>
      </c>
      <c r="K1040" t="s">
        <v>1362</v>
      </c>
      <c r="L1040">
        <v>0.85</v>
      </c>
      <c r="M1040">
        <v>28.7</v>
      </c>
      <c r="N1040">
        <v>2</v>
      </c>
      <c r="O1040">
        <v>28.75</v>
      </c>
      <c r="P1040">
        <v>15</v>
      </c>
      <c r="Q1040">
        <v>17.940000000000001</v>
      </c>
    </row>
    <row r="1041" spans="2:17">
      <c r="B1041">
        <v>3701</v>
      </c>
      <c r="C1041" t="s">
        <v>2346</v>
      </c>
      <c r="D1041" s="3">
        <v>11157726</v>
      </c>
      <c r="E1041" s="3">
        <v>7232</v>
      </c>
      <c r="F1041" s="3">
        <v>898415536</v>
      </c>
      <c r="G1041">
        <v>78.7</v>
      </c>
      <c r="H1041">
        <v>83.1</v>
      </c>
      <c r="I1041">
        <v>78.599999999999994</v>
      </c>
      <c r="J1041">
        <v>79.3</v>
      </c>
      <c r="K1041" t="s">
        <v>1362</v>
      </c>
      <c r="L1041">
        <v>0.7</v>
      </c>
      <c r="M1041">
        <v>79.2</v>
      </c>
      <c r="N1041">
        <v>39</v>
      </c>
      <c r="O1041">
        <v>79.3</v>
      </c>
      <c r="P1041">
        <v>1</v>
      </c>
      <c r="Q1041">
        <v>74.81</v>
      </c>
    </row>
    <row r="1042" spans="2:17">
      <c r="B1042">
        <v>3702</v>
      </c>
      <c r="C1042" t="s">
        <v>2347</v>
      </c>
      <c r="D1042" s="3">
        <v>3033968</v>
      </c>
      <c r="E1042" s="3">
        <v>1788</v>
      </c>
      <c r="F1042" s="3">
        <v>158111930</v>
      </c>
      <c r="G1042">
        <v>52</v>
      </c>
      <c r="H1042">
        <v>52.3</v>
      </c>
      <c r="I1042">
        <v>51.9</v>
      </c>
      <c r="J1042">
        <v>52.2</v>
      </c>
      <c r="K1042" t="s">
        <v>1362</v>
      </c>
      <c r="L1042">
        <v>0.3</v>
      </c>
      <c r="M1042">
        <v>52.1</v>
      </c>
      <c r="N1042">
        <v>117</v>
      </c>
      <c r="O1042">
        <v>52.2</v>
      </c>
      <c r="P1042">
        <v>57</v>
      </c>
      <c r="Q1042">
        <v>9.02</v>
      </c>
    </row>
    <row r="1043" spans="2:17">
      <c r="B1043" t="s">
        <v>2348</v>
      </c>
      <c r="C1043" t="s">
        <v>2349</v>
      </c>
      <c r="D1043" s="3">
        <v>250095</v>
      </c>
      <c r="E1043">
        <v>51</v>
      </c>
      <c r="F1043" s="3">
        <v>12411412</v>
      </c>
      <c r="G1043">
        <v>49.55</v>
      </c>
      <c r="H1043">
        <v>49.65</v>
      </c>
      <c r="I1043">
        <v>49.55</v>
      </c>
      <c r="J1043">
        <v>49.65</v>
      </c>
      <c r="K1043" t="s">
        <v>1362</v>
      </c>
      <c r="L1043">
        <v>0.15</v>
      </c>
      <c r="M1043">
        <v>49.6</v>
      </c>
      <c r="N1043">
        <v>94</v>
      </c>
      <c r="O1043">
        <v>49.7</v>
      </c>
      <c r="P1043">
        <v>42</v>
      </c>
      <c r="Q1043">
        <v>0</v>
      </c>
    </row>
    <row r="1044" spans="2:17">
      <c r="B1044">
        <v>3703</v>
      </c>
      <c r="C1044" t="s">
        <v>2350</v>
      </c>
      <c r="D1044" s="3">
        <v>788195</v>
      </c>
      <c r="E1044">
        <v>332</v>
      </c>
      <c r="F1044" s="3">
        <v>19751656</v>
      </c>
      <c r="G1044">
        <v>25.2</v>
      </c>
      <c r="H1044">
        <v>25.2</v>
      </c>
      <c r="I1044">
        <v>24.95</v>
      </c>
      <c r="J1044">
        <v>25.1</v>
      </c>
      <c r="K1044" t="s">
        <v>1362</v>
      </c>
      <c r="L1044">
        <v>0.1</v>
      </c>
      <c r="M1044">
        <v>25.1</v>
      </c>
      <c r="N1044">
        <v>21</v>
      </c>
      <c r="O1044">
        <v>25.15</v>
      </c>
      <c r="P1044">
        <v>66</v>
      </c>
      <c r="Q1044">
        <v>14.76</v>
      </c>
    </row>
    <row r="1045" spans="2:17">
      <c r="B1045">
        <v>3704</v>
      </c>
      <c r="C1045" t="s">
        <v>2351</v>
      </c>
      <c r="D1045" s="3">
        <v>9731026</v>
      </c>
      <c r="E1045" s="3">
        <v>5471</v>
      </c>
      <c r="F1045" s="3">
        <v>341163127</v>
      </c>
      <c r="G1045">
        <v>34.950000000000003</v>
      </c>
      <c r="H1045">
        <v>35.65</v>
      </c>
      <c r="I1045">
        <v>34.5</v>
      </c>
      <c r="J1045">
        <v>34.799999999999997</v>
      </c>
      <c r="K1045" t="s">
        <v>1362</v>
      </c>
      <c r="L1045">
        <v>0.5</v>
      </c>
      <c r="M1045">
        <v>34.799999999999997</v>
      </c>
      <c r="N1045">
        <v>59</v>
      </c>
      <c r="O1045">
        <v>34.85</v>
      </c>
      <c r="P1045">
        <v>17</v>
      </c>
      <c r="Q1045">
        <v>11.37</v>
      </c>
    </row>
    <row r="1046" spans="2:17">
      <c r="B1046">
        <v>3705</v>
      </c>
      <c r="C1046" t="s">
        <v>2352</v>
      </c>
      <c r="D1046" s="3">
        <v>107167</v>
      </c>
      <c r="E1046">
        <v>101</v>
      </c>
      <c r="F1046" s="3">
        <v>4594556</v>
      </c>
      <c r="G1046">
        <v>42.95</v>
      </c>
      <c r="H1046">
        <v>43</v>
      </c>
      <c r="I1046">
        <v>42.8</v>
      </c>
      <c r="J1046">
        <v>42.85</v>
      </c>
      <c r="K1046" t="s">
        <v>1</v>
      </c>
      <c r="L1046">
        <v>0.05</v>
      </c>
      <c r="M1046">
        <v>42.85</v>
      </c>
      <c r="N1046">
        <v>3</v>
      </c>
      <c r="O1046">
        <v>42.9</v>
      </c>
      <c r="P1046">
        <v>11</v>
      </c>
      <c r="Q1046">
        <v>15.81</v>
      </c>
    </row>
    <row r="1047" spans="2:17">
      <c r="B1047">
        <v>3706</v>
      </c>
      <c r="C1047" t="s">
        <v>2353</v>
      </c>
      <c r="D1047" s="3">
        <v>7843024</v>
      </c>
      <c r="E1047" s="3">
        <v>4197</v>
      </c>
      <c r="F1047" s="3">
        <v>270855392</v>
      </c>
      <c r="G1047">
        <v>34.700000000000003</v>
      </c>
      <c r="H1047">
        <v>34.799999999999997</v>
      </c>
      <c r="I1047">
        <v>34.35</v>
      </c>
      <c r="J1047">
        <v>34.5</v>
      </c>
      <c r="K1047" t="s">
        <v>1362</v>
      </c>
      <c r="L1047">
        <v>0.15</v>
      </c>
      <c r="M1047">
        <v>34.450000000000003</v>
      </c>
      <c r="N1047">
        <v>431</v>
      </c>
      <c r="O1047">
        <v>34.5</v>
      </c>
      <c r="P1047">
        <v>190</v>
      </c>
      <c r="Q1047">
        <v>3.34</v>
      </c>
    </row>
    <row r="1048" spans="2:17">
      <c r="B1048">
        <v>3708</v>
      </c>
      <c r="C1048" t="s">
        <v>2354</v>
      </c>
      <c r="D1048" s="3">
        <v>450317</v>
      </c>
      <c r="E1048">
        <v>522</v>
      </c>
      <c r="F1048" s="3">
        <v>41985738</v>
      </c>
      <c r="G1048">
        <v>94.5</v>
      </c>
      <c r="H1048">
        <v>94.5</v>
      </c>
      <c r="I1048">
        <v>92.8</v>
      </c>
      <c r="J1048">
        <v>93</v>
      </c>
      <c r="K1048" t="s">
        <v>1</v>
      </c>
      <c r="L1048">
        <v>0.9</v>
      </c>
      <c r="M1048">
        <v>93</v>
      </c>
      <c r="N1048">
        <v>6</v>
      </c>
      <c r="O1048">
        <v>93.3</v>
      </c>
      <c r="P1048">
        <v>5</v>
      </c>
      <c r="Q1048">
        <v>44.5</v>
      </c>
    </row>
    <row r="1049" spans="2:17">
      <c r="B1049">
        <v>3711</v>
      </c>
      <c r="C1049" t="s">
        <v>2355</v>
      </c>
      <c r="D1049" s="3">
        <v>7925423</v>
      </c>
      <c r="E1049" s="3">
        <v>4393</v>
      </c>
      <c r="F1049" s="3">
        <v>838742795</v>
      </c>
      <c r="G1049">
        <v>106.5</v>
      </c>
      <c r="H1049">
        <v>106.5</v>
      </c>
      <c r="I1049">
        <v>105.5</v>
      </c>
      <c r="J1049">
        <v>105.5</v>
      </c>
      <c r="K1049" t="s">
        <v>1362</v>
      </c>
      <c r="L1049">
        <v>0.5</v>
      </c>
      <c r="M1049">
        <v>105.5</v>
      </c>
      <c r="N1049">
        <v>116</v>
      </c>
      <c r="O1049">
        <v>106</v>
      </c>
      <c r="P1049">
        <v>959</v>
      </c>
      <c r="Q1049">
        <v>10.58</v>
      </c>
    </row>
    <row r="1050" spans="2:17">
      <c r="B1050">
        <v>3712</v>
      </c>
      <c r="C1050" t="s">
        <v>2356</v>
      </c>
      <c r="D1050" s="3">
        <v>605550</v>
      </c>
      <c r="E1050">
        <v>385</v>
      </c>
      <c r="F1050" s="3">
        <v>19800586</v>
      </c>
      <c r="G1050">
        <v>32.9</v>
      </c>
      <c r="H1050">
        <v>33.25</v>
      </c>
      <c r="I1050">
        <v>32.299999999999997</v>
      </c>
      <c r="J1050">
        <v>32.35</v>
      </c>
      <c r="K1050" t="s">
        <v>1</v>
      </c>
      <c r="L1050">
        <v>0.35</v>
      </c>
      <c r="M1050">
        <v>32.35</v>
      </c>
      <c r="N1050">
        <v>32</v>
      </c>
      <c r="O1050">
        <v>32.450000000000003</v>
      </c>
      <c r="P1050">
        <v>1</v>
      </c>
      <c r="Q1050">
        <v>16.510000000000002</v>
      </c>
    </row>
    <row r="1051" spans="2:17">
      <c r="B1051">
        <v>3714</v>
      </c>
      <c r="C1051" t="s">
        <v>2357</v>
      </c>
      <c r="D1051" s="3">
        <v>2978585</v>
      </c>
      <c r="E1051" s="3">
        <v>2563</v>
      </c>
      <c r="F1051" s="3">
        <v>230001056</v>
      </c>
      <c r="G1051">
        <v>78</v>
      </c>
      <c r="H1051">
        <v>78.400000000000006</v>
      </c>
      <c r="I1051">
        <v>76.599999999999994</v>
      </c>
      <c r="J1051">
        <v>76.7</v>
      </c>
      <c r="K1051" t="s">
        <v>1</v>
      </c>
      <c r="L1051">
        <v>0.8</v>
      </c>
      <c r="M1051">
        <v>76.7</v>
      </c>
      <c r="N1051">
        <v>15</v>
      </c>
      <c r="O1051">
        <v>76.8</v>
      </c>
      <c r="P1051">
        <v>50</v>
      </c>
      <c r="Q1051">
        <v>0</v>
      </c>
    </row>
    <row r="1052" spans="2:17">
      <c r="B1052">
        <v>4104</v>
      </c>
      <c r="C1052" t="s">
        <v>2358</v>
      </c>
      <c r="D1052" s="3">
        <v>87457</v>
      </c>
      <c r="E1052">
        <v>105</v>
      </c>
      <c r="F1052" s="3">
        <v>5022812</v>
      </c>
      <c r="G1052">
        <v>57.3</v>
      </c>
      <c r="H1052">
        <v>57.5</v>
      </c>
      <c r="I1052">
        <v>57.3</v>
      </c>
      <c r="J1052">
        <v>57.5</v>
      </c>
      <c r="K1052" t="s">
        <v>1362</v>
      </c>
      <c r="L1052">
        <v>0.4</v>
      </c>
      <c r="M1052">
        <v>57.4</v>
      </c>
      <c r="N1052">
        <v>3</v>
      </c>
      <c r="O1052">
        <v>57.5</v>
      </c>
      <c r="P1052">
        <v>13</v>
      </c>
      <c r="Q1052">
        <v>14.06</v>
      </c>
    </row>
    <row r="1053" spans="2:17">
      <c r="B1053">
        <v>4106</v>
      </c>
      <c r="C1053" t="s">
        <v>2359</v>
      </c>
      <c r="D1053" s="3">
        <v>259733</v>
      </c>
      <c r="E1053">
        <v>221</v>
      </c>
      <c r="F1053" s="3">
        <v>7515296</v>
      </c>
      <c r="G1053">
        <v>29.2</v>
      </c>
      <c r="H1053">
        <v>29.2</v>
      </c>
      <c r="I1053">
        <v>28.8</v>
      </c>
      <c r="J1053">
        <v>28.8</v>
      </c>
      <c r="K1053" t="s">
        <v>1</v>
      </c>
      <c r="L1053">
        <v>0.35</v>
      </c>
      <c r="M1053">
        <v>28.8</v>
      </c>
      <c r="N1053">
        <v>34</v>
      </c>
      <c r="O1053">
        <v>28.85</v>
      </c>
      <c r="P1053">
        <v>3</v>
      </c>
      <c r="Q1053">
        <v>26.67</v>
      </c>
    </row>
    <row r="1054" spans="2:17">
      <c r="B1054">
        <v>4108</v>
      </c>
      <c r="C1054" t="s">
        <v>2360</v>
      </c>
      <c r="D1054" s="3">
        <v>246306</v>
      </c>
      <c r="E1054">
        <v>173</v>
      </c>
      <c r="F1054" s="3">
        <v>5661483</v>
      </c>
      <c r="G1054">
        <v>22.9</v>
      </c>
      <c r="H1054">
        <v>23.15</v>
      </c>
      <c r="I1054">
        <v>22.85</v>
      </c>
      <c r="J1054">
        <v>22.85</v>
      </c>
      <c r="K1054" t="s">
        <v>1</v>
      </c>
      <c r="L1054">
        <v>0.05</v>
      </c>
      <c r="M1054">
        <v>22.85</v>
      </c>
      <c r="N1054">
        <v>30</v>
      </c>
      <c r="O1054">
        <v>22.95</v>
      </c>
      <c r="P1054">
        <v>4</v>
      </c>
      <c r="Q1054">
        <v>0</v>
      </c>
    </row>
    <row r="1055" spans="2:17">
      <c r="B1055">
        <v>4119</v>
      </c>
      <c r="C1055" t="s">
        <v>2361</v>
      </c>
      <c r="D1055" s="3">
        <v>350027</v>
      </c>
      <c r="E1055">
        <v>587</v>
      </c>
      <c r="F1055" s="3">
        <v>29277494</v>
      </c>
      <c r="G1055">
        <v>82.8</v>
      </c>
      <c r="H1055">
        <v>84.5</v>
      </c>
      <c r="I1055">
        <v>82.8</v>
      </c>
      <c r="J1055">
        <v>84</v>
      </c>
      <c r="K1055" t="s">
        <v>1362</v>
      </c>
      <c r="L1055">
        <v>0.9</v>
      </c>
      <c r="M1055">
        <v>84</v>
      </c>
      <c r="N1055">
        <v>1</v>
      </c>
      <c r="O1055">
        <v>84.1</v>
      </c>
      <c r="P1055">
        <v>7</v>
      </c>
      <c r="Q1055">
        <v>0</v>
      </c>
    </row>
    <row r="1056" spans="2:17">
      <c r="B1056">
        <v>4133</v>
      </c>
      <c r="C1056" t="s">
        <v>2362</v>
      </c>
      <c r="D1056" s="3">
        <v>323668</v>
      </c>
      <c r="E1056">
        <v>240</v>
      </c>
      <c r="F1056" s="3">
        <v>13352068</v>
      </c>
      <c r="G1056">
        <v>41.25</v>
      </c>
      <c r="H1056">
        <v>41.7</v>
      </c>
      <c r="I1056">
        <v>41</v>
      </c>
      <c r="J1056">
        <v>41.05</v>
      </c>
      <c r="K1056" t="s">
        <v>1</v>
      </c>
      <c r="L1056">
        <v>0.25</v>
      </c>
      <c r="M1056">
        <v>41.05</v>
      </c>
      <c r="N1056">
        <v>31</v>
      </c>
      <c r="O1056">
        <v>41.1</v>
      </c>
      <c r="P1056">
        <v>1</v>
      </c>
      <c r="Q1056">
        <v>63.15</v>
      </c>
    </row>
    <row r="1057" spans="2:17">
      <c r="B1057">
        <v>4137</v>
      </c>
      <c r="C1057" t="s">
        <v>2363</v>
      </c>
      <c r="D1057" s="3">
        <v>216795</v>
      </c>
      <c r="E1057">
        <v>279</v>
      </c>
      <c r="F1057" s="3">
        <v>49909935</v>
      </c>
      <c r="G1057">
        <v>232.5</v>
      </c>
      <c r="H1057">
        <v>234.5</v>
      </c>
      <c r="I1057">
        <v>228.5</v>
      </c>
      <c r="J1057">
        <v>230.5</v>
      </c>
      <c r="K1057" t="s">
        <v>1</v>
      </c>
      <c r="L1057">
        <v>2</v>
      </c>
      <c r="M1057">
        <v>230</v>
      </c>
      <c r="N1057">
        <v>8</v>
      </c>
      <c r="O1057">
        <v>230.5</v>
      </c>
      <c r="P1057">
        <v>2</v>
      </c>
      <c r="Q1057">
        <v>13.69</v>
      </c>
    </row>
    <row r="1058" spans="2:17">
      <c r="B1058">
        <v>4141</v>
      </c>
      <c r="C1058" t="s">
        <v>2364</v>
      </c>
      <c r="D1058" s="3">
        <v>1565880</v>
      </c>
      <c r="E1058">
        <v>632</v>
      </c>
      <c r="F1058" s="3">
        <v>38794851</v>
      </c>
      <c r="G1058">
        <v>24.8</v>
      </c>
      <c r="H1058">
        <v>24.9</v>
      </c>
      <c r="I1058">
        <v>24.7</v>
      </c>
      <c r="J1058">
        <v>24.75</v>
      </c>
      <c r="K1058" t="s">
        <v>1</v>
      </c>
      <c r="L1058">
        <v>0.05</v>
      </c>
      <c r="M1058">
        <v>24.75</v>
      </c>
      <c r="N1058">
        <v>60</v>
      </c>
      <c r="O1058">
        <v>24.8</v>
      </c>
      <c r="P1058">
        <v>58</v>
      </c>
      <c r="Q1058">
        <v>0</v>
      </c>
    </row>
    <row r="1059" spans="2:17">
      <c r="B1059">
        <v>4142</v>
      </c>
      <c r="C1059" t="s">
        <v>2365</v>
      </c>
      <c r="D1059" s="3">
        <v>951018</v>
      </c>
      <c r="E1059">
        <v>613</v>
      </c>
      <c r="F1059" s="3">
        <v>41780575</v>
      </c>
      <c r="G1059">
        <v>44</v>
      </c>
      <c r="H1059">
        <v>44.1</v>
      </c>
      <c r="I1059">
        <v>43.75</v>
      </c>
      <c r="J1059">
        <v>44</v>
      </c>
      <c r="K1059" t="s">
        <v>1328</v>
      </c>
      <c r="L1059">
        <v>0</v>
      </c>
      <c r="M1059">
        <v>43.95</v>
      </c>
      <c r="N1059">
        <v>27</v>
      </c>
      <c r="O1059">
        <v>44</v>
      </c>
      <c r="P1059">
        <v>7</v>
      </c>
      <c r="Q1059">
        <v>19.13</v>
      </c>
    </row>
    <row r="1060" spans="2:17">
      <c r="B1060">
        <v>4148</v>
      </c>
      <c r="C1060" t="s">
        <v>2366</v>
      </c>
      <c r="D1060" s="3">
        <v>12000</v>
      </c>
      <c r="E1060">
        <v>10</v>
      </c>
      <c r="F1060" s="3">
        <v>479900</v>
      </c>
      <c r="G1060">
        <v>39.9</v>
      </c>
      <c r="H1060">
        <v>40.200000000000003</v>
      </c>
      <c r="I1060">
        <v>39.9</v>
      </c>
      <c r="J1060">
        <v>40.200000000000003</v>
      </c>
      <c r="K1060" t="s">
        <v>1362</v>
      </c>
      <c r="L1060">
        <v>0.7</v>
      </c>
      <c r="M1060">
        <v>40.200000000000003</v>
      </c>
      <c r="N1060">
        <v>3</v>
      </c>
      <c r="O1060">
        <v>40.4</v>
      </c>
      <c r="P1060">
        <v>3</v>
      </c>
      <c r="Q1060">
        <v>16.75</v>
      </c>
    </row>
    <row r="1061" spans="2:17">
      <c r="B1061">
        <v>4155</v>
      </c>
      <c r="C1061" t="s">
        <v>2367</v>
      </c>
      <c r="D1061" s="3">
        <v>75844</v>
      </c>
      <c r="E1061">
        <v>62</v>
      </c>
      <c r="F1061" s="3">
        <v>1762794</v>
      </c>
      <c r="G1061">
        <v>23.3</v>
      </c>
      <c r="H1061">
        <v>23.3</v>
      </c>
      <c r="I1061">
        <v>23.2</v>
      </c>
      <c r="J1061">
        <v>23.25</v>
      </c>
      <c r="K1061" t="s">
        <v>1</v>
      </c>
      <c r="L1061">
        <v>0.05</v>
      </c>
      <c r="M1061">
        <v>23.25</v>
      </c>
      <c r="N1061">
        <v>2</v>
      </c>
      <c r="O1061">
        <v>23.3</v>
      </c>
      <c r="P1061">
        <v>21</v>
      </c>
      <c r="Q1061">
        <v>27.35</v>
      </c>
    </row>
    <row r="1062" spans="2:17">
      <c r="B1062">
        <v>4164</v>
      </c>
      <c r="C1062" t="s">
        <v>2368</v>
      </c>
      <c r="D1062" s="3">
        <v>115436</v>
      </c>
      <c r="E1062">
        <v>105</v>
      </c>
      <c r="F1062" s="3">
        <v>4378167</v>
      </c>
      <c r="G1062">
        <v>38</v>
      </c>
      <c r="H1062">
        <v>38.049999999999997</v>
      </c>
      <c r="I1062">
        <v>37.799999999999997</v>
      </c>
      <c r="J1062">
        <v>37.9</v>
      </c>
      <c r="K1062" t="s">
        <v>1328</v>
      </c>
      <c r="L1062">
        <v>0</v>
      </c>
      <c r="M1062">
        <v>37.9</v>
      </c>
      <c r="N1062">
        <v>1</v>
      </c>
      <c r="O1062">
        <v>38</v>
      </c>
      <c r="P1062">
        <v>4</v>
      </c>
      <c r="Q1062">
        <v>20.16</v>
      </c>
    </row>
    <row r="1063" spans="2:17">
      <c r="B1063">
        <v>4190</v>
      </c>
      <c r="C1063" t="s">
        <v>2369</v>
      </c>
      <c r="D1063" s="3">
        <v>53515</v>
      </c>
      <c r="E1063">
        <v>51</v>
      </c>
      <c r="F1063" s="3">
        <v>3850464</v>
      </c>
      <c r="G1063">
        <v>72.099999999999994</v>
      </c>
      <c r="H1063">
        <v>72.2</v>
      </c>
      <c r="I1063">
        <v>71.599999999999994</v>
      </c>
      <c r="J1063">
        <v>72</v>
      </c>
      <c r="K1063" t="s">
        <v>1</v>
      </c>
      <c r="L1063">
        <v>0.3</v>
      </c>
      <c r="M1063">
        <v>72</v>
      </c>
      <c r="N1063">
        <v>4</v>
      </c>
      <c r="O1063">
        <v>72.2</v>
      </c>
      <c r="P1063">
        <v>5</v>
      </c>
      <c r="Q1063">
        <v>13.11</v>
      </c>
    </row>
    <row r="1064" spans="2:17">
      <c r="B1064">
        <v>4306</v>
      </c>
      <c r="C1064" t="s">
        <v>2370</v>
      </c>
      <c r="D1064" s="3">
        <v>1169758</v>
      </c>
      <c r="E1064">
        <v>552</v>
      </c>
      <c r="F1064" s="3">
        <v>18054444</v>
      </c>
      <c r="G1064">
        <v>15.6</v>
      </c>
      <c r="H1064">
        <v>15.6</v>
      </c>
      <c r="I1064">
        <v>15.35</v>
      </c>
      <c r="J1064">
        <v>15.4</v>
      </c>
      <c r="K1064" t="s">
        <v>1</v>
      </c>
      <c r="L1064">
        <v>0.05</v>
      </c>
      <c r="M1064">
        <v>15.4</v>
      </c>
      <c r="N1064">
        <v>9</v>
      </c>
      <c r="O1064">
        <v>15.45</v>
      </c>
      <c r="P1064">
        <v>54</v>
      </c>
      <c r="Q1064">
        <v>27.5</v>
      </c>
    </row>
    <row r="1065" spans="2:17">
      <c r="B1065">
        <v>4414</v>
      </c>
      <c r="C1065" t="s">
        <v>2371</v>
      </c>
      <c r="D1065" s="3">
        <v>2885175</v>
      </c>
      <c r="E1065">
        <v>799</v>
      </c>
      <c r="F1065" s="3">
        <v>20322191</v>
      </c>
      <c r="G1065">
        <v>7.16</v>
      </c>
      <c r="H1065">
        <v>7.16</v>
      </c>
      <c r="I1065">
        <v>7</v>
      </c>
      <c r="J1065">
        <v>7.01</v>
      </c>
      <c r="K1065" t="s">
        <v>1</v>
      </c>
      <c r="L1065">
        <v>0.09</v>
      </c>
      <c r="M1065">
        <v>7</v>
      </c>
      <c r="N1065">
        <v>255</v>
      </c>
      <c r="O1065">
        <v>7.01</v>
      </c>
      <c r="P1065">
        <v>9</v>
      </c>
      <c r="Q1065">
        <v>0</v>
      </c>
    </row>
    <row r="1066" spans="2:17">
      <c r="B1066">
        <v>4426</v>
      </c>
      <c r="C1066" t="s">
        <v>2372</v>
      </c>
      <c r="D1066" s="3">
        <v>566385</v>
      </c>
      <c r="E1066">
        <v>356</v>
      </c>
      <c r="F1066" s="3">
        <v>13031120</v>
      </c>
      <c r="G1066">
        <v>23.5</v>
      </c>
      <c r="H1066">
        <v>23.5</v>
      </c>
      <c r="I1066">
        <v>22.7</v>
      </c>
      <c r="J1066">
        <v>22.7</v>
      </c>
      <c r="K1066" t="s">
        <v>1</v>
      </c>
      <c r="L1066">
        <v>0.8</v>
      </c>
      <c r="M1066">
        <v>22.7</v>
      </c>
      <c r="N1066">
        <v>12</v>
      </c>
      <c r="O1066">
        <v>23.05</v>
      </c>
      <c r="P1066">
        <v>3</v>
      </c>
      <c r="Q1066">
        <v>0</v>
      </c>
    </row>
    <row r="1067" spans="2:17">
      <c r="B1067">
        <v>4438</v>
      </c>
      <c r="C1067" t="s">
        <v>2373</v>
      </c>
      <c r="D1067" s="3">
        <v>134847</v>
      </c>
      <c r="E1067">
        <v>141</v>
      </c>
      <c r="F1067" s="3">
        <v>17349792</v>
      </c>
      <c r="G1067">
        <v>130</v>
      </c>
      <c r="H1067">
        <v>131</v>
      </c>
      <c r="I1067">
        <v>128</v>
      </c>
      <c r="J1067">
        <v>128</v>
      </c>
      <c r="K1067" t="s">
        <v>1</v>
      </c>
      <c r="L1067">
        <v>2</v>
      </c>
      <c r="M1067">
        <v>127.5</v>
      </c>
      <c r="N1067">
        <v>10</v>
      </c>
      <c r="O1067">
        <v>128</v>
      </c>
      <c r="P1067">
        <v>1</v>
      </c>
      <c r="Q1067">
        <v>23.36</v>
      </c>
    </row>
    <row r="1068" spans="2:17">
      <c r="B1068">
        <v>4439</v>
      </c>
      <c r="C1068" t="s">
        <v>2374</v>
      </c>
      <c r="D1068" s="3">
        <v>9000</v>
      </c>
      <c r="E1068">
        <v>9</v>
      </c>
      <c r="F1068" s="3">
        <v>1232000</v>
      </c>
      <c r="G1068">
        <v>136.5</v>
      </c>
      <c r="H1068">
        <v>137.5</v>
      </c>
      <c r="I1068">
        <v>136.5</v>
      </c>
      <c r="J1068">
        <v>137</v>
      </c>
      <c r="K1068" t="s">
        <v>1362</v>
      </c>
      <c r="L1068">
        <v>1.5</v>
      </c>
      <c r="M1068">
        <v>136.5</v>
      </c>
      <c r="N1068">
        <v>3</v>
      </c>
      <c r="O1068">
        <v>137.5</v>
      </c>
      <c r="P1068">
        <v>3</v>
      </c>
      <c r="Q1068">
        <v>11.33</v>
      </c>
    </row>
    <row r="1069" spans="2:17">
      <c r="B1069">
        <v>4440</v>
      </c>
      <c r="C1069" t="s">
        <v>199</v>
      </c>
      <c r="D1069" s="3">
        <v>164080</v>
      </c>
      <c r="E1069">
        <v>77</v>
      </c>
      <c r="F1069" s="3">
        <v>7724833</v>
      </c>
      <c r="G1069">
        <v>47.2</v>
      </c>
      <c r="H1069">
        <v>47.4</v>
      </c>
      <c r="I1069">
        <v>47</v>
      </c>
      <c r="J1069">
        <v>47.1</v>
      </c>
      <c r="K1069" t="s">
        <v>1362</v>
      </c>
      <c r="L1069">
        <v>0.1</v>
      </c>
      <c r="M1069">
        <v>47.1</v>
      </c>
      <c r="N1069">
        <v>7</v>
      </c>
      <c r="O1069">
        <v>47.15</v>
      </c>
      <c r="P1069">
        <v>1</v>
      </c>
      <c r="Q1069">
        <v>11.66</v>
      </c>
    </row>
    <row r="1070" spans="2:17">
      <c r="B1070">
        <v>4526</v>
      </c>
      <c r="C1070" t="s">
        <v>2375</v>
      </c>
      <c r="D1070" s="3">
        <v>180571</v>
      </c>
      <c r="E1070">
        <v>209</v>
      </c>
      <c r="F1070" s="3">
        <v>3143877</v>
      </c>
      <c r="G1070">
        <v>17.45</v>
      </c>
      <c r="H1070">
        <v>17.600000000000001</v>
      </c>
      <c r="I1070">
        <v>17.350000000000001</v>
      </c>
      <c r="J1070">
        <v>17.350000000000001</v>
      </c>
      <c r="K1070" t="s">
        <v>1</v>
      </c>
      <c r="L1070">
        <v>0.1</v>
      </c>
      <c r="M1070">
        <v>17.350000000000001</v>
      </c>
      <c r="N1070">
        <v>32</v>
      </c>
      <c r="O1070">
        <v>17.399999999999999</v>
      </c>
      <c r="P1070">
        <v>33</v>
      </c>
      <c r="Q1070">
        <v>0</v>
      </c>
    </row>
    <row r="1071" spans="2:17">
      <c r="B1071">
        <v>4532</v>
      </c>
      <c r="C1071" t="s">
        <v>2376</v>
      </c>
      <c r="D1071" s="3">
        <v>772479</v>
      </c>
      <c r="E1071">
        <v>316</v>
      </c>
      <c r="F1071" s="3">
        <v>14785241</v>
      </c>
      <c r="G1071">
        <v>19.100000000000001</v>
      </c>
      <c r="H1071">
        <v>19.25</v>
      </c>
      <c r="I1071">
        <v>19.100000000000001</v>
      </c>
      <c r="J1071">
        <v>19.149999999999999</v>
      </c>
      <c r="K1071" t="s">
        <v>1362</v>
      </c>
      <c r="L1071">
        <v>0.05</v>
      </c>
      <c r="M1071">
        <v>19.149999999999999</v>
      </c>
      <c r="N1071">
        <v>10</v>
      </c>
      <c r="O1071">
        <v>19.2</v>
      </c>
      <c r="P1071">
        <v>102</v>
      </c>
      <c r="Q1071">
        <v>14.4</v>
      </c>
    </row>
    <row r="1072" spans="2:17">
      <c r="B1072">
        <v>4536</v>
      </c>
      <c r="C1072" t="s">
        <v>2377</v>
      </c>
      <c r="D1072" s="3">
        <v>494906</v>
      </c>
      <c r="E1072">
        <v>651</v>
      </c>
      <c r="F1072" s="3">
        <v>72565612</v>
      </c>
      <c r="G1072">
        <v>141.5</v>
      </c>
      <c r="H1072">
        <v>150</v>
      </c>
      <c r="I1072">
        <v>141</v>
      </c>
      <c r="J1072">
        <v>149</v>
      </c>
      <c r="K1072" t="s">
        <v>1362</v>
      </c>
      <c r="L1072">
        <v>8.5</v>
      </c>
      <c r="M1072">
        <v>148.5</v>
      </c>
      <c r="N1072">
        <v>6</v>
      </c>
      <c r="O1072">
        <v>149</v>
      </c>
      <c r="P1072">
        <v>2</v>
      </c>
      <c r="Q1072">
        <v>17.91</v>
      </c>
    </row>
    <row r="1073" spans="2:17">
      <c r="B1073">
        <v>4540</v>
      </c>
      <c r="C1073" t="s">
        <v>2378</v>
      </c>
      <c r="D1073" s="3">
        <v>121001</v>
      </c>
      <c r="E1073">
        <v>103</v>
      </c>
      <c r="F1073" s="3">
        <v>5865648</v>
      </c>
      <c r="G1073">
        <v>48</v>
      </c>
      <c r="H1073">
        <v>48.75</v>
      </c>
      <c r="I1073">
        <v>48</v>
      </c>
      <c r="J1073">
        <v>48.6</v>
      </c>
      <c r="K1073" t="s">
        <v>1362</v>
      </c>
      <c r="L1073">
        <v>0.6</v>
      </c>
      <c r="M1073">
        <v>48.6</v>
      </c>
      <c r="N1073">
        <v>6</v>
      </c>
      <c r="O1073">
        <v>48.65</v>
      </c>
      <c r="P1073">
        <v>4</v>
      </c>
      <c r="Q1073">
        <v>19.600000000000001</v>
      </c>
    </row>
    <row r="1074" spans="2:17">
      <c r="B1074">
        <v>4545</v>
      </c>
      <c r="C1074" t="s">
        <v>2379</v>
      </c>
      <c r="D1074" s="3">
        <v>24082</v>
      </c>
      <c r="E1074">
        <v>22</v>
      </c>
      <c r="F1074" s="3">
        <v>703706</v>
      </c>
      <c r="G1074">
        <v>28.75</v>
      </c>
      <c r="H1074">
        <v>29.55</v>
      </c>
      <c r="I1074">
        <v>28.75</v>
      </c>
      <c r="J1074">
        <v>29.35</v>
      </c>
      <c r="K1074" t="s">
        <v>1</v>
      </c>
      <c r="L1074">
        <v>0.1</v>
      </c>
      <c r="M1074">
        <v>29.25</v>
      </c>
      <c r="N1074">
        <v>1</v>
      </c>
      <c r="O1074">
        <v>29.3</v>
      </c>
      <c r="P1074">
        <v>1</v>
      </c>
      <c r="Q1074">
        <v>26.44</v>
      </c>
    </row>
    <row r="1075" spans="2:17">
      <c r="B1075">
        <v>4551</v>
      </c>
      <c r="C1075" t="s">
        <v>2380</v>
      </c>
      <c r="D1075" s="3">
        <v>56704</v>
      </c>
      <c r="E1075">
        <v>661</v>
      </c>
      <c r="F1075" s="3">
        <v>10113487</v>
      </c>
      <c r="G1075">
        <v>179.5</v>
      </c>
      <c r="H1075">
        <v>180</v>
      </c>
      <c r="I1075">
        <v>177.5</v>
      </c>
      <c r="J1075">
        <v>178.5</v>
      </c>
      <c r="K1075" t="s">
        <v>1</v>
      </c>
      <c r="L1075">
        <v>0.5</v>
      </c>
      <c r="M1075">
        <v>178</v>
      </c>
      <c r="N1075">
        <v>5</v>
      </c>
      <c r="O1075">
        <v>178.5</v>
      </c>
      <c r="P1075">
        <v>1</v>
      </c>
      <c r="Q1075">
        <v>17.03</v>
      </c>
    </row>
    <row r="1076" spans="2:17">
      <c r="B1076">
        <v>4552</v>
      </c>
      <c r="C1076" t="s">
        <v>2381</v>
      </c>
      <c r="D1076" s="3">
        <v>35730</v>
      </c>
      <c r="E1076">
        <v>38</v>
      </c>
      <c r="F1076" s="3">
        <v>1138319</v>
      </c>
      <c r="G1076">
        <v>31.85</v>
      </c>
      <c r="H1076">
        <v>31.9</v>
      </c>
      <c r="I1076">
        <v>31.85</v>
      </c>
      <c r="J1076">
        <v>31.85</v>
      </c>
      <c r="K1076" t="s">
        <v>1328</v>
      </c>
      <c r="L1076">
        <v>0</v>
      </c>
      <c r="M1076">
        <v>31.85</v>
      </c>
      <c r="N1076">
        <v>6</v>
      </c>
      <c r="O1076">
        <v>31.9</v>
      </c>
      <c r="P1076">
        <v>1</v>
      </c>
      <c r="Q1076">
        <v>11.21</v>
      </c>
    </row>
    <row r="1077" spans="2:17">
      <c r="B1077">
        <v>4555</v>
      </c>
      <c r="C1077" t="s">
        <v>2382</v>
      </c>
      <c r="D1077" s="3">
        <v>74150</v>
      </c>
      <c r="E1077">
        <v>43</v>
      </c>
      <c r="F1077" s="3">
        <v>3807324</v>
      </c>
      <c r="G1077">
        <v>51.6</v>
      </c>
      <c r="H1077">
        <v>51.6</v>
      </c>
      <c r="I1077">
        <v>51.1</v>
      </c>
      <c r="J1077">
        <v>51.2</v>
      </c>
      <c r="K1077" t="s">
        <v>1</v>
      </c>
      <c r="L1077">
        <v>0.5</v>
      </c>
      <c r="M1077">
        <v>51.2</v>
      </c>
      <c r="N1077">
        <v>5</v>
      </c>
      <c r="O1077">
        <v>51.4</v>
      </c>
      <c r="P1077">
        <v>2</v>
      </c>
      <c r="Q1077">
        <v>15.28</v>
      </c>
    </row>
    <row r="1078" spans="2:17">
      <c r="B1078">
        <v>4557</v>
      </c>
      <c r="C1078" t="s">
        <v>2383</v>
      </c>
      <c r="D1078" s="3">
        <v>41290</v>
      </c>
      <c r="E1078">
        <v>51</v>
      </c>
      <c r="F1078" s="3">
        <v>3111954</v>
      </c>
      <c r="G1078">
        <v>75.099999999999994</v>
      </c>
      <c r="H1078">
        <v>75.8</v>
      </c>
      <c r="I1078">
        <v>75.099999999999994</v>
      </c>
      <c r="J1078">
        <v>75.099999999999994</v>
      </c>
      <c r="K1078" t="s">
        <v>1362</v>
      </c>
      <c r="L1078">
        <v>0.1</v>
      </c>
      <c r="M1078">
        <v>75.099999999999994</v>
      </c>
      <c r="N1078">
        <v>7</v>
      </c>
      <c r="O1078">
        <v>75.3</v>
      </c>
      <c r="P1078">
        <v>1</v>
      </c>
      <c r="Q1078">
        <v>19.510000000000002</v>
      </c>
    </row>
    <row r="1079" spans="2:17">
      <c r="B1079">
        <v>4560</v>
      </c>
      <c r="C1079" t="s">
        <v>2384</v>
      </c>
      <c r="D1079" s="3">
        <v>72005</v>
      </c>
      <c r="E1079">
        <v>34</v>
      </c>
      <c r="F1079" s="3">
        <v>3007609</v>
      </c>
      <c r="G1079">
        <v>41.9</v>
      </c>
      <c r="H1079">
        <v>41.9</v>
      </c>
      <c r="I1079">
        <v>41.6</v>
      </c>
      <c r="J1079">
        <v>41.8</v>
      </c>
      <c r="K1079" t="s">
        <v>1</v>
      </c>
      <c r="L1079">
        <v>0.05</v>
      </c>
      <c r="M1079">
        <v>41.8</v>
      </c>
      <c r="N1079">
        <v>2</v>
      </c>
      <c r="O1079">
        <v>41.85</v>
      </c>
      <c r="P1079">
        <v>9</v>
      </c>
      <c r="Q1079">
        <v>17.489999999999998</v>
      </c>
    </row>
    <row r="1080" spans="2:17">
      <c r="B1080">
        <v>4562</v>
      </c>
      <c r="C1080" t="s">
        <v>2385</v>
      </c>
      <c r="D1080" s="3">
        <v>191958</v>
      </c>
      <c r="E1080">
        <v>113</v>
      </c>
      <c r="F1080" s="3">
        <v>3159722</v>
      </c>
      <c r="G1080">
        <v>16.600000000000001</v>
      </c>
      <c r="H1080">
        <v>16.600000000000001</v>
      </c>
      <c r="I1080">
        <v>16.350000000000001</v>
      </c>
      <c r="J1080">
        <v>16.45</v>
      </c>
      <c r="K1080" t="s">
        <v>1</v>
      </c>
      <c r="L1080">
        <v>0.25</v>
      </c>
      <c r="M1080">
        <v>16.399999999999999</v>
      </c>
      <c r="N1080">
        <v>20</v>
      </c>
      <c r="O1080">
        <v>16.45</v>
      </c>
      <c r="P1080">
        <v>3</v>
      </c>
      <c r="Q1080">
        <v>0</v>
      </c>
    </row>
    <row r="1081" spans="2:17">
      <c r="B1081">
        <v>4564</v>
      </c>
      <c r="C1081" t="s">
        <v>2386</v>
      </c>
      <c r="D1081" s="3">
        <v>433958</v>
      </c>
      <c r="E1081">
        <v>226</v>
      </c>
      <c r="F1081" s="3">
        <v>17922179</v>
      </c>
      <c r="G1081">
        <v>41.5</v>
      </c>
      <c r="H1081">
        <v>41.75</v>
      </c>
      <c r="I1081">
        <v>41.05</v>
      </c>
      <c r="J1081">
        <v>41.45</v>
      </c>
      <c r="K1081" t="s">
        <v>1362</v>
      </c>
      <c r="L1081">
        <v>0.05</v>
      </c>
      <c r="M1081">
        <v>41.45</v>
      </c>
      <c r="N1081">
        <v>17</v>
      </c>
      <c r="O1081">
        <v>41.5</v>
      </c>
      <c r="P1081">
        <v>8</v>
      </c>
      <c r="Q1081">
        <v>21.37</v>
      </c>
    </row>
    <row r="1082" spans="2:17">
      <c r="B1082">
        <v>4566</v>
      </c>
      <c r="C1082" t="s">
        <v>2387</v>
      </c>
      <c r="D1082" s="3">
        <v>139298</v>
      </c>
      <c r="E1082">
        <v>151</v>
      </c>
      <c r="F1082" s="3">
        <v>6702728</v>
      </c>
      <c r="G1082">
        <v>48.7</v>
      </c>
      <c r="H1082">
        <v>48.7</v>
      </c>
      <c r="I1082">
        <v>47.8</v>
      </c>
      <c r="J1082">
        <v>47.8</v>
      </c>
      <c r="K1082" t="s">
        <v>1</v>
      </c>
      <c r="L1082">
        <v>0.95</v>
      </c>
      <c r="M1082">
        <v>47.8</v>
      </c>
      <c r="N1082">
        <v>9</v>
      </c>
      <c r="O1082">
        <v>47.9</v>
      </c>
      <c r="P1082">
        <v>3</v>
      </c>
      <c r="Q1082">
        <v>19.12</v>
      </c>
    </row>
    <row r="1083" spans="2:17">
      <c r="B1083">
        <v>4571</v>
      </c>
      <c r="C1083" t="s">
        <v>2388</v>
      </c>
      <c r="D1083" s="3">
        <v>54159</v>
      </c>
      <c r="E1083">
        <v>38</v>
      </c>
      <c r="F1083" s="3">
        <v>5415900</v>
      </c>
      <c r="G1083">
        <v>100</v>
      </c>
      <c r="H1083">
        <v>100</v>
      </c>
      <c r="I1083">
        <v>100</v>
      </c>
      <c r="J1083">
        <v>100</v>
      </c>
      <c r="K1083" t="s">
        <v>1328</v>
      </c>
      <c r="L1083">
        <v>0</v>
      </c>
      <c r="M1083">
        <v>99.9</v>
      </c>
      <c r="N1083">
        <v>4</v>
      </c>
      <c r="O1083">
        <v>100</v>
      </c>
      <c r="P1083">
        <v>1</v>
      </c>
      <c r="Q1083">
        <v>11.15</v>
      </c>
    </row>
    <row r="1084" spans="2:17">
      <c r="B1084">
        <v>4572</v>
      </c>
      <c r="C1084" t="s">
        <v>2389</v>
      </c>
      <c r="D1084" s="3">
        <v>16306</v>
      </c>
      <c r="E1084">
        <v>22</v>
      </c>
      <c r="F1084" s="3">
        <v>1604874</v>
      </c>
      <c r="G1084">
        <v>98.5</v>
      </c>
      <c r="H1084">
        <v>99.5</v>
      </c>
      <c r="I1084">
        <v>98.2</v>
      </c>
      <c r="J1084">
        <v>98.4</v>
      </c>
      <c r="K1084" t="s">
        <v>1</v>
      </c>
      <c r="L1084">
        <v>0.1</v>
      </c>
      <c r="M1084">
        <v>98.3</v>
      </c>
      <c r="N1084">
        <v>1</v>
      </c>
      <c r="O1084">
        <v>98.6</v>
      </c>
      <c r="P1084">
        <v>1</v>
      </c>
      <c r="Q1084">
        <v>87.86</v>
      </c>
    </row>
    <row r="1085" spans="2:17">
      <c r="B1085">
        <v>4576</v>
      </c>
      <c r="C1085" t="s">
        <v>2390</v>
      </c>
      <c r="D1085" s="3">
        <v>275826</v>
      </c>
      <c r="E1085">
        <v>308</v>
      </c>
      <c r="F1085" s="3">
        <v>31382668</v>
      </c>
      <c r="G1085">
        <v>112</v>
      </c>
      <c r="H1085">
        <v>115</v>
      </c>
      <c r="I1085">
        <v>112</v>
      </c>
      <c r="J1085">
        <v>113</v>
      </c>
      <c r="K1085" t="s">
        <v>1362</v>
      </c>
      <c r="L1085">
        <v>1.5</v>
      </c>
      <c r="M1085">
        <v>113</v>
      </c>
      <c r="N1085">
        <v>7</v>
      </c>
      <c r="O1085">
        <v>114</v>
      </c>
      <c r="P1085">
        <v>28</v>
      </c>
      <c r="Q1085">
        <v>48.92</v>
      </c>
    </row>
    <row r="1086" spans="2:17">
      <c r="B1086">
        <v>4581</v>
      </c>
      <c r="C1086" t="s">
        <v>2391</v>
      </c>
      <c r="D1086" s="3">
        <v>4000</v>
      </c>
      <c r="E1086">
        <v>4</v>
      </c>
      <c r="F1086" s="3">
        <v>140500</v>
      </c>
      <c r="G1086">
        <v>35.1</v>
      </c>
      <c r="H1086">
        <v>35.15</v>
      </c>
      <c r="I1086">
        <v>35.1</v>
      </c>
      <c r="J1086">
        <v>35.1</v>
      </c>
      <c r="K1086" t="s">
        <v>1</v>
      </c>
      <c r="L1086">
        <v>0.4</v>
      </c>
      <c r="M1086">
        <v>35.1</v>
      </c>
      <c r="N1086">
        <v>1</v>
      </c>
      <c r="O1086">
        <v>35.5</v>
      </c>
      <c r="P1086">
        <v>1</v>
      </c>
      <c r="Q1086">
        <v>17.21</v>
      </c>
    </row>
    <row r="1087" spans="2:17">
      <c r="B1087">
        <v>4720</v>
      </c>
      <c r="C1087" t="s">
        <v>2392</v>
      </c>
      <c r="D1087" s="3">
        <v>149612</v>
      </c>
      <c r="E1087">
        <v>161</v>
      </c>
      <c r="F1087" s="3">
        <v>2282141</v>
      </c>
      <c r="G1087">
        <v>15.25</v>
      </c>
      <c r="H1087">
        <v>15.35</v>
      </c>
      <c r="I1087">
        <v>15.2</v>
      </c>
      <c r="J1087">
        <v>15.3</v>
      </c>
      <c r="K1087" t="s">
        <v>1362</v>
      </c>
      <c r="L1087">
        <v>0.05</v>
      </c>
      <c r="M1087">
        <v>15.25</v>
      </c>
      <c r="N1087">
        <v>4</v>
      </c>
      <c r="O1087">
        <v>15.3</v>
      </c>
      <c r="P1087">
        <v>27</v>
      </c>
      <c r="Q1087">
        <v>34</v>
      </c>
    </row>
    <row r="1088" spans="2:17">
      <c r="B1088">
        <v>4722</v>
      </c>
      <c r="C1088" t="s">
        <v>2393</v>
      </c>
      <c r="D1088" s="3">
        <v>321085</v>
      </c>
      <c r="E1088">
        <v>207</v>
      </c>
      <c r="F1088" s="3">
        <v>13857258</v>
      </c>
      <c r="G1088">
        <v>43.7</v>
      </c>
      <c r="H1088">
        <v>43.7</v>
      </c>
      <c r="I1088">
        <v>42.95</v>
      </c>
      <c r="J1088">
        <v>43.4</v>
      </c>
      <c r="K1088" t="s">
        <v>1</v>
      </c>
      <c r="L1088">
        <v>0.05</v>
      </c>
      <c r="M1088">
        <v>43.2</v>
      </c>
      <c r="N1088">
        <v>3</v>
      </c>
      <c r="O1088">
        <v>43.4</v>
      </c>
      <c r="P1088">
        <v>1</v>
      </c>
      <c r="Q1088">
        <v>11.42</v>
      </c>
    </row>
    <row r="1089" spans="2:17">
      <c r="B1089">
        <v>4737</v>
      </c>
      <c r="C1089" t="s">
        <v>2394</v>
      </c>
      <c r="D1089" s="3">
        <v>57199</v>
      </c>
      <c r="E1089">
        <v>53</v>
      </c>
      <c r="F1089" s="3">
        <v>4313805</v>
      </c>
      <c r="G1089">
        <v>75.900000000000006</v>
      </c>
      <c r="H1089">
        <v>75.900000000000006</v>
      </c>
      <c r="I1089">
        <v>74.400000000000006</v>
      </c>
      <c r="J1089">
        <v>74.7</v>
      </c>
      <c r="K1089" t="s">
        <v>1</v>
      </c>
      <c r="L1089">
        <v>1.2</v>
      </c>
      <c r="M1089">
        <v>74.7</v>
      </c>
      <c r="N1089">
        <v>2</v>
      </c>
      <c r="O1089">
        <v>75</v>
      </c>
      <c r="P1089">
        <v>2</v>
      </c>
      <c r="Q1089">
        <v>44.73</v>
      </c>
    </row>
    <row r="1090" spans="2:17">
      <c r="B1090">
        <v>4739</v>
      </c>
      <c r="C1090" t="s">
        <v>2395</v>
      </c>
      <c r="D1090" s="3">
        <v>1546163</v>
      </c>
      <c r="E1090" s="3">
        <v>1534</v>
      </c>
      <c r="F1090" s="3">
        <v>224229581</v>
      </c>
      <c r="G1090">
        <v>146</v>
      </c>
      <c r="H1090">
        <v>146.5</v>
      </c>
      <c r="I1090">
        <v>144</v>
      </c>
      <c r="J1090">
        <v>144.5</v>
      </c>
      <c r="K1090" t="s">
        <v>1</v>
      </c>
      <c r="L1090">
        <v>0.5</v>
      </c>
      <c r="M1090">
        <v>144</v>
      </c>
      <c r="N1090">
        <v>22</v>
      </c>
      <c r="O1090">
        <v>144.5</v>
      </c>
      <c r="P1090">
        <v>25</v>
      </c>
      <c r="Q1090">
        <v>33.92</v>
      </c>
    </row>
    <row r="1091" spans="2:17">
      <c r="B1091">
        <v>4746</v>
      </c>
      <c r="C1091" t="s">
        <v>2396</v>
      </c>
      <c r="D1091" s="3">
        <v>1766688</v>
      </c>
      <c r="E1091" s="3">
        <v>1227</v>
      </c>
      <c r="F1091" s="3">
        <v>107319505</v>
      </c>
      <c r="G1091">
        <v>61.2</v>
      </c>
      <c r="H1091">
        <v>61.6</v>
      </c>
      <c r="I1091">
        <v>60.2</v>
      </c>
      <c r="J1091">
        <v>61</v>
      </c>
      <c r="K1091" t="s">
        <v>1</v>
      </c>
      <c r="L1091">
        <v>0.2</v>
      </c>
      <c r="M1091">
        <v>60.9</v>
      </c>
      <c r="N1091">
        <v>5</v>
      </c>
      <c r="O1091">
        <v>61</v>
      </c>
      <c r="P1091">
        <v>6</v>
      </c>
      <c r="Q1091">
        <v>5.67</v>
      </c>
    </row>
    <row r="1092" spans="2:17">
      <c r="B1092">
        <v>4755</v>
      </c>
      <c r="C1092" t="s">
        <v>12</v>
      </c>
      <c r="D1092" s="3">
        <v>7036507</v>
      </c>
      <c r="E1092" s="3">
        <v>3896</v>
      </c>
      <c r="F1092" s="3">
        <v>1106413543</v>
      </c>
      <c r="G1092">
        <v>151.5</v>
      </c>
      <c r="H1092">
        <v>162</v>
      </c>
      <c r="I1092">
        <v>150.5</v>
      </c>
      <c r="J1092">
        <v>162</v>
      </c>
      <c r="K1092" t="s">
        <v>1362</v>
      </c>
      <c r="L1092">
        <v>14.5</v>
      </c>
      <c r="M1092">
        <v>162</v>
      </c>
      <c r="N1092" s="3">
        <v>10431</v>
      </c>
      <c r="O1092" t="s">
        <v>1391</v>
      </c>
      <c r="P1092">
        <v>0</v>
      </c>
      <c r="Q1092">
        <v>34.99</v>
      </c>
    </row>
    <row r="1093" spans="2:17">
      <c r="B1093">
        <v>4763</v>
      </c>
      <c r="C1093" t="s">
        <v>2397</v>
      </c>
      <c r="D1093" s="3">
        <v>92425</v>
      </c>
      <c r="E1093">
        <v>93</v>
      </c>
      <c r="F1093" s="3">
        <v>9549690</v>
      </c>
      <c r="G1093">
        <v>102.5</v>
      </c>
      <c r="H1093">
        <v>104</v>
      </c>
      <c r="I1093">
        <v>102.5</v>
      </c>
      <c r="J1093">
        <v>104</v>
      </c>
      <c r="K1093" t="s">
        <v>1362</v>
      </c>
      <c r="L1093">
        <v>1.5</v>
      </c>
      <c r="M1093">
        <v>103.5</v>
      </c>
      <c r="N1093">
        <v>6</v>
      </c>
      <c r="O1093">
        <v>104</v>
      </c>
      <c r="P1093">
        <v>16</v>
      </c>
      <c r="Q1093">
        <v>12.04</v>
      </c>
    </row>
    <row r="1094" spans="2:17">
      <c r="B1094">
        <v>4764</v>
      </c>
      <c r="C1094" t="s">
        <v>2398</v>
      </c>
      <c r="D1094" s="3">
        <v>15033</v>
      </c>
      <c r="E1094">
        <v>8</v>
      </c>
      <c r="F1094" s="3">
        <v>893849</v>
      </c>
      <c r="G1094">
        <v>59.1</v>
      </c>
      <c r="H1094">
        <v>59.8</v>
      </c>
      <c r="I1094">
        <v>59.1</v>
      </c>
      <c r="J1094">
        <v>59.6</v>
      </c>
      <c r="K1094" t="s">
        <v>1362</v>
      </c>
      <c r="L1094">
        <v>0.6</v>
      </c>
      <c r="M1094">
        <v>59</v>
      </c>
      <c r="N1094">
        <v>5</v>
      </c>
      <c r="O1094">
        <v>59.5</v>
      </c>
      <c r="P1094">
        <v>1</v>
      </c>
      <c r="Q1094">
        <v>43.82</v>
      </c>
    </row>
    <row r="1095" spans="2:17">
      <c r="B1095">
        <v>4766</v>
      </c>
      <c r="C1095" t="s">
        <v>2399</v>
      </c>
      <c r="D1095" s="3">
        <v>27106</v>
      </c>
      <c r="E1095">
        <v>30</v>
      </c>
      <c r="F1095" s="3">
        <v>3794389</v>
      </c>
      <c r="G1095">
        <v>141.5</v>
      </c>
      <c r="H1095">
        <v>141.5</v>
      </c>
      <c r="I1095">
        <v>139</v>
      </c>
      <c r="J1095">
        <v>139.5</v>
      </c>
      <c r="K1095" t="s">
        <v>1</v>
      </c>
      <c r="L1095">
        <v>1.5</v>
      </c>
      <c r="M1095">
        <v>139.5</v>
      </c>
      <c r="N1095">
        <v>2</v>
      </c>
      <c r="O1095">
        <v>140</v>
      </c>
      <c r="P1095">
        <v>2</v>
      </c>
      <c r="Q1095">
        <v>15.53</v>
      </c>
    </row>
    <row r="1096" spans="2:17">
      <c r="B1096">
        <v>4770</v>
      </c>
      <c r="C1096" t="s">
        <v>217</v>
      </c>
      <c r="D1096" s="3">
        <v>649067</v>
      </c>
      <c r="E1096">
        <v>640</v>
      </c>
      <c r="F1096" s="3">
        <v>172029910</v>
      </c>
      <c r="G1096">
        <v>267.5</v>
      </c>
      <c r="H1096">
        <v>268.5</v>
      </c>
      <c r="I1096">
        <v>261.5</v>
      </c>
      <c r="J1096">
        <v>265</v>
      </c>
      <c r="K1096" t="s">
        <v>1</v>
      </c>
      <c r="L1096">
        <v>1</v>
      </c>
      <c r="M1096">
        <v>265</v>
      </c>
      <c r="N1096">
        <v>14</v>
      </c>
      <c r="O1096">
        <v>265.5</v>
      </c>
      <c r="P1096">
        <v>2</v>
      </c>
      <c r="Q1096">
        <v>25.12</v>
      </c>
    </row>
    <row r="1097" spans="2:17">
      <c r="B1097">
        <v>4807</v>
      </c>
      <c r="C1097" t="s">
        <v>2400</v>
      </c>
      <c r="D1097" s="3">
        <v>38202</v>
      </c>
      <c r="E1097">
        <v>37</v>
      </c>
      <c r="F1097" s="3">
        <v>1034404</v>
      </c>
      <c r="G1097">
        <v>27.1</v>
      </c>
      <c r="H1097">
        <v>27.2</v>
      </c>
      <c r="I1097">
        <v>27</v>
      </c>
      <c r="J1097">
        <v>27.2</v>
      </c>
      <c r="K1097" t="s">
        <v>1</v>
      </c>
      <c r="L1097">
        <v>0.1</v>
      </c>
      <c r="M1097">
        <v>27.2</v>
      </c>
      <c r="N1097">
        <v>2</v>
      </c>
      <c r="O1097">
        <v>27.25</v>
      </c>
      <c r="P1097">
        <v>1</v>
      </c>
      <c r="Q1097">
        <v>10.75</v>
      </c>
    </row>
    <row r="1098" spans="2:17">
      <c r="B1098">
        <v>4904</v>
      </c>
      <c r="C1098" t="s">
        <v>2401</v>
      </c>
      <c r="D1098" s="3">
        <v>3430652</v>
      </c>
      <c r="E1098" s="3">
        <v>1857</v>
      </c>
      <c r="F1098" s="3">
        <v>220445175</v>
      </c>
      <c r="G1098">
        <v>64</v>
      </c>
      <c r="H1098">
        <v>64.5</v>
      </c>
      <c r="I1098">
        <v>63.9</v>
      </c>
      <c r="J1098">
        <v>64.3</v>
      </c>
      <c r="K1098" t="s">
        <v>1362</v>
      </c>
      <c r="L1098">
        <v>0.3</v>
      </c>
      <c r="M1098">
        <v>64.3</v>
      </c>
      <c r="N1098">
        <v>59</v>
      </c>
      <c r="O1098">
        <v>64.400000000000006</v>
      </c>
      <c r="P1098">
        <v>62</v>
      </c>
      <c r="Q1098">
        <v>23.21</v>
      </c>
    </row>
    <row r="1099" spans="2:17">
      <c r="B1099">
        <v>4906</v>
      </c>
      <c r="C1099" t="s">
        <v>2402</v>
      </c>
      <c r="D1099" s="3">
        <v>37491606</v>
      </c>
      <c r="E1099" s="3">
        <v>18163</v>
      </c>
      <c r="F1099" s="3">
        <v>1199945165</v>
      </c>
      <c r="G1099">
        <v>32.200000000000003</v>
      </c>
      <c r="H1099">
        <v>32.799999999999997</v>
      </c>
      <c r="I1099">
        <v>31.1</v>
      </c>
      <c r="J1099">
        <v>31.2</v>
      </c>
      <c r="K1099" t="s">
        <v>1</v>
      </c>
      <c r="L1099">
        <v>0.3</v>
      </c>
      <c r="M1099">
        <v>31.2</v>
      </c>
      <c r="N1099">
        <v>42</v>
      </c>
      <c r="O1099">
        <v>31.25</v>
      </c>
      <c r="P1099">
        <v>26</v>
      </c>
      <c r="Q1099">
        <v>21.97</v>
      </c>
    </row>
    <row r="1100" spans="2:17">
      <c r="B1100">
        <v>4912</v>
      </c>
      <c r="C1100" t="s">
        <v>2403</v>
      </c>
      <c r="D1100" s="3">
        <v>211238</v>
      </c>
      <c r="E1100">
        <v>182</v>
      </c>
      <c r="F1100" s="3">
        <v>34364324</v>
      </c>
      <c r="G1100">
        <v>161.5</v>
      </c>
      <c r="H1100">
        <v>164.5</v>
      </c>
      <c r="I1100">
        <v>160.5</v>
      </c>
      <c r="J1100">
        <v>162</v>
      </c>
      <c r="K1100" t="s">
        <v>1362</v>
      </c>
      <c r="L1100">
        <v>1</v>
      </c>
      <c r="M1100">
        <v>161.5</v>
      </c>
      <c r="N1100">
        <v>6</v>
      </c>
      <c r="O1100">
        <v>162.5</v>
      </c>
      <c r="P1100">
        <v>2</v>
      </c>
      <c r="Q1100">
        <v>14.93</v>
      </c>
    </row>
    <row r="1101" spans="2:17">
      <c r="B1101">
        <v>4915</v>
      </c>
      <c r="C1101" t="s">
        <v>2404</v>
      </c>
      <c r="D1101" s="3">
        <v>11281636</v>
      </c>
      <c r="E1101" s="3">
        <v>7481</v>
      </c>
      <c r="F1101" s="3">
        <v>651188030</v>
      </c>
      <c r="G1101">
        <v>57.5</v>
      </c>
      <c r="H1101">
        <v>58.3</v>
      </c>
      <c r="I1101">
        <v>57.1</v>
      </c>
      <c r="J1101">
        <v>57.2</v>
      </c>
      <c r="K1101" t="s">
        <v>1</v>
      </c>
      <c r="L1101">
        <v>0.5</v>
      </c>
      <c r="M1101">
        <v>57.1</v>
      </c>
      <c r="N1101">
        <v>219</v>
      </c>
      <c r="O1101">
        <v>57.2</v>
      </c>
      <c r="P1101">
        <v>16</v>
      </c>
      <c r="Q1101">
        <v>11.99</v>
      </c>
    </row>
    <row r="1102" spans="2:17">
      <c r="B1102">
        <v>4916</v>
      </c>
      <c r="C1102" t="s">
        <v>2405</v>
      </c>
      <c r="D1102" s="3">
        <v>1279093</v>
      </c>
      <c r="E1102">
        <v>921</v>
      </c>
      <c r="F1102" s="3">
        <v>41676173</v>
      </c>
      <c r="G1102">
        <v>33.1</v>
      </c>
      <c r="H1102">
        <v>33.6</v>
      </c>
      <c r="I1102">
        <v>32.049999999999997</v>
      </c>
      <c r="J1102">
        <v>32.15</v>
      </c>
      <c r="K1102" t="s">
        <v>1</v>
      </c>
      <c r="L1102">
        <v>0.85</v>
      </c>
      <c r="M1102">
        <v>32.1</v>
      </c>
      <c r="N1102">
        <v>22</v>
      </c>
      <c r="O1102">
        <v>32.200000000000003</v>
      </c>
      <c r="P1102">
        <v>5</v>
      </c>
      <c r="Q1102">
        <v>123.65</v>
      </c>
    </row>
    <row r="1103" spans="2:17">
      <c r="B1103">
        <v>4919</v>
      </c>
      <c r="C1103" t="s">
        <v>2406</v>
      </c>
      <c r="D1103" s="3">
        <v>6786553</v>
      </c>
      <c r="E1103" s="3">
        <v>5165</v>
      </c>
      <c r="F1103" s="3">
        <v>968999089</v>
      </c>
      <c r="G1103">
        <v>143</v>
      </c>
      <c r="H1103">
        <v>144</v>
      </c>
      <c r="I1103">
        <v>140.5</v>
      </c>
      <c r="J1103">
        <v>143.5</v>
      </c>
      <c r="K1103" t="s">
        <v>1362</v>
      </c>
      <c r="L1103">
        <v>1</v>
      </c>
      <c r="M1103">
        <v>143</v>
      </c>
      <c r="N1103">
        <v>34</v>
      </c>
      <c r="O1103">
        <v>143.5</v>
      </c>
      <c r="P1103">
        <v>42</v>
      </c>
      <c r="Q1103">
        <v>30.6</v>
      </c>
    </row>
    <row r="1104" spans="2:17">
      <c r="B1104">
        <v>4927</v>
      </c>
      <c r="C1104" t="s">
        <v>2407</v>
      </c>
      <c r="D1104" s="3">
        <v>8397423</v>
      </c>
      <c r="E1104" s="3">
        <v>6306</v>
      </c>
      <c r="F1104" s="3">
        <v>1054654611</v>
      </c>
      <c r="G1104">
        <v>124.5</v>
      </c>
      <c r="H1104">
        <v>127.5</v>
      </c>
      <c r="I1104">
        <v>123</v>
      </c>
      <c r="J1104">
        <v>127</v>
      </c>
      <c r="K1104" t="s">
        <v>1362</v>
      </c>
      <c r="L1104">
        <v>3</v>
      </c>
      <c r="M1104">
        <v>126.5</v>
      </c>
      <c r="N1104">
        <v>40</v>
      </c>
      <c r="O1104">
        <v>127</v>
      </c>
      <c r="P1104">
        <v>97</v>
      </c>
      <c r="Q1104">
        <v>23.3</v>
      </c>
    </row>
    <row r="1105" spans="2:17">
      <c r="B1105">
        <v>4930</v>
      </c>
      <c r="C1105" t="s">
        <v>2408</v>
      </c>
      <c r="D1105" s="3">
        <v>221869</v>
      </c>
      <c r="E1105">
        <v>155</v>
      </c>
      <c r="F1105" s="3">
        <v>5534344</v>
      </c>
      <c r="G1105">
        <v>24.85</v>
      </c>
      <c r="H1105">
        <v>25.2</v>
      </c>
      <c r="I1105">
        <v>24.7</v>
      </c>
      <c r="J1105">
        <v>25.05</v>
      </c>
      <c r="K1105" t="s">
        <v>1362</v>
      </c>
      <c r="L1105">
        <v>0.2</v>
      </c>
      <c r="M1105">
        <v>25.05</v>
      </c>
      <c r="N1105">
        <v>1</v>
      </c>
      <c r="O1105">
        <v>25.1</v>
      </c>
      <c r="P1105">
        <v>3</v>
      </c>
      <c r="Q1105">
        <v>7.35</v>
      </c>
    </row>
    <row r="1106" spans="2:17">
      <c r="B1106">
        <v>4934</v>
      </c>
      <c r="C1106" t="s">
        <v>2409</v>
      </c>
      <c r="D1106" s="3">
        <v>12339654</v>
      </c>
      <c r="E1106" s="3">
        <v>6594</v>
      </c>
      <c r="F1106" s="3">
        <v>450202195</v>
      </c>
      <c r="G1106">
        <v>34.700000000000003</v>
      </c>
      <c r="H1106">
        <v>37.950000000000003</v>
      </c>
      <c r="I1106">
        <v>34.200000000000003</v>
      </c>
      <c r="J1106">
        <v>37.9</v>
      </c>
      <c r="K1106" t="s">
        <v>1362</v>
      </c>
      <c r="L1106">
        <v>3.4</v>
      </c>
      <c r="M1106">
        <v>37.799999999999997</v>
      </c>
      <c r="N1106">
        <v>9</v>
      </c>
      <c r="O1106">
        <v>37.9</v>
      </c>
      <c r="P1106">
        <v>337</v>
      </c>
      <c r="Q1106">
        <v>0</v>
      </c>
    </row>
    <row r="1107" spans="2:17">
      <c r="B1107">
        <v>4935</v>
      </c>
      <c r="C1107" t="s">
        <v>2410</v>
      </c>
      <c r="D1107" s="3">
        <v>485562</v>
      </c>
      <c r="E1107">
        <v>382</v>
      </c>
      <c r="F1107" s="3">
        <v>39910656</v>
      </c>
      <c r="G1107">
        <v>81.5</v>
      </c>
      <c r="H1107">
        <v>82.8</v>
      </c>
      <c r="I1107">
        <v>81.2</v>
      </c>
      <c r="J1107">
        <v>82.5</v>
      </c>
      <c r="K1107" t="s">
        <v>1362</v>
      </c>
      <c r="L1107">
        <v>1.5</v>
      </c>
      <c r="M1107">
        <v>82.1</v>
      </c>
      <c r="N1107">
        <v>7</v>
      </c>
      <c r="O1107">
        <v>82.5</v>
      </c>
      <c r="P1107">
        <v>3</v>
      </c>
      <c r="Q1107">
        <v>7.75</v>
      </c>
    </row>
    <row r="1108" spans="2:17">
      <c r="B1108">
        <v>4938</v>
      </c>
      <c r="C1108" t="s">
        <v>2411</v>
      </c>
      <c r="D1108" s="3">
        <v>6736954</v>
      </c>
      <c r="E1108" s="3">
        <v>5876</v>
      </c>
      <c r="F1108" s="3">
        <v>466060707</v>
      </c>
      <c r="G1108">
        <v>69</v>
      </c>
      <c r="H1108">
        <v>69.400000000000006</v>
      </c>
      <c r="I1108">
        <v>68.8</v>
      </c>
      <c r="J1108">
        <v>69.400000000000006</v>
      </c>
      <c r="K1108" t="s">
        <v>1362</v>
      </c>
      <c r="L1108">
        <v>0.4</v>
      </c>
      <c r="M1108">
        <v>69.3</v>
      </c>
      <c r="N1108">
        <v>116</v>
      </c>
      <c r="O1108">
        <v>69.400000000000006</v>
      </c>
      <c r="P1108">
        <v>608</v>
      </c>
      <c r="Q1108">
        <v>10.61</v>
      </c>
    </row>
    <row r="1109" spans="2:17">
      <c r="B1109">
        <v>4942</v>
      </c>
      <c r="C1109" t="s">
        <v>2412</v>
      </c>
      <c r="D1109" s="3">
        <v>1099610</v>
      </c>
      <c r="E1109">
        <v>897</v>
      </c>
      <c r="F1109" s="3">
        <v>55024404</v>
      </c>
      <c r="G1109">
        <v>50.4</v>
      </c>
      <c r="H1109">
        <v>50.6</v>
      </c>
      <c r="I1109">
        <v>49.75</v>
      </c>
      <c r="J1109">
        <v>49.9</v>
      </c>
      <c r="K1109" t="s">
        <v>1</v>
      </c>
      <c r="L1109">
        <v>0.6</v>
      </c>
      <c r="M1109">
        <v>49.9</v>
      </c>
      <c r="N1109">
        <v>15</v>
      </c>
      <c r="O1109">
        <v>50</v>
      </c>
      <c r="P1109">
        <v>15</v>
      </c>
      <c r="Q1109">
        <v>7.71</v>
      </c>
    </row>
    <row r="1110" spans="2:17">
      <c r="B1110">
        <v>4943</v>
      </c>
      <c r="C1110" t="s">
        <v>2413</v>
      </c>
      <c r="D1110" s="3">
        <v>535956</v>
      </c>
      <c r="E1110">
        <v>514</v>
      </c>
      <c r="F1110" s="3">
        <v>17441872</v>
      </c>
      <c r="G1110">
        <v>33.200000000000003</v>
      </c>
      <c r="H1110">
        <v>33.200000000000003</v>
      </c>
      <c r="I1110">
        <v>32.299999999999997</v>
      </c>
      <c r="J1110">
        <v>32.35</v>
      </c>
      <c r="K1110" t="s">
        <v>1</v>
      </c>
      <c r="L1110">
        <v>0.65</v>
      </c>
      <c r="M1110">
        <v>32.35</v>
      </c>
      <c r="N1110">
        <v>19</v>
      </c>
      <c r="O1110">
        <v>32.4</v>
      </c>
      <c r="P1110">
        <v>5</v>
      </c>
      <c r="Q1110">
        <v>0</v>
      </c>
    </row>
    <row r="1111" spans="2:17">
      <c r="B1111">
        <v>4952</v>
      </c>
      <c r="C1111" t="s">
        <v>2414</v>
      </c>
      <c r="D1111" s="3">
        <v>351994</v>
      </c>
      <c r="E1111">
        <v>337</v>
      </c>
      <c r="F1111" s="3">
        <v>23873535</v>
      </c>
      <c r="G1111">
        <v>68.5</v>
      </c>
      <c r="H1111">
        <v>68.5</v>
      </c>
      <c r="I1111">
        <v>67.400000000000006</v>
      </c>
      <c r="J1111">
        <v>67.5</v>
      </c>
      <c r="K1111" t="s">
        <v>1</v>
      </c>
      <c r="L1111">
        <v>0.4</v>
      </c>
      <c r="M1111">
        <v>67.5</v>
      </c>
      <c r="N1111">
        <v>2</v>
      </c>
      <c r="O1111">
        <v>67.7</v>
      </c>
      <c r="P1111">
        <v>3</v>
      </c>
      <c r="Q1111">
        <v>12.74</v>
      </c>
    </row>
    <row r="1112" spans="2:17">
      <c r="B1112">
        <v>4956</v>
      </c>
      <c r="C1112" t="s">
        <v>2415</v>
      </c>
      <c r="D1112" s="3">
        <v>1061114</v>
      </c>
      <c r="E1112">
        <v>713</v>
      </c>
      <c r="F1112" s="3">
        <v>28134375</v>
      </c>
      <c r="G1112">
        <v>27.25</v>
      </c>
      <c r="H1112">
        <v>27.3</v>
      </c>
      <c r="I1112">
        <v>26.2</v>
      </c>
      <c r="J1112">
        <v>26.25</v>
      </c>
      <c r="K1112" t="s">
        <v>1</v>
      </c>
      <c r="L1112">
        <v>0.6</v>
      </c>
      <c r="M1112">
        <v>26.25</v>
      </c>
      <c r="N1112">
        <v>28</v>
      </c>
      <c r="O1112">
        <v>26.3</v>
      </c>
      <c r="P1112">
        <v>3</v>
      </c>
      <c r="Q1112">
        <v>18.36</v>
      </c>
    </row>
    <row r="1113" spans="2:17">
      <c r="B1113">
        <v>4958</v>
      </c>
      <c r="C1113" t="s">
        <v>2416</v>
      </c>
      <c r="D1113" s="3">
        <v>1275940</v>
      </c>
      <c r="E1113">
        <v>782</v>
      </c>
      <c r="F1113" s="3">
        <v>129166505</v>
      </c>
      <c r="G1113">
        <v>102</v>
      </c>
      <c r="H1113">
        <v>102.5</v>
      </c>
      <c r="I1113">
        <v>101</v>
      </c>
      <c r="J1113">
        <v>101</v>
      </c>
      <c r="K1113" t="s">
        <v>1</v>
      </c>
      <c r="L1113">
        <v>0.5</v>
      </c>
      <c r="M1113">
        <v>100.5</v>
      </c>
      <c r="N1113">
        <v>210</v>
      </c>
      <c r="O1113">
        <v>101</v>
      </c>
      <c r="P1113">
        <v>51</v>
      </c>
      <c r="Q1113">
        <v>10.49</v>
      </c>
    </row>
    <row r="1114" spans="2:17">
      <c r="B1114">
        <v>4960</v>
      </c>
      <c r="C1114" t="s">
        <v>2417</v>
      </c>
      <c r="D1114" s="3">
        <v>29451757</v>
      </c>
      <c r="E1114" s="3">
        <v>8108</v>
      </c>
      <c r="F1114" s="3">
        <v>404941450</v>
      </c>
      <c r="G1114">
        <v>13.85</v>
      </c>
      <c r="H1114">
        <v>14.1</v>
      </c>
      <c r="I1114">
        <v>13.5</v>
      </c>
      <c r="J1114">
        <v>13.55</v>
      </c>
      <c r="K1114" t="s">
        <v>1362</v>
      </c>
      <c r="L1114">
        <v>0.05</v>
      </c>
      <c r="M1114">
        <v>13.55</v>
      </c>
      <c r="N1114">
        <v>172</v>
      </c>
      <c r="O1114">
        <v>13.6</v>
      </c>
      <c r="P1114">
        <v>168</v>
      </c>
      <c r="Q1114">
        <v>10.75</v>
      </c>
    </row>
    <row r="1115" spans="2:17">
      <c r="B1115">
        <v>4961</v>
      </c>
      <c r="C1115" t="s">
        <v>2418</v>
      </c>
      <c r="D1115" s="3">
        <v>4849122</v>
      </c>
      <c r="E1115" s="3">
        <v>4638</v>
      </c>
      <c r="F1115" s="3">
        <v>1366971440</v>
      </c>
      <c r="G1115">
        <v>286</v>
      </c>
      <c r="H1115">
        <v>286.5</v>
      </c>
      <c r="I1115">
        <v>278.5</v>
      </c>
      <c r="J1115">
        <v>278.5</v>
      </c>
      <c r="K1115" t="s">
        <v>1</v>
      </c>
      <c r="L1115">
        <v>5.5</v>
      </c>
      <c r="M1115">
        <v>278.5</v>
      </c>
      <c r="N1115">
        <v>54</v>
      </c>
      <c r="O1115">
        <v>279</v>
      </c>
      <c r="P1115">
        <v>22</v>
      </c>
      <c r="Q1115">
        <v>10.6</v>
      </c>
    </row>
    <row r="1116" spans="2:17">
      <c r="B1116">
        <v>4967</v>
      </c>
      <c r="C1116" t="s">
        <v>2419</v>
      </c>
      <c r="D1116" s="3">
        <v>969892</v>
      </c>
      <c r="E1116">
        <v>741</v>
      </c>
      <c r="F1116" s="3">
        <v>46568547</v>
      </c>
      <c r="G1116">
        <v>48.5</v>
      </c>
      <c r="H1116">
        <v>48.55</v>
      </c>
      <c r="I1116">
        <v>47.6</v>
      </c>
      <c r="J1116">
        <v>47.95</v>
      </c>
      <c r="K1116" t="s">
        <v>1</v>
      </c>
      <c r="L1116">
        <v>0.55000000000000004</v>
      </c>
      <c r="M1116">
        <v>47.95</v>
      </c>
      <c r="N1116">
        <v>1</v>
      </c>
      <c r="O1116">
        <v>48</v>
      </c>
      <c r="P1116">
        <v>5</v>
      </c>
      <c r="Q1116">
        <v>36.6</v>
      </c>
    </row>
    <row r="1117" spans="2:17">
      <c r="B1117">
        <v>4968</v>
      </c>
      <c r="C1117" t="s">
        <v>2420</v>
      </c>
      <c r="D1117" s="3">
        <v>738537</v>
      </c>
      <c r="E1117" s="3">
        <v>1100</v>
      </c>
      <c r="F1117" s="3">
        <v>205932881</v>
      </c>
      <c r="G1117">
        <v>279</v>
      </c>
      <c r="H1117">
        <v>283</v>
      </c>
      <c r="I1117">
        <v>276.5</v>
      </c>
      <c r="J1117">
        <v>276.5</v>
      </c>
      <c r="K1117" t="s">
        <v>1</v>
      </c>
      <c r="L1117">
        <v>0.5</v>
      </c>
      <c r="M1117">
        <v>276</v>
      </c>
      <c r="N1117">
        <v>24</v>
      </c>
      <c r="O1117">
        <v>277</v>
      </c>
      <c r="P1117">
        <v>3</v>
      </c>
      <c r="Q1117">
        <v>28.24</v>
      </c>
    </row>
    <row r="1118" spans="2:17">
      <c r="B1118">
        <v>4976</v>
      </c>
      <c r="C1118" t="s">
        <v>2421</v>
      </c>
      <c r="D1118" s="3">
        <v>848368</v>
      </c>
      <c r="E1118">
        <v>940</v>
      </c>
      <c r="F1118" s="3">
        <v>58290647</v>
      </c>
      <c r="G1118">
        <v>69.5</v>
      </c>
      <c r="H1118">
        <v>69.599999999999994</v>
      </c>
      <c r="I1118">
        <v>68.3</v>
      </c>
      <c r="J1118">
        <v>68.3</v>
      </c>
      <c r="K1118" t="s">
        <v>1</v>
      </c>
      <c r="L1118">
        <v>0.5</v>
      </c>
      <c r="M1118">
        <v>68.3</v>
      </c>
      <c r="N1118">
        <v>14</v>
      </c>
      <c r="O1118">
        <v>68.5</v>
      </c>
      <c r="P1118">
        <v>6</v>
      </c>
      <c r="Q1118">
        <v>273.2</v>
      </c>
    </row>
    <row r="1119" spans="2:17">
      <c r="B1119">
        <v>4977</v>
      </c>
      <c r="C1119" t="s">
        <v>2422</v>
      </c>
      <c r="D1119" s="3">
        <v>126600</v>
      </c>
      <c r="E1119">
        <v>112</v>
      </c>
      <c r="F1119" s="3">
        <v>10741624</v>
      </c>
      <c r="G1119">
        <v>85.4</v>
      </c>
      <c r="H1119">
        <v>85.4</v>
      </c>
      <c r="I1119">
        <v>84.4</v>
      </c>
      <c r="J1119">
        <v>85</v>
      </c>
      <c r="K1119" t="s">
        <v>1</v>
      </c>
      <c r="L1119">
        <v>0.3</v>
      </c>
      <c r="M1119">
        <v>84.9</v>
      </c>
      <c r="N1119">
        <v>3</v>
      </c>
      <c r="O1119">
        <v>85</v>
      </c>
      <c r="P1119">
        <v>2</v>
      </c>
      <c r="Q1119">
        <v>16.04</v>
      </c>
    </row>
    <row r="1120" spans="2:17">
      <c r="B1120">
        <v>4989</v>
      </c>
      <c r="C1120" t="s">
        <v>3082</v>
      </c>
      <c r="D1120" s="3">
        <v>587260</v>
      </c>
      <c r="E1120">
        <v>722</v>
      </c>
      <c r="F1120" s="3">
        <v>27441994</v>
      </c>
      <c r="G1120">
        <v>47.15</v>
      </c>
      <c r="H1120">
        <v>47.35</v>
      </c>
      <c r="I1120">
        <v>46.4</v>
      </c>
      <c r="J1120">
        <v>46.4</v>
      </c>
      <c r="K1120" t="s">
        <v>1</v>
      </c>
      <c r="L1120">
        <v>0.5</v>
      </c>
      <c r="M1120">
        <v>46.4</v>
      </c>
      <c r="N1120">
        <v>3</v>
      </c>
      <c r="O1120">
        <v>46.5</v>
      </c>
      <c r="P1120">
        <v>1</v>
      </c>
      <c r="Q1120">
        <v>16.510000000000002</v>
      </c>
    </row>
    <row r="1121" spans="2:17">
      <c r="B1121">
        <v>4994</v>
      </c>
      <c r="C1121" t="s">
        <v>2423</v>
      </c>
      <c r="D1121" s="3">
        <v>411866</v>
      </c>
      <c r="E1121">
        <v>343</v>
      </c>
      <c r="F1121" s="3">
        <v>24315742</v>
      </c>
      <c r="G1121">
        <v>59.7</v>
      </c>
      <c r="H1121">
        <v>59.8</v>
      </c>
      <c r="I1121">
        <v>58.5</v>
      </c>
      <c r="J1121">
        <v>58.5</v>
      </c>
      <c r="K1121" t="s">
        <v>1</v>
      </c>
      <c r="L1121">
        <v>0.6</v>
      </c>
      <c r="M1121">
        <v>58.4</v>
      </c>
      <c r="N1121">
        <v>14</v>
      </c>
      <c r="O1121">
        <v>58.5</v>
      </c>
      <c r="P1121">
        <v>8</v>
      </c>
      <c r="Q1121">
        <v>23.49</v>
      </c>
    </row>
    <row r="1122" spans="2:17">
      <c r="B1122">
        <v>4999</v>
      </c>
      <c r="C1122" t="s">
        <v>2424</v>
      </c>
      <c r="D1122" s="3">
        <v>109267</v>
      </c>
      <c r="E1122">
        <v>94</v>
      </c>
      <c r="F1122" s="3">
        <v>4461432</v>
      </c>
      <c r="G1122">
        <v>40.85</v>
      </c>
      <c r="H1122">
        <v>40.9</v>
      </c>
      <c r="I1122">
        <v>40.75</v>
      </c>
      <c r="J1122">
        <v>40.75</v>
      </c>
      <c r="K1122" t="s">
        <v>1</v>
      </c>
      <c r="L1122">
        <v>0.05</v>
      </c>
      <c r="M1122">
        <v>40.75</v>
      </c>
      <c r="N1122">
        <v>2</v>
      </c>
      <c r="O1122">
        <v>40.799999999999997</v>
      </c>
      <c r="P1122">
        <v>1</v>
      </c>
      <c r="Q1122">
        <v>11.68</v>
      </c>
    </row>
    <row r="1123" spans="2:17">
      <c r="B1123">
        <v>5007</v>
      </c>
      <c r="C1123" t="s">
        <v>2425</v>
      </c>
      <c r="D1123" s="3">
        <v>32243</v>
      </c>
      <c r="E1123">
        <v>30</v>
      </c>
      <c r="F1123" s="3">
        <v>1867720</v>
      </c>
      <c r="G1123">
        <v>58</v>
      </c>
      <c r="H1123">
        <v>58</v>
      </c>
      <c r="I1123">
        <v>57.8</v>
      </c>
      <c r="J1123">
        <v>57.8</v>
      </c>
      <c r="K1123" t="s">
        <v>1</v>
      </c>
      <c r="L1123">
        <v>0.2</v>
      </c>
      <c r="M1123">
        <v>57.7</v>
      </c>
      <c r="N1123">
        <v>2</v>
      </c>
      <c r="O1123">
        <v>57.8</v>
      </c>
      <c r="P1123">
        <v>1</v>
      </c>
      <c r="Q1123">
        <v>17.41</v>
      </c>
    </row>
    <row r="1124" spans="2:17">
      <c r="B1124">
        <v>5203</v>
      </c>
      <c r="C1124" t="s">
        <v>2426</v>
      </c>
      <c r="D1124" s="3">
        <v>53898</v>
      </c>
      <c r="E1124">
        <v>78</v>
      </c>
      <c r="F1124" s="3">
        <v>4771387</v>
      </c>
      <c r="G1124">
        <v>88.5</v>
      </c>
      <c r="H1124">
        <v>89</v>
      </c>
      <c r="I1124">
        <v>88</v>
      </c>
      <c r="J1124">
        <v>89</v>
      </c>
      <c r="K1124" t="s">
        <v>1362</v>
      </c>
      <c r="L1124">
        <v>0.5</v>
      </c>
      <c r="M1124">
        <v>88.2</v>
      </c>
      <c r="N1124">
        <v>2</v>
      </c>
      <c r="O1124">
        <v>89.2</v>
      </c>
      <c r="P1124">
        <v>2</v>
      </c>
      <c r="Q1124">
        <v>44.06</v>
      </c>
    </row>
    <row r="1125" spans="2:17">
      <c r="B1125">
        <v>5215</v>
      </c>
      <c r="C1125" t="s">
        <v>2427</v>
      </c>
      <c r="D1125" s="3">
        <v>131517</v>
      </c>
      <c r="E1125">
        <v>161</v>
      </c>
      <c r="F1125" s="3">
        <v>10391976</v>
      </c>
      <c r="G1125">
        <v>79.099999999999994</v>
      </c>
      <c r="H1125">
        <v>79.599999999999994</v>
      </c>
      <c r="I1125">
        <v>78.599999999999994</v>
      </c>
      <c r="J1125">
        <v>78.7</v>
      </c>
      <c r="K1125" t="s">
        <v>1</v>
      </c>
      <c r="L1125">
        <v>0.4</v>
      </c>
      <c r="M1125">
        <v>78.7</v>
      </c>
      <c r="N1125">
        <v>4</v>
      </c>
      <c r="O1125">
        <v>79.3</v>
      </c>
      <c r="P1125">
        <v>1</v>
      </c>
      <c r="Q1125">
        <v>7.09</v>
      </c>
    </row>
    <row r="1126" spans="2:17">
      <c r="B1126">
        <v>5222</v>
      </c>
      <c r="C1126" t="s">
        <v>222</v>
      </c>
      <c r="D1126" s="3">
        <v>458953</v>
      </c>
      <c r="E1126">
        <v>453</v>
      </c>
      <c r="F1126" s="3">
        <v>97026646</v>
      </c>
      <c r="G1126">
        <v>211.5</v>
      </c>
      <c r="H1126">
        <v>214</v>
      </c>
      <c r="I1126">
        <v>209</v>
      </c>
      <c r="J1126">
        <v>210</v>
      </c>
      <c r="K1126" t="s">
        <v>1362</v>
      </c>
      <c r="L1126">
        <v>1</v>
      </c>
      <c r="M1126">
        <v>210</v>
      </c>
      <c r="N1126">
        <v>4</v>
      </c>
      <c r="O1126">
        <v>210.5</v>
      </c>
      <c r="P1126">
        <v>15</v>
      </c>
      <c r="Q1126">
        <v>51.85</v>
      </c>
    </row>
    <row r="1127" spans="2:17">
      <c r="B1127">
        <v>5225</v>
      </c>
      <c r="C1127" t="s">
        <v>2428</v>
      </c>
      <c r="D1127" s="3">
        <v>56000</v>
      </c>
      <c r="E1127">
        <v>28</v>
      </c>
      <c r="F1127" s="3">
        <v>1192850</v>
      </c>
      <c r="G1127">
        <v>21.6</v>
      </c>
      <c r="H1127">
        <v>21.6</v>
      </c>
      <c r="I1127">
        <v>21.25</v>
      </c>
      <c r="J1127">
        <v>21.35</v>
      </c>
      <c r="K1127" t="s">
        <v>1362</v>
      </c>
      <c r="L1127">
        <v>0.05</v>
      </c>
      <c r="M1127">
        <v>21.3</v>
      </c>
      <c r="N1127">
        <v>2</v>
      </c>
      <c r="O1127">
        <v>21.35</v>
      </c>
      <c r="P1127">
        <v>3</v>
      </c>
      <c r="Q1127">
        <v>0</v>
      </c>
    </row>
    <row r="1128" spans="2:17">
      <c r="B1128">
        <v>5234</v>
      </c>
      <c r="C1128" t="s">
        <v>2429</v>
      </c>
      <c r="D1128" s="3">
        <v>3772906</v>
      </c>
      <c r="E1128" s="3">
        <v>2891</v>
      </c>
      <c r="F1128" s="3">
        <v>524491217</v>
      </c>
      <c r="G1128">
        <v>138.5</v>
      </c>
      <c r="H1128">
        <v>142</v>
      </c>
      <c r="I1128">
        <v>134.5</v>
      </c>
      <c r="J1128">
        <v>138.5</v>
      </c>
      <c r="K1128" t="s">
        <v>1362</v>
      </c>
      <c r="L1128">
        <v>2.5</v>
      </c>
      <c r="M1128">
        <v>138.5</v>
      </c>
      <c r="N1128">
        <v>14</v>
      </c>
      <c r="O1128">
        <v>139</v>
      </c>
      <c r="P1128">
        <v>17</v>
      </c>
      <c r="Q1128">
        <v>21.54</v>
      </c>
    </row>
    <row r="1129" spans="2:17">
      <c r="B1129">
        <v>5243</v>
      </c>
      <c r="C1129" t="s">
        <v>2430</v>
      </c>
      <c r="D1129" s="3">
        <v>2440164</v>
      </c>
      <c r="E1129" s="3">
        <v>1716</v>
      </c>
      <c r="F1129" s="3">
        <v>166627135</v>
      </c>
      <c r="G1129">
        <v>68.900000000000006</v>
      </c>
      <c r="H1129">
        <v>69.2</v>
      </c>
      <c r="I1129">
        <v>67.3</v>
      </c>
      <c r="J1129">
        <v>67.5</v>
      </c>
      <c r="K1129" t="s">
        <v>1</v>
      </c>
      <c r="L1129">
        <v>0.9</v>
      </c>
      <c r="M1129">
        <v>67.5</v>
      </c>
      <c r="N1129">
        <v>49</v>
      </c>
      <c r="O1129">
        <v>67.599999999999994</v>
      </c>
      <c r="P1129">
        <v>6</v>
      </c>
      <c r="Q1129">
        <v>23.52</v>
      </c>
    </row>
    <row r="1130" spans="2:17">
      <c r="B1130">
        <v>5258</v>
      </c>
      <c r="C1130" t="s">
        <v>2431</v>
      </c>
      <c r="D1130" s="3">
        <v>3205115</v>
      </c>
      <c r="E1130" s="3">
        <v>1627</v>
      </c>
      <c r="F1130" s="3">
        <v>126689429</v>
      </c>
      <c r="G1130">
        <v>40.549999999999997</v>
      </c>
      <c r="H1130">
        <v>40.75</v>
      </c>
      <c r="I1130">
        <v>38.9</v>
      </c>
      <c r="J1130">
        <v>39</v>
      </c>
      <c r="K1130" t="s">
        <v>1</v>
      </c>
      <c r="L1130">
        <v>1.4</v>
      </c>
      <c r="M1130">
        <v>38.950000000000003</v>
      </c>
      <c r="N1130">
        <v>13</v>
      </c>
      <c r="O1130">
        <v>39</v>
      </c>
      <c r="P1130">
        <v>12</v>
      </c>
      <c r="Q1130">
        <v>20.100000000000001</v>
      </c>
    </row>
    <row r="1131" spans="2:17">
      <c r="B1131">
        <v>5269</v>
      </c>
      <c r="C1131" t="s">
        <v>2432</v>
      </c>
      <c r="D1131" s="3">
        <v>608825</v>
      </c>
      <c r="E1131">
        <v>787</v>
      </c>
      <c r="F1131" s="3">
        <v>1116758705</v>
      </c>
      <c r="G1131" s="8">
        <v>1835</v>
      </c>
      <c r="H1131" s="8">
        <v>1855</v>
      </c>
      <c r="I1131" s="8">
        <v>1800</v>
      </c>
      <c r="J1131" s="8">
        <v>1840</v>
      </c>
      <c r="K1131" t="s">
        <v>1362</v>
      </c>
      <c r="L1131">
        <v>30</v>
      </c>
      <c r="M1131" s="8">
        <v>1840</v>
      </c>
      <c r="N1131">
        <v>72</v>
      </c>
      <c r="O1131" s="8">
        <v>1845</v>
      </c>
      <c r="P1131">
        <v>4</v>
      </c>
      <c r="Q1131">
        <v>39.6</v>
      </c>
    </row>
    <row r="1132" spans="2:17">
      <c r="B1132">
        <v>5283</v>
      </c>
      <c r="C1132" t="s">
        <v>2433</v>
      </c>
      <c r="D1132" s="3">
        <v>40973</v>
      </c>
      <c r="E1132">
        <v>67</v>
      </c>
      <c r="F1132" s="3">
        <v>4840295</v>
      </c>
      <c r="G1132">
        <v>118.5</v>
      </c>
      <c r="H1132">
        <v>118.5</v>
      </c>
      <c r="I1132">
        <v>118</v>
      </c>
      <c r="J1132">
        <v>118</v>
      </c>
      <c r="K1132" t="s">
        <v>1</v>
      </c>
      <c r="L1132">
        <v>0.5</v>
      </c>
      <c r="M1132">
        <v>118</v>
      </c>
      <c r="N1132">
        <v>11</v>
      </c>
      <c r="O1132">
        <v>118.5</v>
      </c>
      <c r="P1132">
        <v>36</v>
      </c>
      <c r="Q1132">
        <v>10.67</v>
      </c>
    </row>
    <row r="1133" spans="2:17">
      <c r="B1133">
        <v>5284</v>
      </c>
      <c r="C1133" t="s">
        <v>2434</v>
      </c>
      <c r="D1133" s="3">
        <v>21002</v>
      </c>
      <c r="E1133">
        <v>12</v>
      </c>
      <c r="F1133" s="3">
        <v>931388</v>
      </c>
      <c r="G1133">
        <v>44.5</v>
      </c>
      <c r="H1133">
        <v>44.5</v>
      </c>
      <c r="I1133">
        <v>44.25</v>
      </c>
      <c r="J1133">
        <v>44.4</v>
      </c>
      <c r="K1133" t="s">
        <v>1362</v>
      </c>
      <c r="L1133">
        <v>0.05</v>
      </c>
      <c r="M1133">
        <v>44.4</v>
      </c>
      <c r="N1133">
        <v>2</v>
      </c>
      <c r="O1133">
        <v>44.45</v>
      </c>
      <c r="P1133">
        <v>1</v>
      </c>
      <c r="Q1133">
        <v>13.02</v>
      </c>
    </row>
    <row r="1134" spans="2:17">
      <c r="B1134">
        <v>5285</v>
      </c>
      <c r="C1134" t="s">
        <v>2435</v>
      </c>
      <c r="D1134" s="3">
        <v>827124</v>
      </c>
      <c r="E1134">
        <v>613</v>
      </c>
      <c r="F1134" s="3">
        <v>85623452</v>
      </c>
      <c r="G1134">
        <v>104.5</v>
      </c>
      <c r="H1134">
        <v>104.5</v>
      </c>
      <c r="I1134">
        <v>102.5</v>
      </c>
      <c r="J1134">
        <v>103.5</v>
      </c>
      <c r="K1134" t="s">
        <v>1328</v>
      </c>
      <c r="L1134">
        <v>0</v>
      </c>
      <c r="M1134">
        <v>103.5</v>
      </c>
      <c r="N1134">
        <v>22</v>
      </c>
      <c r="O1134">
        <v>104</v>
      </c>
      <c r="P1134">
        <v>19</v>
      </c>
      <c r="Q1134">
        <v>22.4</v>
      </c>
    </row>
    <row r="1135" spans="2:17">
      <c r="B1135">
        <v>5288</v>
      </c>
      <c r="C1135" t="s">
        <v>2436</v>
      </c>
      <c r="D1135" s="3">
        <v>231210</v>
      </c>
      <c r="E1135">
        <v>224</v>
      </c>
      <c r="F1135" s="3">
        <v>33515740</v>
      </c>
      <c r="G1135">
        <v>144</v>
      </c>
      <c r="H1135">
        <v>147</v>
      </c>
      <c r="I1135">
        <v>143.5</v>
      </c>
      <c r="J1135">
        <v>144</v>
      </c>
      <c r="K1135" t="s">
        <v>1328</v>
      </c>
      <c r="L1135">
        <v>0</v>
      </c>
      <c r="M1135">
        <v>144</v>
      </c>
      <c r="N1135">
        <v>7</v>
      </c>
      <c r="O1135">
        <v>144.5</v>
      </c>
      <c r="P1135">
        <v>2</v>
      </c>
      <c r="Q1135">
        <v>13.09</v>
      </c>
    </row>
    <row r="1136" spans="2:17">
      <c r="B1136">
        <v>5388</v>
      </c>
      <c r="C1136" t="s">
        <v>2437</v>
      </c>
      <c r="D1136" s="3">
        <v>1154919</v>
      </c>
      <c r="E1136">
        <v>841</v>
      </c>
      <c r="F1136" s="3">
        <v>80442534</v>
      </c>
      <c r="G1136">
        <v>69.8</v>
      </c>
      <c r="H1136">
        <v>70.099999999999994</v>
      </c>
      <c r="I1136">
        <v>68.900000000000006</v>
      </c>
      <c r="J1136">
        <v>70</v>
      </c>
      <c r="K1136" t="s">
        <v>1362</v>
      </c>
      <c r="L1136">
        <v>0.6</v>
      </c>
      <c r="M1136">
        <v>69.900000000000006</v>
      </c>
      <c r="N1136">
        <v>11</v>
      </c>
      <c r="O1136">
        <v>70</v>
      </c>
      <c r="P1136">
        <v>14</v>
      </c>
      <c r="Q1136">
        <v>22.22</v>
      </c>
    </row>
    <row r="1137" spans="2:17">
      <c r="B1137">
        <v>5434</v>
      </c>
      <c r="C1137" t="s">
        <v>13</v>
      </c>
      <c r="D1137" s="3">
        <v>1009904</v>
      </c>
      <c r="E1137" s="3">
        <v>1572</v>
      </c>
      <c r="F1137" s="3">
        <v>159586425</v>
      </c>
      <c r="G1137">
        <v>158.5</v>
      </c>
      <c r="H1137">
        <v>159.5</v>
      </c>
      <c r="I1137">
        <v>156.5</v>
      </c>
      <c r="J1137">
        <v>156.5</v>
      </c>
      <c r="K1137" t="s">
        <v>1328</v>
      </c>
      <c r="L1137">
        <v>0</v>
      </c>
      <c r="M1137">
        <v>156</v>
      </c>
      <c r="N1137">
        <v>69</v>
      </c>
      <c r="O1137">
        <v>156.5</v>
      </c>
      <c r="P1137">
        <v>6</v>
      </c>
      <c r="Q1137">
        <v>12.87</v>
      </c>
    </row>
    <row r="1138" spans="2:17">
      <c r="B1138">
        <v>5469</v>
      </c>
      <c r="C1138" t="s">
        <v>2438</v>
      </c>
      <c r="D1138" s="3">
        <v>1122382</v>
      </c>
      <c r="E1138">
        <v>822</v>
      </c>
      <c r="F1138" s="3">
        <v>51097855</v>
      </c>
      <c r="G1138">
        <v>45.95</v>
      </c>
      <c r="H1138">
        <v>45.95</v>
      </c>
      <c r="I1138">
        <v>45.25</v>
      </c>
      <c r="J1138">
        <v>45.45</v>
      </c>
      <c r="K1138" t="s">
        <v>1</v>
      </c>
      <c r="L1138">
        <v>0.15</v>
      </c>
      <c r="M1138">
        <v>45.45</v>
      </c>
      <c r="N1138">
        <v>2</v>
      </c>
      <c r="O1138">
        <v>45.5</v>
      </c>
      <c r="P1138">
        <v>10</v>
      </c>
      <c r="Q1138">
        <v>6.33</v>
      </c>
    </row>
    <row r="1139" spans="2:17">
      <c r="B1139">
        <v>5471</v>
      </c>
      <c r="C1139" t="s">
        <v>2439</v>
      </c>
      <c r="D1139" s="3">
        <v>594989</v>
      </c>
      <c r="E1139">
        <v>833</v>
      </c>
      <c r="F1139" s="3">
        <v>54474770</v>
      </c>
      <c r="G1139">
        <v>92</v>
      </c>
      <c r="H1139">
        <v>92.1</v>
      </c>
      <c r="I1139">
        <v>91.3</v>
      </c>
      <c r="J1139">
        <v>91.4</v>
      </c>
      <c r="K1139" t="s">
        <v>1</v>
      </c>
      <c r="L1139">
        <v>0.1</v>
      </c>
      <c r="M1139">
        <v>91.4</v>
      </c>
      <c r="N1139">
        <v>9</v>
      </c>
      <c r="O1139">
        <v>91.5</v>
      </c>
      <c r="P1139">
        <v>1</v>
      </c>
      <c r="Q1139">
        <v>10.67</v>
      </c>
    </row>
    <row r="1140" spans="2:17">
      <c r="B1140">
        <v>5484</v>
      </c>
      <c r="C1140" t="s">
        <v>2908</v>
      </c>
      <c r="D1140" s="3">
        <v>38156</v>
      </c>
      <c r="E1140">
        <v>25</v>
      </c>
      <c r="F1140" s="3">
        <v>608329</v>
      </c>
      <c r="G1140">
        <v>16.100000000000001</v>
      </c>
      <c r="H1140">
        <v>16.100000000000001</v>
      </c>
      <c r="I1140">
        <v>15.85</v>
      </c>
      <c r="J1140">
        <v>16</v>
      </c>
      <c r="K1140" t="s">
        <v>1</v>
      </c>
      <c r="L1140">
        <v>0.1</v>
      </c>
      <c r="M1140">
        <v>15.9</v>
      </c>
      <c r="N1140">
        <v>1</v>
      </c>
      <c r="O1140">
        <v>16.05</v>
      </c>
      <c r="P1140">
        <v>1</v>
      </c>
      <c r="Q1140">
        <v>0</v>
      </c>
    </row>
    <row r="1141" spans="2:17">
      <c r="B1141">
        <v>5515</v>
      </c>
      <c r="C1141" t="s">
        <v>2440</v>
      </c>
      <c r="D1141" s="3">
        <v>325545</v>
      </c>
      <c r="E1141">
        <v>151</v>
      </c>
      <c r="F1141" s="3">
        <v>4527114</v>
      </c>
      <c r="G1141">
        <v>14</v>
      </c>
      <c r="H1141">
        <v>14</v>
      </c>
      <c r="I1141">
        <v>13.8</v>
      </c>
      <c r="J1141">
        <v>14</v>
      </c>
      <c r="K1141" t="s">
        <v>1328</v>
      </c>
      <c r="L1141">
        <v>0</v>
      </c>
      <c r="M1141">
        <v>13.9</v>
      </c>
      <c r="N1141">
        <v>5</v>
      </c>
      <c r="O1141">
        <v>14</v>
      </c>
      <c r="P1141">
        <v>9</v>
      </c>
      <c r="Q1141">
        <v>7.73</v>
      </c>
    </row>
    <row r="1142" spans="2:17">
      <c r="B1142">
        <v>5519</v>
      </c>
      <c r="C1142" t="s">
        <v>2441</v>
      </c>
      <c r="D1142" s="3">
        <v>327025</v>
      </c>
      <c r="E1142">
        <v>161</v>
      </c>
      <c r="F1142" s="3">
        <v>6957114</v>
      </c>
      <c r="G1142">
        <v>21.25</v>
      </c>
      <c r="H1142">
        <v>21.3</v>
      </c>
      <c r="I1142">
        <v>21.25</v>
      </c>
      <c r="J1142">
        <v>21.3</v>
      </c>
      <c r="K1142" t="s">
        <v>1362</v>
      </c>
      <c r="L1142">
        <v>0.05</v>
      </c>
      <c r="M1142">
        <v>21.25</v>
      </c>
      <c r="N1142">
        <v>31</v>
      </c>
      <c r="O1142">
        <v>21.3</v>
      </c>
      <c r="P1142">
        <v>91</v>
      </c>
      <c r="Q1142">
        <v>9.4700000000000006</v>
      </c>
    </row>
    <row r="1143" spans="2:17">
      <c r="B1143">
        <v>5521</v>
      </c>
      <c r="C1143" t="s">
        <v>2442</v>
      </c>
      <c r="D1143" s="3">
        <v>1299920</v>
      </c>
      <c r="E1143">
        <v>522</v>
      </c>
      <c r="F1143" s="3">
        <v>10929274</v>
      </c>
      <c r="G1143">
        <v>8.4499999999999993</v>
      </c>
      <c r="H1143">
        <v>8.4600000000000009</v>
      </c>
      <c r="I1143">
        <v>8.3699999999999992</v>
      </c>
      <c r="J1143">
        <v>8.43</v>
      </c>
      <c r="K1143" t="s">
        <v>1362</v>
      </c>
      <c r="L1143">
        <v>0.03</v>
      </c>
      <c r="M1143">
        <v>8.43</v>
      </c>
      <c r="N1143">
        <v>8</v>
      </c>
      <c r="O1143">
        <v>8.44</v>
      </c>
      <c r="P1143">
        <v>15</v>
      </c>
      <c r="Q1143">
        <v>0</v>
      </c>
    </row>
    <row r="1144" spans="2:17">
      <c r="B1144">
        <v>5522</v>
      </c>
      <c r="C1144" t="s">
        <v>2443</v>
      </c>
      <c r="D1144" s="3">
        <v>259896</v>
      </c>
      <c r="E1144">
        <v>244</v>
      </c>
      <c r="F1144" s="3">
        <v>16157865</v>
      </c>
      <c r="G1144">
        <v>62.7</v>
      </c>
      <c r="H1144">
        <v>62.7</v>
      </c>
      <c r="I1144">
        <v>62</v>
      </c>
      <c r="J1144">
        <v>62.2</v>
      </c>
      <c r="K1144" t="s">
        <v>1</v>
      </c>
      <c r="L1144">
        <v>0.3</v>
      </c>
      <c r="M1144">
        <v>62.1</v>
      </c>
      <c r="N1144">
        <v>23</v>
      </c>
      <c r="O1144">
        <v>62.3</v>
      </c>
      <c r="P1144">
        <v>2</v>
      </c>
      <c r="Q1144">
        <v>10.11</v>
      </c>
    </row>
    <row r="1145" spans="2:17">
      <c r="B1145">
        <v>5525</v>
      </c>
      <c r="C1145" t="s">
        <v>2444</v>
      </c>
      <c r="D1145" s="3">
        <v>42790</v>
      </c>
      <c r="E1145">
        <v>30</v>
      </c>
      <c r="F1145" s="3">
        <v>1212914</v>
      </c>
      <c r="G1145">
        <v>28.35</v>
      </c>
      <c r="H1145">
        <v>28.4</v>
      </c>
      <c r="I1145">
        <v>28.3</v>
      </c>
      <c r="J1145">
        <v>28.4</v>
      </c>
      <c r="K1145" t="s">
        <v>1362</v>
      </c>
      <c r="L1145">
        <v>0.1</v>
      </c>
      <c r="M1145">
        <v>28.3</v>
      </c>
      <c r="N1145">
        <v>2</v>
      </c>
      <c r="O1145">
        <v>28.4</v>
      </c>
      <c r="P1145">
        <v>28</v>
      </c>
      <c r="Q1145">
        <v>0</v>
      </c>
    </row>
    <row r="1146" spans="2:17">
      <c r="B1146">
        <v>5531</v>
      </c>
      <c r="C1146" t="s">
        <v>2445</v>
      </c>
      <c r="D1146" s="3">
        <v>341174</v>
      </c>
      <c r="E1146">
        <v>170</v>
      </c>
      <c r="F1146" s="3">
        <v>3744926</v>
      </c>
      <c r="G1146">
        <v>10.95</v>
      </c>
      <c r="H1146">
        <v>11.05</v>
      </c>
      <c r="I1146">
        <v>10.9</v>
      </c>
      <c r="J1146">
        <v>11</v>
      </c>
      <c r="K1146" t="s">
        <v>1</v>
      </c>
      <c r="L1146">
        <v>0.05</v>
      </c>
      <c r="M1146">
        <v>10.95</v>
      </c>
      <c r="N1146">
        <v>9</v>
      </c>
      <c r="O1146">
        <v>11</v>
      </c>
      <c r="P1146">
        <v>14</v>
      </c>
      <c r="Q1146" s="8">
        <v>1100</v>
      </c>
    </row>
    <row r="1147" spans="2:17">
      <c r="B1147">
        <v>5533</v>
      </c>
      <c r="C1147" t="s">
        <v>2446</v>
      </c>
      <c r="D1147" s="3">
        <v>109000</v>
      </c>
      <c r="E1147">
        <v>77</v>
      </c>
      <c r="F1147" s="3">
        <v>2073700</v>
      </c>
      <c r="G1147">
        <v>19.05</v>
      </c>
      <c r="H1147">
        <v>19.100000000000001</v>
      </c>
      <c r="I1147">
        <v>18.95</v>
      </c>
      <c r="J1147">
        <v>19.100000000000001</v>
      </c>
      <c r="K1147" t="s">
        <v>1362</v>
      </c>
      <c r="L1147">
        <v>0.05</v>
      </c>
      <c r="M1147">
        <v>19</v>
      </c>
      <c r="N1147">
        <v>3</v>
      </c>
      <c r="O1147">
        <v>19.100000000000001</v>
      </c>
      <c r="P1147">
        <v>34</v>
      </c>
      <c r="Q1147">
        <v>9.9</v>
      </c>
    </row>
    <row r="1148" spans="2:17">
      <c r="B1148">
        <v>5534</v>
      </c>
      <c r="C1148" t="s">
        <v>2447</v>
      </c>
      <c r="D1148" s="3">
        <v>327386</v>
      </c>
      <c r="E1148">
        <v>243</v>
      </c>
      <c r="F1148" s="3">
        <v>23628346</v>
      </c>
      <c r="G1148">
        <v>72.3</v>
      </c>
      <c r="H1148">
        <v>72.599999999999994</v>
      </c>
      <c r="I1148">
        <v>72</v>
      </c>
      <c r="J1148">
        <v>72.2</v>
      </c>
      <c r="K1148" t="s">
        <v>1</v>
      </c>
      <c r="L1148">
        <v>0.1</v>
      </c>
      <c r="M1148">
        <v>72.2</v>
      </c>
      <c r="N1148">
        <v>7</v>
      </c>
      <c r="O1148">
        <v>72.3</v>
      </c>
      <c r="P1148">
        <v>3</v>
      </c>
      <c r="Q1148">
        <v>15.23</v>
      </c>
    </row>
    <row r="1149" spans="2:17">
      <c r="B1149">
        <v>5538</v>
      </c>
      <c r="C1149" t="s">
        <v>2448</v>
      </c>
      <c r="D1149" s="3">
        <v>93413</v>
      </c>
      <c r="E1149">
        <v>90</v>
      </c>
      <c r="F1149" s="3">
        <v>4883038</v>
      </c>
      <c r="G1149">
        <v>52.2</v>
      </c>
      <c r="H1149">
        <v>52.5</v>
      </c>
      <c r="I1149">
        <v>52.1</v>
      </c>
      <c r="J1149">
        <v>52.1</v>
      </c>
      <c r="K1149" t="s">
        <v>1</v>
      </c>
      <c r="L1149">
        <v>0.3</v>
      </c>
      <c r="M1149">
        <v>52.1</v>
      </c>
      <c r="N1149">
        <v>6</v>
      </c>
      <c r="O1149">
        <v>52.2</v>
      </c>
      <c r="P1149">
        <v>2</v>
      </c>
      <c r="Q1149">
        <v>8.68</v>
      </c>
    </row>
    <row r="1150" spans="2:17">
      <c r="B1150">
        <v>5546</v>
      </c>
      <c r="C1150" t="s">
        <v>2449</v>
      </c>
      <c r="D1150" s="3">
        <v>31000</v>
      </c>
      <c r="E1150">
        <v>21</v>
      </c>
      <c r="F1150" s="3">
        <v>1801700</v>
      </c>
      <c r="G1150">
        <v>58.1</v>
      </c>
      <c r="H1150">
        <v>58.5</v>
      </c>
      <c r="I1150">
        <v>57.9</v>
      </c>
      <c r="J1150">
        <v>58.2</v>
      </c>
      <c r="K1150" t="s">
        <v>1</v>
      </c>
      <c r="L1150">
        <v>0.2</v>
      </c>
      <c r="M1150">
        <v>58</v>
      </c>
      <c r="N1150">
        <v>1</v>
      </c>
      <c r="O1150">
        <v>58.2</v>
      </c>
      <c r="P1150">
        <v>8</v>
      </c>
      <c r="Q1150">
        <v>12.82</v>
      </c>
    </row>
    <row r="1151" spans="2:17">
      <c r="B1151">
        <v>5607</v>
      </c>
      <c r="C1151" t="s">
        <v>2450</v>
      </c>
      <c r="D1151" s="3">
        <v>664469</v>
      </c>
      <c r="E1151">
        <v>968</v>
      </c>
      <c r="F1151" s="3">
        <v>45007187</v>
      </c>
      <c r="G1151">
        <v>68.400000000000006</v>
      </c>
      <c r="H1151">
        <v>68.599999999999994</v>
      </c>
      <c r="I1151">
        <v>66.900000000000006</v>
      </c>
      <c r="J1151">
        <v>67.099999999999994</v>
      </c>
      <c r="K1151" t="s">
        <v>1</v>
      </c>
      <c r="L1151">
        <v>0.5</v>
      </c>
      <c r="M1151">
        <v>67.099999999999994</v>
      </c>
      <c r="N1151">
        <v>1</v>
      </c>
      <c r="O1151">
        <v>67.2</v>
      </c>
      <c r="P1151">
        <v>3</v>
      </c>
      <c r="Q1151">
        <v>26.63</v>
      </c>
    </row>
    <row r="1152" spans="2:17">
      <c r="B1152">
        <v>5608</v>
      </c>
      <c r="C1152" t="s">
        <v>2451</v>
      </c>
      <c r="D1152" s="3">
        <v>9379434</v>
      </c>
      <c r="E1152" s="3">
        <v>4964</v>
      </c>
      <c r="F1152" s="3">
        <v>437300148</v>
      </c>
      <c r="G1152">
        <v>46.6</v>
      </c>
      <c r="H1152">
        <v>47.5</v>
      </c>
      <c r="I1152">
        <v>45.9</v>
      </c>
      <c r="J1152">
        <v>45.9</v>
      </c>
      <c r="K1152" t="s">
        <v>1</v>
      </c>
      <c r="L1152">
        <v>0.2</v>
      </c>
      <c r="M1152">
        <v>45.9</v>
      </c>
      <c r="N1152">
        <v>23</v>
      </c>
      <c r="O1152">
        <v>45.95</v>
      </c>
      <c r="P1152">
        <v>2</v>
      </c>
      <c r="Q1152">
        <v>10.36</v>
      </c>
    </row>
    <row r="1153" spans="2:17">
      <c r="B1153">
        <v>5706</v>
      </c>
      <c r="C1153" t="s">
        <v>2452</v>
      </c>
      <c r="D1153" s="3">
        <v>113024</v>
      </c>
      <c r="E1153">
        <v>185</v>
      </c>
      <c r="F1153" s="3">
        <v>4821588</v>
      </c>
      <c r="G1153">
        <v>43</v>
      </c>
      <c r="H1153">
        <v>43</v>
      </c>
      <c r="I1153">
        <v>42.45</v>
      </c>
      <c r="J1153">
        <v>42.5</v>
      </c>
      <c r="K1153" t="s">
        <v>1</v>
      </c>
      <c r="L1153">
        <v>0.4</v>
      </c>
      <c r="M1153">
        <v>42.5</v>
      </c>
      <c r="N1153">
        <v>4</v>
      </c>
      <c r="O1153">
        <v>42.55</v>
      </c>
      <c r="P1153">
        <v>1</v>
      </c>
      <c r="Q1153">
        <v>40.869999999999997</v>
      </c>
    </row>
    <row r="1154" spans="2:17">
      <c r="B1154">
        <v>5871</v>
      </c>
      <c r="C1154" t="s">
        <v>2453</v>
      </c>
      <c r="D1154" s="3">
        <v>2679133</v>
      </c>
      <c r="E1154" s="3">
        <v>2525</v>
      </c>
      <c r="F1154" s="3">
        <v>699317780</v>
      </c>
      <c r="G1154">
        <v>257</v>
      </c>
      <c r="H1154">
        <v>264.5</v>
      </c>
      <c r="I1154">
        <v>256.5</v>
      </c>
      <c r="J1154">
        <v>264</v>
      </c>
      <c r="K1154" t="s">
        <v>1362</v>
      </c>
      <c r="L1154">
        <v>8.5</v>
      </c>
      <c r="M1154">
        <v>264</v>
      </c>
      <c r="N1154">
        <v>112</v>
      </c>
      <c r="O1154">
        <v>264.5</v>
      </c>
      <c r="P1154">
        <v>77</v>
      </c>
      <c r="Q1154">
        <v>20.59</v>
      </c>
    </row>
    <row r="1155" spans="2:17">
      <c r="B1155" t="s">
        <v>2454</v>
      </c>
      <c r="C1155" t="s">
        <v>2455</v>
      </c>
      <c r="D1155" s="3">
        <v>18182</v>
      </c>
      <c r="E1155">
        <v>38</v>
      </c>
      <c r="F1155" s="3">
        <v>1837382</v>
      </c>
      <c r="G1155">
        <v>101</v>
      </c>
      <c r="H1155">
        <v>101.5</v>
      </c>
      <c r="I1155">
        <v>101</v>
      </c>
      <c r="J1155">
        <v>101.5</v>
      </c>
      <c r="K1155" t="s">
        <v>1328</v>
      </c>
      <c r="L1155">
        <v>0</v>
      </c>
      <c r="M1155">
        <v>101</v>
      </c>
      <c r="N1155">
        <v>587</v>
      </c>
      <c r="O1155">
        <v>101.5</v>
      </c>
      <c r="P1155">
        <v>111</v>
      </c>
      <c r="Q1155">
        <v>0</v>
      </c>
    </row>
    <row r="1156" spans="2:17">
      <c r="B1156">
        <v>5876</v>
      </c>
      <c r="C1156" t="s">
        <v>14</v>
      </c>
      <c r="D1156" s="3">
        <v>2638642</v>
      </c>
      <c r="E1156" s="3">
        <v>1417</v>
      </c>
      <c r="F1156" s="3">
        <v>124975689</v>
      </c>
      <c r="G1156">
        <v>47.4</v>
      </c>
      <c r="H1156">
        <v>47.5</v>
      </c>
      <c r="I1156">
        <v>47.15</v>
      </c>
      <c r="J1156">
        <v>47.3</v>
      </c>
      <c r="K1156" t="s">
        <v>1</v>
      </c>
      <c r="L1156">
        <v>0.1</v>
      </c>
      <c r="M1156">
        <v>47.3</v>
      </c>
      <c r="N1156">
        <v>21</v>
      </c>
      <c r="O1156">
        <v>47.35</v>
      </c>
      <c r="P1156">
        <v>67</v>
      </c>
      <c r="Q1156">
        <v>15.06</v>
      </c>
    </row>
    <row r="1157" spans="2:17">
      <c r="B1157">
        <v>5880</v>
      </c>
      <c r="C1157" t="s">
        <v>2456</v>
      </c>
      <c r="D1157" s="3">
        <v>14900759</v>
      </c>
      <c r="E1157" s="3">
        <v>4635</v>
      </c>
      <c r="F1157" s="3">
        <v>375241545</v>
      </c>
      <c r="G1157">
        <v>25</v>
      </c>
      <c r="H1157">
        <v>25.45</v>
      </c>
      <c r="I1157">
        <v>25</v>
      </c>
      <c r="J1157">
        <v>25.35</v>
      </c>
      <c r="K1157" t="s">
        <v>1362</v>
      </c>
      <c r="L1157">
        <v>0.35</v>
      </c>
      <c r="M1157">
        <v>25.3</v>
      </c>
      <c r="N1157">
        <v>109</v>
      </c>
      <c r="O1157">
        <v>25.35</v>
      </c>
      <c r="P1157">
        <v>320</v>
      </c>
      <c r="Q1157">
        <v>16.79</v>
      </c>
    </row>
    <row r="1158" spans="2:17">
      <c r="B1158">
        <v>5906</v>
      </c>
      <c r="C1158" t="s">
        <v>2457</v>
      </c>
      <c r="D1158" s="3">
        <v>1001</v>
      </c>
      <c r="E1158">
        <v>2</v>
      </c>
      <c r="F1158" s="3">
        <v>39489</v>
      </c>
      <c r="G1158">
        <v>39.450000000000003</v>
      </c>
      <c r="H1158">
        <v>39.450000000000003</v>
      </c>
      <c r="I1158">
        <v>39.450000000000003</v>
      </c>
      <c r="J1158">
        <v>39.450000000000003</v>
      </c>
      <c r="K1158" t="s">
        <v>1328</v>
      </c>
      <c r="L1158">
        <v>0</v>
      </c>
      <c r="M1158">
        <v>39.450000000000003</v>
      </c>
      <c r="N1158">
        <v>1</v>
      </c>
      <c r="O1158">
        <v>39.5</v>
      </c>
      <c r="P1158">
        <v>1</v>
      </c>
      <c r="Q1158">
        <v>11.92</v>
      </c>
    </row>
    <row r="1159" spans="2:17">
      <c r="B1159">
        <v>5907</v>
      </c>
      <c r="C1159" t="s">
        <v>2458</v>
      </c>
      <c r="D1159" s="3">
        <v>142102</v>
      </c>
      <c r="E1159">
        <v>89</v>
      </c>
      <c r="F1159" s="3">
        <v>2519611</v>
      </c>
      <c r="G1159">
        <v>17.95</v>
      </c>
      <c r="H1159">
        <v>17.95</v>
      </c>
      <c r="I1159">
        <v>17.600000000000001</v>
      </c>
      <c r="J1159">
        <v>17.75</v>
      </c>
      <c r="K1159" t="s">
        <v>1</v>
      </c>
      <c r="L1159">
        <v>0.3</v>
      </c>
      <c r="M1159">
        <v>17.7</v>
      </c>
      <c r="N1159">
        <v>11</v>
      </c>
      <c r="O1159">
        <v>17.75</v>
      </c>
      <c r="P1159">
        <v>1</v>
      </c>
      <c r="Q1159">
        <v>80.680000000000007</v>
      </c>
    </row>
    <row r="1160" spans="2:17">
      <c r="B1160">
        <v>6005</v>
      </c>
      <c r="C1160" t="s">
        <v>15</v>
      </c>
      <c r="D1160" s="3">
        <v>2866230</v>
      </c>
      <c r="E1160" s="3">
        <v>1192</v>
      </c>
      <c r="F1160" s="3">
        <v>48014022</v>
      </c>
      <c r="G1160">
        <v>16.75</v>
      </c>
      <c r="H1160">
        <v>16.8</v>
      </c>
      <c r="I1160">
        <v>16.7</v>
      </c>
      <c r="J1160">
        <v>16.75</v>
      </c>
      <c r="K1160" t="s">
        <v>1328</v>
      </c>
      <c r="L1160">
        <v>0</v>
      </c>
      <c r="M1160">
        <v>16.75</v>
      </c>
      <c r="N1160">
        <v>104</v>
      </c>
      <c r="O1160">
        <v>16.8</v>
      </c>
      <c r="P1160" s="3">
        <v>1068</v>
      </c>
      <c r="Q1160">
        <v>6.95</v>
      </c>
    </row>
    <row r="1161" spans="2:17">
      <c r="B1161">
        <v>6024</v>
      </c>
      <c r="C1161" t="s">
        <v>2459</v>
      </c>
      <c r="D1161" s="3">
        <v>104024</v>
      </c>
      <c r="E1161">
        <v>99</v>
      </c>
      <c r="F1161" s="3">
        <v>4046869</v>
      </c>
      <c r="G1161">
        <v>39</v>
      </c>
      <c r="H1161">
        <v>39</v>
      </c>
      <c r="I1161">
        <v>38.799999999999997</v>
      </c>
      <c r="J1161">
        <v>38.9</v>
      </c>
      <c r="K1161" t="s">
        <v>1</v>
      </c>
      <c r="L1161">
        <v>0.1</v>
      </c>
      <c r="M1161">
        <v>38.85</v>
      </c>
      <c r="N1161">
        <v>11</v>
      </c>
      <c r="O1161">
        <v>38.950000000000003</v>
      </c>
      <c r="P1161">
        <v>8</v>
      </c>
      <c r="Q1161">
        <v>15.32</v>
      </c>
    </row>
    <row r="1162" spans="2:17">
      <c r="B1162">
        <v>6108</v>
      </c>
      <c r="C1162" t="s">
        <v>2460</v>
      </c>
      <c r="D1162" s="3">
        <v>508526</v>
      </c>
      <c r="E1162">
        <v>297</v>
      </c>
      <c r="F1162" s="3">
        <v>11210093</v>
      </c>
      <c r="G1162">
        <v>22.25</v>
      </c>
      <c r="H1162">
        <v>22.25</v>
      </c>
      <c r="I1162">
        <v>21.85</v>
      </c>
      <c r="J1162">
        <v>21.9</v>
      </c>
      <c r="K1162" t="s">
        <v>1</v>
      </c>
      <c r="L1162">
        <v>0.2</v>
      </c>
      <c r="M1162">
        <v>21.85</v>
      </c>
      <c r="N1162">
        <v>3</v>
      </c>
      <c r="O1162">
        <v>21.95</v>
      </c>
      <c r="P1162">
        <v>51</v>
      </c>
      <c r="Q1162">
        <v>23.3</v>
      </c>
    </row>
    <row r="1163" spans="2:17">
      <c r="B1163">
        <v>6112</v>
      </c>
      <c r="C1163" t="s">
        <v>2461</v>
      </c>
      <c r="D1163" s="3">
        <v>66161</v>
      </c>
      <c r="E1163">
        <v>86</v>
      </c>
      <c r="F1163" s="3">
        <v>2609979</v>
      </c>
      <c r="G1163">
        <v>39.5</v>
      </c>
      <c r="H1163">
        <v>39.65</v>
      </c>
      <c r="I1163">
        <v>39.35</v>
      </c>
      <c r="J1163">
        <v>39.35</v>
      </c>
      <c r="K1163" t="s">
        <v>1</v>
      </c>
      <c r="L1163">
        <v>0.15</v>
      </c>
      <c r="M1163">
        <v>39.35</v>
      </c>
      <c r="N1163">
        <v>6</v>
      </c>
      <c r="O1163">
        <v>39.450000000000003</v>
      </c>
      <c r="P1163">
        <v>2</v>
      </c>
      <c r="Q1163">
        <v>12.78</v>
      </c>
    </row>
    <row r="1164" spans="2:17">
      <c r="B1164">
        <v>6115</v>
      </c>
      <c r="C1164" t="s">
        <v>2462</v>
      </c>
      <c r="D1164" s="3">
        <v>90736</v>
      </c>
      <c r="E1164">
        <v>89</v>
      </c>
      <c r="F1164" s="3">
        <v>3887036</v>
      </c>
      <c r="G1164">
        <v>42.8</v>
      </c>
      <c r="H1164">
        <v>42.95</v>
      </c>
      <c r="I1164">
        <v>42.7</v>
      </c>
      <c r="J1164">
        <v>42.85</v>
      </c>
      <c r="K1164" t="s">
        <v>1362</v>
      </c>
      <c r="L1164">
        <v>0.05</v>
      </c>
      <c r="M1164">
        <v>42.85</v>
      </c>
      <c r="N1164">
        <v>15</v>
      </c>
      <c r="O1164">
        <v>42.9</v>
      </c>
      <c r="P1164">
        <v>7</v>
      </c>
      <c r="Q1164">
        <v>15.47</v>
      </c>
    </row>
    <row r="1165" spans="2:17">
      <c r="B1165">
        <v>6116</v>
      </c>
      <c r="C1165" t="s">
        <v>2463</v>
      </c>
      <c r="D1165" s="3">
        <v>43541135</v>
      </c>
      <c r="E1165" s="3">
        <v>13737</v>
      </c>
      <c r="F1165" s="3">
        <v>779151048</v>
      </c>
      <c r="G1165">
        <v>18</v>
      </c>
      <c r="H1165">
        <v>18.100000000000001</v>
      </c>
      <c r="I1165">
        <v>17.649999999999999</v>
      </c>
      <c r="J1165">
        <v>17.8</v>
      </c>
      <c r="K1165" t="s">
        <v>1</v>
      </c>
      <c r="L1165">
        <v>0.1</v>
      </c>
      <c r="M1165">
        <v>17.75</v>
      </c>
      <c r="N1165">
        <v>51</v>
      </c>
      <c r="O1165">
        <v>17.8</v>
      </c>
      <c r="P1165">
        <v>211</v>
      </c>
      <c r="Q1165">
        <v>5.43</v>
      </c>
    </row>
    <row r="1166" spans="2:17">
      <c r="B1166">
        <v>6117</v>
      </c>
      <c r="C1166" t="s">
        <v>2464</v>
      </c>
      <c r="D1166" s="3">
        <v>771499</v>
      </c>
      <c r="E1166">
        <v>277</v>
      </c>
      <c r="F1166" s="3">
        <v>14803848</v>
      </c>
      <c r="G1166">
        <v>17.8</v>
      </c>
      <c r="H1166">
        <v>19.350000000000001</v>
      </c>
      <c r="I1166">
        <v>17.8</v>
      </c>
      <c r="J1166">
        <v>19.350000000000001</v>
      </c>
      <c r="K1166" t="s">
        <v>1362</v>
      </c>
      <c r="L1166">
        <v>1.75</v>
      </c>
      <c r="M1166">
        <v>19.350000000000001</v>
      </c>
      <c r="N1166" s="3">
        <v>1213</v>
      </c>
      <c r="O1166" t="s">
        <v>1391</v>
      </c>
      <c r="P1166">
        <v>0</v>
      </c>
      <c r="Q1166">
        <v>0</v>
      </c>
    </row>
    <row r="1167" spans="2:17">
      <c r="B1167">
        <v>6120</v>
      </c>
      <c r="C1167" t="s">
        <v>2465</v>
      </c>
      <c r="D1167" s="3">
        <v>22797061</v>
      </c>
      <c r="E1167" s="3">
        <v>5734</v>
      </c>
      <c r="F1167" s="3">
        <v>337994802</v>
      </c>
      <c r="G1167">
        <v>14.7</v>
      </c>
      <c r="H1167">
        <v>15.1</v>
      </c>
      <c r="I1167">
        <v>14.35</v>
      </c>
      <c r="J1167">
        <v>14.6</v>
      </c>
      <c r="K1167" t="s">
        <v>1362</v>
      </c>
      <c r="L1167">
        <v>0.15</v>
      </c>
      <c r="M1167">
        <v>14.6</v>
      </c>
      <c r="N1167">
        <v>164</v>
      </c>
      <c r="O1167">
        <v>14.65</v>
      </c>
      <c r="P1167">
        <v>3</v>
      </c>
      <c r="Q1167">
        <v>0</v>
      </c>
    </row>
    <row r="1168" spans="2:17">
      <c r="B1168">
        <v>6128</v>
      </c>
      <c r="C1168" t="s">
        <v>2466</v>
      </c>
      <c r="D1168" s="3">
        <v>96736</v>
      </c>
      <c r="E1168">
        <v>79</v>
      </c>
      <c r="F1168" s="3">
        <v>2772086</v>
      </c>
      <c r="G1168">
        <v>28.7</v>
      </c>
      <c r="H1168">
        <v>29.15</v>
      </c>
      <c r="I1168">
        <v>28.55</v>
      </c>
      <c r="J1168">
        <v>28.65</v>
      </c>
      <c r="K1168" t="s">
        <v>1</v>
      </c>
      <c r="L1168">
        <v>0.05</v>
      </c>
      <c r="M1168">
        <v>28.6</v>
      </c>
      <c r="N1168">
        <v>1</v>
      </c>
      <c r="O1168">
        <v>28.65</v>
      </c>
      <c r="P1168">
        <v>1</v>
      </c>
      <c r="Q1168">
        <v>12.14</v>
      </c>
    </row>
    <row r="1169" spans="2:17">
      <c r="B1169">
        <v>6133</v>
      </c>
      <c r="C1169" t="s">
        <v>2467</v>
      </c>
      <c r="D1169" s="3">
        <v>972817</v>
      </c>
      <c r="E1169">
        <v>380</v>
      </c>
      <c r="F1169" s="3">
        <v>10586328</v>
      </c>
      <c r="G1169">
        <v>11</v>
      </c>
      <c r="H1169">
        <v>11.1</v>
      </c>
      <c r="I1169">
        <v>10.75</v>
      </c>
      <c r="J1169">
        <v>10.85</v>
      </c>
      <c r="K1169" t="s">
        <v>1</v>
      </c>
      <c r="L1169">
        <v>0.2</v>
      </c>
      <c r="M1169">
        <v>10.85</v>
      </c>
      <c r="N1169">
        <v>16</v>
      </c>
      <c r="O1169">
        <v>10.9</v>
      </c>
      <c r="P1169">
        <v>15</v>
      </c>
      <c r="Q1169">
        <v>0</v>
      </c>
    </row>
    <row r="1170" spans="2:17">
      <c r="B1170">
        <v>6136</v>
      </c>
      <c r="C1170" t="s">
        <v>2468</v>
      </c>
      <c r="D1170" s="3">
        <v>720102</v>
      </c>
      <c r="E1170">
        <v>358</v>
      </c>
      <c r="F1170" s="3">
        <v>14079876</v>
      </c>
      <c r="G1170">
        <v>19.850000000000001</v>
      </c>
      <c r="H1170">
        <v>19.850000000000001</v>
      </c>
      <c r="I1170">
        <v>19.5</v>
      </c>
      <c r="J1170">
        <v>19.5</v>
      </c>
      <c r="K1170" t="s">
        <v>1</v>
      </c>
      <c r="L1170">
        <v>0.25</v>
      </c>
      <c r="M1170">
        <v>19.5</v>
      </c>
      <c r="N1170">
        <v>41</v>
      </c>
      <c r="O1170">
        <v>19.55</v>
      </c>
      <c r="P1170">
        <v>8</v>
      </c>
      <c r="Q1170">
        <v>31.97</v>
      </c>
    </row>
    <row r="1171" spans="2:17">
      <c r="B1171">
        <v>6139</v>
      </c>
      <c r="C1171" t="s">
        <v>2469</v>
      </c>
      <c r="D1171" s="3">
        <v>2339859</v>
      </c>
      <c r="E1171" s="3">
        <v>1387</v>
      </c>
      <c r="F1171" s="3">
        <v>72197624</v>
      </c>
      <c r="G1171">
        <v>30.55</v>
      </c>
      <c r="H1171">
        <v>31.7</v>
      </c>
      <c r="I1171">
        <v>30.2</v>
      </c>
      <c r="J1171">
        <v>30.95</v>
      </c>
      <c r="K1171" t="s">
        <v>1362</v>
      </c>
      <c r="L1171">
        <v>0.15</v>
      </c>
      <c r="M1171">
        <v>30.95</v>
      </c>
      <c r="N1171">
        <v>17</v>
      </c>
      <c r="O1171">
        <v>31</v>
      </c>
      <c r="P1171">
        <v>58</v>
      </c>
      <c r="Q1171">
        <v>31.91</v>
      </c>
    </row>
    <row r="1172" spans="2:17">
      <c r="B1172">
        <v>6141</v>
      </c>
      <c r="C1172" t="s">
        <v>3160</v>
      </c>
      <c r="D1172" s="3">
        <v>3977893</v>
      </c>
      <c r="E1172" s="3">
        <v>2688</v>
      </c>
      <c r="F1172" s="3">
        <v>127593595</v>
      </c>
      <c r="G1172">
        <v>31.55</v>
      </c>
      <c r="H1172">
        <v>33</v>
      </c>
      <c r="I1172">
        <v>30.05</v>
      </c>
      <c r="J1172">
        <v>32.200000000000003</v>
      </c>
      <c r="K1172" t="s">
        <v>1362</v>
      </c>
      <c r="L1172">
        <v>0.65</v>
      </c>
      <c r="M1172">
        <v>32.200000000000003</v>
      </c>
      <c r="N1172">
        <v>19</v>
      </c>
      <c r="O1172">
        <v>32.5</v>
      </c>
      <c r="P1172">
        <v>13</v>
      </c>
      <c r="Q1172">
        <v>10.130000000000001</v>
      </c>
    </row>
    <row r="1173" spans="2:17">
      <c r="B1173">
        <v>6142</v>
      </c>
      <c r="C1173" t="s">
        <v>2470</v>
      </c>
      <c r="D1173" s="3">
        <v>230008</v>
      </c>
      <c r="E1173">
        <v>152</v>
      </c>
      <c r="F1173" s="3">
        <v>2614440</v>
      </c>
      <c r="G1173">
        <v>11.55</v>
      </c>
      <c r="H1173">
        <v>11.6</v>
      </c>
      <c r="I1173">
        <v>11.3</v>
      </c>
      <c r="J1173">
        <v>11.35</v>
      </c>
      <c r="K1173" t="s">
        <v>1</v>
      </c>
      <c r="L1173">
        <v>0.1</v>
      </c>
      <c r="M1173">
        <v>11.3</v>
      </c>
      <c r="N1173">
        <v>44</v>
      </c>
      <c r="O1173">
        <v>11.35</v>
      </c>
      <c r="P1173">
        <v>5</v>
      </c>
      <c r="Q1173">
        <v>0</v>
      </c>
    </row>
    <row r="1174" spans="2:17">
      <c r="B1174">
        <v>6152</v>
      </c>
      <c r="C1174" t="s">
        <v>2471</v>
      </c>
      <c r="D1174" s="3">
        <v>5299266</v>
      </c>
      <c r="E1174" s="3">
        <v>2274</v>
      </c>
      <c r="F1174" s="3">
        <v>67696661</v>
      </c>
      <c r="G1174">
        <v>12.85</v>
      </c>
      <c r="H1174">
        <v>13.2</v>
      </c>
      <c r="I1174">
        <v>12.4</v>
      </c>
      <c r="J1174">
        <v>12.65</v>
      </c>
      <c r="K1174" t="s">
        <v>1</v>
      </c>
      <c r="L1174">
        <v>0.05</v>
      </c>
      <c r="M1174">
        <v>12.65</v>
      </c>
      <c r="N1174">
        <v>3</v>
      </c>
      <c r="O1174">
        <v>12.7</v>
      </c>
      <c r="P1174">
        <v>23</v>
      </c>
      <c r="Q1174">
        <v>0</v>
      </c>
    </row>
    <row r="1175" spans="2:17">
      <c r="B1175">
        <v>6153</v>
      </c>
      <c r="C1175" t="s">
        <v>2472</v>
      </c>
      <c r="D1175" s="3">
        <v>1606761</v>
      </c>
      <c r="E1175">
        <v>987</v>
      </c>
      <c r="F1175" s="3">
        <v>41569853</v>
      </c>
      <c r="G1175">
        <v>26.2</v>
      </c>
      <c r="H1175">
        <v>26.2</v>
      </c>
      <c r="I1175">
        <v>25.7</v>
      </c>
      <c r="J1175">
        <v>25.85</v>
      </c>
      <c r="K1175" t="s">
        <v>1</v>
      </c>
      <c r="L1175">
        <v>0.15</v>
      </c>
      <c r="M1175">
        <v>25.85</v>
      </c>
      <c r="N1175">
        <v>3</v>
      </c>
      <c r="O1175">
        <v>25.9</v>
      </c>
      <c r="P1175">
        <v>31</v>
      </c>
      <c r="Q1175">
        <v>117.5</v>
      </c>
    </row>
    <row r="1176" spans="2:17">
      <c r="B1176">
        <v>6155</v>
      </c>
      <c r="C1176" t="s">
        <v>2473</v>
      </c>
      <c r="D1176" s="3">
        <v>160187</v>
      </c>
      <c r="E1176">
        <v>121</v>
      </c>
      <c r="F1176" s="3">
        <v>3965178</v>
      </c>
      <c r="G1176">
        <v>24.95</v>
      </c>
      <c r="H1176">
        <v>25.05</v>
      </c>
      <c r="I1176">
        <v>24.6</v>
      </c>
      <c r="J1176">
        <v>24.6</v>
      </c>
      <c r="K1176" t="s">
        <v>1</v>
      </c>
      <c r="L1176">
        <v>0.15</v>
      </c>
      <c r="M1176">
        <v>24.6</v>
      </c>
      <c r="N1176">
        <v>12</v>
      </c>
      <c r="O1176">
        <v>24.7</v>
      </c>
      <c r="P1176">
        <v>2</v>
      </c>
      <c r="Q1176">
        <v>34.65</v>
      </c>
    </row>
    <row r="1177" spans="2:17">
      <c r="B1177">
        <v>6164</v>
      </c>
      <c r="C1177" t="s">
        <v>2474</v>
      </c>
      <c r="D1177" s="3">
        <v>16658769</v>
      </c>
      <c r="E1177" s="3">
        <v>6818</v>
      </c>
      <c r="F1177" s="3">
        <v>289166964</v>
      </c>
      <c r="G1177">
        <v>17.95</v>
      </c>
      <c r="H1177">
        <v>18.2</v>
      </c>
      <c r="I1177">
        <v>16.7</v>
      </c>
      <c r="J1177">
        <v>17</v>
      </c>
      <c r="K1177" t="s">
        <v>1</v>
      </c>
      <c r="L1177">
        <v>0.7</v>
      </c>
      <c r="M1177">
        <v>17</v>
      </c>
      <c r="N1177">
        <v>168</v>
      </c>
      <c r="O1177">
        <v>17.05</v>
      </c>
      <c r="P1177">
        <v>55</v>
      </c>
      <c r="Q1177">
        <v>53.12</v>
      </c>
    </row>
    <row r="1178" spans="2:17">
      <c r="B1178">
        <v>6165</v>
      </c>
      <c r="C1178" t="s">
        <v>2475</v>
      </c>
      <c r="D1178" s="3">
        <v>160331</v>
      </c>
      <c r="E1178">
        <v>175</v>
      </c>
      <c r="F1178" s="3">
        <v>6090127</v>
      </c>
      <c r="G1178">
        <v>38.4</v>
      </c>
      <c r="H1178">
        <v>38.4</v>
      </c>
      <c r="I1178">
        <v>37.799999999999997</v>
      </c>
      <c r="J1178">
        <v>37.85</v>
      </c>
      <c r="K1178" t="s">
        <v>1</v>
      </c>
      <c r="L1178">
        <v>0.05</v>
      </c>
      <c r="M1178">
        <v>37.799999999999997</v>
      </c>
      <c r="N1178">
        <v>24</v>
      </c>
      <c r="O1178">
        <v>37.85</v>
      </c>
      <c r="P1178">
        <v>2</v>
      </c>
      <c r="Q1178">
        <v>8.84</v>
      </c>
    </row>
    <row r="1179" spans="2:17">
      <c r="B1179">
        <v>6166</v>
      </c>
      <c r="C1179" t="s">
        <v>2476</v>
      </c>
      <c r="D1179" s="3">
        <v>52129</v>
      </c>
      <c r="E1179">
        <v>48</v>
      </c>
      <c r="F1179" s="3">
        <v>3323179</v>
      </c>
      <c r="G1179">
        <v>63.5</v>
      </c>
      <c r="H1179">
        <v>64.2</v>
      </c>
      <c r="I1179">
        <v>62.9</v>
      </c>
      <c r="J1179">
        <v>64.2</v>
      </c>
      <c r="K1179" t="s">
        <v>1362</v>
      </c>
      <c r="L1179">
        <v>0.7</v>
      </c>
      <c r="M1179">
        <v>63.5</v>
      </c>
      <c r="N1179">
        <v>1</v>
      </c>
      <c r="O1179">
        <v>64.2</v>
      </c>
      <c r="P1179">
        <v>4</v>
      </c>
      <c r="Q1179">
        <v>156.59</v>
      </c>
    </row>
    <row r="1180" spans="2:17">
      <c r="B1180">
        <v>6168</v>
      </c>
      <c r="C1180" t="s">
        <v>2477</v>
      </c>
      <c r="D1180" s="3">
        <v>3364068</v>
      </c>
      <c r="E1180" s="3">
        <v>2062</v>
      </c>
      <c r="F1180" s="3">
        <v>93700872</v>
      </c>
      <c r="G1180">
        <v>28.35</v>
      </c>
      <c r="H1180">
        <v>28.35</v>
      </c>
      <c r="I1180">
        <v>27.5</v>
      </c>
      <c r="J1180">
        <v>27.55</v>
      </c>
      <c r="K1180" t="s">
        <v>1</v>
      </c>
      <c r="L1180">
        <v>0.7</v>
      </c>
      <c r="M1180">
        <v>27.55</v>
      </c>
      <c r="N1180">
        <v>49</v>
      </c>
      <c r="O1180">
        <v>27.6</v>
      </c>
      <c r="P1180">
        <v>20</v>
      </c>
      <c r="Q1180">
        <v>15.56</v>
      </c>
    </row>
    <row r="1181" spans="2:17">
      <c r="B1181">
        <v>6176</v>
      </c>
      <c r="C1181" t="s">
        <v>2478</v>
      </c>
      <c r="D1181" s="3">
        <v>1577570</v>
      </c>
      <c r="E1181" s="3">
        <v>1249</v>
      </c>
      <c r="F1181" s="3">
        <v>157972361</v>
      </c>
      <c r="G1181">
        <v>100.5</v>
      </c>
      <c r="H1181">
        <v>101</v>
      </c>
      <c r="I1181">
        <v>99.9</v>
      </c>
      <c r="J1181">
        <v>100.5</v>
      </c>
      <c r="K1181" t="s">
        <v>1328</v>
      </c>
      <c r="L1181">
        <v>0</v>
      </c>
      <c r="M1181">
        <v>100</v>
      </c>
      <c r="N1181">
        <v>53</v>
      </c>
      <c r="O1181">
        <v>100.5</v>
      </c>
      <c r="P1181">
        <v>137</v>
      </c>
      <c r="Q1181">
        <v>8.52</v>
      </c>
    </row>
    <row r="1182" spans="2:17">
      <c r="B1182">
        <v>6177</v>
      </c>
      <c r="C1182" t="s">
        <v>2479</v>
      </c>
      <c r="D1182" s="3">
        <v>185454</v>
      </c>
      <c r="E1182">
        <v>241</v>
      </c>
      <c r="F1182" s="3">
        <v>5594720</v>
      </c>
      <c r="G1182">
        <v>30.25</v>
      </c>
      <c r="H1182">
        <v>30.3</v>
      </c>
      <c r="I1182">
        <v>30.1</v>
      </c>
      <c r="J1182">
        <v>30.2</v>
      </c>
      <c r="K1182" t="s">
        <v>1362</v>
      </c>
      <c r="L1182">
        <v>0.15</v>
      </c>
      <c r="M1182">
        <v>30.1</v>
      </c>
      <c r="N1182">
        <v>17</v>
      </c>
      <c r="O1182">
        <v>30.2</v>
      </c>
      <c r="P1182">
        <v>29</v>
      </c>
      <c r="Q1182">
        <v>16.5</v>
      </c>
    </row>
    <row r="1183" spans="2:17">
      <c r="B1183">
        <v>6183</v>
      </c>
      <c r="C1183" t="s">
        <v>2480</v>
      </c>
      <c r="D1183" s="3">
        <v>34434</v>
      </c>
      <c r="E1183">
        <v>31</v>
      </c>
      <c r="F1183" s="3">
        <v>1756257</v>
      </c>
      <c r="G1183">
        <v>51</v>
      </c>
      <c r="H1183">
        <v>51.2</v>
      </c>
      <c r="I1183">
        <v>50.9</v>
      </c>
      <c r="J1183">
        <v>51.2</v>
      </c>
      <c r="K1183" t="s">
        <v>1362</v>
      </c>
      <c r="L1183">
        <v>0.3</v>
      </c>
      <c r="M1183">
        <v>50.9</v>
      </c>
      <c r="N1183">
        <v>6</v>
      </c>
      <c r="O1183">
        <v>51.2</v>
      </c>
      <c r="P1183">
        <v>3</v>
      </c>
      <c r="Q1183">
        <v>19.54</v>
      </c>
    </row>
    <row r="1184" spans="2:17">
      <c r="B1184">
        <v>6184</v>
      </c>
      <c r="C1184" t="s">
        <v>2481</v>
      </c>
      <c r="D1184" s="3">
        <v>44700</v>
      </c>
      <c r="E1184">
        <v>43</v>
      </c>
      <c r="F1184" s="3">
        <v>1984814</v>
      </c>
      <c r="G1184">
        <v>44.2</v>
      </c>
      <c r="H1184">
        <v>44.6</v>
      </c>
      <c r="I1184">
        <v>44.2</v>
      </c>
      <c r="J1184">
        <v>44.55</v>
      </c>
      <c r="K1184" t="s">
        <v>1362</v>
      </c>
      <c r="L1184">
        <v>0.35</v>
      </c>
      <c r="M1184">
        <v>44.55</v>
      </c>
      <c r="N1184">
        <v>5</v>
      </c>
      <c r="O1184">
        <v>44.6</v>
      </c>
      <c r="P1184">
        <v>2</v>
      </c>
      <c r="Q1184">
        <v>14.28</v>
      </c>
    </row>
    <row r="1185" spans="2:17">
      <c r="B1185">
        <v>6189</v>
      </c>
      <c r="C1185" t="s">
        <v>2482</v>
      </c>
      <c r="D1185" s="3">
        <v>714658</v>
      </c>
      <c r="E1185">
        <v>495</v>
      </c>
      <c r="F1185" s="3">
        <v>29775936</v>
      </c>
      <c r="G1185">
        <v>41.15</v>
      </c>
      <c r="H1185">
        <v>41.9</v>
      </c>
      <c r="I1185">
        <v>41.15</v>
      </c>
      <c r="J1185">
        <v>41.75</v>
      </c>
      <c r="K1185" t="s">
        <v>1362</v>
      </c>
      <c r="L1185">
        <v>0.65</v>
      </c>
      <c r="M1185">
        <v>41.75</v>
      </c>
      <c r="N1185">
        <v>6</v>
      </c>
      <c r="O1185">
        <v>41.8</v>
      </c>
      <c r="P1185">
        <v>20</v>
      </c>
      <c r="Q1185">
        <v>10.62</v>
      </c>
    </row>
    <row r="1186" spans="2:17">
      <c r="B1186">
        <v>6191</v>
      </c>
      <c r="C1186" t="s">
        <v>2884</v>
      </c>
      <c r="D1186" s="3">
        <v>9025878</v>
      </c>
      <c r="E1186" s="3">
        <v>5095</v>
      </c>
      <c r="F1186" s="3">
        <v>354281695</v>
      </c>
      <c r="G1186">
        <v>39.549999999999997</v>
      </c>
      <c r="H1186">
        <v>39.9</v>
      </c>
      <c r="I1186">
        <v>38.700000000000003</v>
      </c>
      <c r="J1186">
        <v>39.1</v>
      </c>
      <c r="K1186" t="s">
        <v>1362</v>
      </c>
      <c r="L1186">
        <v>0.1</v>
      </c>
      <c r="M1186">
        <v>39.1</v>
      </c>
      <c r="N1186">
        <v>84</v>
      </c>
      <c r="O1186">
        <v>39.15</v>
      </c>
      <c r="P1186">
        <v>52</v>
      </c>
      <c r="Q1186">
        <v>6.51</v>
      </c>
    </row>
    <row r="1187" spans="2:17">
      <c r="B1187">
        <v>6192</v>
      </c>
      <c r="C1187" t="s">
        <v>2483</v>
      </c>
      <c r="D1187" s="3">
        <v>112230</v>
      </c>
      <c r="E1187">
        <v>138</v>
      </c>
      <c r="F1187" s="3">
        <v>8255512</v>
      </c>
      <c r="G1187">
        <v>74</v>
      </c>
      <c r="H1187">
        <v>74</v>
      </c>
      <c r="I1187">
        <v>73.2</v>
      </c>
      <c r="J1187">
        <v>73.599999999999994</v>
      </c>
      <c r="K1187" t="s">
        <v>1328</v>
      </c>
      <c r="L1187">
        <v>0</v>
      </c>
      <c r="M1187">
        <v>73.599999999999994</v>
      </c>
      <c r="N1187">
        <v>6</v>
      </c>
      <c r="O1187">
        <v>73.7</v>
      </c>
      <c r="P1187">
        <v>1</v>
      </c>
      <c r="Q1187">
        <v>9.56</v>
      </c>
    </row>
    <row r="1188" spans="2:17">
      <c r="B1188">
        <v>6196</v>
      </c>
      <c r="C1188" t="s">
        <v>2484</v>
      </c>
      <c r="D1188" s="3">
        <v>4355704</v>
      </c>
      <c r="E1188" s="3">
        <v>4175</v>
      </c>
      <c r="F1188" s="3">
        <v>711728063</v>
      </c>
      <c r="G1188">
        <v>167</v>
      </c>
      <c r="H1188">
        <v>167</v>
      </c>
      <c r="I1188">
        <v>160.5</v>
      </c>
      <c r="J1188">
        <v>161.5</v>
      </c>
      <c r="K1188" t="s">
        <v>1</v>
      </c>
      <c r="L1188">
        <v>1.5</v>
      </c>
      <c r="M1188">
        <v>161.5</v>
      </c>
      <c r="N1188">
        <v>33</v>
      </c>
      <c r="O1188">
        <v>162</v>
      </c>
      <c r="P1188">
        <v>24</v>
      </c>
      <c r="Q1188">
        <v>24.03</v>
      </c>
    </row>
    <row r="1189" spans="2:17">
      <c r="B1189">
        <v>6197</v>
      </c>
      <c r="C1189" t="s">
        <v>2485</v>
      </c>
      <c r="D1189" s="3">
        <v>5225487</v>
      </c>
      <c r="E1189" s="3">
        <v>3238</v>
      </c>
      <c r="F1189" s="3">
        <v>217626935</v>
      </c>
      <c r="G1189">
        <v>39.450000000000003</v>
      </c>
      <c r="H1189">
        <v>42.95</v>
      </c>
      <c r="I1189">
        <v>39.450000000000003</v>
      </c>
      <c r="J1189">
        <v>41.3</v>
      </c>
      <c r="K1189" t="s">
        <v>1362</v>
      </c>
      <c r="L1189">
        <v>1.9</v>
      </c>
      <c r="M1189">
        <v>41.3</v>
      </c>
      <c r="N1189">
        <v>13</v>
      </c>
      <c r="O1189">
        <v>41.35</v>
      </c>
      <c r="P1189">
        <v>3</v>
      </c>
      <c r="Q1189">
        <v>16.39</v>
      </c>
    </row>
    <row r="1190" spans="2:17">
      <c r="B1190">
        <v>6201</v>
      </c>
      <c r="C1190" t="s">
        <v>2486</v>
      </c>
      <c r="D1190" s="3">
        <v>30100</v>
      </c>
      <c r="E1190">
        <v>15</v>
      </c>
      <c r="F1190" s="3">
        <v>1330430</v>
      </c>
      <c r="G1190">
        <v>44.8</v>
      </c>
      <c r="H1190">
        <v>44.8</v>
      </c>
      <c r="I1190">
        <v>44</v>
      </c>
      <c r="J1190">
        <v>44.1</v>
      </c>
      <c r="K1190" t="s">
        <v>1362</v>
      </c>
      <c r="L1190">
        <v>0.1</v>
      </c>
      <c r="M1190">
        <v>44.1</v>
      </c>
      <c r="N1190">
        <v>4</v>
      </c>
      <c r="O1190">
        <v>44.45</v>
      </c>
      <c r="P1190">
        <v>1</v>
      </c>
      <c r="Q1190">
        <v>11.89</v>
      </c>
    </row>
    <row r="1191" spans="2:17">
      <c r="B1191">
        <v>6202</v>
      </c>
      <c r="C1191" t="s">
        <v>2487</v>
      </c>
      <c r="D1191" s="3">
        <v>456712</v>
      </c>
      <c r="E1191">
        <v>426</v>
      </c>
      <c r="F1191" s="3">
        <v>48756456</v>
      </c>
      <c r="G1191">
        <v>107.5</v>
      </c>
      <c r="H1191">
        <v>108</v>
      </c>
      <c r="I1191">
        <v>106.5</v>
      </c>
      <c r="J1191">
        <v>106.5</v>
      </c>
      <c r="K1191" t="s">
        <v>1</v>
      </c>
      <c r="L1191">
        <v>0.5</v>
      </c>
      <c r="M1191">
        <v>106.5</v>
      </c>
      <c r="N1191">
        <v>21</v>
      </c>
      <c r="O1191">
        <v>107</v>
      </c>
      <c r="P1191">
        <v>50</v>
      </c>
      <c r="Q1191">
        <v>12.44</v>
      </c>
    </row>
    <row r="1192" spans="2:17">
      <c r="B1192">
        <v>6205</v>
      </c>
      <c r="C1192" t="s">
        <v>2488</v>
      </c>
      <c r="D1192" s="3">
        <v>4823702</v>
      </c>
      <c r="E1192" s="3">
        <v>2899</v>
      </c>
      <c r="F1192" s="3">
        <v>379980546</v>
      </c>
      <c r="G1192">
        <v>79.5</v>
      </c>
      <c r="H1192">
        <v>80.5</v>
      </c>
      <c r="I1192">
        <v>77.3</v>
      </c>
      <c r="J1192">
        <v>79.599999999999994</v>
      </c>
      <c r="K1192" t="s">
        <v>1362</v>
      </c>
      <c r="L1192">
        <v>1</v>
      </c>
      <c r="M1192">
        <v>79.3</v>
      </c>
      <c r="N1192">
        <v>2</v>
      </c>
      <c r="O1192">
        <v>79.599999999999994</v>
      </c>
      <c r="P1192">
        <v>16</v>
      </c>
      <c r="Q1192">
        <v>44.47</v>
      </c>
    </row>
    <row r="1193" spans="2:17">
      <c r="B1193">
        <v>6206</v>
      </c>
      <c r="C1193" t="s">
        <v>2489</v>
      </c>
      <c r="D1193" s="3">
        <v>553418</v>
      </c>
      <c r="E1193">
        <v>587</v>
      </c>
      <c r="F1193" s="3">
        <v>44315668</v>
      </c>
      <c r="G1193">
        <v>82.4</v>
      </c>
      <c r="H1193">
        <v>82.4</v>
      </c>
      <c r="I1193">
        <v>79.2</v>
      </c>
      <c r="J1193">
        <v>79.7</v>
      </c>
      <c r="K1193" t="s">
        <v>1</v>
      </c>
      <c r="L1193">
        <v>2.2000000000000002</v>
      </c>
      <c r="M1193">
        <v>79.7</v>
      </c>
      <c r="N1193">
        <v>4</v>
      </c>
      <c r="O1193">
        <v>79.8</v>
      </c>
      <c r="P1193">
        <v>1</v>
      </c>
      <c r="Q1193">
        <v>20.97</v>
      </c>
    </row>
    <row r="1194" spans="2:17">
      <c r="B1194">
        <v>6209</v>
      </c>
      <c r="C1194" t="s">
        <v>2490</v>
      </c>
      <c r="D1194" s="3">
        <v>1424185</v>
      </c>
      <c r="E1194">
        <v>958</v>
      </c>
      <c r="F1194" s="3">
        <v>51526185</v>
      </c>
      <c r="G1194">
        <v>36.799999999999997</v>
      </c>
      <c r="H1194">
        <v>36.9</v>
      </c>
      <c r="I1194">
        <v>35.799999999999997</v>
      </c>
      <c r="J1194">
        <v>35.950000000000003</v>
      </c>
      <c r="K1194" t="s">
        <v>1</v>
      </c>
      <c r="L1194">
        <v>0.4</v>
      </c>
      <c r="M1194">
        <v>35.950000000000003</v>
      </c>
      <c r="N1194">
        <v>10</v>
      </c>
      <c r="O1194">
        <v>36</v>
      </c>
      <c r="P1194">
        <v>13</v>
      </c>
      <c r="Q1194">
        <v>0</v>
      </c>
    </row>
    <row r="1195" spans="2:17">
      <c r="B1195">
        <v>6213</v>
      </c>
      <c r="C1195" t="s">
        <v>2491</v>
      </c>
      <c r="D1195" s="3">
        <v>3926980</v>
      </c>
      <c r="E1195" s="3">
        <v>2379</v>
      </c>
      <c r="F1195" s="3">
        <v>536495501</v>
      </c>
      <c r="G1195">
        <v>136</v>
      </c>
      <c r="H1195">
        <v>137.5</v>
      </c>
      <c r="I1195">
        <v>135</v>
      </c>
      <c r="J1195">
        <v>137</v>
      </c>
      <c r="K1195" t="s">
        <v>1362</v>
      </c>
      <c r="L1195">
        <v>2.5</v>
      </c>
      <c r="M1195">
        <v>137</v>
      </c>
      <c r="N1195">
        <v>182</v>
      </c>
      <c r="O1195">
        <v>137.5</v>
      </c>
      <c r="P1195">
        <v>316</v>
      </c>
      <c r="Q1195">
        <v>16.850000000000001</v>
      </c>
    </row>
    <row r="1196" spans="2:17">
      <c r="B1196">
        <v>6214</v>
      </c>
      <c r="C1196" t="s">
        <v>2492</v>
      </c>
      <c r="D1196" s="3">
        <v>124668</v>
      </c>
      <c r="E1196">
        <v>142</v>
      </c>
      <c r="F1196" s="3">
        <v>10532507</v>
      </c>
      <c r="G1196">
        <v>84.5</v>
      </c>
      <c r="H1196">
        <v>84.7</v>
      </c>
      <c r="I1196">
        <v>84.3</v>
      </c>
      <c r="J1196">
        <v>84.5</v>
      </c>
      <c r="K1196" t="s">
        <v>1362</v>
      </c>
      <c r="L1196">
        <v>0.1</v>
      </c>
      <c r="M1196">
        <v>84.4</v>
      </c>
      <c r="N1196">
        <v>10</v>
      </c>
      <c r="O1196">
        <v>84.6</v>
      </c>
      <c r="P1196">
        <v>3</v>
      </c>
      <c r="Q1196">
        <v>14.85</v>
      </c>
    </row>
    <row r="1197" spans="2:17">
      <c r="B1197">
        <v>6215</v>
      </c>
      <c r="C1197" t="s">
        <v>2493</v>
      </c>
      <c r="D1197" s="3">
        <v>281441</v>
      </c>
      <c r="E1197">
        <v>224</v>
      </c>
      <c r="F1197" s="3">
        <v>8415717</v>
      </c>
      <c r="G1197">
        <v>29.95</v>
      </c>
      <c r="H1197">
        <v>30.15</v>
      </c>
      <c r="I1197">
        <v>29.7</v>
      </c>
      <c r="J1197">
        <v>29.7</v>
      </c>
      <c r="K1197" t="s">
        <v>1</v>
      </c>
      <c r="L1197">
        <v>0.1</v>
      </c>
      <c r="M1197">
        <v>29.7</v>
      </c>
      <c r="N1197">
        <v>25</v>
      </c>
      <c r="O1197">
        <v>29.75</v>
      </c>
      <c r="P1197">
        <v>2</v>
      </c>
      <c r="Q1197">
        <v>9.9</v>
      </c>
    </row>
    <row r="1198" spans="2:17">
      <c r="B1198">
        <v>6216</v>
      </c>
      <c r="C1198" t="s">
        <v>2494</v>
      </c>
      <c r="D1198" s="3">
        <v>233531</v>
      </c>
      <c r="E1198">
        <v>173</v>
      </c>
      <c r="F1198" s="3">
        <v>6454560</v>
      </c>
      <c r="G1198">
        <v>28</v>
      </c>
      <c r="H1198">
        <v>28</v>
      </c>
      <c r="I1198">
        <v>27.5</v>
      </c>
      <c r="J1198">
        <v>27.55</v>
      </c>
      <c r="K1198" t="s">
        <v>1</v>
      </c>
      <c r="L1198">
        <v>0.45</v>
      </c>
      <c r="M1198">
        <v>27.5</v>
      </c>
      <c r="N1198">
        <v>15</v>
      </c>
      <c r="O1198">
        <v>27.55</v>
      </c>
      <c r="P1198">
        <v>2</v>
      </c>
      <c r="Q1198">
        <v>18.010000000000002</v>
      </c>
    </row>
    <row r="1199" spans="2:17">
      <c r="B1199">
        <v>6224</v>
      </c>
      <c r="C1199" t="s">
        <v>2495</v>
      </c>
      <c r="D1199" s="3">
        <v>451560</v>
      </c>
      <c r="E1199">
        <v>492</v>
      </c>
      <c r="F1199" s="3">
        <v>56180407</v>
      </c>
      <c r="G1199">
        <v>125.5</v>
      </c>
      <c r="H1199">
        <v>126</v>
      </c>
      <c r="I1199">
        <v>123.5</v>
      </c>
      <c r="J1199">
        <v>124</v>
      </c>
      <c r="K1199" t="s">
        <v>1</v>
      </c>
      <c r="L1199">
        <v>1</v>
      </c>
      <c r="M1199">
        <v>124</v>
      </c>
      <c r="N1199">
        <v>1</v>
      </c>
      <c r="O1199">
        <v>124.5</v>
      </c>
      <c r="P1199">
        <v>16</v>
      </c>
      <c r="Q1199">
        <v>19.14</v>
      </c>
    </row>
    <row r="1200" spans="2:17">
      <c r="B1200">
        <v>6225</v>
      </c>
      <c r="C1200" t="s">
        <v>2671</v>
      </c>
      <c r="D1200">
        <v>752</v>
      </c>
      <c r="E1200">
        <v>3</v>
      </c>
      <c r="F1200" s="3">
        <v>4940</v>
      </c>
      <c r="G1200" t="s">
        <v>1391</v>
      </c>
      <c r="H1200" t="s">
        <v>1391</v>
      </c>
      <c r="I1200" t="s">
        <v>1391</v>
      </c>
      <c r="J1200" t="s">
        <v>1391</v>
      </c>
      <c r="K1200" t="s">
        <v>1328</v>
      </c>
      <c r="L1200">
        <v>0</v>
      </c>
      <c r="M1200">
        <v>6.76</v>
      </c>
      <c r="N1200">
        <v>1</v>
      </c>
      <c r="O1200">
        <v>7.11</v>
      </c>
      <c r="P1200">
        <v>2</v>
      </c>
      <c r="Q1200">
        <v>0</v>
      </c>
    </row>
    <row r="1201" spans="2:17">
      <c r="B1201">
        <v>6226</v>
      </c>
      <c r="C1201" t="s">
        <v>2496</v>
      </c>
      <c r="D1201" s="3">
        <v>11132161</v>
      </c>
      <c r="E1201" s="3">
        <v>4579</v>
      </c>
      <c r="F1201" s="3">
        <v>185807479</v>
      </c>
      <c r="G1201">
        <v>16.45</v>
      </c>
      <c r="H1201">
        <v>17</v>
      </c>
      <c r="I1201">
        <v>16.25</v>
      </c>
      <c r="J1201">
        <v>16.95</v>
      </c>
      <c r="K1201" t="s">
        <v>1362</v>
      </c>
      <c r="L1201">
        <v>0.7</v>
      </c>
      <c r="M1201">
        <v>16.899999999999999</v>
      </c>
      <c r="N1201">
        <v>44</v>
      </c>
      <c r="O1201">
        <v>16.95</v>
      </c>
      <c r="P1201">
        <v>439</v>
      </c>
      <c r="Q1201">
        <v>141.25</v>
      </c>
    </row>
    <row r="1202" spans="2:17">
      <c r="B1202">
        <v>6230</v>
      </c>
      <c r="C1202" t="s">
        <v>2497</v>
      </c>
      <c r="D1202" s="3">
        <v>21474</v>
      </c>
      <c r="E1202">
        <v>32</v>
      </c>
      <c r="F1202" s="3">
        <v>3572934</v>
      </c>
      <c r="G1202">
        <v>168</v>
      </c>
      <c r="H1202">
        <v>168.5</v>
      </c>
      <c r="I1202">
        <v>165.5</v>
      </c>
      <c r="J1202">
        <v>167</v>
      </c>
      <c r="K1202" t="s">
        <v>1362</v>
      </c>
      <c r="L1202">
        <v>0.5</v>
      </c>
      <c r="M1202">
        <v>165</v>
      </c>
      <c r="N1202">
        <v>6</v>
      </c>
      <c r="O1202">
        <v>167</v>
      </c>
      <c r="P1202">
        <v>2</v>
      </c>
      <c r="Q1202">
        <v>26.55</v>
      </c>
    </row>
    <row r="1203" spans="2:17">
      <c r="B1203">
        <v>6235</v>
      </c>
      <c r="C1203" t="s">
        <v>2498</v>
      </c>
      <c r="D1203" s="3">
        <v>17044747</v>
      </c>
      <c r="E1203" s="3">
        <v>6995</v>
      </c>
      <c r="F1203" s="3">
        <v>584510874</v>
      </c>
      <c r="G1203">
        <v>32.25</v>
      </c>
      <c r="H1203">
        <v>35.1</v>
      </c>
      <c r="I1203">
        <v>32</v>
      </c>
      <c r="J1203">
        <v>35.1</v>
      </c>
      <c r="K1203" t="s">
        <v>1362</v>
      </c>
      <c r="L1203">
        <v>3.15</v>
      </c>
      <c r="M1203">
        <v>35.1</v>
      </c>
      <c r="N1203" s="3">
        <v>25671</v>
      </c>
      <c r="O1203" t="s">
        <v>1391</v>
      </c>
      <c r="P1203">
        <v>0</v>
      </c>
      <c r="Q1203">
        <v>40.340000000000003</v>
      </c>
    </row>
    <row r="1204" spans="2:17">
      <c r="B1204">
        <v>6239</v>
      </c>
      <c r="C1204" t="s">
        <v>2499</v>
      </c>
      <c r="D1204" s="3">
        <v>4421204</v>
      </c>
      <c r="E1204" s="3">
        <v>2635</v>
      </c>
      <c r="F1204" s="3">
        <v>438812515</v>
      </c>
      <c r="G1204">
        <v>99.1</v>
      </c>
      <c r="H1204">
        <v>99.9</v>
      </c>
      <c r="I1204">
        <v>98.8</v>
      </c>
      <c r="J1204">
        <v>99.4</v>
      </c>
      <c r="K1204" t="s">
        <v>1362</v>
      </c>
      <c r="L1204">
        <v>0.7</v>
      </c>
      <c r="M1204">
        <v>99.4</v>
      </c>
      <c r="N1204">
        <v>1</v>
      </c>
      <c r="O1204">
        <v>99.5</v>
      </c>
      <c r="P1204">
        <v>26</v>
      </c>
      <c r="Q1204">
        <v>9.48</v>
      </c>
    </row>
    <row r="1205" spans="2:17">
      <c r="B1205">
        <v>6243</v>
      </c>
      <c r="C1205" t="s">
        <v>2500</v>
      </c>
      <c r="D1205" s="3">
        <v>5455889</v>
      </c>
      <c r="E1205" s="3">
        <v>4083</v>
      </c>
      <c r="F1205" s="3">
        <v>346590667</v>
      </c>
      <c r="G1205">
        <v>60.8</v>
      </c>
      <c r="H1205">
        <v>65.8</v>
      </c>
      <c r="I1205">
        <v>60.2</v>
      </c>
      <c r="J1205">
        <v>63.8</v>
      </c>
      <c r="K1205" t="s">
        <v>1362</v>
      </c>
      <c r="L1205">
        <v>3.7</v>
      </c>
      <c r="M1205">
        <v>63.8</v>
      </c>
      <c r="N1205">
        <v>8</v>
      </c>
      <c r="O1205">
        <v>63.9</v>
      </c>
      <c r="P1205">
        <v>7</v>
      </c>
      <c r="Q1205">
        <v>148.37</v>
      </c>
    </row>
    <row r="1206" spans="2:17">
      <c r="B1206">
        <v>6251</v>
      </c>
      <c r="C1206" t="s">
        <v>2501</v>
      </c>
      <c r="D1206" s="3">
        <v>3698751</v>
      </c>
      <c r="E1206" s="3">
        <v>1847</v>
      </c>
      <c r="F1206" s="3">
        <v>84549563</v>
      </c>
      <c r="G1206">
        <v>23.35</v>
      </c>
      <c r="H1206">
        <v>23.35</v>
      </c>
      <c r="I1206">
        <v>22.65</v>
      </c>
      <c r="J1206">
        <v>22.75</v>
      </c>
      <c r="K1206" t="s">
        <v>1</v>
      </c>
      <c r="L1206">
        <v>0.45</v>
      </c>
      <c r="M1206">
        <v>22.75</v>
      </c>
      <c r="N1206">
        <v>115</v>
      </c>
      <c r="O1206">
        <v>22.8</v>
      </c>
      <c r="P1206">
        <v>50</v>
      </c>
      <c r="Q1206">
        <v>19.78</v>
      </c>
    </row>
    <row r="1207" spans="2:17">
      <c r="B1207">
        <v>6257</v>
      </c>
      <c r="C1207" t="s">
        <v>2502</v>
      </c>
      <c r="D1207" s="3">
        <v>1965476</v>
      </c>
      <c r="E1207" s="3">
        <v>1440</v>
      </c>
      <c r="F1207" s="3">
        <v>115676573</v>
      </c>
      <c r="G1207">
        <v>59.3</v>
      </c>
      <c r="H1207">
        <v>59.3</v>
      </c>
      <c r="I1207">
        <v>58.7</v>
      </c>
      <c r="J1207">
        <v>58.8</v>
      </c>
      <c r="K1207" t="s">
        <v>1</v>
      </c>
      <c r="L1207">
        <v>0.1</v>
      </c>
      <c r="M1207">
        <v>58.8</v>
      </c>
      <c r="N1207">
        <v>105</v>
      </c>
      <c r="O1207">
        <v>58.9</v>
      </c>
      <c r="P1207">
        <v>33</v>
      </c>
      <c r="Q1207">
        <v>10.24</v>
      </c>
    </row>
    <row r="1208" spans="2:17">
      <c r="B1208">
        <v>6269</v>
      </c>
      <c r="C1208" t="s">
        <v>2503</v>
      </c>
      <c r="D1208" s="3">
        <v>897856</v>
      </c>
      <c r="E1208">
        <v>636</v>
      </c>
      <c r="F1208" s="3">
        <v>93432294</v>
      </c>
      <c r="G1208">
        <v>104.5</v>
      </c>
      <c r="H1208">
        <v>105</v>
      </c>
      <c r="I1208">
        <v>103.5</v>
      </c>
      <c r="J1208">
        <v>104</v>
      </c>
      <c r="K1208" t="s">
        <v>1328</v>
      </c>
      <c r="L1208">
        <v>0</v>
      </c>
      <c r="M1208">
        <v>103.5</v>
      </c>
      <c r="N1208">
        <v>170</v>
      </c>
      <c r="O1208">
        <v>104</v>
      </c>
      <c r="P1208">
        <v>44</v>
      </c>
      <c r="Q1208">
        <v>12.04</v>
      </c>
    </row>
    <row r="1209" spans="2:17">
      <c r="B1209">
        <v>6271</v>
      </c>
      <c r="C1209" t="s">
        <v>2504</v>
      </c>
      <c r="D1209" s="3">
        <v>4494643</v>
      </c>
      <c r="E1209" s="3">
        <v>5293</v>
      </c>
      <c r="F1209" s="3">
        <v>1345737243</v>
      </c>
      <c r="G1209">
        <v>299.5</v>
      </c>
      <c r="H1209">
        <v>303</v>
      </c>
      <c r="I1209">
        <v>296</v>
      </c>
      <c r="J1209">
        <v>297</v>
      </c>
      <c r="K1209" t="s">
        <v>1362</v>
      </c>
      <c r="L1209">
        <v>0.5</v>
      </c>
      <c r="M1209">
        <v>297</v>
      </c>
      <c r="N1209">
        <v>41</v>
      </c>
      <c r="O1209">
        <v>297.5</v>
      </c>
      <c r="P1209">
        <v>3</v>
      </c>
      <c r="Q1209">
        <v>21.03</v>
      </c>
    </row>
    <row r="1210" spans="2:17">
      <c r="B1210">
        <v>6277</v>
      </c>
      <c r="C1210" t="s">
        <v>2505</v>
      </c>
      <c r="D1210" s="3">
        <v>50752</v>
      </c>
      <c r="E1210">
        <v>72</v>
      </c>
      <c r="F1210" s="3">
        <v>4143054</v>
      </c>
      <c r="G1210">
        <v>81.7</v>
      </c>
      <c r="H1210">
        <v>81.8</v>
      </c>
      <c r="I1210">
        <v>81.5</v>
      </c>
      <c r="J1210">
        <v>81.599999999999994</v>
      </c>
      <c r="K1210" t="s">
        <v>1</v>
      </c>
      <c r="L1210">
        <v>0.1</v>
      </c>
      <c r="M1210">
        <v>81.5</v>
      </c>
      <c r="N1210">
        <v>9</v>
      </c>
      <c r="O1210">
        <v>81.599999999999994</v>
      </c>
      <c r="P1210">
        <v>1</v>
      </c>
      <c r="Q1210">
        <v>17.14</v>
      </c>
    </row>
    <row r="1211" spans="2:17">
      <c r="B1211">
        <v>6278</v>
      </c>
      <c r="C1211" t="s">
        <v>2506</v>
      </c>
      <c r="D1211" s="3">
        <v>2186917</v>
      </c>
      <c r="E1211" s="3">
        <v>1190</v>
      </c>
      <c r="F1211" s="3">
        <v>261249407</v>
      </c>
      <c r="G1211">
        <v>120.5</v>
      </c>
      <c r="H1211">
        <v>121</v>
      </c>
      <c r="I1211">
        <v>118</v>
      </c>
      <c r="J1211">
        <v>120</v>
      </c>
      <c r="K1211" t="s">
        <v>1328</v>
      </c>
      <c r="L1211">
        <v>0</v>
      </c>
      <c r="M1211">
        <v>119.5</v>
      </c>
      <c r="N1211">
        <v>24</v>
      </c>
      <c r="O1211">
        <v>120</v>
      </c>
      <c r="P1211">
        <v>84</v>
      </c>
      <c r="Q1211">
        <v>11.18</v>
      </c>
    </row>
    <row r="1212" spans="2:17">
      <c r="B1212">
        <v>6281</v>
      </c>
      <c r="C1212" t="s">
        <v>2507</v>
      </c>
      <c r="D1212" s="3">
        <v>52314</v>
      </c>
      <c r="E1212">
        <v>74</v>
      </c>
      <c r="F1212" s="3">
        <v>4300131</v>
      </c>
      <c r="G1212">
        <v>82.3</v>
      </c>
      <c r="H1212">
        <v>82.3</v>
      </c>
      <c r="I1212">
        <v>82.1</v>
      </c>
      <c r="J1212">
        <v>82.1</v>
      </c>
      <c r="K1212" t="s">
        <v>1</v>
      </c>
      <c r="L1212">
        <v>0.1</v>
      </c>
      <c r="M1212">
        <v>82.1</v>
      </c>
      <c r="N1212">
        <v>19</v>
      </c>
      <c r="O1212">
        <v>82.2</v>
      </c>
      <c r="P1212">
        <v>11</v>
      </c>
      <c r="Q1212">
        <v>14.61</v>
      </c>
    </row>
    <row r="1213" spans="2:17">
      <c r="B1213">
        <v>6282</v>
      </c>
      <c r="C1213" t="s">
        <v>2508</v>
      </c>
      <c r="D1213" s="3">
        <v>32873500</v>
      </c>
      <c r="E1213" s="3">
        <v>15602</v>
      </c>
      <c r="F1213" s="3">
        <v>1226629327</v>
      </c>
      <c r="G1213">
        <v>37.6</v>
      </c>
      <c r="H1213">
        <v>37.950000000000003</v>
      </c>
      <c r="I1213">
        <v>36.799999999999997</v>
      </c>
      <c r="J1213">
        <v>36.9</v>
      </c>
      <c r="K1213" t="s">
        <v>1</v>
      </c>
      <c r="L1213">
        <v>0.7</v>
      </c>
      <c r="M1213">
        <v>36.85</v>
      </c>
      <c r="N1213">
        <v>110</v>
      </c>
      <c r="O1213">
        <v>36.9</v>
      </c>
      <c r="P1213">
        <v>22</v>
      </c>
      <c r="Q1213">
        <v>49.2</v>
      </c>
    </row>
    <row r="1214" spans="2:17">
      <c r="B1214">
        <v>6283</v>
      </c>
      <c r="C1214" t="s">
        <v>2509</v>
      </c>
      <c r="D1214" s="3">
        <v>834042</v>
      </c>
      <c r="E1214">
        <v>644</v>
      </c>
      <c r="F1214" s="3">
        <v>37416088</v>
      </c>
      <c r="G1214">
        <v>45.5</v>
      </c>
      <c r="H1214">
        <v>45.5</v>
      </c>
      <c r="I1214">
        <v>44.5</v>
      </c>
      <c r="J1214">
        <v>44.5</v>
      </c>
      <c r="K1214" t="s">
        <v>1</v>
      </c>
      <c r="L1214">
        <v>0.7</v>
      </c>
      <c r="M1214">
        <v>44.5</v>
      </c>
      <c r="N1214">
        <v>68</v>
      </c>
      <c r="O1214">
        <v>44.55</v>
      </c>
      <c r="P1214">
        <v>1</v>
      </c>
      <c r="Q1214">
        <v>0</v>
      </c>
    </row>
    <row r="1215" spans="2:17">
      <c r="B1215">
        <v>6285</v>
      </c>
      <c r="C1215" t="s">
        <v>2510</v>
      </c>
      <c r="D1215" s="3">
        <v>5532721</v>
      </c>
      <c r="E1215" s="3">
        <v>4513</v>
      </c>
      <c r="F1215" s="3">
        <v>428054941</v>
      </c>
      <c r="G1215">
        <v>78.099999999999994</v>
      </c>
      <c r="H1215">
        <v>78.3</v>
      </c>
      <c r="I1215">
        <v>76.7</v>
      </c>
      <c r="J1215">
        <v>76.8</v>
      </c>
      <c r="K1215" t="s">
        <v>1</v>
      </c>
      <c r="L1215">
        <v>0.9</v>
      </c>
      <c r="M1215">
        <v>76.8</v>
      </c>
      <c r="N1215">
        <v>13</v>
      </c>
      <c r="O1215">
        <v>76.900000000000006</v>
      </c>
      <c r="P1215">
        <v>7</v>
      </c>
      <c r="Q1215">
        <v>24.62</v>
      </c>
    </row>
    <row r="1216" spans="2:17">
      <c r="B1216">
        <v>6288</v>
      </c>
      <c r="C1216" t="s">
        <v>2511</v>
      </c>
      <c r="D1216" s="3">
        <v>736678</v>
      </c>
      <c r="E1216">
        <v>517</v>
      </c>
      <c r="F1216" s="3">
        <v>20306364</v>
      </c>
      <c r="G1216">
        <v>28</v>
      </c>
      <c r="H1216">
        <v>28</v>
      </c>
      <c r="I1216">
        <v>27.35</v>
      </c>
      <c r="J1216">
        <v>27.35</v>
      </c>
      <c r="K1216" t="s">
        <v>1</v>
      </c>
      <c r="L1216">
        <v>0.35</v>
      </c>
      <c r="M1216">
        <v>27.35</v>
      </c>
      <c r="N1216">
        <v>17</v>
      </c>
      <c r="O1216">
        <v>27.4</v>
      </c>
      <c r="P1216">
        <v>1</v>
      </c>
      <c r="Q1216">
        <v>124.32</v>
      </c>
    </row>
    <row r="1217" spans="2:17">
      <c r="B1217">
        <v>6289</v>
      </c>
      <c r="C1217" t="s">
        <v>2512</v>
      </c>
      <c r="D1217" s="3">
        <v>131843</v>
      </c>
      <c r="E1217">
        <v>39</v>
      </c>
      <c r="F1217" s="3">
        <v>328904</v>
      </c>
      <c r="G1217">
        <v>2.5</v>
      </c>
      <c r="H1217">
        <v>2.5</v>
      </c>
      <c r="I1217">
        <v>2.4900000000000002</v>
      </c>
      <c r="J1217">
        <v>2.5</v>
      </c>
      <c r="K1217" t="s">
        <v>1362</v>
      </c>
      <c r="L1217">
        <v>0.01</v>
      </c>
      <c r="M1217">
        <v>2.4900000000000002</v>
      </c>
      <c r="N1217">
        <v>2</v>
      </c>
      <c r="O1217">
        <v>2.5</v>
      </c>
      <c r="P1217">
        <v>21</v>
      </c>
      <c r="Q1217">
        <v>0</v>
      </c>
    </row>
    <row r="1218" spans="2:17">
      <c r="B1218">
        <v>6405</v>
      </c>
      <c r="C1218" t="s">
        <v>2513</v>
      </c>
      <c r="D1218" s="3">
        <v>99000</v>
      </c>
      <c r="E1218">
        <v>46</v>
      </c>
      <c r="F1218" s="3">
        <v>2761000</v>
      </c>
      <c r="G1218">
        <v>28.1</v>
      </c>
      <c r="H1218">
        <v>28.15</v>
      </c>
      <c r="I1218">
        <v>27.85</v>
      </c>
      <c r="J1218">
        <v>27.9</v>
      </c>
      <c r="K1218" t="s">
        <v>1362</v>
      </c>
      <c r="L1218">
        <v>0.05</v>
      </c>
      <c r="M1218">
        <v>27.85</v>
      </c>
      <c r="N1218">
        <v>3</v>
      </c>
      <c r="O1218">
        <v>27.95</v>
      </c>
      <c r="P1218">
        <v>4</v>
      </c>
      <c r="Q1218">
        <v>40.43</v>
      </c>
    </row>
    <row r="1219" spans="2:17">
      <c r="B1219">
        <v>6409</v>
      </c>
      <c r="C1219" t="s">
        <v>2514</v>
      </c>
      <c r="D1219" s="3">
        <v>35368</v>
      </c>
      <c r="E1219">
        <v>70</v>
      </c>
      <c r="F1219" s="3">
        <v>55400215</v>
      </c>
      <c r="G1219" s="8">
        <v>1585</v>
      </c>
      <c r="H1219" s="8">
        <v>1585</v>
      </c>
      <c r="I1219" s="8">
        <v>1560</v>
      </c>
      <c r="J1219" s="8">
        <v>1565</v>
      </c>
      <c r="K1219" t="s">
        <v>1362</v>
      </c>
      <c r="L1219">
        <v>5</v>
      </c>
      <c r="M1219" s="8">
        <v>1565</v>
      </c>
      <c r="N1219">
        <v>2</v>
      </c>
      <c r="O1219" s="8">
        <v>1570</v>
      </c>
      <c r="P1219">
        <v>7</v>
      </c>
      <c r="Q1219">
        <v>62.68</v>
      </c>
    </row>
    <row r="1220" spans="2:17">
      <c r="B1220">
        <v>6412</v>
      </c>
      <c r="C1220" t="s">
        <v>2515</v>
      </c>
      <c r="D1220" s="3">
        <v>128343</v>
      </c>
      <c r="E1220">
        <v>236</v>
      </c>
      <c r="F1220" s="3">
        <v>10014701</v>
      </c>
      <c r="G1220">
        <v>78.400000000000006</v>
      </c>
      <c r="H1220">
        <v>78.400000000000006</v>
      </c>
      <c r="I1220">
        <v>77.8</v>
      </c>
      <c r="J1220">
        <v>77.900000000000006</v>
      </c>
      <c r="K1220" t="s">
        <v>1</v>
      </c>
      <c r="L1220">
        <v>0.6</v>
      </c>
      <c r="M1220">
        <v>77.8</v>
      </c>
      <c r="N1220">
        <v>19</v>
      </c>
      <c r="O1220">
        <v>78</v>
      </c>
      <c r="P1220">
        <v>1</v>
      </c>
      <c r="Q1220">
        <v>11.58</v>
      </c>
    </row>
    <row r="1221" spans="2:17">
      <c r="B1221">
        <v>6414</v>
      </c>
      <c r="C1221" t="s">
        <v>2516</v>
      </c>
      <c r="D1221" s="3">
        <v>750885</v>
      </c>
      <c r="E1221" s="3">
        <v>1131</v>
      </c>
      <c r="F1221" s="3">
        <v>169457929</v>
      </c>
      <c r="G1221">
        <v>229</v>
      </c>
      <c r="H1221">
        <v>229.5</v>
      </c>
      <c r="I1221">
        <v>223.5</v>
      </c>
      <c r="J1221">
        <v>224</v>
      </c>
      <c r="K1221" t="s">
        <v>1</v>
      </c>
      <c r="L1221">
        <v>3.5</v>
      </c>
      <c r="M1221">
        <v>223.5</v>
      </c>
      <c r="N1221">
        <v>37</v>
      </c>
      <c r="O1221">
        <v>224</v>
      </c>
      <c r="P1221">
        <v>5</v>
      </c>
      <c r="Q1221">
        <v>17.79</v>
      </c>
    </row>
    <row r="1222" spans="2:17">
      <c r="B1222">
        <v>6415</v>
      </c>
      <c r="C1222" t="s">
        <v>2517</v>
      </c>
      <c r="D1222" s="3">
        <v>124276</v>
      </c>
      <c r="E1222">
        <v>365</v>
      </c>
      <c r="F1222" s="3">
        <v>625625100</v>
      </c>
      <c r="G1222" s="8">
        <v>5015</v>
      </c>
      <c r="H1222" s="8">
        <v>5080</v>
      </c>
      <c r="I1222" s="8">
        <v>4970</v>
      </c>
      <c r="J1222" s="8">
        <v>5050</v>
      </c>
      <c r="K1222" t="s">
        <v>1362</v>
      </c>
      <c r="L1222">
        <v>20</v>
      </c>
      <c r="M1222" s="8">
        <v>5010</v>
      </c>
      <c r="N1222">
        <v>4</v>
      </c>
      <c r="O1222" s="8">
        <v>5060</v>
      </c>
      <c r="P1222">
        <v>1</v>
      </c>
      <c r="Q1222">
        <v>87.23</v>
      </c>
    </row>
    <row r="1223" spans="2:17">
      <c r="B1223">
        <v>6416</v>
      </c>
      <c r="C1223" t="s">
        <v>2518</v>
      </c>
      <c r="D1223" s="3">
        <v>288495</v>
      </c>
      <c r="E1223">
        <v>200</v>
      </c>
      <c r="F1223" s="3">
        <v>28830431</v>
      </c>
      <c r="G1223">
        <v>100</v>
      </c>
      <c r="H1223">
        <v>101.5</v>
      </c>
      <c r="I1223">
        <v>98.9</v>
      </c>
      <c r="J1223">
        <v>99</v>
      </c>
      <c r="K1223" t="s">
        <v>1</v>
      </c>
      <c r="L1223">
        <v>1</v>
      </c>
      <c r="M1223">
        <v>98.9</v>
      </c>
      <c r="N1223">
        <v>8</v>
      </c>
      <c r="O1223">
        <v>99</v>
      </c>
      <c r="P1223">
        <v>2</v>
      </c>
      <c r="Q1223">
        <v>30.28</v>
      </c>
    </row>
    <row r="1224" spans="2:17">
      <c r="B1224">
        <v>6426</v>
      </c>
      <c r="C1224" t="s">
        <v>2519</v>
      </c>
      <c r="D1224" s="3">
        <v>821029</v>
      </c>
      <c r="E1224">
        <v>681</v>
      </c>
      <c r="F1224" s="3">
        <v>63676027</v>
      </c>
      <c r="G1224">
        <v>73.099999999999994</v>
      </c>
      <c r="H1224">
        <v>79.599999999999994</v>
      </c>
      <c r="I1224">
        <v>73.099999999999994</v>
      </c>
      <c r="J1224">
        <v>77.8</v>
      </c>
      <c r="K1224" t="s">
        <v>1362</v>
      </c>
      <c r="L1224">
        <v>4.7</v>
      </c>
      <c r="M1224">
        <v>77.7</v>
      </c>
      <c r="N1224">
        <v>1</v>
      </c>
      <c r="O1224">
        <v>77.8</v>
      </c>
      <c r="P1224">
        <v>17</v>
      </c>
      <c r="Q1224">
        <v>172.89</v>
      </c>
    </row>
    <row r="1225" spans="2:17">
      <c r="B1225">
        <v>6431</v>
      </c>
      <c r="C1225" t="s">
        <v>2520</v>
      </c>
      <c r="D1225" s="3">
        <v>34000</v>
      </c>
      <c r="E1225">
        <v>21</v>
      </c>
      <c r="F1225" s="3">
        <v>978950</v>
      </c>
      <c r="G1225">
        <v>28.85</v>
      </c>
      <c r="H1225">
        <v>29</v>
      </c>
      <c r="I1225">
        <v>28.7</v>
      </c>
      <c r="J1225">
        <v>28.7</v>
      </c>
      <c r="K1225" t="s">
        <v>1</v>
      </c>
      <c r="L1225">
        <v>0.15</v>
      </c>
      <c r="M1225">
        <v>28.7</v>
      </c>
      <c r="N1225">
        <v>6</v>
      </c>
      <c r="O1225">
        <v>29.1</v>
      </c>
      <c r="P1225">
        <v>1</v>
      </c>
      <c r="Q1225">
        <v>51.25</v>
      </c>
    </row>
    <row r="1226" spans="2:17">
      <c r="B1226">
        <v>6438</v>
      </c>
      <c r="C1226" t="s">
        <v>2521</v>
      </c>
      <c r="D1226" s="3">
        <v>374441</v>
      </c>
      <c r="E1226">
        <v>578</v>
      </c>
      <c r="F1226" s="3">
        <v>40889566</v>
      </c>
      <c r="G1226">
        <v>109.5</v>
      </c>
      <c r="H1226">
        <v>110</v>
      </c>
      <c r="I1226">
        <v>108.5</v>
      </c>
      <c r="J1226">
        <v>108.5</v>
      </c>
      <c r="K1226" t="s">
        <v>1</v>
      </c>
      <c r="L1226">
        <v>0.5</v>
      </c>
      <c r="M1226">
        <v>108.5</v>
      </c>
      <c r="N1226">
        <v>28</v>
      </c>
      <c r="O1226">
        <v>109</v>
      </c>
      <c r="P1226">
        <v>29</v>
      </c>
      <c r="Q1226">
        <v>12.34</v>
      </c>
    </row>
    <row r="1227" spans="2:17">
      <c r="B1227">
        <v>6442</v>
      </c>
      <c r="C1227" t="s">
        <v>2522</v>
      </c>
      <c r="D1227" s="3">
        <v>10496</v>
      </c>
      <c r="E1227">
        <v>17</v>
      </c>
      <c r="F1227" s="3">
        <v>371793</v>
      </c>
      <c r="G1227">
        <v>35.15</v>
      </c>
      <c r="H1227">
        <v>35.799999999999997</v>
      </c>
      <c r="I1227">
        <v>35.15</v>
      </c>
      <c r="J1227">
        <v>35.700000000000003</v>
      </c>
      <c r="K1227" t="s">
        <v>1362</v>
      </c>
      <c r="L1227">
        <v>0.55000000000000004</v>
      </c>
      <c r="M1227">
        <v>35.700000000000003</v>
      </c>
      <c r="N1227">
        <v>1</v>
      </c>
      <c r="O1227">
        <v>35.75</v>
      </c>
      <c r="P1227">
        <v>1</v>
      </c>
      <c r="Q1227">
        <v>43.01</v>
      </c>
    </row>
    <row r="1228" spans="2:17">
      <c r="B1228">
        <v>6443</v>
      </c>
      <c r="C1228" t="s">
        <v>2523</v>
      </c>
      <c r="D1228" s="3">
        <v>9635935</v>
      </c>
      <c r="E1228" s="3">
        <v>5477</v>
      </c>
      <c r="F1228" s="3">
        <v>395462378</v>
      </c>
      <c r="G1228">
        <v>41.45</v>
      </c>
      <c r="H1228">
        <v>41.55</v>
      </c>
      <c r="I1228">
        <v>40.799999999999997</v>
      </c>
      <c r="J1228">
        <v>40.799999999999997</v>
      </c>
      <c r="K1228" t="s">
        <v>1</v>
      </c>
      <c r="L1228">
        <v>0.2</v>
      </c>
      <c r="M1228">
        <v>40.799999999999997</v>
      </c>
      <c r="N1228">
        <v>459</v>
      </c>
      <c r="O1228">
        <v>40.85</v>
      </c>
      <c r="P1228">
        <v>54</v>
      </c>
      <c r="Q1228">
        <v>0</v>
      </c>
    </row>
    <row r="1229" spans="2:17">
      <c r="B1229">
        <v>6449</v>
      </c>
      <c r="C1229" t="s">
        <v>2524</v>
      </c>
      <c r="D1229" s="3">
        <v>294301</v>
      </c>
      <c r="E1229">
        <v>203</v>
      </c>
      <c r="F1229" s="3">
        <v>17580058</v>
      </c>
      <c r="G1229">
        <v>60.4</v>
      </c>
      <c r="H1229">
        <v>60.4</v>
      </c>
      <c r="I1229">
        <v>59.3</v>
      </c>
      <c r="J1229">
        <v>60.3</v>
      </c>
      <c r="K1229" t="s">
        <v>1362</v>
      </c>
      <c r="L1229">
        <v>1.1000000000000001</v>
      </c>
      <c r="M1229">
        <v>60.2</v>
      </c>
      <c r="N1229">
        <v>2</v>
      </c>
      <c r="O1229">
        <v>60.3</v>
      </c>
      <c r="P1229">
        <v>2</v>
      </c>
      <c r="Q1229">
        <v>18.22</v>
      </c>
    </row>
    <row r="1230" spans="2:17">
      <c r="B1230">
        <v>6451</v>
      </c>
      <c r="C1230" t="s">
        <v>2525</v>
      </c>
      <c r="D1230" s="3">
        <v>266005</v>
      </c>
      <c r="E1230">
        <v>172</v>
      </c>
      <c r="F1230" s="3">
        <v>24792786</v>
      </c>
      <c r="G1230">
        <v>92.8</v>
      </c>
      <c r="H1230">
        <v>94</v>
      </c>
      <c r="I1230">
        <v>92.5</v>
      </c>
      <c r="J1230">
        <v>92.9</v>
      </c>
      <c r="K1230" t="s">
        <v>1362</v>
      </c>
      <c r="L1230">
        <v>0.6</v>
      </c>
      <c r="M1230">
        <v>92.9</v>
      </c>
      <c r="N1230">
        <v>2</v>
      </c>
      <c r="O1230">
        <v>93.2</v>
      </c>
      <c r="P1230">
        <v>2</v>
      </c>
      <c r="Q1230">
        <v>14.27</v>
      </c>
    </row>
    <row r="1231" spans="2:17">
      <c r="B1231">
        <v>6456</v>
      </c>
      <c r="C1231" t="s">
        <v>2526</v>
      </c>
      <c r="D1231" s="3">
        <v>827110</v>
      </c>
      <c r="E1231">
        <v>686</v>
      </c>
      <c r="F1231" s="3">
        <v>84786173</v>
      </c>
      <c r="G1231">
        <v>103</v>
      </c>
      <c r="H1231">
        <v>103.5</v>
      </c>
      <c r="I1231">
        <v>102</v>
      </c>
      <c r="J1231">
        <v>102</v>
      </c>
      <c r="K1231" t="s">
        <v>1</v>
      </c>
      <c r="L1231">
        <v>0.5</v>
      </c>
      <c r="M1231">
        <v>102</v>
      </c>
      <c r="N1231">
        <v>93</v>
      </c>
      <c r="O1231">
        <v>102.5</v>
      </c>
      <c r="P1231">
        <v>26</v>
      </c>
      <c r="Q1231">
        <v>7.85</v>
      </c>
    </row>
    <row r="1232" spans="2:17">
      <c r="B1232">
        <v>6464</v>
      </c>
      <c r="C1232" t="s">
        <v>2527</v>
      </c>
      <c r="D1232" s="3">
        <v>174788</v>
      </c>
      <c r="E1232">
        <v>98</v>
      </c>
      <c r="F1232" s="3">
        <v>15917002</v>
      </c>
      <c r="G1232">
        <v>91.3</v>
      </c>
      <c r="H1232">
        <v>91.8</v>
      </c>
      <c r="I1232">
        <v>90.6</v>
      </c>
      <c r="J1232">
        <v>91.6</v>
      </c>
      <c r="K1232" t="s">
        <v>1</v>
      </c>
      <c r="L1232">
        <v>0.4</v>
      </c>
      <c r="M1232">
        <v>91.3</v>
      </c>
      <c r="N1232">
        <v>3</v>
      </c>
      <c r="O1232">
        <v>91.6</v>
      </c>
      <c r="P1232">
        <v>5</v>
      </c>
      <c r="Q1232">
        <v>11.67</v>
      </c>
    </row>
    <row r="1233" spans="2:17">
      <c r="B1233">
        <v>6477</v>
      </c>
      <c r="C1233" t="s">
        <v>2528</v>
      </c>
      <c r="D1233" s="3">
        <v>2247279</v>
      </c>
      <c r="E1233" s="3">
        <v>1453</v>
      </c>
      <c r="F1233" s="3">
        <v>108686335</v>
      </c>
      <c r="G1233">
        <v>49.3</v>
      </c>
      <c r="H1233">
        <v>49.45</v>
      </c>
      <c r="I1233">
        <v>47.8</v>
      </c>
      <c r="J1233">
        <v>48</v>
      </c>
      <c r="K1233" t="s">
        <v>1</v>
      </c>
      <c r="L1233">
        <v>1</v>
      </c>
      <c r="M1233">
        <v>48</v>
      </c>
      <c r="N1233">
        <v>49</v>
      </c>
      <c r="O1233">
        <v>48.1</v>
      </c>
      <c r="P1233">
        <v>1</v>
      </c>
      <c r="Q1233">
        <v>40.68</v>
      </c>
    </row>
    <row r="1234" spans="2:17">
      <c r="B1234">
        <v>6491</v>
      </c>
      <c r="C1234" t="s">
        <v>2529</v>
      </c>
      <c r="D1234" s="3">
        <v>116031</v>
      </c>
      <c r="E1234">
        <v>247</v>
      </c>
      <c r="F1234" s="3">
        <v>46347294</v>
      </c>
      <c r="G1234">
        <v>401.5</v>
      </c>
      <c r="H1234">
        <v>402</v>
      </c>
      <c r="I1234">
        <v>398</v>
      </c>
      <c r="J1234">
        <v>398</v>
      </c>
      <c r="K1234" t="s">
        <v>1</v>
      </c>
      <c r="L1234">
        <v>3</v>
      </c>
      <c r="M1234">
        <v>398</v>
      </c>
      <c r="N1234">
        <v>11</v>
      </c>
      <c r="O1234">
        <v>398.5</v>
      </c>
      <c r="P1234">
        <v>2</v>
      </c>
      <c r="Q1234">
        <v>23.96</v>
      </c>
    </row>
    <row r="1235" spans="2:17">
      <c r="B1235">
        <v>6504</v>
      </c>
      <c r="C1235" t="s">
        <v>2530</v>
      </c>
      <c r="D1235" s="3">
        <v>40469</v>
      </c>
      <c r="E1235">
        <v>54</v>
      </c>
      <c r="F1235" s="3">
        <v>4576345</v>
      </c>
      <c r="G1235">
        <v>113</v>
      </c>
      <c r="H1235">
        <v>113.5</v>
      </c>
      <c r="I1235">
        <v>112.5</v>
      </c>
      <c r="J1235">
        <v>113.5</v>
      </c>
      <c r="K1235" t="s">
        <v>1328</v>
      </c>
      <c r="L1235">
        <v>0</v>
      </c>
      <c r="M1235">
        <v>113</v>
      </c>
      <c r="N1235">
        <v>13</v>
      </c>
      <c r="O1235">
        <v>113.5</v>
      </c>
      <c r="P1235">
        <v>4</v>
      </c>
      <c r="Q1235">
        <v>14.1</v>
      </c>
    </row>
    <row r="1236" spans="2:17">
      <c r="B1236">
        <v>6505</v>
      </c>
      <c r="C1236" t="s">
        <v>2531</v>
      </c>
      <c r="D1236" s="3">
        <v>1282551</v>
      </c>
      <c r="E1236" s="3">
        <v>1394</v>
      </c>
      <c r="F1236" s="3">
        <v>124201233</v>
      </c>
      <c r="G1236">
        <v>97.4</v>
      </c>
      <c r="H1236">
        <v>97.4</v>
      </c>
      <c r="I1236">
        <v>96.4</v>
      </c>
      <c r="J1236">
        <v>97</v>
      </c>
      <c r="K1236" t="s">
        <v>1</v>
      </c>
      <c r="L1236">
        <v>0.1</v>
      </c>
      <c r="M1236">
        <v>96.9</v>
      </c>
      <c r="N1236">
        <v>66</v>
      </c>
      <c r="O1236">
        <v>97</v>
      </c>
      <c r="P1236">
        <v>603</v>
      </c>
      <c r="Q1236">
        <v>17.77</v>
      </c>
    </row>
    <row r="1237" spans="2:17">
      <c r="B1237">
        <v>6515</v>
      </c>
      <c r="C1237" t="s">
        <v>2532</v>
      </c>
      <c r="D1237" s="3">
        <v>1365964</v>
      </c>
      <c r="E1237" s="3">
        <v>1491</v>
      </c>
      <c r="F1237" s="3">
        <v>583261025</v>
      </c>
      <c r="G1237">
        <v>424.5</v>
      </c>
      <c r="H1237">
        <v>434.5</v>
      </c>
      <c r="I1237">
        <v>417</v>
      </c>
      <c r="J1237">
        <v>423.5</v>
      </c>
      <c r="K1237" t="s">
        <v>1362</v>
      </c>
      <c r="L1237">
        <v>7</v>
      </c>
      <c r="M1237">
        <v>423</v>
      </c>
      <c r="N1237">
        <v>6</v>
      </c>
      <c r="O1237">
        <v>424</v>
      </c>
      <c r="P1237">
        <v>1</v>
      </c>
      <c r="Q1237">
        <v>38.92</v>
      </c>
    </row>
    <row r="1238" spans="2:17">
      <c r="B1238">
        <v>6525</v>
      </c>
      <c r="C1238" t="s">
        <v>2533</v>
      </c>
      <c r="D1238" s="3">
        <v>1370866</v>
      </c>
      <c r="E1238" s="3">
        <v>1271</v>
      </c>
      <c r="F1238" s="3">
        <v>129486189</v>
      </c>
      <c r="G1238">
        <v>92</v>
      </c>
      <c r="H1238">
        <v>95.5</v>
      </c>
      <c r="I1238">
        <v>92</v>
      </c>
      <c r="J1238">
        <v>94.6</v>
      </c>
      <c r="K1238" t="s">
        <v>1362</v>
      </c>
      <c r="L1238">
        <v>3.8</v>
      </c>
      <c r="M1238">
        <v>94.6</v>
      </c>
      <c r="N1238">
        <v>2</v>
      </c>
      <c r="O1238">
        <v>94.7</v>
      </c>
      <c r="P1238">
        <v>8</v>
      </c>
      <c r="Q1238">
        <v>14.62</v>
      </c>
    </row>
    <row r="1239" spans="2:17">
      <c r="B1239">
        <v>6531</v>
      </c>
      <c r="C1239" t="s">
        <v>2885</v>
      </c>
      <c r="D1239" s="3">
        <v>6234978</v>
      </c>
      <c r="E1239" s="3">
        <v>5830</v>
      </c>
      <c r="F1239" s="3">
        <v>3200309637</v>
      </c>
      <c r="G1239">
        <v>509</v>
      </c>
      <c r="H1239">
        <v>527</v>
      </c>
      <c r="I1239">
        <v>499</v>
      </c>
      <c r="J1239">
        <v>502</v>
      </c>
      <c r="K1239" t="s">
        <v>1362</v>
      </c>
      <c r="L1239">
        <v>2</v>
      </c>
      <c r="M1239">
        <v>502</v>
      </c>
      <c r="N1239">
        <v>43</v>
      </c>
      <c r="O1239">
        <v>503</v>
      </c>
      <c r="P1239">
        <v>1</v>
      </c>
      <c r="Q1239">
        <v>36.14</v>
      </c>
    </row>
    <row r="1240" spans="2:17">
      <c r="B1240">
        <v>6533</v>
      </c>
      <c r="C1240" t="s">
        <v>2534</v>
      </c>
      <c r="D1240" s="3">
        <v>1039023</v>
      </c>
      <c r="E1240" s="3">
        <v>1082</v>
      </c>
      <c r="F1240" s="3">
        <v>563100455</v>
      </c>
      <c r="G1240">
        <v>549</v>
      </c>
      <c r="H1240">
        <v>552</v>
      </c>
      <c r="I1240">
        <v>535</v>
      </c>
      <c r="J1240">
        <v>535</v>
      </c>
      <c r="K1240" t="s">
        <v>1</v>
      </c>
      <c r="L1240">
        <v>10</v>
      </c>
      <c r="M1240">
        <v>535</v>
      </c>
      <c r="N1240">
        <v>6</v>
      </c>
      <c r="O1240">
        <v>538</v>
      </c>
      <c r="P1240">
        <v>4</v>
      </c>
      <c r="Q1240">
        <v>107.65</v>
      </c>
    </row>
    <row r="1241" spans="2:17">
      <c r="B1241">
        <v>6541</v>
      </c>
      <c r="C1241" t="s">
        <v>2535</v>
      </c>
      <c r="D1241" s="3">
        <v>1533137</v>
      </c>
      <c r="E1241" s="3">
        <v>1210</v>
      </c>
      <c r="F1241" s="3">
        <v>94320956</v>
      </c>
      <c r="G1241">
        <v>60.7</v>
      </c>
      <c r="H1241">
        <v>62.9</v>
      </c>
      <c r="I1241">
        <v>60.5</v>
      </c>
      <c r="J1241">
        <v>60.7</v>
      </c>
      <c r="K1241" t="s">
        <v>1362</v>
      </c>
      <c r="L1241">
        <v>0.1</v>
      </c>
      <c r="M1241">
        <v>60.7</v>
      </c>
      <c r="N1241">
        <v>12</v>
      </c>
      <c r="O1241">
        <v>61</v>
      </c>
      <c r="P1241">
        <v>12</v>
      </c>
      <c r="Q1241">
        <v>0</v>
      </c>
    </row>
    <row r="1242" spans="2:17">
      <c r="B1242">
        <v>6552</v>
      </c>
      <c r="C1242" t="s">
        <v>2536</v>
      </c>
      <c r="D1242" s="3">
        <v>659377</v>
      </c>
      <c r="E1242" s="3">
        <v>1681</v>
      </c>
      <c r="F1242" s="3">
        <v>37426794</v>
      </c>
      <c r="G1242">
        <v>58.4</v>
      </c>
      <c r="H1242">
        <v>58.4</v>
      </c>
      <c r="I1242">
        <v>55.9</v>
      </c>
      <c r="J1242">
        <v>56.2</v>
      </c>
      <c r="K1242" t="s">
        <v>1</v>
      </c>
      <c r="L1242">
        <v>1</v>
      </c>
      <c r="M1242">
        <v>56.2</v>
      </c>
      <c r="N1242">
        <v>11</v>
      </c>
      <c r="O1242">
        <v>56.3</v>
      </c>
      <c r="P1242">
        <v>1</v>
      </c>
      <c r="Q1242">
        <v>15.74</v>
      </c>
    </row>
    <row r="1243" spans="2:17">
      <c r="B1243">
        <v>6558</v>
      </c>
      <c r="C1243" t="s">
        <v>2537</v>
      </c>
      <c r="D1243" s="3">
        <v>119025</v>
      </c>
      <c r="E1243">
        <v>95</v>
      </c>
      <c r="F1243" s="3">
        <v>3851425</v>
      </c>
      <c r="G1243">
        <v>32.25</v>
      </c>
      <c r="H1243">
        <v>32.65</v>
      </c>
      <c r="I1243">
        <v>32.25</v>
      </c>
      <c r="J1243">
        <v>32.299999999999997</v>
      </c>
      <c r="K1243" t="s">
        <v>1</v>
      </c>
      <c r="L1243">
        <v>0.05</v>
      </c>
      <c r="M1243">
        <v>32.299999999999997</v>
      </c>
      <c r="N1243">
        <v>6</v>
      </c>
      <c r="O1243">
        <v>32.450000000000003</v>
      </c>
      <c r="P1243">
        <v>2</v>
      </c>
      <c r="Q1243">
        <v>48.94</v>
      </c>
    </row>
    <row r="1244" spans="2:17">
      <c r="B1244">
        <v>6573</v>
      </c>
      <c r="C1244" t="s">
        <v>2538</v>
      </c>
      <c r="D1244" s="3">
        <v>288159</v>
      </c>
      <c r="E1244">
        <v>168</v>
      </c>
      <c r="F1244" s="3">
        <v>6464691</v>
      </c>
      <c r="G1244">
        <v>22.5</v>
      </c>
      <c r="H1244">
        <v>22.85</v>
      </c>
      <c r="I1244">
        <v>22.1</v>
      </c>
      <c r="J1244">
        <v>22.2</v>
      </c>
      <c r="K1244" t="s">
        <v>1</v>
      </c>
      <c r="L1244">
        <v>0.05</v>
      </c>
      <c r="M1244">
        <v>22.15</v>
      </c>
      <c r="N1244">
        <v>4</v>
      </c>
      <c r="O1244">
        <v>22.2</v>
      </c>
      <c r="P1244">
        <v>7</v>
      </c>
      <c r="Q1244">
        <v>0</v>
      </c>
    </row>
    <row r="1245" spans="2:17">
      <c r="B1245">
        <v>6579</v>
      </c>
      <c r="C1245" t="s">
        <v>2539</v>
      </c>
      <c r="D1245" s="3">
        <v>29000</v>
      </c>
      <c r="E1245">
        <v>22</v>
      </c>
      <c r="F1245" s="3">
        <v>1970400</v>
      </c>
      <c r="G1245">
        <v>67.599999999999994</v>
      </c>
      <c r="H1245">
        <v>68.5</v>
      </c>
      <c r="I1245">
        <v>67.599999999999994</v>
      </c>
      <c r="J1245">
        <v>67.900000000000006</v>
      </c>
      <c r="K1245" t="s">
        <v>1362</v>
      </c>
      <c r="L1245">
        <v>0.3</v>
      </c>
      <c r="M1245">
        <v>67.5</v>
      </c>
      <c r="N1245">
        <v>1</v>
      </c>
      <c r="O1245">
        <v>67.900000000000006</v>
      </c>
      <c r="P1245">
        <v>3</v>
      </c>
      <c r="Q1245">
        <v>38.15</v>
      </c>
    </row>
    <row r="1246" spans="2:17">
      <c r="B1246">
        <v>6581</v>
      </c>
      <c r="C1246" t="s">
        <v>2540</v>
      </c>
      <c r="D1246" s="3">
        <v>67120</v>
      </c>
      <c r="E1246">
        <v>74</v>
      </c>
      <c r="F1246" s="3">
        <v>5438720</v>
      </c>
      <c r="G1246">
        <v>80.8</v>
      </c>
      <c r="H1246">
        <v>81.3</v>
      </c>
      <c r="I1246">
        <v>80.8</v>
      </c>
      <c r="J1246">
        <v>81</v>
      </c>
      <c r="K1246" t="s">
        <v>1362</v>
      </c>
      <c r="L1246">
        <v>0.2</v>
      </c>
      <c r="M1246">
        <v>80.900000000000006</v>
      </c>
      <c r="N1246">
        <v>10</v>
      </c>
      <c r="O1246">
        <v>81.2</v>
      </c>
      <c r="P1246">
        <v>5</v>
      </c>
      <c r="Q1246">
        <v>16.559999999999999</v>
      </c>
    </row>
    <row r="1247" spans="2:17">
      <c r="B1247">
        <v>6582</v>
      </c>
      <c r="C1247" t="s">
        <v>2541</v>
      </c>
      <c r="D1247" s="3">
        <v>110745</v>
      </c>
      <c r="E1247">
        <v>110</v>
      </c>
      <c r="F1247" s="3">
        <v>17947750</v>
      </c>
      <c r="G1247">
        <v>162</v>
      </c>
      <c r="H1247">
        <v>163</v>
      </c>
      <c r="I1247">
        <v>161</v>
      </c>
      <c r="J1247">
        <v>162</v>
      </c>
      <c r="K1247" t="s">
        <v>1328</v>
      </c>
      <c r="L1247">
        <v>0</v>
      </c>
      <c r="M1247">
        <v>162</v>
      </c>
      <c r="N1247">
        <v>1</v>
      </c>
      <c r="O1247">
        <v>162.5</v>
      </c>
      <c r="P1247">
        <v>7</v>
      </c>
      <c r="Q1247">
        <v>4.25</v>
      </c>
    </row>
    <row r="1248" spans="2:17">
      <c r="B1248">
        <v>6591</v>
      </c>
      <c r="C1248" t="s">
        <v>2542</v>
      </c>
      <c r="D1248" s="3">
        <v>289638</v>
      </c>
      <c r="E1248">
        <v>228</v>
      </c>
      <c r="F1248" s="3">
        <v>17492124</v>
      </c>
      <c r="G1248">
        <v>61.4</v>
      </c>
      <c r="H1248">
        <v>61.4</v>
      </c>
      <c r="I1248">
        <v>59.9</v>
      </c>
      <c r="J1248">
        <v>59.9</v>
      </c>
      <c r="K1248" t="s">
        <v>1</v>
      </c>
      <c r="L1248">
        <v>0.2</v>
      </c>
      <c r="M1248">
        <v>59.9</v>
      </c>
      <c r="N1248">
        <v>29</v>
      </c>
      <c r="O1248">
        <v>60</v>
      </c>
      <c r="P1248">
        <v>4</v>
      </c>
      <c r="Q1248">
        <v>8.1300000000000008</v>
      </c>
    </row>
    <row r="1249" spans="2:17">
      <c r="B1249">
        <v>6592</v>
      </c>
      <c r="C1249" t="s">
        <v>2543</v>
      </c>
      <c r="D1249" s="3">
        <v>839235</v>
      </c>
      <c r="E1249">
        <v>653</v>
      </c>
      <c r="F1249" s="3">
        <v>77195474</v>
      </c>
      <c r="G1249">
        <v>91.1</v>
      </c>
      <c r="H1249">
        <v>92.7</v>
      </c>
      <c r="I1249">
        <v>91.1</v>
      </c>
      <c r="J1249">
        <v>92.1</v>
      </c>
      <c r="K1249" t="s">
        <v>1362</v>
      </c>
      <c r="L1249">
        <v>1</v>
      </c>
      <c r="M1249">
        <v>92</v>
      </c>
      <c r="N1249">
        <v>31</v>
      </c>
      <c r="O1249">
        <v>92.1</v>
      </c>
      <c r="P1249">
        <v>20</v>
      </c>
      <c r="Q1249">
        <v>16.07</v>
      </c>
    </row>
    <row r="1250" spans="2:17">
      <c r="B1250">
        <v>6598</v>
      </c>
      <c r="C1250" t="s">
        <v>2544</v>
      </c>
      <c r="D1250" s="3">
        <v>374933</v>
      </c>
      <c r="E1250">
        <v>272</v>
      </c>
      <c r="F1250" s="3">
        <v>15668226</v>
      </c>
      <c r="G1250">
        <v>41.45</v>
      </c>
      <c r="H1250">
        <v>42.35</v>
      </c>
      <c r="I1250">
        <v>41.35</v>
      </c>
      <c r="J1250">
        <v>41.45</v>
      </c>
      <c r="K1250" t="s">
        <v>1</v>
      </c>
      <c r="L1250">
        <v>0.55000000000000004</v>
      </c>
      <c r="M1250">
        <v>41.45</v>
      </c>
      <c r="N1250">
        <v>14</v>
      </c>
      <c r="O1250">
        <v>41.5</v>
      </c>
      <c r="P1250">
        <v>3</v>
      </c>
      <c r="Q1250">
        <v>0</v>
      </c>
    </row>
    <row r="1251" spans="2:17">
      <c r="B1251">
        <v>6605</v>
      </c>
      <c r="C1251" t="s">
        <v>2545</v>
      </c>
      <c r="D1251" s="3">
        <v>314072</v>
      </c>
      <c r="E1251">
        <v>312</v>
      </c>
      <c r="F1251" s="3">
        <v>19681840</v>
      </c>
      <c r="G1251">
        <v>62.9</v>
      </c>
      <c r="H1251">
        <v>63</v>
      </c>
      <c r="I1251">
        <v>62.4</v>
      </c>
      <c r="J1251">
        <v>62.4</v>
      </c>
      <c r="K1251" t="s">
        <v>1</v>
      </c>
      <c r="L1251">
        <v>0.3</v>
      </c>
      <c r="M1251">
        <v>62.3</v>
      </c>
      <c r="N1251">
        <v>6</v>
      </c>
      <c r="O1251">
        <v>62.4</v>
      </c>
      <c r="P1251">
        <v>2</v>
      </c>
      <c r="Q1251">
        <v>10.029999999999999</v>
      </c>
    </row>
    <row r="1252" spans="2:17">
      <c r="B1252">
        <v>6625</v>
      </c>
      <c r="C1252" t="s">
        <v>2546</v>
      </c>
      <c r="D1252" s="3">
        <v>47050</v>
      </c>
      <c r="E1252">
        <v>36</v>
      </c>
      <c r="F1252" s="3">
        <v>1558161</v>
      </c>
      <c r="G1252">
        <v>33.65</v>
      </c>
      <c r="H1252">
        <v>33.65</v>
      </c>
      <c r="I1252">
        <v>33</v>
      </c>
      <c r="J1252">
        <v>33</v>
      </c>
      <c r="K1252" t="s">
        <v>1</v>
      </c>
      <c r="L1252">
        <v>0.25</v>
      </c>
      <c r="M1252">
        <v>33</v>
      </c>
      <c r="N1252">
        <v>9</v>
      </c>
      <c r="O1252">
        <v>33.25</v>
      </c>
      <c r="P1252">
        <v>1</v>
      </c>
      <c r="Q1252">
        <v>0</v>
      </c>
    </row>
    <row r="1253" spans="2:17">
      <c r="B1253">
        <v>6641</v>
      </c>
      <c r="C1253" t="s">
        <v>2547</v>
      </c>
      <c r="D1253" s="3">
        <v>12621</v>
      </c>
      <c r="E1253">
        <v>17</v>
      </c>
      <c r="F1253" s="3">
        <v>769681</v>
      </c>
      <c r="G1253">
        <v>60.5</v>
      </c>
      <c r="H1253">
        <v>61.1</v>
      </c>
      <c r="I1253">
        <v>60.5</v>
      </c>
      <c r="J1253">
        <v>61.1</v>
      </c>
      <c r="K1253" t="s">
        <v>1362</v>
      </c>
      <c r="L1253">
        <v>0.8</v>
      </c>
      <c r="M1253">
        <v>60.5</v>
      </c>
      <c r="N1253">
        <v>1</v>
      </c>
      <c r="O1253">
        <v>61.1</v>
      </c>
      <c r="P1253">
        <v>3</v>
      </c>
      <c r="Q1253">
        <v>9.67</v>
      </c>
    </row>
    <row r="1254" spans="2:17">
      <c r="B1254">
        <v>6655</v>
      </c>
      <c r="C1254" t="s">
        <v>2548</v>
      </c>
      <c r="D1254" s="3">
        <v>20047</v>
      </c>
      <c r="E1254">
        <v>30</v>
      </c>
      <c r="F1254" s="3">
        <v>1574313</v>
      </c>
      <c r="G1254">
        <v>78.900000000000006</v>
      </c>
      <c r="H1254">
        <v>78.900000000000006</v>
      </c>
      <c r="I1254">
        <v>78.400000000000006</v>
      </c>
      <c r="J1254">
        <v>78.5</v>
      </c>
      <c r="K1254" t="s">
        <v>1</v>
      </c>
      <c r="L1254">
        <v>0.4</v>
      </c>
      <c r="M1254">
        <v>78.5</v>
      </c>
      <c r="N1254">
        <v>3</v>
      </c>
      <c r="O1254">
        <v>78.599999999999994</v>
      </c>
      <c r="P1254">
        <v>2</v>
      </c>
      <c r="Q1254">
        <v>11.89</v>
      </c>
    </row>
    <row r="1255" spans="2:17">
      <c r="B1255">
        <v>6666</v>
      </c>
      <c r="C1255" t="s">
        <v>2549</v>
      </c>
      <c r="D1255" s="3">
        <v>18700</v>
      </c>
      <c r="E1255">
        <v>22</v>
      </c>
      <c r="F1255" s="3">
        <v>1292520</v>
      </c>
      <c r="G1255">
        <v>69.3</v>
      </c>
      <c r="H1255">
        <v>70.099999999999994</v>
      </c>
      <c r="I1255">
        <v>68.2</v>
      </c>
      <c r="J1255">
        <v>68.2</v>
      </c>
      <c r="K1255" t="s">
        <v>1</v>
      </c>
      <c r="L1255">
        <v>0.7</v>
      </c>
      <c r="M1255">
        <v>68</v>
      </c>
      <c r="N1255">
        <v>1</v>
      </c>
      <c r="O1255">
        <v>69.3</v>
      </c>
      <c r="P1255">
        <v>2</v>
      </c>
      <c r="Q1255">
        <v>29.4</v>
      </c>
    </row>
    <row r="1256" spans="2:17">
      <c r="B1256">
        <v>6668</v>
      </c>
      <c r="C1256" t="s">
        <v>2550</v>
      </c>
      <c r="D1256" s="3">
        <v>304197</v>
      </c>
      <c r="E1256">
        <v>295</v>
      </c>
      <c r="F1256" s="3">
        <v>17058157</v>
      </c>
      <c r="G1256">
        <v>56.8</v>
      </c>
      <c r="H1256">
        <v>56.8</v>
      </c>
      <c r="I1256">
        <v>55.5</v>
      </c>
      <c r="J1256">
        <v>55.5</v>
      </c>
      <c r="K1256" t="s">
        <v>1</v>
      </c>
      <c r="L1256">
        <v>0.7</v>
      </c>
      <c r="M1256">
        <v>55.5</v>
      </c>
      <c r="N1256">
        <v>16</v>
      </c>
      <c r="O1256">
        <v>55.6</v>
      </c>
      <c r="P1256">
        <v>4</v>
      </c>
      <c r="Q1256">
        <v>0</v>
      </c>
    </row>
    <row r="1257" spans="2:17">
      <c r="B1257">
        <v>6669</v>
      </c>
      <c r="C1257" t="s">
        <v>2551</v>
      </c>
      <c r="D1257" s="3">
        <v>365590</v>
      </c>
      <c r="E1257">
        <v>508</v>
      </c>
      <c r="F1257" s="3">
        <v>403906500</v>
      </c>
      <c r="G1257" s="8">
        <v>1135</v>
      </c>
      <c r="H1257" s="8">
        <v>1135</v>
      </c>
      <c r="I1257" s="8">
        <v>1090</v>
      </c>
      <c r="J1257" s="8">
        <v>1110</v>
      </c>
      <c r="K1257" t="s">
        <v>1</v>
      </c>
      <c r="L1257">
        <v>15</v>
      </c>
      <c r="M1257" s="8">
        <v>1105</v>
      </c>
      <c r="N1257">
        <v>9</v>
      </c>
      <c r="O1257" s="8">
        <v>1115</v>
      </c>
      <c r="P1257">
        <v>14</v>
      </c>
      <c r="Q1257">
        <v>22.14</v>
      </c>
    </row>
    <row r="1258" spans="2:17">
      <c r="B1258">
        <v>6670</v>
      </c>
      <c r="C1258" t="s">
        <v>2552</v>
      </c>
      <c r="D1258" s="3">
        <v>66859</v>
      </c>
      <c r="E1258">
        <v>102</v>
      </c>
      <c r="F1258" s="3">
        <v>12904312</v>
      </c>
      <c r="G1258">
        <v>193.5</v>
      </c>
      <c r="H1258">
        <v>194</v>
      </c>
      <c r="I1258">
        <v>192.5</v>
      </c>
      <c r="J1258">
        <v>193</v>
      </c>
      <c r="K1258" t="s">
        <v>1</v>
      </c>
      <c r="L1258">
        <v>0.5</v>
      </c>
      <c r="M1258">
        <v>192.5</v>
      </c>
      <c r="N1258">
        <v>4</v>
      </c>
      <c r="O1258">
        <v>193.5</v>
      </c>
      <c r="P1258">
        <v>13</v>
      </c>
      <c r="Q1258">
        <v>11.19</v>
      </c>
    </row>
    <row r="1259" spans="2:17">
      <c r="B1259">
        <v>6671</v>
      </c>
      <c r="C1259" t="s">
        <v>2553</v>
      </c>
      <c r="D1259" s="3">
        <v>5000</v>
      </c>
      <c r="E1259">
        <v>4</v>
      </c>
      <c r="F1259" s="3">
        <v>240600</v>
      </c>
      <c r="G1259">
        <v>48.2</v>
      </c>
      <c r="H1259">
        <v>48.2</v>
      </c>
      <c r="I1259">
        <v>48</v>
      </c>
      <c r="J1259">
        <v>48</v>
      </c>
      <c r="K1259" t="s">
        <v>1</v>
      </c>
      <c r="L1259">
        <v>0.25</v>
      </c>
      <c r="M1259">
        <v>48</v>
      </c>
      <c r="N1259">
        <v>1</v>
      </c>
      <c r="O1259">
        <v>48.2</v>
      </c>
      <c r="P1259">
        <v>5</v>
      </c>
      <c r="Q1259">
        <v>12.83</v>
      </c>
    </row>
    <row r="1260" spans="2:17">
      <c r="B1260">
        <v>6672</v>
      </c>
      <c r="C1260" t="s">
        <v>2554</v>
      </c>
      <c r="D1260" s="3">
        <v>787825</v>
      </c>
      <c r="E1260">
        <v>722</v>
      </c>
      <c r="F1260" s="3">
        <v>105391212</v>
      </c>
      <c r="G1260">
        <v>136</v>
      </c>
      <c r="H1260">
        <v>136.5</v>
      </c>
      <c r="I1260">
        <v>132.5</v>
      </c>
      <c r="J1260">
        <v>133</v>
      </c>
      <c r="K1260" t="s">
        <v>1</v>
      </c>
      <c r="L1260">
        <v>2</v>
      </c>
      <c r="M1260">
        <v>133</v>
      </c>
      <c r="N1260">
        <v>26</v>
      </c>
      <c r="O1260">
        <v>133.5</v>
      </c>
      <c r="P1260">
        <v>23</v>
      </c>
      <c r="Q1260">
        <v>12.16</v>
      </c>
    </row>
    <row r="1261" spans="2:17">
      <c r="B1261">
        <v>6674</v>
      </c>
      <c r="C1261" t="s">
        <v>2555</v>
      </c>
      <c r="D1261" s="3">
        <v>7001</v>
      </c>
      <c r="E1261">
        <v>6</v>
      </c>
      <c r="F1261" s="3">
        <v>218380</v>
      </c>
      <c r="G1261">
        <v>31.85</v>
      </c>
      <c r="H1261">
        <v>31.85</v>
      </c>
      <c r="I1261">
        <v>31</v>
      </c>
      <c r="J1261">
        <v>31.25</v>
      </c>
      <c r="K1261" t="s">
        <v>1362</v>
      </c>
      <c r="L1261">
        <v>0.35</v>
      </c>
      <c r="M1261">
        <v>30.95</v>
      </c>
      <c r="N1261">
        <v>1</v>
      </c>
      <c r="O1261">
        <v>31.2</v>
      </c>
      <c r="P1261">
        <v>2</v>
      </c>
      <c r="Q1261">
        <v>45.96</v>
      </c>
    </row>
    <row r="1262" spans="2:17">
      <c r="B1262">
        <v>6698</v>
      </c>
      <c r="C1262" t="s">
        <v>2556</v>
      </c>
      <c r="D1262" s="3">
        <v>5857712</v>
      </c>
      <c r="E1262" s="3">
        <v>4127</v>
      </c>
      <c r="F1262" s="3">
        <v>319355944</v>
      </c>
      <c r="G1262">
        <v>53.9</v>
      </c>
      <c r="H1262">
        <v>56.5</v>
      </c>
      <c r="I1262">
        <v>52.7</v>
      </c>
      <c r="J1262">
        <v>53.6</v>
      </c>
      <c r="K1262" t="s">
        <v>1</v>
      </c>
      <c r="L1262">
        <v>0.6</v>
      </c>
      <c r="M1262">
        <v>53.5</v>
      </c>
      <c r="N1262">
        <v>42</v>
      </c>
      <c r="O1262">
        <v>53.7</v>
      </c>
      <c r="P1262">
        <v>6</v>
      </c>
      <c r="Q1262">
        <v>101.13</v>
      </c>
    </row>
    <row r="1263" spans="2:17">
      <c r="B1263">
        <v>6706</v>
      </c>
      <c r="C1263" t="s">
        <v>2557</v>
      </c>
      <c r="D1263" s="3">
        <v>1075471</v>
      </c>
      <c r="E1263" s="3">
        <v>1188</v>
      </c>
      <c r="F1263" s="3">
        <v>230304612</v>
      </c>
      <c r="G1263">
        <v>215.5</v>
      </c>
      <c r="H1263">
        <v>217.5</v>
      </c>
      <c r="I1263">
        <v>213</v>
      </c>
      <c r="J1263">
        <v>213.5</v>
      </c>
      <c r="K1263" t="s">
        <v>1328</v>
      </c>
      <c r="L1263">
        <v>0</v>
      </c>
      <c r="M1263">
        <v>213</v>
      </c>
      <c r="N1263">
        <v>38</v>
      </c>
      <c r="O1263">
        <v>213.5</v>
      </c>
      <c r="P1263">
        <v>4</v>
      </c>
      <c r="Q1263">
        <v>18.57</v>
      </c>
    </row>
    <row r="1264" spans="2:17">
      <c r="B1264">
        <v>6715</v>
      </c>
      <c r="C1264" t="s">
        <v>2558</v>
      </c>
      <c r="D1264" s="3">
        <v>54004</v>
      </c>
      <c r="E1264">
        <v>37</v>
      </c>
      <c r="F1264" s="3">
        <v>6526980</v>
      </c>
      <c r="G1264">
        <v>120</v>
      </c>
      <c r="H1264">
        <v>123</v>
      </c>
      <c r="I1264">
        <v>120</v>
      </c>
      <c r="J1264">
        <v>121</v>
      </c>
      <c r="K1264" t="s">
        <v>1362</v>
      </c>
      <c r="L1264">
        <v>1</v>
      </c>
      <c r="M1264">
        <v>121</v>
      </c>
      <c r="N1264">
        <v>6</v>
      </c>
      <c r="O1264">
        <v>121.5</v>
      </c>
      <c r="P1264">
        <v>8</v>
      </c>
      <c r="Q1264">
        <v>34.47</v>
      </c>
    </row>
    <row r="1265" spans="2:17">
      <c r="B1265">
        <v>6743</v>
      </c>
      <c r="C1265" t="s">
        <v>2559</v>
      </c>
      <c r="D1265" s="3">
        <v>110944</v>
      </c>
      <c r="E1265">
        <v>379</v>
      </c>
      <c r="F1265" s="3">
        <v>7955576</v>
      </c>
      <c r="G1265">
        <v>71.8</v>
      </c>
      <c r="H1265">
        <v>72.3</v>
      </c>
      <c r="I1265">
        <v>71.3</v>
      </c>
      <c r="J1265">
        <v>71.900000000000006</v>
      </c>
      <c r="K1265" t="s">
        <v>1362</v>
      </c>
      <c r="L1265">
        <v>0.1</v>
      </c>
      <c r="M1265">
        <v>71.8</v>
      </c>
      <c r="N1265">
        <v>2</v>
      </c>
      <c r="O1265">
        <v>71.900000000000006</v>
      </c>
      <c r="P1265">
        <v>2</v>
      </c>
      <c r="Q1265">
        <v>92.18</v>
      </c>
    </row>
    <row r="1266" spans="2:17">
      <c r="B1266">
        <v>6754</v>
      </c>
      <c r="C1266" t="s">
        <v>2560</v>
      </c>
      <c r="D1266" s="3">
        <v>46000</v>
      </c>
      <c r="E1266">
        <v>38</v>
      </c>
      <c r="F1266" s="3">
        <v>1877850</v>
      </c>
      <c r="G1266">
        <v>40.799999999999997</v>
      </c>
      <c r="H1266">
        <v>41</v>
      </c>
      <c r="I1266">
        <v>40.65</v>
      </c>
      <c r="J1266">
        <v>40.799999999999997</v>
      </c>
      <c r="K1266" t="s">
        <v>1362</v>
      </c>
      <c r="L1266">
        <v>0.15</v>
      </c>
      <c r="M1266">
        <v>40.75</v>
      </c>
      <c r="N1266">
        <v>1</v>
      </c>
      <c r="O1266">
        <v>40.799999999999997</v>
      </c>
      <c r="P1266">
        <v>14</v>
      </c>
      <c r="Q1266">
        <v>15.4</v>
      </c>
    </row>
    <row r="1267" spans="2:17">
      <c r="B1267">
        <v>6756</v>
      </c>
      <c r="C1267" t="s">
        <v>2561</v>
      </c>
      <c r="D1267" s="3">
        <v>731747</v>
      </c>
      <c r="E1267">
        <v>958</v>
      </c>
      <c r="F1267" s="3">
        <v>375421706</v>
      </c>
      <c r="G1267">
        <v>516</v>
      </c>
      <c r="H1267">
        <v>521</v>
      </c>
      <c r="I1267">
        <v>508</v>
      </c>
      <c r="J1267">
        <v>511</v>
      </c>
      <c r="K1267" t="s">
        <v>1</v>
      </c>
      <c r="L1267">
        <v>1</v>
      </c>
      <c r="M1267">
        <v>510</v>
      </c>
      <c r="N1267">
        <v>20</v>
      </c>
      <c r="O1267">
        <v>512</v>
      </c>
      <c r="P1267">
        <v>7</v>
      </c>
      <c r="Q1267">
        <v>48.12</v>
      </c>
    </row>
    <row r="1268" spans="2:17">
      <c r="B1268">
        <v>6768</v>
      </c>
      <c r="C1268" t="s">
        <v>2562</v>
      </c>
      <c r="D1268" s="3">
        <v>35004</v>
      </c>
      <c r="E1268">
        <v>32</v>
      </c>
      <c r="F1268" s="3">
        <v>2342470</v>
      </c>
      <c r="G1268">
        <v>67</v>
      </c>
      <c r="H1268">
        <v>67</v>
      </c>
      <c r="I1268">
        <v>66.8</v>
      </c>
      <c r="J1268">
        <v>66.900000000000006</v>
      </c>
      <c r="K1268" t="s">
        <v>1328</v>
      </c>
      <c r="L1268">
        <v>0</v>
      </c>
      <c r="M1268">
        <v>66.8</v>
      </c>
      <c r="N1268">
        <v>3</v>
      </c>
      <c r="O1268">
        <v>66.900000000000006</v>
      </c>
      <c r="P1268">
        <v>1</v>
      </c>
      <c r="Q1268">
        <v>32.01</v>
      </c>
    </row>
    <row r="1269" spans="2:17">
      <c r="B1269">
        <v>6770</v>
      </c>
      <c r="C1269" t="s">
        <v>335</v>
      </c>
      <c r="D1269" s="3">
        <v>12345078</v>
      </c>
      <c r="E1269" s="3">
        <v>7836</v>
      </c>
      <c r="F1269" s="3">
        <v>881272826</v>
      </c>
      <c r="G1269">
        <v>71.400000000000006</v>
      </c>
      <c r="H1269">
        <v>71.599999999999994</v>
      </c>
      <c r="I1269">
        <v>71.099999999999994</v>
      </c>
      <c r="J1269">
        <v>71.400000000000006</v>
      </c>
      <c r="K1269" t="s">
        <v>1362</v>
      </c>
      <c r="L1269">
        <v>0.5</v>
      </c>
      <c r="M1269">
        <v>71.3</v>
      </c>
      <c r="N1269">
        <v>60</v>
      </c>
      <c r="O1269">
        <v>71.400000000000006</v>
      </c>
      <c r="P1269">
        <v>104</v>
      </c>
      <c r="Q1269">
        <v>33.520000000000003</v>
      </c>
    </row>
    <row r="1270" spans="2:17">
      <c r="B1270">
        <v>6776</v>
      </c>
      <c r="C1270" t="s">
        <v>2563</v>
      </c>
      <c r="D1270" s="3">
        <v>253762</v>
      </c>
      <c r="E1270">
        <v>202</v>
      </c>
      <c r="F1270" s="3">
        <v>10983440</v>
      </c>
      <c r="G1270">
        <v>43</v>
      </c>
      <c r="H1270">
        <v>43.55</v>
      </c>
      <c r="I1270">
        <v>43</v>
      </c>
      <c r="J1270">
        <v>43.55</v>
      </c>
      <c r="K1270" t="s">
        <v>1362</v>
      </c>
      <c r="L1270">
        <v>0.7</v>
      </c>
      <c r="M1270">
        <v>43.55</v>
      </c>
      <c r="N1270">
        <v>8</v>
      </c>
      <c r="O1270">
        <v>43.6</v>
      </c>
      <c r="P1270">
        <v>10</v>
      </c>
      <c r="Q1270">
        <v>12.85</v>
      </c>
    </row>
    <row r="1271" spans="2:17">
      <c r="B1271">
        <v>6781</v>
      </c>
      <c r="C1271" t="s">
        <v>2564</v>
      </c>
      <c r="D1271" s="3">
        <v>440715</v>
      </c>
      <c r="E1271">
        <v>592</v>
      </c>
      <c r="F1271" s="3">
        <v>782169690</v>
      </c>
      <c r="G1271" s="8">
        <v>1775</v>
      </c>
      <c r="H1271" s="8">
        <v>1810</v>
      </c>
      <c r="I1271" s="8">
        <v>1750</v>
      </c>
      <c r="J1271" s="8">
        <v>1775</v>
      </c>
      <c r="K1271" t="s">
        <v>1362</v>
      </c>
      <c r="L1271">
        <v>20</v>
      </c>
      <c r="M1271" s="8">
        <v>1755</v>
      </c>
      <c r="N1271">
        <v>5</v>
      </c>
      <c r="O1271" s="8">
        <v>1775</v>
      </c>
      <c r="P1271">
        <v>4</v>
      </c>
      <c r="Q1271">
        <v>167.77</v>
      </c>
    </row>
    <row r="1272" spans="2:17">
      <c r="B1272">
        <v>6790</v>
      </c>
      <c r="C1272" t="s">
        <v>2707</v>
      </c>
      <c r="D1272" s="3">
        <v>777222</v>
      </c>
      <c r="E1272">
        <v>684</v>
      </c>
      <c r="F1272" s="3">
        <v>40095135</v>
      </c>
      <c r="G1272">
        <v>52.9</v>
      </c>
      <c r="H1272">
        <v>52.9</v>
      </c>
      <c r="I1272">
        <v>51.1</v>
      </c>
      <c r="J1272">
        <v>51.6</v>
      </c>
      <c r="K1272" t="s">
        <v>1</v>
      </c>
      <c r="L1272">
        <v>1.1000000000000001</v>
      </c>
      <c r="M1272">
        <v>51.6</v>
      </c>
      <c r="N1272">
        <v>14</v>
      </c>
      <c r="O1272">
        <v>51.7</v>
      </c>
      <c r="P1272">
        <v>5</v>
      </c>
      <c r="Q1272">
        <v>9.0500000000000007</v>
      </c>
    </row>
    <row r="1273" spans="2:17">
      <c r="B1273">
        <v>6792</v>
      </c>
      <c r="C1273" t="s">
        <v>2713</v>
      </c>
      <c r="D1273" s="3">
        <v>530629</v>
      </c>
      <c r="E1273">
        <v>695</v>
      </c>
      <c r="F1273" s="3">
        <v>110125338</v>
      </c>
      <c r="G1273">
        <v>210</v>
      </c>
      <c r="H1273">
        <v>211.5</v>
      </c>
      <c r="I1273">
        <v>205.5</v>
      </c>
      <c r="J1273">
        <v>206</v>
      </c>
      <c r="K1273" t="s">
        <v>1</v>
      </c>
      <c r="L1273">
        <v>2.5</v>
      </c>
      <c r="M1273">
        <v>206</v>
      </c>
      <c r="N1273">
        <v>15</v>
      </c>
      <c r="O1273">
        <v>206.5</v>
      </c>
      <c r="P1273">
        <v>1</v>
      </c>
      <c r="Q1273">
        <v>39.159999999999997</v>
      </c>
    </row>
    <row r="1274" spans="2:17">
      <c r="B1274">
        <v>6806</v>
      </c>
      <c r="C1274" t="s">
        <v>2721</v>
      </c>
      <c r="D1274" s="3">
        <v>331849</v>
      </c>
      <c r="E1274">
        <v>328</v>
      </c>
      <c r="F1274" s="3">
        <v>34999137</v>
      </c>
      <c r="G1274">
        <v>105.5</v>
      </c>
      <c r="H1274">
        <v>106.5</v>
      </c>
      <c r="I1274">
        <v>105</v>
      </c>
      <c r="J1274">
        <v>105.5</v>
      </c>
      <c r="K1274" t="s">
        <v>1362</v>
      </c>
      <c r="L1274">
        <v>0.5</v>
      </c>
      <c r="M1274">
        <v>105.5</v>
      </c>
      <c r="N1274">
        <v>4</v>
      </c>
      <c r="O1274">
        <v>106</v>
      </c>
      <c r="P1274">
        <v>40</v>
      </c>
      <c r="Q1274">
        <v>26.11</v>
      </c>
    </row>
    <row r="1275" spans="2:17">
      <c r="B1275">
        <v>8011</v>
      </c>
      <c r="C1275" t="s">
        <v>2565</v>
      </c>
      <c r="D1275" s="3">
        <v>1835066</v>
      </c>
      <c r="E1275">
        <v>977</v>
      </c>
      <c r="F1275" s="3">
        <v>36717291</v>
      </c>
      <c r="G1275">
        <v>20.399999999999999</v>
      </c>
      <c r="H1275">
        <v>20.399999999999999</v>
      </c>
      <c r="I1275">
        <v>19.75</v>
      </c>
      <c r="J1275">
        <v>19.95</v>
      </c>
      <c r="K1275" t="s">
        <v>1</v>
      </c>
      <c r="L1275">
        <v>0.35</v>
      </c>
      <c r="M1275">
        <v>19.899999999999999</v>
      </c>
      <c r="N1275">
        <v>36</v>
      </c>
      <c r="O1275">
        <v>19.95</v>
      </c>
      <c r="P1275">
        <v>6</v>
      </c>
      <c r="Q1275">
        <v>0</v>
      </c>
    </row>
    <row r="1276" spans="2:17">
      <c r="B1276">
        <v>8016</v>
      </c>
      <c r="C1276" t="s">
        <v>2566</v>
      </c>
      <c r="D1276" s="3">
        <v>1732049</v>
      </c>
      <c r="E1276" s="3">
        <v>1904</v>
      </c>
      <c r="F1276" s="3">
        <v>560722581</v>
      </c>
      <c r="G1276">
        <v>324.5</v>
      </c>
      <c r="H1276">
        <v>326.5</v>
      </c>
      <c r="I1276">
        <v>320.5</v>
      </c>
      <c r="J1276">
        <v>322</v>
      </c>
      <c r="K1276" t="s">
        <v>1362</v>
      </c>
      <c r="L1276">
        <v>1.5</v>
      </c>
      <c r="M1276">
        <v>322</v>
      </c>
      <c r="N1276">
        <v>17</v>
      </c>
      <c r="O1276">
        <v>322.5</v>
      </c>
      <c r="P1276">
        <v>16</v>
      </c>
      <c r="Q1276">
        <v>8.18</v>
      </c>
    </row>
    <row r="1277" spans="2:17">
      <c r="B1277">
        <v>8021</v>
      </c>
      <c r="C1277" t="s">
        <v>2567</v>
      </c>
      <c r="D1277" s="3">
        <v>1737847</v>
      </c>
      <c r="E1277" s="3">
        <v>1283</v>
      </c>
      <c r="F1277" s="3">
        <v>73292816</v>
      </c>
      <c r="G1277">
        <v>42</v>
      </c>
      <c r="H1277">
        <v>42.4</v>
      </c>
      <c r="I1277">
        <v>42</v>
      </c>
      <c r="J1277">
        <v>42.25</v>
      </c>
      <c r="K1277" t="s">
        <v>1362</v>
      </c>
      <c r="L1277">
        <v>0.25</v>
      </c>
      <c r="M1277">
        <v>42.2</v>
      </c>
      <c r="N1277">
        <v>24</v>
      </c>
      <c r="O1277">
        <v>42.25</v>
      </c>
      <c r="P1277">
        <v>30</v>
      </c>
      <c r="Q1277">
        <v>13.41</v>
      </c>
    </row>
    <row r="1278" spans="2:17">
      <c r="B1278">
        <v>8028</v>
      </c>
      <c r="C1278" t="s">
        <v>2568</v>
      </c>
      <c r="D1278" s="3">
        <v>7333287</v>
      </c>
      <c r="E1278" s="3">
        <v>5154</v>
      </c>
      <c r="F1278" s="3">
        <v>387067777</v>
      </c>
      <c r="G1278">
        <v>51.4</v>
      </c>
      <c r="H1278">
        <v>53.7</v>
      </c>
      <c r="I1278">
        <v>50.9</v>
      </c>
      <c r="J1278">
        <v>52.6</v>
      </c>
      <c r="K1278" t="s">
        <v>1362</v>
      </c>
      <c r="L1278">
        <v>1.7</v>
      </c>
      <c r="M1278">
        <v>52.6</v>
      </c>
      <c r="N1278">
        <v>35</v>
      </c>
      <c r="O1278">
        <v>52.7</v>
      </c>
      <c r="P1278">
        <v>25</v>
      </c>
      <c r="Q1278">
        <v>45.74</v>
      </c>
    </row>
    <row r="1279" spans="2:17">
      <c r="B1279">
        <v>8033</v>
      </c>
      <c r="C1279" t="s">
        <v>2569</v>
      </c>
      <c r="D1279" s="3">
        <v>807901</v>
      </c>
      <c r="E1279">
        <v>429</v>
      </c>
      <c r="F1279" s="3">
        <v>13877145</v>
      </c>
      <c r="G1279">
        <v>17.399999999999999</v>
      </c>
      <c r="H1279">
        <v>17.399999999999999</v>
      </c>
      <c r="I1279">
        <v>17.100000000000001</v>
      </c>
      <c r="J1279">
        <v>17.100000000000001</v>
      </c>
      <c r="K1279" t="s">
        <v>1</v>
      </c>
      <c r="L1279">
        <v>0.2</v>
      </c>
      <c r="M1279">
        <v>17.100000000000001</v>
      </c>
      <c r="N1279">
        <v>43</v>
      </c>
      <c r="O1279">
        <v>17.2</v>
      </c>
      <c r="P1279">
        <v>2</v>
      </c>
      <c r="Q1279">
        <v>63.33</v>
      </c>
    </row>
    <row r="1280" spans="2:17">
      <c r="B1280">
        <v>8039</v>
      </c>
      <c r="C1280" t="s">
        <v>2570</v>
      </c>
      <c r="D1280" s="3">
        <v>652653</v>
      </c>
      <c r="E1280">
        <v>495</v>
      </c>
      <c r="F1280" s="3">
        <v>30982150</v>
      </c>
      <c r="G1280">
        <v>47.1</v>
      </c>
      <c r="H1280">
        <v>47.7</v>
      </c>
      <c r="I1280">
        <v>47.1</v>
      </c>
      <c r="J1280">
        <v>47.6</v>
      </c>
      <c r="K1280" t="s">
        <v>1362</v>
      </c>
      <c r="L1280">
        <v>0.4</v>
      </c>
      <c r="M1280">
        <v>47.6</v>
      </c>
      <c r="N1280">
        <v>2</v>
      </c>
      <c r="O1280">
        <v>47.65</v>
      </c>
      <c r="P1280">
        <v>14</v>
      </c>
      <c r="Q1280">
        <v>12.05</v>
      </c>
    </row>
    <row r="1281" spans="2:17">
      <c r="B1281">
        <v>8046</v>
      </c>
      <c r="C1281" t="s">
        <v>2571</v>
      </c>
      <c r="D1281" s="3">
        <v>1955838</v>
      </c>
      <c r="E1281" s="3">
        <v>2141</v>
      </c>
      <c r="F1281" s="3">
        <v>1118545363</v>
      </c>
      <c r="G1281">
        <v>579</v>
      </c>
      <c r="H1281">
        <v>579</v>
      </c>
      <c r="I1281">
        <v>569</v>
      </c>
      <c r="J1281">
        <v>572</v>
      </c>
      <c r="K1281" t="s">
        <v>1</v>
      </c>
      <c r="L1281">
        <v>4</v>
      </c>
      <c r="M1281">
        <v>571</v>
      </c>
      <c r="N1281">
        <v>136</v>
      </c>
      <c r="O1281">
        <v>572</v>
      </c>
      <c r="P1281">
        <v>20</v>
      </c>
      <c r="Q1281">
        <v>44.27</v>
      </c>
    </row>
    <row r="1282" spans="2:17">
      <c r="B1282">
        <v>8070</v>
      </c>
      <c r="C1282" t="s">
        <v>2572</v>
      </c>
      <c r="D1282" s="3">
        <v>10887558</v>
      </c>
      <c r="E1282" s="3">
        <v>5541</v>
      </c>
      <c r="F1282" s="3">
        <v>389476416</v>
      </c>
      <c r="G1282">
        <v>34.6</v>
      </c>
      <c r="H1282">
        <v>36.75</v>
      </c>
      <c r="I1282">
        <v>34.450000000000003</v>
      </c>
      <c r="J1282">
        <v>36.200000000000003</v>
      </c>
      <c r="K1282" t="s">
        <v>1362</v>
      </c>
      <c r="L1282">
        <v>1.8</v>
      </c>
      <c r="M1282">
        <v>36.200000000000003</v>
      </c>
      <c r="N1282">
        <v>23</v>
      </c>
      <c r="O1282">
        <v>36.25</v>
      </c>
      <c r="P1282">
        <v>73</v>
      </c>
      <c r="Q1282">
        <v>16.760000000000002</v>
      </c>
    </row>
    <row r="1283" spans="2:17">
      <c r="B1283">
        <v>8072</v>
      </c>
      <c r="C1283" t="s">
        <v>2573</v>
      </c>
      <c r="D1283" s="3">
        <v>136793</v>
      </c>
      <c r="E1283">
        <v>130</v>
      </c>
      <c r="F1283" s="3">
        <v>3714235</v>
      </c>
      <c r="G1283">
        <v>27</v>
      </c>
      <c r="H1283">
        <v>27.5</v>
      </c>
      <c r="I1283">
        <v>26.95</v>
      </c>
      <c r="J1283">
        <v>27.25</v>
      </c>
      <c r="K1283" t="s">
        <v>1362</v>
      </c>
      <c r="L1283">
        <v>0.1</v>
      </c>
      <c r="M1283">
        <v>27.2</v>
      </c>
      <c r="N1283">
        <v>2</v>
      </c>
      <c r="O1283">
        <v>27.35</v>
      </c>
      <c r="P1283">
        <v>2</v>
      </c>
      <c r="Q1283">
        <v>109</v>
      </c>
    </row>
    <row r="1284" spans="2:17">
      <c r="B1284">
        <v>8081</v>
      </c>
      <c r="C1284" t="s">
        <v>2574</v>
      </c>
      <c r="D1284" s="3">
        <v>273225</v>
      </c>
      <c r="E1284">
        <v>317</v>
      </c>
      <c r="F1284" s="3">
        <v>70948599</v>
      </c>
      <c r="G1284">
        <v>260</v>
      </c>
      <c r="H1284">
        <v>262.5</v>
      </c>
      <c r="I1284">
        <v>257.5</v>
      </c>
      <c r="J1284">
        <v>258</v>
      </c>
      <c r="K1284" t="s">
        <v>1362</v>
      </c>
      <c r="L1284">
        <v>1</v>
      </c>
      <c r="M1284">
        <v>258</v>
      </c>
      <c r="N1284">
        <v>5</v>
      </c>
      <c r="O1284">
        <v>258.5</v>
      </c>
      <c r="P1284">
        <v>2</v>
      </c>
      <c r="Q1284">
        <v>11.79</v>
      </c>
    </row>
    <row r="1285" spans="2:17">
      <c r="B1285">
        <v>8101</v>
      </c>
      <c r="C1285" t="s">
        <v>2575</v>
      </c>
      <c r="D1285" s="3">
        <v>292430</v>
      </c>
      <c r="E1285">
        <v>75</v>
      </c>
      <c r="F1285" s="3">
        <v>849702</v>
      </c>
      <c r="G1285">
        <v>2.91</v>
      </c>
      <c r="H1285">
        <v>2.94</v>
      </c>
      <c r="I1285">
        <v>2.85</v>
      </c>
      <c r="J1285">
        <v>2.91</v>
      </c>
      <c r="K1285" t="s">
        <v>1328</v>
      </c>
      <c r="L1285">
        <v>0</v>
      </c>
      <c r="M1285">
        <v>2.9</v>
      </c>
      <c r="N1285">
        <v>13</v>
      </c>
      <c r="O1285">
        <v>2.91</v>
      </c>
      <c r="P1285">
        <v>13</v>
      </c>
      <c r="Q1285">
        <v>0</v>
      </c>
    </row>
    <row r="1286" spans="2:17">
      <c r="B1286">
        <v>8103</v>
      </c>
      <c r="C1286" t="s">
        <v>2576</v>
      </c>
      <c r="D1286" s="3">
        <v>3354970</v>
      </c>
      <c r="E1286" s="3">
        <v>2266</v>
      </c>
      <c r="F1286" s="3">
        <v>170419612</v>
      </c>
      <c r="G1286">
        <v>50.3</v>
      </c>
      <c r="H1286">
        <v>51.6</v>
      </c>
      <c r="I1286">
        <v>50</v>
      </c>
      <c r="J1286">
        <v>50.5</v>
      </c>
      <c r="K1286" t="s">
        <v>1362</v>
      </c>
      <c r="L1286">
        <v>0.6</v>
      </c>
      <c r="M1286">
        <v>50.4</v>
      </c>
      <c r="N1286">
        <v>19</v>
      </c>
      <c r="O1286">
        <v>50.5</v>
      </c>
      <c r="P1286">
        <v>6</v>
      </c>
      <c r="Q1286">
        <v>13.05</v>
      </c>
    </row>
    <row r="1287" spans="2:17">
      <c r="B1287">
        <v>8104</v>
      </c>
      <c r="C1287" t="s">
        <v>2577</v>
      </c>
      <c r="D1287" s="3">
        <v>9305862</v>
      </c>
      <c r="E1287" s="3">
        <v>6281</v>
      </c>
      <c r="F1287" s="3">
        <v>713412691</v>
      </c>
      <c r="G1287">
        <v>75.599999999999994</v>
      </c>
      <c r="H1287">
        <v>78</v>
      </c>
      <c r="I1287">
        <v>74.5</v>
      </c>
      <c r="J1287">
        <v>75.599999999999994</v>
      </c>
      <c r="K1287" t="s">
        <v>1362</v>
      </c>
      <c r="L1287">
        <v>1.6</v>
      </c>
      <c r="M1287">
        <v>75.599999999999994</v>
      </c>
      <c r="N1287">
        <v>65</v>
      </c>
      <c r="O1287">
        <v>75.7</v>
      </c>
      <c r="P1287">
        <v>1</v>
      </c>
      <c r="Q1287">
        <v>23.19</v>
      </c>
    </row>
    <row r="1288" spans="2:17">
      <c r="B1288">
        <v>8105</v>
      </c>
      <c r="C1288" t="s">
        <v>2578</v>
      </c>
      <c r="D1288" s="3">
        <v>4652639</v>
      </c>
      <c r="E1288" s="3">
        <v>1781</v>
      </c>
      <c r="F1288" s="3">
        <v>64819955</v>
      </c>
      <c r="G1288">
        <v>14.2</v>
      </c>
      <c r="H1288">
        <v>14.4</v>
      </c>
      <c r="I1288">
        <v>13.7</v>
      </c>
      <c r="J1288">
        <v>13.85</v>
      </c>
      <c r="K1288" t="s">
        <v>1</v>
      </c>
      <c r="L1288">
        <v>0.35</v>
      </c>
      <c r="M1288">
        <v>13.8</v>
      </c>
      <c r="N1288">
        <v>81</v>
      </c>
      <c r="O1288">
        <v>13.85</v>
      </c>
      <c r="P1288">
        <v>28</v>
      </c>
      <c r="Q1288">
        <v>0</v>
      </c>
    </row>
    <row r="1289" spans="2:17">
      <c r="B1289">
        <v>8110</v>
      </c>
      <c r="C1289" t="s">
        <v>2579</v>
      </c>
      <c r="D1289" s="3">
        <v>16177845</v>
      </c>
      <c r="E1289" s="3">
        <v>6656</v>
      </c>
      <c r="F1289" s="3">
        <v>315105270</v>
      </c>
      <c r="G1289">
        <v>19.8</v>
      </c>
      <c r="H1289">
        <v>20.25</v>
      </c>
      <c r="I1289">
        <v>19.05</v>
      </c>
      <c r="J1289">
        <v>19.05</v>
      </c>
      <c r="K1289" t="s">
        <v>1</v>
      </c>
      <c r="L1289">
        <v>1.05</v>
      </c>
      <c r="M1289">
        <v>19.05</v>
      </c>
      <c r="N1289">
        <v>146</v>
      </c>
      <c r="O1289">
        <v>19.100000000000001</v>
      </c>
      <c r="P1289">
        <v>4</v>
      </c>
      <c r="Q1289">
        <v>79.38</v>
      </c>
    </row>
    <row r="1290" spans="2:17">
      <c r="B1290">
        <v>8112</v>
      </c>
      <c r="C1290" t="s">
        <v>2580</v>
      </c>
      <c r="D1290" s="3">
        <v>11305623</v>
      </c>
      <c r="E1290" s="3">
        <v>6698</v>
      </c>
      <c r="F1290" s="3">
        <v>549345340</v>
      </c>
      <c r="G1290">
        <v>47.9</v>
      </c>
      <c r="H1290">
        <v>48.95</v>
      </c>
      <c r="I1290">
        <v>47.8</v>
      </c>
      <c r="J1290">
        <v>48.9</v>
      </c>
      <c r="K1290" t="s">
        <v>1362</v>
      </c>
      <c r="L1290">
        <v>1.2</v>
      </c>
      <c r="M1290">
        <v>48.9</v>
      </c>
      <c r="N1290">
        <v>91</v>
      </c>
      <c r="O1290">
        <v>48.95</v>
      </c>
      <c r="P1290">
        <v>270</v>
      </c>
      <c r="Q1290">
        <v>7.71</v>
      </c>
    </row>
    <row r="1291" spans="2:17">
      <c r="B1291">
        <v>8114</v>
      </c>
      <c r="C1291" t="s">
        <v>2581</v>
      </c>
      <c r="D1291" s="3">
        <v>259819</v>
      </c>
      <c r="E1291">
        <v>278</v>
      </c>
      <c r="F1291" s="3">
        <v>31544749</v>
      </c>
      <c r="G1291">
        <v>122</v>
      </c>
      <c r="H1291">
        <v>122.5</v>
      </c>
      <c r="I1291">
        <v>120.5</v>
      </c>
      <c r="J1291">
        <v>121.5</v>
      </c>
      <c r="K1291" t="s">
        <v>1</v>
      </c>
      <c r="L1291">
        <v>0.5</v>
      </c>
      <c r="M1291">
        <v>121</v>
      </c>
      <c r="N1291">
        <v>9</v>
      </c>
      <c r="O1291">
        <v>121.5</v>
      </c>
      <c r="P1291">
        <v>3</v>
      </c>
      <c r="Q1291">
        <v>27.74</v>
      </c>
    </row>
    <row r="1292" spans="2:17">
      <c r="B1292">
        <v>8131</v>
      </c>
      <c r="C1292" t="s">
        <v>2582</v>
      </c>
      <c r="D1292" s="3">
        <v>188525</v>
      </c>
      <c r="E1292">
        <v>116</v>
      </c>
      <c r="F1292" s="3">
        <v>7364947</v>
      </c>
      <c r="G1292">
        <v>39</v>
      </c>
      <c r="H1292">
        <v>39.200000000000003</v>
      </c>
      <c r="I1292">
        <v>39</v>
      </c>
      <c r="J1292">
        <v>39.1</v>
      </c>
      <c r="K1292" t="s">
        <v>1362</v>
      </c>
      <c r="L1292">
        <v>0.15</v>
      </c>
      <c r="M1292">
        <v>39.049999999999997</v>
      </c>
      <c r="N1292">
        <v>7</v>
      </c>
      <c r="O1292">
        <v>39.1</v>
      </c>
      <c r="P1292">
        <v>28</v>
      </c>
      <c r="Q1292">
        <v>11.92</v>
      </c>
    </row>
    <row r="1293" spans="2:17">
      <c r="B1293">
        <v>8150</v>
      </c>
      <c r="C1293" t="s">
        <v>2583</v>
      </c>
      <c r="D1293" s="3">
        <v>7608930</v>
      </c>
      <c r="E1293" s="3">
        <v>5140</v>
      </c>
      <c r="F1293" s="3">
        <v>372268786</v>
      </c>
      <c r="G1293">
        <v>49.3</v>
      </c>
      <c r="H1293">
        <v>49.4</v>
      </c>
      <c r="I1293">
        <v>48.35</v>
      </c>
      <c r="J1293">
        <v>48.5</v>
      </c>
      <c r="K1293" t="s">
        <v>1</v>
      </c>
      <c r="L1293">
        <v>0.6</v>
      </c>
      <c r="M1293">
        <v>48.45</v>
      </c>
      <c r="N1293">
        <v>180</v>
      </c>
      <c r="O1293">
        <v>48.5</v>
      </c>
      <c r="P1293">
        <v>8</v>
      </c>
      <c r="Q1293">
        <v>8.15</v>
      </c>
    </row>
    <row r="1294" spans="2:17">
      <c r="B1294">
        <v>8163</v>
      </c>
      <c r="C1294" t="s">
        <v>2584</v>
      </c>
      <c r="D1294" s="3">
        <v>2142555</v>
      </c>
      <c r="E1294" s="3">
        <v>1509</v>
      </c>
      <c r="F1294" s="3">
        <v>106100579</v>
      </c>
      <c r="G1294">
        <v>49.8</v>
      </c>
      <c r="H1294">
        <v>49.95</v>
      </c>
      <c r="I1294">
        <v>49.2</v>
      </c>
      <c r="J1294">
        <v>49.35</v>
      </c>
      <c r="K1294" t="s">
        <v>1</v>
      </c>
      <c r="L1294">
        <v>0.2</v>
      </c>
      <c r="M1294">
        <v>49.35</v>
      </c>
      <c r="N1294">
        <v>34</v>
      </c>
      <c r="O1294">
        <v>49.4</v>
      </c>
      <c r="P1294">
        <v>12</v>
      </c>
      <c r="Q1294">
        <v>12.69</v>
      </c>
    </row>
    <row r="1295" spans="2:17">
      <c r="B1295">
        <v>8201</v>
      </c>
      <c r="C1295" t="s">
        <v>2585</v>
      </c>
      <c r="D1295" s="3">
        <v>1969970</v>
      </c>
      <c r="E1295">
        <v>636</v>
      </c>
      <c r="F1295" s="3">
        <v>34887740</v>
      </c>
      <c r="G1295">
        <v>17.899999999999999</v>
      </c>
      <c r="H1295">
        <v>17.899999999999999</v>
      </c>
      <c r="I1295">
        <v>17.5</v>
      </c>
      <c r="J1295">
        <v>17.55</v>
      </c>
      <c r="K1295" t="s">
        <v>1</v>
      </c>
      <c r="L1295">
        <v>0.1</v>
      </c>
      <c r="M1295">
        <v>17.55</v>
      </c>
      <c r="N1295">
        <v>28</v>
      </c>
      <c r="O1295">
        <v>17.649999999999999</v>
      </c>
      <c r="P1295">
        <v>1</v>
      </c>
      <c r="Q1295">
        <v>8.4</v>
      </c>
    </row>
    <row r="1296" spans="2:17">
      <c r="B1296">
        <v>8210</v>
      </c>
      <c r="C1296" t="s">
        <v>2586</v>
      </c>
      <c r="D1296" s="3">
        <v>531268</v>
      </c>
      <c r="E1296">
        <v>559</v>
      </c>
      <c r="F1296" s="3">
        <v>41525892</v>
      </c>
      <c r="G1296">
        <v>79.099999999999994</v>
      </c>
      <c r="H1296">
        <v>79.099999999999994</v>
      </c>
      <c r="I1296">
        <v>77.3</v>
      </c>
      <c r="J1296">
        <v>77.5</v>
      </c>
      <c r="K1296" t="s">
        <v>1</v>
      </c>
      <c r="L1296">
        <v>0.5</v>
      </c>
      <c r="M1296">
        <v>77.400000000000006</v>
      </c>
      <c r="N1296">
        <v>10</v>
      </c>
      <c r="O1296">
        <v>77.5</v>
      </c>
      <c r="P1296">
        <v>3</v>
      </c>
      <c r="Q1296">
        <v>10.81</v>
      </c>
    </row>
    <row r="1297" spans="2:17">
      <c r="B1297">
        <v>8213</v>
      </c>
      <c r="C1297" t="s">
        <v>2587</v>
      </c>
      <c r="D1297" s="3">
        <v>1124059</v>
      </c>
      <c r="E1297">
        <v>687</v>
      </c>
      <c r="F1297" s="3">
        <v>54285838</v>
      </c>
      <c r="G1297">
        <v>48.2</v>
      </c>
      <c r="H1297">
        <v>48.45</v>
      </c>
      <c r="I1297">
        <v>48.15</v>
      </c>
      <c r="J1297">
        <v>48.25</v>
      </c>
      <c r="K1297" t="s">
        <v>1362</v>
      </c>
      <c r="L1297">
        <v>0.15</v>
      </c>
      <c r="M1297">
        <v>48.25</v>
      </c>
      <c r="N1297">
        <v>64</v>
      </c>
      <c r="O1297">
        <v>48.3</v>
      </c>
      <c r="P1297">
        <v>13</v>
      </c>
      <c r="Q1297">
        <v>7.98</v>
      </c>
    </row>
    <row r="1298" spans="2:17">
      <c r="B1298">
        <v>8215</v>
      </c>
      <c r="C1298" t="s">
        <v>2588</v>
      </c>
      <c r="D1298" s="3">
        <v>4901438</v>
      </c>
      <c r="E1298" s="3">
        <v>3232</v>
      </c>
      <c r="F1298" s="3">
        <v>188962024</v>
      </c>
      <c r="G1298">
        <v>39.200000000000003</v>
      </c>
      <c r="H1298">
        <v>39.299999999999997</v>
      </c>
      <c r="I1298">
        <v>38.299999999999997</v>
      </c>
      <c r="J1298">
        <v>38.4</v>
      </c>
      <c r="K1298" t="s">
        <v>1</v>
      </c>
      <c r="L1298">
        <v>0.5</v>
      </c>
      <c r="M1298">
        <v>38.35</v>
      </c>
      <c r="N1298">
        <v>72</v>
      </c>
      <c r="O1298">
        <v>38.4</v>
      </c>
      <c r="P1298">
        <v>24</v>
      </c>
      <c r="Q1298">
        <v>14.01</v>
      </c>
    </row>
    <row r="1299" spans="2:17">
      <c r="B1299">
        <v>8222</v>
      </c>
      <c r="C1299" t="s">
        <v>2589</v>
      </c>
      <c r="D1299" s="3">
        <v>147201</v>
      </c>
      <c r="E1299">
        <v>129</v>
      </c>
      <c r="F1299" s="3">
        <v>2197242</v>
      </c>
      <c r="G1299">
        <v>15.05</v>
      </c>
      <c r="H1299">
        <v>15.05</v>
      </c>
      <c r="I1299">
        <v>14.85</v>
      </c>
      <c r="J1299">
        <v>14.9</v>
      </c>
      <c r="K1299" t="s">
        <v>1328</v>
      </c>
      <c r="L1299">
        <v>0</v>
      </c>
      <c r="M1299">
        <v>14.9</v>
      </c>
      <c r="N1299">
        <v>10</v>
      </c>
      <c r="O1299">
        <v>14.95</v>
      </c>
      <c r="P1299">
        <v>1</v>
      </c>
      <c r="Q1299">
        <v>0</v>
      </c>
    </row>
    <row r="1300" spans="2:17">
      <c r="B1300">
        <v>8249</v>
      </c>
      <c r="C1300" t="s">
        <v>2590</v>
      </c>
      <c r="D1300" s="3">
        <v>148029</v>
      </c>
      <c r="E1300">
        <v>114</v>
      </c>
      <c r="F1300" s="3">
        <v>3752530</v>
      </c>
      <c r="G1300">
        <v>25.3</v>
      </c>
      <c r="H1300">
        <v>25.5</v>
      </c>
      <c r="I1300">
        <v>25.2</v>
      </c>
      <c r="J1300">
        <v>25.4</v>
      </c>
      <c r="K1300" t="s">
        <v>1362</v>
      </c>
      <c r="L1300">
        <v>0.2</v>
      </c>
      <c r="M1300">
        <v>25.35</v>
      </c>
      <c r="N1300">
        <v>2</v>
      </c>
      <c r="O1300">
        <v>25.45</v>
      </c>
      <c r="P1300">
        <v>4</v>
      </c>
      <c r="Q1300">
        <v>14.19</v>
      </c>
    </row>
    <row r="1301" spans="2:17">
      <c r="B1301">
        <v>8261</v>
      </c>
      <c r="C1301" t="s">
        <v>2591</v>
      </c>
      <c r="D1301" s="3">
        <v>5493534</v>
      </c>
      <c r="E1301" s="3">
        <v>3718</v>
      </c>
      <c r="F1301" s="3">
        <v>612421146</v>
      </c>
      <c r="G1301">
        <v>109</v>
      </c>
      <c r="H1301">
        <v>113</v>
      </c>
      <c r="I1301">
        <v>109</v>
      </c>
      <c r="J1301">
        <v>112</v>
      </c>
      <c r="K1301" t="s">
        <v>1362</v>
      </c>
      <c r="L1301">
        <v>4</v>
      </c>
      <c r="M1301">
        <v>111.5</v>
      </c>
      <c r="N1301">
        <v>64</v>
      </c>
      <c r="O1301">
        <v>112</v>
      </c>
      <c r="P1301">
        <v>111</v>
      </c>
      <c r="Q1301">
        <v>17.53</v>
      </c>
    </row>
    <row r="1302" spans="2:17">
      <c r="B1302">
        <v>8271</v>
      </c>
      <c r="C1302" t="s">
        <v>2592</v>
      </c>
      <c r="D1302" s="3">
        <v>882972</v>
      </c>
      <c r="E1302">
        <v>851</v>
      </c>
      <c r="F1302" s="3">
        <v>42155204</v>
      </c>
      <c r="G1302">
        <v>48.35</v>
      </c>
      <c r="H1302">
        <v>48.35</v>
      </c>
      <c r="I1302">
        <v>47.35</v>
      </c>
      <c r="J1302">
        <v>47.4</v>
      </c>
      <c r="K1302" t="s">
        <v>1</v>
      </c>
      <c r="L1302">
        <v>0.65</v>
      </c>
      <c r="M1302">
        <v>47.4</v>
      </c>
      <c r="N1302">
        <v>8</v>
      </c>
      <c r="O1302">
        <v>47.45</v>
      </c>
      <c r="P1302">
        <v>4</v>
      </c>
      <c r="Q1302">
        <v>10.49</v>
      </c>
    </row>
    <row r="1303" spans="2:17">
      <c r="B1303">
        <v>8341</v>
      </c>
      <c r="C1303" t="s">
        <v>2593</v>
      </c>
      <c r="D1303" s="3">
        <v>64921</v>
      </c>
      <c r="E1303">
        <v>174</v>
      </c>
      <c r="F1303" s="3">
        <v>12988248</v>
      </c>
      <c r="G1303">
        <v>201</v>
      </c>
      <c r="H1303">
        <v>201</v>
      </c>
      <c r="I1303">
        <v>199.5</v>
      </c>
      <c r="J1303">
        <v>199.5</v>
      </c>
      <c r="K1303" t="s">
        <v>1</v>
      </c>
      <c r="L1303">
        <v>1</v>
      </c>
      <c r="M1303">
        <v>199.5</v>
      </c>
      <c r="N1303">
        <v>1</v>
      </c>
      <c r="O1303">
        <v>200</v>
      </c>
      <c r="P1303">
        <v>1</v>
      </c>
      <c r="Q1303">
        <v>23.2</v>
      </c>
    </row>
    <row r="1304" spans="2:17">
      <c r="B1304">
        <v>8367</v>
      </c>
      <c r="C1304" t="s">
        <v>2594</v>
      </c>
      <c r="D1304" s="3">
        <v>339165</v>
      </c>
      <c r="E1304">
        <v>215</v>
      </c>
      <c r="F1304" s="3">
        <v>18612641</v>
      </c>
      <c r="G1304">
        <v>54</v>
      </c>
      <c r="H1304">
        <v>55.3</v>
      </c>
      <c r="I1304">
        <v>54</v>
      </c>
      <c r="J1304">
        <v>54.8</v>
      </c>
      <c r="K1304" t="s">
        <v>1362</v>
      </c>
      <c r="L1304">
        <v>0.8</v>
      </c>
      <c r="M1304">
        <v>54.8</v>
      </c>
      <c r="N1304">
        <v>1</v>
      </c>
      <c r="O1304">
        <v>55</v>
      </c>
      <c r="P1304">
        <v>1</v>
      </c>
      <c r="Q1304">
        <v>7.62</v>
      </c>
    </row>
    <row r="1305" spans="2:17">
      <c r="B1305">
        <v>8374</v>
      </c>
      <c r="C1305" t="s">
        <v>2595</v>
      </c>
      <c r="D1305" s="3">
        <v>13060</v>
      </c>
      <c r="E1305">
        <v>12</v>
      </c>
      <c r="F1305" s="3">
        <v>392805</v>
      </c>
      <c r="G1305">
        <v>30</v>
      </c>
      <c r="H1305">
        <v>30.15</v>
      </c>
      <c r="I1305">
        <v>30</v>
      </c>
      <c r="J1305">
        <v>30.15</v>
      </c>
      <c r="K1305" t="s">
        <v>1362</v>
      </c>
      <c r="L1305">
        <v>0.1</v>
      </c>
      <c r="M1305">
        <v>30.1</v>
      </c>
      <c r="N1305">
        <v>14</v>
      </c>
      <c r="O1305">
        <v>30.2</v>
      </c>
      <c r="P1305">
        <v>3</v>
      </c>
      <c r="Q1305">
        <v>22.67</v>
      </c>
    </row>
    <row r="1306" spans="2:17">
      <c r="B1306">
        <v>8404</v>
      </c>
      <c r="C1306" t="s">
        <v>2596</v>
      </c>
      <c r="D1306" s="3">
        <v>261567</v>
      </c>
      <c r="E1306">
        <v>157</v>
      </c>
      <c r="F1306" s="3">
        <v>9121626</v>
      </c>
      <c r="G1306">
        <v>34.9</v>
      </c>
      <c r="H1306">
        <v>35.1</v>
      </c>
      <c r="I1306">
        <v>34.700000000000003</v>
      </c>
      <c r="J1306">
        <v>34.9</v>
      </c>
      <c r="K1306" t="s">
        <v>1362</v>
      </c>
      <c r="L1306">
        <v>0.2</v>
      </c>
      <c r="M1306">
        <v>34.85</v>
      </c>
      <c r="N1306">
        <v>3</v>
      </c>
      <c r="O1306">
        <v>35</v>
      </c>
      <c r="P1306">
        <v>28</v>
      </c>
      <c r="Q1306">
        <v>8.99</v>
      </c>
    </row>
    <row r="1307" spans="2:17">
      <c r="B1307">
        <v>8411</v>
      </c>
      <c r="C1307" t="s">
        <v>2597</v>
      </c>
      <c r="D1307" s="3">
        <v>110371</v>
      </c>
      <c r="E1307">
        <v>88</v>
      </c>
      <c r="F1307" s="3">
        <v>1802903</v>
      </c>
      <c r="G1307">
        <v>16.45</v>
      </c>
      <c r="H1307">
        <v>16.45</v>
      </c>
      <c r="I1307">
        <v>16.25</v>
      </c>
      <c r="J1307">
        <v>16.25</v>
      </c>
      <c r="K1307" t="s">
        <v>1</v>
      </c>
      <c r="L1307">
        <v>0.3</v>
      </c>
      <c r="M1307">
        <v>16.25</v>
      </c>
      <c r="N1307">
        <v>27</v>
      </c>
      <c r="O1307">
        <v>16.350000000000001</v>
      </c>
      <c r="P1307">
        <v>2</v>
      </c>
      <c r="Q1307">
        <v>27.08</v>
      </c>
    </row>
    <row r="1308" spans="2:17">
      <c r="B1308">
        <v>8422</v>
      </c>
      <c r="C1308" t="s">
        <v>2598</v>
      </c>
      <c r="D1308" s="3">
        <v>928558</v>
      </c>
      <c r="E1308" s="3">
        <v>1629</v>
      </c>
      <c r="F1308" s="3">
        <v>217950279</v>
      </c>
      <c r="G1308">
        <v>236</v>
      </c>
      <c r="H1308">
        <v>240.5</v>
      </c>
      <c r="I1308">
        <v>231</v>
      </c>
      <c r="J1308">
        <v>231.5</v>
      </c>
      <c r="K1308" t="s">
        <v>1362</v>
      </c>
      <c r="L1308">
        <v>0.5</v>
      </c>
      <c r="M1308">
        <v>231.5</v>
      </c>
      <c r="N1308">
        <v>1</v>
      </c>
      <c r="O1308">
        <v>232</v>
      </c>
      <c r="P1308">
        <v>1</v>
      </c>
      <c r="Q1308">
        <v>20.309999999999999</v>
      </c>
    </row>
    <row r="1309" spans="2:17">
      <c r="B1309">
        <v>8427</v>
      </c>
      <c r="C1309" t="s">
        <v>2599</v>
      </c>
      <c r="D1309" s="3">
        <v>48100</v>
      </c>
      <c r="E1309">
        <v>41</v>
      </c>
      <c r="F1309" s="3">
        <v>3547700</v>
      </c>
      <c r="G1309">
        <v>73.3</v>
      </c>
      <c r="H1309">
        <v>74</v>
      </c>
      <c r="I1309">
        <v>73.3</v>
      </c>
      <c r="J1309">
        <v>73.7</v>
      </c>
      <c r="K1309" t="s">
        <v>1362</v>
      </c>
      <c r="L1309">
        <v>0.4</v>
      </c>
      <c r="M1309">
        <v>73.599999999999994</v>
      </c>
      <c r="N1309">
        <v>7</v>
      </c>
      <c r="O1309">
        <v>73.7</v>
      </c>
      <c r="P1309">
        <v>8</v>
      </c>
      <c r="Q1309">
        <v>0</v>
      </c>
    </row>
    <row r="1310" spans="2:17">
      <c r="B1310">
        <v>8429</v>
      </c>
      <c r="C1310" t="s">
        <v>2600</v>
      </c>
      <c r="D1310" s="3">
        <v>425100</v>
      </c>
      <c r="E1310">
        <v>424</v>
      </c>
      <c r="F1310" s="3">
        <v>5464626</v>
      </c>
      <c r="G1310">
        <v>13.05</v>
      </c>
      <c r="H1310">
        <v>13.1</v>
      </c>
      <c r="I1310">
        <v>12.75</v>
      </c>
      <c r="J1310">
        <v>12.8</v>
      </c>
      <c r="K1310" t="s">
        <v>1</v>
      </c>
      <c r="L1310">
        <v>0.1</v>
      </c>
      <c r="M1310">
        <v>12.75</v>
      </c>
      <c r="N1310">
        <v>54</v>
      </c>
      <c r="O1310">
        <v>12.8</v>
      </c>
      <c r="P1310">
        <v>12</v>
      </c>
      <c r="Q1310">
        <v>0</v>
      </c>
    </row>
    <row r="1311" spans="2:17">
      <c r="B1311">
        <v>8442</v>
      </c>
      <c r="C1311" t="s">
        <v>2601</v>
      </c>
      <c r="D1311" s="3">
        <v>13020</v>
      </c>
      <c r="E1311">
        <v>9</v>
      </c>
      <c r="F1311" s="3">
        <v>559970</v>
      </c>
      <c r="G1311">
        <v>43.85</v>
      </c>
      <c r="H1311">
        <v>43.85</v>
      </c>
      <c r="I1311">
        <v>42.8</v>
      </c>
      <c r="J1311">
        <v>43.1</v>
      </c>
      <c r="K1311" t="s">
        <v>1</v>
      </c>
      <c r="L1311">
        <v>0.6</v>
      </c>
      <c r="M1311">
        <v>43.1</v>
      </c>
      <c r="N1311">
        <v>1</v>
      </c>
      <c r="O1311">
        <v>43.15</v>
      </c>
      <c r="P1311">
        <v>1</v>
      </c>
      <c r="Q1311">
        <v>0</v>
      </c>
    </row>
    <row r="1312" spans="2:17">
      <c r="B1312">
        <v>8443</v>
      </c>
      <c r="C1312" t="s">
        <v>2602</v>
      </c>
      <c r="D1312" s="3">
        <v>90138</v>
      </c>
      <c r="E1312">
        <v>189</v>
      </c>
      <c r="F1312" s="3">
        <v>1070866</v>
      </c>
      <c r="G1312">
        <v>11.9</v>
      </c>
      <c r="H1312">
        <v>11.9</v>
      </c>
      <c r="I1312">
        <v>11.8</v>
      </c>
      <c r="J1312">
        <v>11.9</v>
      </c>
      <c r="K1312" t="s">
        <v>1362</v>
      </c>
      <c r="L1312">
        <v>0.05</v>
      </c>
      <c r="M1312">
        <v>11.85</v>
      </c>
      <c r="N1312">
        <v>5</v>
      </c>
      <c r="O1312">
        <v>11.9</v>
      </c>
      <c r="P1312">
        <v>27</v>
      </c>
      <c r="Q1312">
        <v>0</v>
      </c>
    </row>
    <row r="1313" spans="2:17">
      <c r="B1313">
        <v>8454</v>
      </c>
      <c r="C1313" t="s">
        <v>2603</v>
      </c>
      <c r="D1313" s="3">
        <v>178069</v>
      </c>
      <c r="E1313">
        <v>878</v>
      </c>
      <c r="F1313" s="3">
        <v>299235120</v>
      </c>
      <c r="G1313" s="8">
        <v>1680</v>
      </c>
      <c r="H1313" s="8">
        <v>1690</v>
      </c>
      <c r="I1313" s="8">
        <v>1670</v>
      </c>
      <c r="J1313" s="8">
        <v>1675</v>
      </c>
      <c r="K1313" t="s">
        <v>1362</v>
      </c>
      <c r="L1313">
        <v>5</v>
      </c>
      <c r="M1313" s="8">
        <v>1670</v>
      </c>
      <c r="N1313">
        <v>5</v>
      </c>
      <c r="O1313" s="8">
        <v>1675</v>
      </c>
      <c r="P1313">
        <v>1</v>
      </c>
      <c r="Q1313">
        <v>102.51</v>
      </c>
    </row>
    <row r="1314" spans="2:17">
      <c r="B1314">
        <v>8462</v>
      </c>
      <c r="C1314" t="s">
        <v>2604</v>
      </c>
      <c r="D1314" s="3">
        <v>37795</v>
      </c>
      <c r="E1314">
        <v>93</v>
      </c>
      <c r="F1314" s="3">
        <v>5166977</v>
      </c>
      <c r="G1314">
        <v>136</v>
      </c>
      <c r="H1314">
        <v>137.5</v>
      </c>
      <c r="I1314">
        <v>136</v>
      </c>
      <c r="J1314">
        <v>136.5</v>
      </c>
      <c r="K1314" t="s">
        <v>1362</v>
      </c>
      <c r="L1314">
        <v>0.5</v>
      </c>
      <c r="M1314">
        <v>136.5</v>
      </c>
      <c r="N1314">
        <v>1</v>
      </c>
      <c r="O1314">
        <v>137</v>
      </c>
      <c r="P1314">
        <v>1</v>
      </c>
      <c r="Q1314">
        <v>0</v>
      </c>
    </row>
    <row r="1315" spans="2:17">
      <c r="B1315">
        <v>8463</v>
      </c>
      <c r="C1315" t="s">
        <v>2605</v>
      </c>
      <c r="D1315" s="3">
        <v>45050</v>
      </c>
      <c r="E1315">
        <v>41</v>
      </c>
      <c r="F1315" s="3">
        <v>1371168</v>
      </c>
      <c r="G1315">
        <v>30.5</v>
      </c>
      <c r="H1315">
        <v>30.55</v>
      </c>
      <c r="I1315">
        <v>30.3</v>
      </c>
      <c r="J1315">
        <v>30.4</v>
      </c>
      <c r="K1315" t="s">
        <v>1</v>
      </c>
      <c r="L1315">
        <v>0.15</v>
      </c>
      <c r="M1315">
        <v>30.3</v>
      </c>
      <c r="N1315">
        <v>3</v>
      </c>
      <c r="O1315">
        <v>30.4</v>
      </c>
      <c r="P1315">
        <v>1</v>
      </c>
      <c r="Q1315">
        <v>0</v>
      </c>
    </row>
    <row r="1316" spans="2:17">
      <c r="B1316">
        <v>8464</v>
      </c>
      <c r="C1316" t="s">
        <v>2606</v>
      </c>
      <c r="D1316" s="3">
        <v>474565</v>
      </c>
      <c r="E1316">
        <v>333</v>
      </c>
      <c r="F1316" s="3">
        <v>190772021</v>
      </c>
      <c r="G1316">
        <v>404.5</v>
      </c>
      <c r="H1316">
        <v>406</v>
      </c>
      <c r="I1316">
        <v>399</v>
      </c>
      <c r="J1316">
        <v>402</v>
      </c>
      <c r="K1316" t="s">
        <v>1</v>
      </c>
      <c r="L1316">
        <v>5.5</v>
      </c>
      <c r="M1316">
        <v>402</v>
      </c>
      <c r="N1316">
        <v>4</v>
      </c>
      <c r="O1316">
        <v>403</v>
      </c>
      <c r="P1316">
        <v>5</v>
      </c>
      <c r="Q1316">
        <v>22.75</v>
      </c>
    </row>
    <row r="1317" spans="2:17">
      <c r="B1317">
        <v>8466</v>
      </c>
      <c r="C1317" t="s">
        <v>2607</v>
      </c>
      <c r="D1317" s="3">
        <v>27000</v>
      </c>
      <c r="E1317">
        <v>26</v>
      </c>
      <c r="F1317" s="3">
        <v>1424900</v>
      </c>
      <c r="G1317">
        <v>53.9</v>
      </c>
      <c r="H1317">
        <v>53.9</v>
      </c>
      <c r="I1317">
        <v>52.3</v>
      </c>
      <c r="J1317">
        <v>52.6</v>
      </c>
      <c r="K1317" t="s">
        <v>1</v>
      </c>
      <c r="L1317">
        <v>0.7</v>
      </c>
      <c r="M1317">
        <v>52.3</v>
      </c>
      <c r="N1317">
        <v>4</v>
      </c>
      <c r="O1317">
        <v>52.6</v>
      </c>
      <c r="P1317">
        <v>1</v>
      </c>
      <c r="Q1317">
        <v>38.119999999999997</v>
      </c>
    </row>
    <row r="1318" spans="2:17">
      <c r="B1318">
        <v>8467</v>
      </c>
      <c r="C1318" t="s">
        <v>2608</v>
      </c>
      <c r="D1318" s="3">
        <v>4000</v>
      </c>
      <c r="E1318">
        <v>4</v>
      </c>
      <c r="F1318" s="3">
        <v>156800</v>
      </c>
      <c r="G1318">
        <v>39.200000000000003</v>
      </c>
      <c r="H1318">
        <v>39.200000000000003</v>
      </c>
      <c r="I1318">
        <v>39.200000000000003</v>
      </c>
      <c r="J1318">
        <v>39.200000000000003</v>
      </c>
      <c r="K1318" t="s">
        <v>1362</v>
      </c>
      <c r="L1318">
        <v>0.05</v>
      </c>
      <c r="M1318">
        <v>39.200000000000003</v>
      </c>
      <c r="N1318">
        <v>1</v>
      </c>
      <c r="O1318">
        <v>39.9</v>
      </c>
      <c r="P1318">
        <v>2</v>
      </c>
      <c r="Q1318">
        <v>27.22</v>
      </c>
    </row>
    <row r="1319" spans="2:17">
      <c r="B1319">
        <v>8473</v>
      </c>
      <c r="C1319" t="s">
        <v>2609</v>
      </c>
      <c r="D1319" s="3">
        <v>79255</v>
      </c>
      <c r="E1319">
        <v>96</v>
      </c>
      <c r="F1319" s="3">
        <v>2636009</v>
      </c>
      <c r="G1319">
        <v>33.25</v>
      </c>
      <c r="H1319">
        <v>33.4</v>
      </c>
      <c r="I1319">
        <v>33.049999999999997</v>
      </c>
      <c r="J1319">
        <v>33.1</v>
      </c>
      <c r="K1319" t="s">
        <v>1362</v>
      </c>
      <c r="L1319">
        <v>0.1</v>
      </c>
      <c r="M1319">
        <v>33.1</v>
      </c>
      <c r="N1319">
        <v>4</v>
      </c>
      <c r="O1319">
        <v>33.200000000000003</v>
      </c>
      <c r="P1319">
        <v>2</v>
      </c>
      <c r="Q1319">
        <v>42.99</v>
      </c>
    </row>
    <row r="1320" spans="2:17">
      <c r="B1320">
        <v>8478</v>
      </c>
      <c r="C1320" t="s">
        <v>2610</v>
      </c>
      <c r="D1320" s="3">
        <v>1226921</v>
      </c>
      <c r="E1320" s="3">
        <v>1037</v>
      </c>
      <c r="F1320" s="3">
        <v>188570840</v>
      </c>
      <c r="G1320">
        <v>157</v>
      </c>
      <c r="H1320">
        <v>159.5</v>
      </c>
      <c r="I1320">
        <v>151</v>
      </c>
      <c r="J1320">
        <v>151.5</v>
      </c>
      <c r="K1320" t="s">
        <v>1</v>
      </c>
      <c r="L1320">
        <v>4.5</v>
      </c>
      <c r="M1320">
        <v>151.5</v>
      </c>
      <c r="N1320">
        <v>15</v>
      </c>
      <c r="O1320">
        <v>152</v>
      </c>
      <c r="P1320">
        <v>1</v>
      </c>
      <c r="Q1320">
        <v>17.64</v>
      </c>
    </row>
    <row r="1321" spans="2:17">
      <c r="B1321">
        <v>8480</v>
      </c>
      <c r="C1321" t="s">
        <v>2611</v>
      </c>
      <c r="D1321" s="3">
        <v>9525</v>
      </c>
      <c r="E1321">
        <v>19</v>
      </c>
      <c r="F1321" s="3">
        <v>980165</v>
      </c>
      <c r="G1321">
        <v>103.5</v>
      </c>
      <c r="H1321">
        <v>103.5</v>
      </c>
      <c r="I1321">
        <v>101</v>
      </c>
      <c r="J1321">
        <v>101</v>
      </c>
      <c r="K1321" t="s">
        <v>1</v>
      </c>
      <c r="L1321">
        <v>2.5</v>
      </c>
      <c r="M1321">
        <v>100</v>
      </c>
      <c r="N1321">
        <v>1</v>
      </c>
      <c r="O1321">
        <v>102</v>
      </c>
      <c r="P1321">
        <v>1</v>
      </c>
      <c r="Q1321">
        <v>12.83</v>
      </c>
    </row>
    <row r="1322" spans="2:17">
      <c r="B1322">
        <v>8481</v>
      </c>
      <c r="C1322" t="s">
        <v>2612</v>
      </c>
      <c r="D1322" s="3">
        <v>9008</v>
      </c>
      <c r="E1322">
        <v>11</v>
      </c>
      <c r="F1322" s="3">
        <v>653700</v>
      </c>
      <c r="G1322">
        <v>72.400000000000006</v>
      </c>
      <c r="H1322">
        <v>72.900000000000006</v>
      </c>
      <c r="I1322">
        <v>72.3</v>
      </c>
      <c r="J1322">
        <v>72.599999999999994</v>
      </c>
      <c r="K1322" t="s">
        <v>1</v>
      </c>
      <c r="L1322">
        <v>0.1</v>
      </c>
      <c r="M1322">
        <v>72.599999999999994</v>
      </c>
      <c r="N1322">
        <v>1</v>
      </c>
      <c r="O1322">
        <v>72.900000000000006</v>
      </c>
      <c r="P1322">
        <v>1</v>
      </c>
      <c r="Q1322">
        <v>10.49</v>
      </c>
    </row>
    <row r="1323" spans="2:17">
      <c r="B1323">
        <v>8482</v>
      </c>
      <c r="C1323" t="s">
        <v>2613</v>
      </c>
      <c r="D1323" s="3">
        <v>35000</v>
      </c>
      <c r="E1323">
        <v>28</v>
      </c>
      <c r="F1323" s="3">
        <v>2760600</v>
      </c>
      <c r="G1323">
        <v>78.5</v>
      </c>
      <c r="H1323">
        <v>79.5</v>
      </c>
      <c r="I1323">
        <v>78.5</v>
      </c>
      <c r="J1323">
        <v>78.900000000000006</v>
      </c>
      <c r="K1323" t="s">
        <v>1362</v>
      </c>
      <c r="L1323">
        <v>0.4</v>
      </c>
      <c r="M1323">
        <v>78.8</v>
      </c>
      <c r="N1323">
        <v>2</v>
      </c>
      <c r="O1323">
        <v>78.900000000000006</v>
      </c>
      <c r="P1323">
        <v>1</v>
      </c>
      <c r="Q1323">
        <v>10.87</v>
      </c>
    </row>
    <row r="1324" spans="2:17">
      <c r="B1324">
        <v>8488</v>
      </c>
      <c r="C1324" t="s">
        <v>2614</v>
      </c>
      <c r="D1324" s="3">
        <v>2000</v>
      </c>
      <c r="E1324">
        <v>1</v>
      </c>
      <c r="F1324" s="3">
        <v>33100</v>
      </c>
      <c r="G1324">
        <v>16.55</v>
      </c>
      <c r="H1324">
        <v>16.55</v>
      </c>
      <c r="I1324">
        <v>16.55</v>
      </c>
      <c r="J1324">
        <v>16.55</v>
      </c>
      <c r="K1324" t="s">
        <v>1362</v>
      </c>
      <c r="L1324">
        <v>0.1</v>
      </c>
      <c r="M1324">
        <v>16.25</v>
      </c>
      <c r="N1324">
        <v>1</v>
      </c>
      <c r="O1324">
        <v>16.55</v>
      </c>
      <c r="P1324">
        <v>2</v>
      </c>
      <c r="Q1324">
        <v>12.73</v>
      </c>
    </row>
    <row r="1325" spans="2:17">
      <c r="B1325">
        <v>8499</v>
      </c>
      <c r="C1325" t="s">
        <v>2615</v>
      </c>
      <c r="D1325" s="3">
        <v>62268</v>
      </c>
      <c r="E1325">
        <v>64</v>
      </c>
      <c r="F1325" s="3">
        <v>7966806</v>
      </c>
      <c r="G1325">
        <v>127</v>
      </c>
      <c r="H1325">
        <v>129</v>
      </c>
      <c r="I1325">
        <v>127</v>
      </c>
      <c r="J1325">
        <v>128</v>
      </c>
      <c r="K1325" t="s">
        <v>1362</v>
      </c>
      <c r="L1325">
        <v>1.5</v>
      </c>
      <c r="M1325">
        <v>128</v>
      </c>
      <c r="N1325">
        <v>6</v>
      </c>
      <c r="O1325">
        <v>128.5</v>
      </c>
      <c r="P1325">
        <v>2</v>
      </c>
      <c r="Q1325">
        <v>10.24</v>
      </c>
    </row>
    <row r="1326" spans="2:17">
      <c r="B1326">
        <v>8926</v>
      </c>
      <c r="C1326" t="s">
        <v>2616</v>
      </c>
      <c r="D1326" s="3">
        <v>243111</v>
      </c>
      <c r="E1326">
        <v>198</v>
      </c>
      <c r="F1326" s="3">
        <v>9176292</v>
      </c>
      <c r="G1326">
        <v>37.75</v>
      </c>
      <c r="H1326">
        <v>37.799999999999997</v>
      </c>
      <c r="I1326">
        <v>37.700000000000003</v>
      </c>
      <c r="J1326">
        <v>37.799999999999997</v>
      </c>
      <c r="K1326" t="s">
        <v>1362</v>
      </c>
      <c r="L1326">
        <v>0.05</v>
      </c>
      <c r="M1326">
        <v>37.75</v>
      </c>
      <c r="N1326">
        <v>7</v>
      </c>
      <c r="O1326">
        <v>37.799999999999997</v>
      </c>
      <c r="P1326">
        <v>7</v>
      </c>
      <c r="Q1326">
        <v>26.25</v>
      </c>
    </row>
    <row r="1327" spans="2:17">
      <c r="B1327">
        <v>8940</v>
      </c>
      <c r="C1327" t="s">
        <v>2617</v>
      </c>
      <c r="D1327" s="3">
        <v>73230</v>
      </c>
      <c r="E1327">
        <v>115</v>
      </c>
      <c r="F1327" s="3">
        <v>966602</v>
      </c>
      <c r="G1327">
        <v>13.45</v>
      </c>
      <c r="H1327">
        <v>13.45</v>
      </c>
      <c r="I1327">
        <v>13</v>
      </c>
      <c r="J1327">
        <v>13.2</v>
      </c>
      <c r="K1327" t="s">
        <v>1</v>
      </c>
      <c r="L1327">
        <v>0.25</v>
      </c>
      <c r="M1327">
        <v>13.2</v>
      </c>
      <c r="N1327">
        <v>3</v>
      </c>
      <c r="O1327">
        <v>13.3</v>
      </c>
      <c r="P1327">
        <v>1</v>
      </c>
      <c r="Q1327">
        <v>0</v>
      </c>
    </row>
    <row r="1328" spans="2:17">
      <c r="B1328">
        <v>8996</v>
      </c>
      <c r="C1328" t="s">
        <v>2618</v>
      </c>
      <c r="D1328" s="3">
        <v>385041</v>
      </c>
      <c r="E1328">
        <v>366</v>
      </c>
      <c r="F1328" s="3">
        <v>23768985</v>
      </c>
      <c r="G1328">
        <v>61.6</v>
      </c>
      <c r="H1328">
        <v>62.5</v>
      </c>
      <c r="I1328">
        <v>61.2</v>
      </c>
      <c r="J1328">
        <v>61.5</v>
      </c>
      <c r="K1328" t="s">
        <v>1</v>
      </c>
      <c r="L1328">
        <v>0.9</v>
      </c>
      <c r="M1328">
        <v>61.5</v>
      </c>
      <c r="N1328">
        <v>1</v>
      </c>
      <c r="O1328">
        <v>61.8</v>
      </c>
      <c r="P1328">
        <v>1</v>
      </c>
      <c r="Q1328">
        <v>41.28</v>
      </c>
    </row>
    <row r="1329" spans="2:17">
      <c r="B1329">
        <v>9103</v>
      </c>
      <c r="C1329" t="s">
        <v>2619</v>
      </c>
      <c r="D1329" s="3">
        <v>418244</v>
      </c>
      <c r="E1329">
        <v>186</v>
      </c>
      <c r="F1329" s="3">
        <v>5943538</v>
      </c>
      <c r="G1329">
        <v>14.3</v>
      </c>
      <c r="H1329">
        <v>14.3</v>
      </c>
      <c r="I1329">
        <v>14.05</v>
      </c>
      <c r="J1329">
        <v>14.05</v>
      </c>
      <c r="K1329" t="s">
        <v>1</v>
      </c>
      <c r="L1329">
        <v>0.35</v>
      </c>
      <c r="M1329">
        <v>14.05</v>
      </c>
      <c r="N1329">
        <v>13</v>
      </c>
      <c r="O1329">
        <v>14.1</v>
      </c>
      <c r="P1329">
        <v>7</v>
      </c>
      <c r="Q1329">
        <v>0</v>
      </c>
    </row>
    <row r="1330" spans="2:17">
      <c r="B1330">
        <v>910322</v>
      </c>
      <c r="C1330" t="s">
        <v>2620</v>
      </c>
      <c r="D1330">
        <v>0</v>
      </c>
      <c r="E1330">
        <v>0</v>
      </c>
      <c r="F1330">
        <v>0</v>
      </c>
      <c r="G1330" t="s">
        <v>1391</v>
      </c>
      <c r="H1330" t="s">
        <v>1391</v>
      </c>
      <c r="I1330" t="s">
        <v>1391</v>
      </c>
      <c r="J1330" t="s">
        <v>1391</v>
      </c>
      <c r="K1330" t="s">
        <v>1328</v>
      </c>
      <c r="L1330">
        <v>0</v>
      </c>
      <c r="M1330">
        <v>27.8</v>
      </c>
      <c r="N1330">
        <v>1</v>
      </c>
      <c r="O1330">
        <v>28.2</v>
      </c>
      <c r="P1330">
        <v>4</v>
      </c>
      <c r="Q1330">
        <v>0</v>
      </c>
    </row>
    <row r="1331" spans="2:17">
      <c r="B1331">
        <v>9105</v>
      </c>
      <c r="C1331" t="s">
        <v>2621</v>
      </c>
      <c r="D1331" s="3">
        <v>3671022</v>
      </c>
      <c r="E1331" s="3">
        <v>1017</v>
      </c>
      <c r="F1331" s="3">
        <v>16979332</v>
      </c>
      <c r="G1331">
        <v>4.66</v>
      </c>
      <c r="H1331">
        <v>4.67</v>
      </c>
      <c r="I1331">
        <v>4.5999999999999996</v>
      </c>
      <c r="J1331">
        <v>4.62</v>
      </c>
      <c r="K1331" t="s">
        <v>1</v>
      </c>
      <c r="L1331">
        <v>0.03</v>
      </c>
      <c r="M1331">
        <v>4.62</v>
      </c>
      <c r="N1331">
        <v>32</v>
      </c>
      <c r="O1331">
        <v>4.63</v>
      </c>
      <c r="P1331">
        <v>78</v>
      </c>
      <c r="Q1331">
        <v>0</v>
      </c>
    </row>
    <row r="1332" spans="2:17">
      <c r="B1332">
        <v>910861</v>
      </c>
      <c r="C1332" t="s">
        <v>2622</v>
      </c>
      <c r="D1332" s="3">
        <v>89000</v>
      </c>
      <c r="E1332">
        <v>24</v>
      </c>
      <c r="F1332" s="3">
        <v>653270</v>
      </c>
      <c r="G1332">
        <v>7.36</v>
      </c>
      <c r="H1332">
        <v>7.38</v>
      </c>
      <c r="I1332">
        <v>7.28</v>
      </c>
      <c r="J1332">
        <v>7.31</v>
      </c>
      <c r="K1332" t="s">
        <v>1</v>
      </c>
      <c r="L1332">
        <v>0.09</v>
      </c>
      <c r="M1332">
        <v>7.32</v>
      </c>
      <c r="N1332">
        <v>3</v>
      </c>
      <c r="O1332">
        <v>7.38</v>
      </c>
      <c r="P1332">
        <v>2</v>
      </c>
      <c r="Q1332">
        <v>0</v>
      </c>
    </row>
    <row r="1333" spans="2:17">
      <c r="B1333">
        <v>9110</v>
      </c>
      <c r="C1333" t="s">
        <v>2623</v>
      </c>
      <c r="D1333" s="3">
        <v>57005</v>
      </c>
      <c r="E1333">
        <v>17</v>
      </c>
      <c r="F1333" s="3">
        <v>166464</v>
      </c>
      <c r="G1333">
        <v>2.92</v>
      </c>
      <c r="H1333">
        <v>2.93</v>
      </c>
      <c r="I1333">
        <v>2.92</v>
      </c>
      <c r="J1333">
        <v>2.93</v>
      </c>
      <c r="K1333" t="s">
        <v>1362</v>
      </c>
      <c r="L1333">
        <v>0.01</v>
      </c>
      <c r="M1333">
        <v>2.92</v>
      </c>
      <c r="N1333">
        <v>24</v>
      </c>
      <c r="O1333">
        <v>2.93</v>
      </c>
      <c r="P1333">
        <v>20</v>
      </c>
      <c r="Q1333">
        <v>0</v>
      </c>
    </row>
    <row r="1334" spans="2:17">
      <c r="B1334">
        <v>911608</v>
      </c>
      <c r="C1334" t="s">
        <v>2624</v>
      </c>
      <c r="D1334" s="3">
        <v>72000</v>
      </c>
      <c r="E1334">
        <v>31</v>
      </c>
      <c r="F1334" s="3">
        <v>251000</v>
      </c>
      <c r="G1334">
        <v>3.49</v>
      </c>
      <c r="H1334">
        <v>3.52</v>
      </c>
      <c r="I1334">
        <v>3.47</v>
      </c>
      <c r="J1334">
        <v>3.52</v>
      </c>
      <c r="K1334" t="s">
        <v>1</v>
      </c>
      <c r="L1334">
        <v>0.02</v>
      </c>
      <c r="M1334">
        <v>3.48</v>
      </c>
      <c r="N1334">
        <v>7</v>
      </c>
      <c r="O1334">
        <v>3.53</v>
      </c>
      <c r="P1334">
        <v>2</v>
      </c>
      <c r="Q1334">
        <v>0</v>
      </c>
    </row>
    <row r="1335" spans="2:17">
      <c r="B1335">
        <v>911622</v>
      </c>
      <c r="C1335" t="s">
        <v>2625</v>
      </c>
      <c r="D1335" s="3">
        <v>86000</v>
      </c>
      <c r="E1335">
        <v>24</v>
      </c>
      <c r="F1335" s="3">
        <v>516840</v>
      </c>
      <c r="G1335">
        <v>6.08</v>
      </c>
      <c r="H1335">
        <v>6.08</v>
      </c>
      <c r="I1335">
        <v>5.99</v>
      </c>
      <c r="J1335">
        <v>6.02</v>
      </c>
      <c r="K1335" t="s">
        <v>1362</v>
      </c>
      <c r="L1335">
        <v>0.02</v>
      </c>
      <c r="M1335">
        <v>6.01</v>
      </c>
      <c r="N1335">
        <v>1</v>
      </c>
      <c r="O1335">
        <v>6.02</v>
      </c>
      <c r="P1335">
        <v>27</v>
      </c>
      <c r="Q1335">
        <v>0</v>
      </c>
    </row>
    <row r="1336" spans="2:17">
      <c r="B1336">
        <v>911868</v>
      </c>
      <c r="C1336" t="s">
        <v>2626</v>
      </c>
      <c r="D1336" s="3">
        <v>150000</v>
      </c>
      <c r="E1336">
        <v>54</v>
      </c>
      <c r="F1336" s="3">
        <v>193200</v>
      </c>
      <c r="G1336">
        <v>1.29</v>
      </c>
      <c r="H1336">
        <v>1.3</v>
      </c>
      <c r="I1336">
        <v>1.27</v>
      </c>
      <c r="J1336">
        <v>1.27</v>
      </c>
      <c r="K1336" t="s">
        <v>1328</v>
      </c>
      <c r="L1336">
        <v>0</v>
      </c>
      <c r="M1336">
        <v>1.27</v>
      </c>
      <c r="N1336">
        <v>30</v>
      </c>
      <c r="O1336">
        <v>1.28</v>
      </c>
      <c r="P1336">
        <v>2</v>
      </c>
      <c r="Q1336">
        <v>0</v>
      </c>
    </row>
    <row r="1337" spans="2:17">
      <c r="B1337">
        <v>912000</v>
      </c>
      <c r="C1337" t="s">
        <v>2627</v>
      </c>
      <c r="D1337" s="3">
        <v>973000</v>
      </c>
      <c r="E1337">
        <v>176</v>
      </c>
      <c r="F1337" s="3">
        <v>2955650</v>
      </c>
      <c r="G1337">
        <v>3.04</v>
      </c>
      <c r="H1337">
        <v>3.07</v>
      </c>
      <c r="I1337">
        <v>3.01</v>
      </c>
      <c r="J1337">
        <v>3.05</v>
      </c>
      <c r="K1337" t="s">
        <v>1362</v>
      </c>
      <c r="L1337">
        <v>0.03</v>
      </c>
      <c r="M1337">
        <v>3.04</v>
      </c>
      <c r="N1337">
        <v>128</v>
      </c>
      <c r="O1337">
        <v>3.05</v>
      </c>
      <c r="P1337">
        <v>3</v>
      </c>
      <c r="Q1337">
        <v>0</v>
      </c>
    </row>
    <row r="1338" spans="2:17">
      <c r="B1338">
        <v>9136</v>
      </c>
      <c r="C1338" t="s">
        <v>2628</v>
      </c>
      <c r="D1338" s="3">
        <v>651000</v>
      </c>
      <c r="E1338">
        <v>141</v>
      </c>
      <c r="F1338" s="3">
        <v>3740870</v>
      </c>
      <c r="G1338">
        <v>5.71</v>
      </c>
      <c r="H1338">
        <v>5.77</v>
      </c>
      <c r="I1338">
        <v>5.71</v>
      </c>
      <c r="J1338">
        <v>5.74</v>
      </c>
      <c r="K1338" t="s">
        <v>1362</v>
      </c>
      <c r="L1338">
        <v>0.02</v>
      </c>
      <c r="M1338">
        <v>5.74</v>
      </c>
      <c r="N1338">
        <v>11</v>
      </c>
      <c r="O1338">
        <v>5.75</v>
      </c>
      <c r="P1338">
        <v>7</v>
      </c>
      <c r="Q1338">
        <v>0</v>
      </c>
    </row>
    <row r="1339" spans="2:17">
      <c r="B1339">
        <v>9188</v>
      </c>
      <c r="C1339" t="s">
        <v>2629</v>
      </c>
      <c r="D1339" s="3">
        <v>121000</v>
      </c>
      <c r="E1339">
        <v>27</v>
      </c>
      <c r="F1339" s="3">
        <v>360340</v>
      </c>
      <c r="G1339">
        <v>2.98</v>
      </c>
      <c r="H1339">
        <v>2.98</v>
      </c>
      <c r="I1339">
        <v>2.97</v>
      </c>
      <c r="J1339">
        <v>2.98</v>
      </c>
      <c r="K1339" t="s">
        <v>1362</v>
      </c>
      <c r="L1339">
        <v>0.01</v>
      </c>
      <c r="M1339">
        <v>2.97</v>
      </c>
      <c r="N1339">
        <v>22</v>
      </c>
      <c r="O1339">
        <v>2.98</v>
      </c>
      <c r="P1339">
        <v>7</v>
      </c>
      <c r="Q1339">
        <v>0</v>
      </c>
    </row>
    <row r="1340" spans="2:17">
      <c r="B1340">
        <v>9802</v>
      </c>
      <c r="C1340" t="s">
        <v>2630</v>
      </c>
      <c r="D1340" s="3">
        <v>464268</v>
      </c>
      <c r="E1340">
        <v>479</v>
      </c>
      <c r="F1340" s="3">
        <v>43969462</v>
      </c>
      <c r="G1340">
        <v>95</v>
      </c>
      <c r="H1340">
        <v>95.5</v>
      </c>
      <c r="I1340">
        <v>94</v>
      </c>
      <c r="J1340">
        <v>94.8</v>
      </c>
      <c r="K1340" t="s">
        <v>1</v>
      </c>
      <c r="L1340">
        <v>0.2</v>
      </c>
      <c r="M1340">
        <v>94.8</v>
      </c>
      <c r="N1340">
        <v>14</v>
      </c>
      <c r="O1340">
        <v>95</v>
      </c>
      <c r="P1340">
        <v>11</v>
      </c>
      <c r="Q1340">
        <v>17.89</v>
      </c>
    </row>
    <row r="1341" spans="2:17">
      <c r="B1341">
        <v>9902</v>
      </c>
      <c r="C1341" t="s">
        <v>2631</v>
      </c>
      <c r="D1341" s="3">
        <v>213897</v>
      </c>
      <c r="E1341">
        <v>77</v>
      </c>
      <c r="F1341" s="3">
        <v>2851365</v>
      </c>
      <c r="G1341">
        <v>13.35</v>
      </c>
      <c r="H1341">
        <v>13.4</v>
      </c>
      <c r="I1341">
        <v>13.3</v>
      </c>
      <c r="J1341">
        <v>13.3</v>
      </c>
      <c r="K1341" t="s">
        <v>1</v>
      </c>
      <c r="L1341">
        <v>0.05</v>
      </c>
      <c r="M1341">
        <v>13.3</v>
      </c>
      <c r="N1341">
        <v>34</v>
      </c>
      <c r="O1341">
        <v>13.35</v>
      </c>
      <c r="P1341">
        <v>7</v>
      </c>
      <c r="Q1341">
        <v>11.47</v>
      </c>
    </row>
    <row r="1342" spans="2:17">
      <c r="B1342">
        <v>9904</v>
      </c>
      <c r="C1342" t="s">
        <v>2632</v>
      </c>
      <c r="D1342" s="3">
        <v>2993768</v>
      </c>
      <c r="E1342" s="3">
        <v>1457</v>
      </c>
      <c r="F1342" s="3">
        <v>99712619</v>
      </c>
      <c r="G1342">
        <v>33.200000000000003</v>
      </c>
      <c r="H1342">
        <v>33.450000000000003</v>
      </c>
      <c r="I1342">
        <v>33.1</v>
      </c>
      <c r="J1342">
        <v>33.450000000000003</v>
      </c>
      <c r="K1342" t="s">
        <v>1362</v>
      </c>
      <c r="L1342">
        <v>0.3</v>
      </c>
      <c r="M1342">
        <v>33.4</v>
      </c>
      <c r="N1342">
        <v>33</v>
      </c>
      <c r="O1342">
        <v>33.450000000000003</v>
      </c>
      <c r="P1342">
        <v>137</v>
      </c>
      <c r="Q1342">
        <v>7.37</v>
      </c>
    </row>
    <row r="1343" spans="2:17">
      <c r="B1343">
        <v>9905</v>
      </c>
      <c r="C1343" t="s">
        <v>2633</v>
      </c>
      <c r="D1343" s="3">
        <v>46227</v>
      </c>
      <c r="E1343">
        <v>53</v>
      </c>
      <c r="F1343" s="3">
        <v>1217869</v>
      </c>
      <c r="G1343">
        <v>26.3</v>
      </c>
      <c r="H1343">
        <v>26.45</v>
      </c>
      <c r="I1343">
        <v>26.3</v>
      </c>
      <c r="J1343">
        <v>26.35</v>
      </c>
      <c r="K1343" t="s">
        <v>1</v>
      </c>
      <c r="L1343">
        <v>0.05</v>
      </c>
      <c r="M1343">
        <v>26.35</v>
      </c>
      <c r="N1343">
        <v>2</v>
      </c>
      <c r="O1343">
        <v>26.4</v>
      </c>
      <c r="P1343">
        <v>7</v>
      </c>
      <c r="Q1343">
        <v>13.58</v>
      </c>
    </row>
    <row r="1344" spans="2:17">
      <c r="B1344">
        <v>9906</v>
      </c>
      <c r="C1344" t="s">
        <v>2634</v>
      </c>
      <c r="D1344" s="3">
        <v>161963</v>
      </c>
      <c r="E1344">
        <v>162</v>
      </c>
      <c r="F1344" s="3">
        <v>10173827</v>
      </c>
      <c r="G1344">
        <v>63.6</v>
      </c>
      <c r="H1344">
        <v>64.2</v>
      </c>
      <c r="I1344">
        <v>62.1</v>
      </c>
      <c r="J1344">
        <v>62.7</v>
      </c>
      <c r="K1344" t="s">
        <v>1</v>
      </c>
      <c r="L1344">
        <v>0.9</v>
      </c>
      <c r="M1344">
        <v>62.4</v>
      </c>
      <c r="N1344">
        <v>2</v>
      </c>
      <c r="O1344">
        <v>62.8</v>
      </c>
      <c r="P1344">
        <v>4</v>
      </c>
      <c r="Q1344">
        <v>30.89</v>
      </c>
    </row>
    <row r="1345" spans="2:17">
      <c r="B1345">
        <v>9907</v>
      </c>
      <c r="C1345" t="s">
        <v>2635</v>
      </c>
      <c r="D1345" s="3">
        <v>4511853</v>
      </c>
      <c r="E1345" s="3">
        <v>1227</v>
      </c>
      <c r="F1345" s="3">
        <v>64056952</v>
      </c>
      <c r="G1345">
        <v>14.1</v>
      </c>
      <c r="H1345">
        <v>14.3</v>
      </c>
      <c r="I1345">
        <v>14.1</v>
      </c>
      <c r="J1345">
        <v>14.15</v>
      </c>
      <c r="K1345" t="s">
        <v>1362</v>
      </c>
      <c r="L1345">
        <v>0.1</v>
      </c>
      <c r="M1345">
        <v>14.1</v>
      </c>
      <c r="N1345">
        <v>214</v>
      </c>
      <c r="O1345">
        <v>14.2</v>
      </c>
      <c r="P1345">
        <v>188</v>
      </c>
      <c r="Q1345">
        <v>15.72</v>
      </c>
    </row>
    <row r="1346" spans="2:17">
      <c r="B1346">
        <v>9908</v>
      </c>
      <c r="C1346" t="s">
        <v>2636</v>
      </c>
      <c r="D1346" s="3">
        <v>47328</v>
      </c>
      <c r="E1346">
        <v>57</v>
      </c>
      <c r="F1346" s="3">
        <v>1567738</v>
      </c>
      <c r="G1346">
        <v>33.200000000000003</v>
      </c>
      <c r="H1346">
        <v>33.200000000000003</v>
      </c>
      <c r="I1346">
        <v>33.1</v>
      </c>
      <c r="J1346">
        <v>33.1</v>
      </c>
      <c r="K1346" t="s">
        <v>1</v>
      </c>
      <c r="L1346">
        <v>0.1</v>
      </c>
      <c r="M1346">
        <v>33.1</v>
      </c>
      <c r="N1346">
        <v>3</v>
      </c>
      <c r="O1346">
        <v>33.15</v>
      </c>
      <c r="P1346">
        <v>2</v>
      </c>
      <c r="Q1346">
        <v>20.69</v>
      </c>
    </row>
    <row r="1347" spans="2:17">
      <c r="B1347">
        <v>9910</v>
      </c>
      <c r="C1347" t="s">
        <v>2637</v>
      </c>
      <c r="D1347" s="3">
        <v>373491</v>
      </c>
      <c r="E1347">
        <v>725</v>
      </c>
      <c r="F1347" s="3">
        <v>84862761</v>
      </c>
      <c r="G1347">
        <v>229</v>
      </c>
      <c r="H1347">
        <v>229</v>
      </c>
      <c r="I1347">
        <v>224.5</v>
      </c>
      <c r="J1347">
        <v>228</v>
      </c>
      <c r="K1347" t="s">
        <v>1</v>
      </c>
      <c r="L1347">
        <v>1</v>
      </c>
      <c r="M1347">
        <v>227.5</v>
      </c>
      <c r="N1347">
        <v>5</v>
      </c>
      <c r="O1347">
        <v>228</v>
      </c>
      <c r="P1347">
        <v>3</v>
      </c>
      <c r="Q1347">
        <v>48.61</v>
      </c>
    </row>
    <row r="1348" spans="2:17">
      <c r="B1348">
        <v>9911</v>
      </c>
      <c r="C1348" t="s">
        <v>2638</v>
      </c>
      <c r="D1348" s="3">
        <v>249213</v>
      </c>
      <c r="E1348">
        <v>238</v>
      </c>
      <c r="F1348" s="3">
        <v>16974546</v>
      </c>
      <c r="G1348">
        <v>67.900000000000006</v>
      </c>
      <c r="H1348">
        <v>68.400000000000006</v>
      </c>
      <c r="I1348">
        <v>67.900000000000006</v>
      </c>
      <c r="J1348">
        <v>68.400000000000006</v>
      </c>
      <c r="K1348" t="s">
        <v>1362</v>
      </c>
      <c r="L1348">
        <v>0.5</v>
      </c>
      <c r="M1348">
        <v>68.3</v>
      </c>
      <c r="N1348">
        <v>4</v>
      </c>
      <c r="O1348">
        <v>68.5</v>
      </c>
      <c r="P1348">
        <v>13</v>
      </c>
      <c r="Q1348">
        <v>14.02</v>
      </c>
    </row>
    <row r="1349" spans="2:17">
      <c r="B1349">
        <v>9912</v>
      </c>
      <c r="C1349" t="s">
        <v>2639</v>
      </c>
      <c r="D1349" s="3">
        <v>337590</v>
      </c>
      <c r="E1349">
        <v>185</v>
      </c>
      <c r="F1349" s="3">
        <v>3409834</v>
      </c>
      <c r="G1349">
        <v>9.9</v>
      </c>
      <c r="H1349">
        <v>10.3</v>
      </c>
      <c r="I1349">
        <v>9.9</v>
      </c>
      <c r="J1349">
        <v>10.1</v>
      </c>
      <c r="K1349" t="s">
        <v>1362</v>
      </c>
      <c r="L1349">
        <v>0.25</v>
      </c>
      <c r="M1349">
        <v>10</v>
      </c>
      <c r="N1349">
        <v>12</v>
      </c>
      <c r="O1349">
        <v>10.1</v>
      </c>
      <c r="P1349">
        <v>22</v>
      </c>
      <c r="Q1349">
        <v>0</v>
      </c>
    </row>
    <row r="1350" spans="2:17">
      <c r="B1350">
        <v>9914</v>
      </c>
      <c r="C1350" t="s">
        <v>2640</v>
      </c>
      <c r="D1350" s="3">
        <v>184912</v>
      </c>
      <c r="E1350">
        <v>328</v>
      </c>
      <c r="F1350" s="3">
        <v>59895666</v>
      </c>
      <c r="G1350">
        <v>325</v>
      </c>
      <c r="H1350">
        <v>326.5</v>
      </c>
      <c r="I1350">
        <v>322.5</v>
      </c>
      <c r="J1350">
        <v>324.5</v>
      </c>
      <c r="K1350" t="s">
        <v>1</v>
      </c>
      <c r="L1350">
        <v>0.5</v>
      </c>
      <c r="M1350">
        <v>323</v>
      </c>
      <c r="N1350">
        <v>1</v>
      </c>
      <c r="O1350">
        <v>325</v>
      </c>
      <c r="P1350">
        <v>4</v>
      </c>
      <c r="Q1350">
        <v>22.36</v>
      </c>
    </row>
    <row r="1351" spans="2:17">
      <c r="B1351">
        <v>9917</v>
      </c>
      <c r="C1351" t="s">
        <v>2641</v>
      </c>
      <c r="D1351" s="3">
        <v>89142</v>
      </c>
      <c r="E1351">
        <v>127</v>
      </c>
      <c r="F1351" s="3">
        <v>9294150</v>
      </c>
      <c r="G1351">
        <v>104</v>
      </c>
      <c r="H1351">
        <v>105</v>
      </c>
      <c r="I1351">
        <v>104</v>
      </c>
      <c r="J1351">
        <v>104</v>
      </c>
      <c r="K1351" t="s">
        <v>1</v>
      </c>
      <c r="L1351">
        <v>0.5</v>
      </c>
      <c r="M1351">
        <v>104</v>
      </c>
      <c r="N1351">
        <v>32</v>
      </c>
      <c r="O1351">
        <v>104.5</v>
      </c>
      <c r="P1351">
        <v>22</v>
      </c>
      <c r="Q1351">
        <v>18.02</v>
      </c>
    </row>
    <row r="1352" spans="2:17">
      <c r="B1352">
        <v>9918</v>
      </c>
      <c r="C1352" t="s">
        <v>2642</v>
      </c>
      <c r="D1352" s="3">
        <v>26899</v>
      </c>
      <c r="E1352">
        <v>34</v>
      </c>
      <c r="F1352" s="3">
        <v>1154661</v>
      </c>
      <c r="G1352">
        <v>42.3</v>
      </c>
      <c r="H1352">
        <v>43.4</v>
      </c>
      <c r="I1352">
        <v>42.3</v>
      </c>
      <c r="J1352">
        <v>43.25</v>
      </c>
      <c r="K1352" t="s">
        <v>1362</v>
      </c>
      <c r="L1352">
        <v>0.5</v>
      </c>
      <c r="M1352">
        <v>42.85</v>
      </c>
      <c r="N1352">
        <v>1</v>
      </c>
      <c r="O1352">
        <v>43.1</v>
      </c>
      <c r="P1352">
        <v>1</v>
      </c>
      <c r="Q1352">
        <v>23.01</v>
      </c>
    </row>
    <row r="1353" spans="2:17">
      <c r="B1353">
        <v>9919</v>
      </c>
      <c r="C1353" t="s">
        <v>2643</v>
      </c>
      <c r="D1353" s="3">
        <v>566696</v>
      </c>
      <c r="E1353">
        <v>364</v>
      </c>
      <c r="F1353" s="3">
        <v>14598754</v>
      </c>
      <c r="G1353">
        <v>25.75</v>
      </c>
      <c r="H1353">
        <v>25.9</v>
      </c>
      <c r="I1353">
        <v>25.7</v>
      </c>
      <c r="J1353">
        <v>25.7</v>
      </c>
      <c r="K1353" t="s">
        <v>1</v>
      </c>
      <c r="L1353">
        <v>0.25</v>
      </c>
      <c r="M1353">
        <v>25.7</v>
      </c>
      <c r="N1353">
        <v>24</v>
      </c>
      <c r="O1353">
        <v>25.75</v>
      </c>
      <c r="P1353">
        <v>2</v>
      </c>
      <c r="Q1353">
        <v>17.02</v>
      </c>
    </row>
    <row r="1354" spans="2:17">
      <c r="B1354">
        <v>9921</v>
      </c>
      <c r="C1354" t="s">
        <v>2644</v>
      </c>
      <c r="D1354" s="3">
        <v>825524</v>
      </c>
      <c r="E1354">
        <v>581</v>
      </c>
      <c r="F1354" s="3">
        <v>284107360</v>
      </c>
      <c r="G1354">
        <v>343.5</v>
      </c>
      <c r="H1354">
        <v>346</v>
      </c>
      <c r="I1354">
        <v>341</v>
      </c>
      <c r="J1354">
        <v>346</v>
      </c>
      <c r="K1354" t="s">
        <v>1362</v>
      </c>
      <c r="L1354">
        <v>2.5</v>
      </c>
      <c r="M1354">
        <v>345</v>
      </c>
      <c r="N1354">
        <v>1</v>
      </c>
      <c r="O1354">
        <v>346</v>
      </c>
      <c r="P1354">
        <v>32</v>
      </c>
      <c r="Q1354">
        <v>21.11</v>
      </c>
    </row>
    <row r="1355" spans="2:17">
      <c r="B1355">
        <v>9924</v>
      </c>
      <c r="C1355" t="s">
        <v>2645</v>
      </c>
      <c r="D1355" s="3">
        <v>108267</v>
      </c>
      <c r="E1355">
        <v>98</v>
      </c>
      <c r="F1355" s="3">
        <v>4454091</v>
      </c>
      <c r="G1355">
        <v>41.2</v>
      </c>
      <c r="H1355">
        <v>41.2</v>
      </c>
      <c r="I1355">
        <v>41.05</v>
      </c>
      <c r="J1355">
        <v>41.2</v>
      </c>
      <c r="K1355" t="s">
        <v>1362</v>
      </c>
      <c r="L1355">
        <v>0.1</v>
      </c>
      <c r="M1355">
        <v>41.1</v>
      </c>
      <c r="N1355">
        <v>2</v>
      </c>
      <c r="O1355">
        <v>41.2</v>
      </c>
      <c r="P1355">
        <v>7</v>
      </c>
      <c r="Q1355">
        <v>11.48</v>
      </c>
    </row>
    <row r="1356" spans="2:17">
      <c r="B1356">
        <v>9925</v>
      </c>
      <c r="C1356" t="s">
        <v>2646</v>
      </c>
      <c r="D1356" s="3">
        <v>127796</v>
      </c>
      <c r="E1356">
        <v>86</v>
      </c>
      <c r="F1356" s="3">
        <v>5008947</v>
      </c>
      <c r="G1356">
        <v>39.15</v>
      </c>
      <c r="H1356">
        <v>39.25</v>
      </c>
      <c r="I1356">
        <v>39.15</v>
      </c>
      <c r="J1356">
        <v>39.25</v>
      </c>
      <c r="K1356" t="s">
        <v>1362</v>
      </c>
      <c r="L1356">
        <v>0.05</v>
      </c>
      <c r="M1356">
        <v>39.200000000000003</v>
      </c>
      <c r="N1356">
        <v>9</v>
      </c>
      <c r="O1356">
        <v>39.25</v>
      </c>
      <c r="P1356">
        <v>21</v>
      </c>
      <c r="Q1356">
        <v>15.96</v>
      </c>
    </row>
    <row r="1357" spans="2:17">
      <c r="B1357">
        <v>9926</v>
      </c>
      <c r="C1357" t="s">
        <v>2647</v>
      </c>
      <c r="D1357" s="3">
        <v>12196</v>
      </c>
      <c r="E1357">
        <v>17</v>
      </c>
      <c r="F1357" s="3">
        <v>599025</v>
      </c>
      <c r="G1357">
        <v>49.2</v>
      </c>
      <c r="H1357">
        <v>49.4</v>
      </c>
      <c r="I1357">
        <v>49</v>
      </c>
      <c r="J1357">
        <v>49.4</v>
      </c>
      <c r="K1357" t="s">
        <v>1362</v>
      </c>
      <c r="L1357">
        <v>0.05</v>
      </c>
      <c r="M1357">
        <v>49.2</v>
      </c>
      <c r="N1357">
        <v>4</v>
      </c>
      <c r="O1357">
        <v>49.4</v>
      </c>
      <c r="P1357">
        <v>3</v>
      </c>
      <c r="Q1357">
        <v>20.58</v>
      </c>
    </row>
    <row r="1358" spans="2:17">
      <c r="B1358">
        <v>9927</v>
      </c>
      <c r="C1358" t="s">
        <v>2648</v>
      </c>
      <c r="D1358" s="3">
        <v>231776</v>
      </c>
      <c r="E1358">
        <v>278</v>
      </c>
      <c r="F1358" s="3">
        <v>8860557</v>
      </c>
      <c r="G1358">
        <v>38.25</v>
      </c>
      <c r="H1358">
        <v>38.35</v>
      </c>
      <c r="I1358">
        <v>38.1</v>
      </c>
      <c r="J1358">
        <v>38.299999999999997</v>
      </c>
      <c r="K1358" t="s">
        <v>1328</v>
      </c>
      <c r="L1358">
        <v>0</v>
      </c>
      <c r="M1358">
        <v>38.200000000000003</v>
      </c>
      <c r="N1358">
        <v>1</v>
      </c>
      <c r="O1358">
        <v>38.299999999999997</v>
      </c>
      <c r="P1358">
        <v>24</v>
      </c>
      <c r="Q1358">
        <v>8.65</v>
      </c>
    </row>
    <row r="1359" spans="2:17">
      <c r="B1359">
        <v>9928</v>
      </c>
      <c r="C1359" t="s">
        <v>2649</v>
      </c>
      <c r="D1359" s="3">
        <v>2250</v>
      </c>
      <c r="E1359">
        <v>4</v>
      </c>
      <c r="F1359" s="3">
        <v>13724</v>
      </c>
      <c r="G1359">
        <v>6.1</v>
      </c>
      <c r="H1359">
        <v>6.1</v>
      </c>
      <c r="I1359">
        <v>6.1</v>
      </c>
      <c r="J1359">
        <v>6.1</v>
      </c>
      <c r="K1359" t="s">
        <v>1</v>
      </c>
      <c r="L1359">
        <v>0.14000000000000001</v>
      </c>
      <c r="M1359">
        <v>6.06</v>
      </c>
      <c r="N1359">
        <v>2</v>
      </c>
      <c r="O1359">
        <v>6.3</v>
      </c>
      <c r="P1359">
        <v>1</v>
      </c>
      <c r="Q1359">
        <v>0</v>
      </c>
    </row>
    <row r="1360" spans="2:17">
      <c r="B1360">
        <v>9929</v>
      </c>
      <c r="C1360" t="s">
        <v>2650</v>
      </c>
      <c r="D1360" s="3">
        <v>47452</v>
      </c>
      <c r="E1360">
        <v>23</v>
      </c>
      <c r="F1360" s="3">
        <v>447812</v>
      </c>
      <c r="G1360">
        <v>9.5</v>
      </c>
      <c r="H1360">
        <v>9.5</v>
      </c>
      <c r="I1360">
        <v>9.4</v>
      </c>
      <c r="J1360">
        <v>9.4</v>
      </c>
      <c r="K1360" t="s">
        <v>1</v>
      </c>
      <c r="L1360">
        <v>0.1</v>
      </c>
      <c r="M1360">
        <v>9.4</v>
      </c>
      <c r="N1360">
        <v>16</v>
      </c>
      <c r="O1360">
        <v>9.5</v>
      </c>
      <c r="P1360">
        <v>3</v>
      </c>
      <c r="Q1360">
        <v>0</v>
      </c>
    </row>
    <row r="1361" spans="2:17">
      <c r="B1361">
        <v>9930</v>
      </c>
      <c r="C1361" t="s">
        <v>2651</v>
      </c>
      <c r="D1361" s="3">
        <v>54782</v>
      </c>
      <c r="E1361">
        <v>66</v>
      </c>
      <c r="F1361" s="3">
        <v>2476069</v>
      </c>
      <c r="G1361">
        <v>45.25</v>
      </c>
      <c r="H1361">
        <v>45.3</v>
      </c>
      <c r="I1361">
        <v>45.1</v>
      </c>
      <c r="J1361">
        <v>45.3</v>
      </c>
      <c r="K1361" t="s">
        <v>1362</v>
      </c>
      <c r="L1361">
        <v>0.05</v>
      </c>
      <c r="M1361">
        <v>45.25</v>
      </c>
      <c r="N1361">
        <v>13</v>
      </c>
      <c r="O1361">
        <v>45.3</v>
      </c>
      <c r="P1361">
        <v>11</v>
      </c>
      <c r="Q1361">
        <v>15.51</v>
      </c>
    </row>
    <row r="1362" spans="2:17">
      <c r="B1362">
        <v>9931</v>
      </c>
      <c r="C1362" t="s">
        <v>2652</v>
      </c>
      <c r="D1362" s="3">
        <v>1000</v>
      </c>
      <c r="E1362">
        <v>1</v>
      </c>
      <c r="F1362" s="3">
        <v>40000</v>
      </c>
      <c r="G1362">
        <v>40</v>
      </c>
      <c r="H1362">
        <v>40</v>
      </c>
      <c r="I1362">
        <v>40</v>
      </c>
      <c r="J1362">
        <v>40</v>
      </c>
      <c r="K1362" t="s">
        <v>1328</v>
      </c>
      <c r="L1362">
        <v>0</v>
      </c>
      <c r="M1362">
        <v>39.6</v>
      </c>
      <c r="N1362">
        <v>1</v>
      </c>
      <c r="O1362">
        <v>40</v>
      </c>
      <c r="P1362">
        <v>1</v>
      </c>
      <c r="Q1362">
        <v>21.86</v>
      </c>
    </row>
    <row r="1363" spans="2:17">
      <c r="B1363">
        <v>9933</v>
      </c>
      <c r="C1363" t="s">
        <v>2653</v>
      </c>
      <c r="D1363" s="3">
        <v>804477</v>
      </c>
      <c r="E1363">
        <v>575</v>
      </c>
      <c r="F1363" s="3">
        <v>29870388</v>
      </c>
      <c r="G1363">
        <v>37.299999999999997</v>
      </c>
      <c r="H1363">
        <v>37.35</v>
      </c>
      <c r="I1363">
        <v>37</v>
      </c>
      <c r="J1363">
        <v>37.1</v>
      </c>
      <c r="K1363" t="s">
        <v>1</v>
      </c>
      <c r="L1363">
        <v>0.1</v>
      </c>
      <c r="M1363">
        <v>37.049999999999997</v>
      </c>
      <c r="N1363">
        <v>18</v>
      </c>
      <c r="O1363">
        <v>37.1</v>
      </c>
      <c r="P1363">
        <v>5</v>
      </c>
      <c r="Q1363">
        <v>21.95</v>
      </c>
    </row>
    <row r="1364" spans="2:17">
      <c r="B1364">
        <v>9934</v>
      </c>
      <c r="C1364" t="s">
        <v>2654</v>
      </c>
      <c r="D1364" s="3">
        <v>185638</v>
      </c>
      <c r="E1364">
        <v>127</v>
      </c>
      <c r="F1364" s="3">
        <v>2793138</v>
      </c>
      <c r="G1364">
        <v>15.05</v>
      </c>
      <c r="H1364">
        <v>15.15</v>
      </c>
      <c r="I1364">
        <v>15</v>
      </c>
      <c r="J1364">
        <v>15</v>
      </c>
      <c r="K1364" t="s">
        <v>1</v>
      </c>
      <c r="L1364">
        <v>0.05</v>
      </c>
      <c r="M1364">
        <v>15</v>
      </c>
      <c r="N1364">
        <v>20</v>
      </c>
      <c r="O1364">
        <v>15.05</v>
      </c>
      <c r="P1364">
        <v>18</v>
      </c>
      <c r="Q1364">
        <v>17.86</v>
      </c>
    </row>
    <row r="1365" spans="2:17">
      <c r="B1365">
        <v>9935</v>
      </c>
      <c r="C1365" t="s">
        <v>2655</v>
      </c>
      <c r="D1365" s="3">
        <v>352291</v>
      </c>
      <c r="E1365">
        <v>171</v>
      </c>
      <c r="F1365" s="3">
        <v>6944378</v>
      </c>
      <c r="G1365">
        <v>19.8</v>
      </c>
      <c r="H1365">
        <v>19.850000000000001</v>
      </c>
      <c r="I1365">
        <v>19.600000000000001</v>
      </c>
      <c r="J1365">
        <v>19.850000000000001</v>
      </c>
      <c r="K1365" t="s">
        <v>1328</v>
      </c>
      <c r="L1365">
        <v>0</v>
      </c>
      <c r="M1365">
        <v>19.8</v>
      </c>
      <c r="N1365">
        <v>19</v>
      </c>
      <c r="O1365">
        <v>19.850000000000001</v>
      </c>
      <c r="P1365">
        <v>3</v>
      </c>
      <c r="Q1365">
        <v>20.05</v>
      </c>
    </row>
    <row r="1366" spans="2:17">
      <c r="B1366">
        <v>9937</v>
      </c>
      <c r="C1366" t="s">
        <v>2656</v>
      </c>
      <c r="D1366" s="3">
        <v>76099</v>
      </c>
      <c r="E1366">
        <v>54</v>
      </c>
      <c r="F1366" s="3">
        <v>3720476</v>
      </c>
      <c r="G1366">
        <v>48.95</v>
      </c>
      <c r="H1366">
        <v>49</v>
      </c>
      <c r="I1366">
        <v>48.7</v>
      </c>
      <c r="J1366">
        <v>48.7</v>
      </c>
      <c r="K1366" t="s">
        <v>1</v>
      </c>
      <c r="L1366">
        <v>0.3</v>
      </c>
      <c r="M1366">
        <v>48.7</v>
      </c>
      <c r="N1366">
        <v>1</v>
      </c>
      <c r="O1366">
        <v>48.9</v>
      </c>
      <c r="P1366">
        <v>2</v>
      </c>
      <c r="Q1366">
        <v>18.45</v>
      </c>
    </row>
    <row r="1367" spans="2:17">
      <c r="B1367">
        <v>9938</v>
      </c>
      <c r="C1367" t="s">
        <v>2657</v>
      </c>
      <c r="D1367" s="3">
        <v>396323</v>
      </c>
      <c r="E1367">
        <v>284</v>
      </c>
      <c r="F1367" s="3">
        <v>32026454</v>
      </c>
      <c r="G1367">
        <v>80.7</v>
      </c>
      <c r="H1367">
        <v>81.2</v>
      </c>
      <c r="I1367">
        <v>80.5</v>
      </c>
      <c r="J1367">
        <v>81.2</v>
      </c>
      <c r="K1367" t="s">
        <v>1362</v>
      </c>
      <c r="L1367">
        <v>0.6</v>
      </c>
      <c r="M1367">
        <v>81</v>
      </c>
      <c r="N1367">
        <v>1</v>
      </c>
      <c r="O1367">
        <v>81.3</v>
      </c>
      <c r="P1367">
        <v>5</v>
      </c>
      <c r="Q1367">
        <v>11.94</v>
      </c>
    </row>
    <row r="1368" spans="2:17">
      <c r="B1368">
        <v>9939</v>
      </c>
      <c r="C1368" t="s">
        <v>2658</v>
      </c>
      <c r="D1368" s="3">
        <v>307731</v>
      </c>
      <c r="E1368">
        <v>826</v>
      </c>
      <c r="F1368" s="3">
        <v>21569135</v>
      </c>
      <c r="G1368">
        <v>70.099999999999994</v>
      </c>
      <c r="H1368">
        <v>70.400000000000006</v>
      </c>
      <c r="I1368">
        <v>69.900000000000006</v>
      </c>
      <c r="J1368">
        <v>69.900000000000006</v>
      </c>
      <c r="K1368" t="s">
        <v>1</v>
      </c>
      <c r="L1368">
        <v>0.2</v>
      </c>
      <c r="M1368">
        <v>69.900000000000006</v>
      </c>
      <c r="N1368">
        <v>7</v>
      </c>
      <c r="O1368">
        <v>70</v>
      </c>
      <c r="P1368">
        <v>2</v>
      </c>
      <c r="Q1368">
        <v>10.54</v>
      </c>
    </row>
    <row r="1369" spans="2:17">
      <c r="B1369">
        <v>9940</v>
      </c>
      <c r="C1369" t="s">
        <v>2659</v>
      </c>
      <c r="D1369" s="3">
        <v>628136</v>
      </c>
      <c r="E1369">
        <v>732</v>
      </c>
      <c r="F1369" s="3">
        <v>22096258</v>
      </c>
      <c r="G1369">
        <v>35.799999999999997</v>
      </c>
      <c r="H1369">
        <v>35.799999999999997</v>
      </c>
      <c r="I1369">
        <v>35.049999999999997</v>
      </c>
      <c r="J1369">
        <v>35.15</v>
      </c>
      <c r="K1369" t="s">
        <v>1</v>
      </c>
      <c r="L1369">
        <v>0.4</v>
      </c>
      <c r="M1369">
        <v>35.1</v>
      </c>
      <c r="N1369">
        <v>7</v>
      </c>
      <c r="O1369">
        <v>35.15</v>
      </c>
      <c r="P1369">
        <v>7</v>
      </c>
      <c r="Q1369">
        <v>11.3</v>
      </c>
    </row>
    <row r="1370" spans="2:17">
      <c r="B1370">
        <v>9941</v>
      </c>
      <c r="C1370" t="s">
        <v>2660</v>
      </c>
      <c r="D1370" s="3">
        <v>294121</v>
      </c>
      <c r="E1370">
        <v>403</v>
      </c>
      <c r="F1370" s="3">
        <v>50890741</v>
      </c>
      <c r="G1370">
        <v>173.5</v>
      </c>
      <c r="H1370">
        <v>174</v>
      </c>
      <c r="I1370">
        <v>172</v>
      </c>
      <c r="J1370">
        <v>174</v>
      </c>
      <c r="K1370" t="s">
        <v>1362</v>
      </c>
      <c r="L1370">
        <v>1</v>
      </c>
      <c r="M1370">
        <v>173.5</v>
      </c>
      <c r="N1370">
        <v>3</v>
      </c>
      <c r="O1370">
        <v>174</v>
      </c>
      <c r="P1370">
        <v>47</v>
      </c>
      <c r="Q1370">
        <v>18.43</v>
      </c>
    </row>
    <row r="1371" spans="2:17">
      <c r="B1371" t="s">
        <v>2661</v>
      </c>
      <c r="C1371" t="s">
        <v>2662</v>
      </c>
      <c r="D1371" s="3">
        <v>18505</v>
      </c>
      <c r="E1371">
        <v>13</v>
      </c>
      <c r="F1371" s="3">
        <v>948814</v>
      </c>
      <c r="G1371">
        <v>51.2</v>
      </c>
      <c r="H1371">
        <v>51.4</v>
      </c>
      <c r="I1371">
        <v>51.2</v>
      </c>
      <c r="J1371">
        <v>51.4</v>
      </c>
      <c r="K1371" t="s">
        <v>1362</v>
      </c>
      <c r="L1371">
        <v>0.1</v>
      </c>
      <c r="M1371">
        <v>51.2</v>
      </c>
      <c r="N1371">
        <v>2</v>
      </c>
      <c r="O1371">
        <v>51.4</v>
      </c>
      <c r="P1371">
        <v>8</v>
      </c>
      <c r="Q1371">
        <v>0</v>
      </c>
    </row>
    <row r="1372" spans="2:17">
      <c r="B1372">
        <v>9942</v>
      </c>
      <c r="C1372" t="s">
        <v>2663</v>
      </c>
      <c r="D1372" s="3">
        <v>112128</v>
      </c>
      <c r="E1372">
        <v>88</v>
      </c>
      <c r="F1372" s="3">
        <v>10293913</v>
      </c>
      <c r="G1372">
        <v>92</v>
      </c>
      <c r="H1372">
        <v>92.2</v>
      </c>
      <c r="I1372">
        <v>91.3</v>
      </c>
      <c r="J1372">
        <v>91.9</v>
      </c>
      <c r="K1372" t="s">
        <v>1328</v>
      </c>
      <c r="L1372">
        <v>0</v>
      </c>
      <c r="M1372">
        <v>91.9</v>
      </c>
      <c r="N1372">
        <v>7</v>
      </c>
      <c r="O1372">
        <v>92</v>
      </c>
      <c r="P1372">
        <v>4</v>
      </c>
      <c r="Q1372">
        <v>14.07</v>
      </c>
    </row>
    <row r="1373" spans="2:17">
      <c r="B1373">
        <v>9943</v>
      </c>
      <c r="C1373" t="s">
        <v>2664</v>
      </c>
      <c r="D1373" s="3">
        <v>77663</v>
      </c>
      <c r="E1373">
        <v>89</v>
      </c>
      <c r="F1373" s="3">
        <v>4715257</v>
      </c>
      <c r="G1373">
        <v>60.7</v>
      </c>
      <c r="H1373">
        <v>61</v>
      </c>
      <c r="I1373">
        <v>60.5</v>
      </c>
      <c r="J1373">
        <v>60.8</v>
      </c>
      <c r="K1373" t="s">
        <v>1362</v>
      </c>
      <c r="L1373">
        <v>0.1</v>
      </c>
      <c r="M1373">
        <v>60.8</v>
      </c>
      <c r="N1373">
        <v>2</v>
      </c>
      <c r="O1373">
        <v>61</v>
      </c>
      <c r="P1373">
        <v>30</v>
      </c>
      <c r="Q1373">
        <v>243.2</v>
      </c>
    </row>
    <row r="1374" spans="2:17">
      <c r="B1374">
        <v>9944</v>
      </c>
      <c r="C1374" t="s">
        <v>2665</v>
      </c>
      <c r="D1374" s="3">
        <v>190480</v>
      </c>
      <c r="E1374">
        <v>77</v>
      </c>
      <c r="F1374" s="3">
        <v>4570663</v>
      </c>
      <c r="G1374">
        <v>24</v>
      </c>
      <c r="H1374">
        <v>24.05</v>
      </c>
      <c r="I1374">
        <v>23.95</v>
      </c>
      <c r="J1374">
        <v>24</v>
      </c>
      <c r="K1374" t="s">
        <v>1</v>
      </c>
      <c r="L1374">
        <v>0.1</v>
      </c>
      <c r="M1374">
        <v>23.95</v>
      </c>
      <c r="N1374">
        <v>6</v>
      </c>
      <c r="O1374">
        <v>24</v>
      </c>
      <c r="P1374">
        <v>10</v>
      </c>
      <c r="Q1374">
        <v>72.73</v>
      </c>
    </row>
    <row r="1375" spans="2:17">
      <c r="B1375">
        <v>9945</v>
      </c>
      <c r="C1375" t="s">
        <v>2666</v>
      </c>
      <c r="D1375" s="3">
        <v>2430997</v>
      </c>
      <c r="E1375" s="3">
        <v>2130</v>
      </c>
      <c r="F1375" s="3">
        <v>152861409</v>
      </c>
      <c r="G1375">
        <v>63.1</v>
      </c>
      <c r="H1375">
        <v>63.1</v>
      </c>
      <c r="I1375">
        <v>62.6</v>
      </c>
      <c r="J1375">
        <v>63</v>
      </c>
      <c r="K1375" t="s">
        <v>1328</v>
      </c>
      <c r="L1375">
        <v>0</v>
      </c>
      <c r="M1375">
        <v>62.9</v>
      </c>
      <c r="N1375">
        <v>49</v>
      </c>
      <c r="O1375">
        <v>63</v>
      </c>
      <c r="P1375">
        <v>299</v>
      </c>
      <c r="Q1375">
        <v>8.89</v>
      </c>
    </row>
    <row r="1376" spans="2:17">
      <c r="B1376">
        <v>9946</v>
      </c>
      <c r="C1376" t="s">
        <v>2667</v>
      </c>
      <c r="D1376" s="3">
        <v>60483</v>
      </c>
      <c r="E1376">
        <v>56</v>
      </c>
      <c r="F1376" s="3">
        <v>905126</v>
      </c>
      <c r="G1376">
        <v>15</v>
      </c>
      <c r="H1376">
        <v>15.05</v>
      </c>
      <c r="I1376">
        <v>14.9</v>
      </c>
      <c r="J1376">
        <v>15</v>
      </c>
      <c r="K1376" t="s">
        <v>1328</v>
      </c>
      <c r="L1376">
        <v>0</v>
      </c>
      <c r="M1376">
        <v>15</v>
      </c>
      <c r="N1376">
        <v>3</v>
      </c>
      <c r="O1376">
        <v>15.05</v>
      </c>
      <c r="P1376">
        <v>6</v>
      </c>
      <c r="Q1376">
        <v>35.71</v>
      </c>
    </row>
    <row r="1377" spans="2:17">
      <c r="B1377">
        <v>9955</v>
      </c>
      <c r="C1377" t="s">
        <v>2668</v>
      </c>
      <c r="D1377" s="3">
        <v>65916</v>
      </c>
      <c r="E1377">
        <v>192</v>
      </c>
      <c r="F1377" s="3">
        <v>1135315</v>
      </c>
      <c r="G1377">
        <v>17.3</v>
      </c>
      <c r="H1377">
        <v>17.3</v>
      </c>
      <c r="I1377">
        <v>17.149999999999999</v>
      </c>
      <c r="J1377">
        <v>17.2</v>
      </c>
      <c r="K1377" t="s">
        <v>1</v>
      </c>
      <c r="L1377">
        <v>0.05</v>
      </c>
      <c r="M1377">
        <v>17.2</v>
      </c>
      <c r="N1377">
        <v>1</v>
      </c>
      <c r="O1377">
        <v>17.25</v>
      </c>
      <c r="P1377">
        <v>17</v>
      </c>
      <c r="Q1377">
        <v>0</v>
      </c>
    </row>
    <row r="1378" spans="2:17">
      <c r="B1378">
        <v>9958</v>
      </c>
      <c r="C1378" t="s">
        <v>2669</v>
      </c>
      <c r="D1378" s="3">
        <v>1012071</v>
      </c>
      <c r="E1378">
        <v>870</v>
      </c>
      <c r="F1378" s="3">
        <v>111272623</v>
      </c>
      <c r="G1378">
        <v>110.5</v>
      </c>
      <c r="H1378">
        <v>110.5</v>
      </c>
      <c r="I1378">
        <v>109.5</v>
      </c>
      <c r="J1378">
        <v>110.5</v>
      </c>
      <c r="K1378" t="s">
        <v>1328</v>
      </c>
      <c r="L1378">
        <v>0</v>
      </c>
      <c r="M1378">
        <v>110</v>
      </c>
      <c r="N1378">
        <v>52</v>
      </c>
      <c r="O1378">
        <v>110.5</v>
      </c>
      <c r="P1378">
        <v>3</v>
      </c>
      <c r="Q1378">
        <v>18.32</v>
      </c>
    </row>
    <row r="1379" spans="2:17">
      <c r="B1379" t="s">
        <v>1328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AB683-CCE4-4B7D-AFAE-BD8A34163539}">
  <sheetPr codeName="工作表12"/>
  <dimension ref="B1:F2"/>
  <sheetViews>
    <sheetView tabSelected="1" workbookViewId="0">
      <selection activeCell="E7" sqref="E7"/>
    </sheetView>
  </sheetViews>
  <sheetFormatPr defaultRowHeight="16.5"/>
  <cols>
    <col min="6" max="6" width="10" bestFit="1" customWidth="1"/>
  </cols>
  <sheetData>
    <row r="1" spans="2:6">
      <c r="B1" s="72" t="s">
        <v>2794</v>
      </c>
      <c r="C1" s="72" t="s">
        <v>2795</v>
      </c>
      <c r="D1" s="72" t="s">
        <v>2799</v>
      </c>
      <c r="E1" s="72" t="s">
        <v>2798</v>
      </c>
      <c r="F1" s="72" t="s">
        <v>2800</v>
      </c>
    </row>
    <row r="2" spans="2:6">
      <c r="B2" s="72" t="s">
        <v>2796</v>
      </c>
      <c r="C2" s="72" t="s">
        <v>2797</v>
      </c>
      <c r="D2" s="72"/>
      <c r="E2" s="72"/>
      <c r="F2">
        <v>16452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27"/>
  <dimension ref="A1:K26"/>
  <sheetViews>
    <sheetView topLeftCell="A7" workbookViewId="0">
      <selection activeCell="K8" sqref="K8"/>
    </sheetView>
  </sheetViews>
  <sheetFormatPr defaultColWidth="8.75" defaultRowHeight="16.5"/>
  <cols>
    <col min="1" max="1" width="12.375" style="20" bestFit="1" customWidth="1"/>
    <col min="2" max="2" width="11.5" style="21" bestFit="1" customWidth="1"/>
    <col min="3" max="3" width="8.75" style="31" customWidth="1"/>
    <col min="4" max="4" width="9.25" style="23" bestFit="1" customWidth="1"/>
    <col min="5" max="8" width="8.75" style="23"/>
    <col min="9" max="9" width="12.375" style="20" bestFit="1" customWidth="1"/>
    <col min="10" max="10" width="13.5" style="21" bestFit="1" customWidth="1"/>
    <col min="11" max="16384" width="8.75" style="23"/>
  </cols>
  <sheetData>
    <row r="1" spans="1:11">
      <c r="C1" s="22" t="s">
        <v>54</v>
      </c>
      <c r="K1" s="24" t="s">
        <v>55</v>
      </c>
    </row>
    <row r="2" spans="1:11">
      <c r="C2" s="22" t="s">
        <v>56</v>
      </c>
      <c r="K2" s="24" t="s">
        <v>57</v>
      </c>
    </row>
    <row r="3" spans="1:11">
      <c r="A3" s="25" t="s">
        <v>58</v>
      </c>
      <c r="B3" s="26" t="str">
        <f>RIGHT(INDEX(C:C,MATCH("*"&amp;A3&amp;"*",C:C,0)),(LEN(INDEX(C:C,MATCH("*"&amp;A3&amp;"*",C:C,0)))-SEARCH(":",INDEX(C:C,MATCH("*"&amp;A3&amp;"*",C:C,0)))))</f>
        <v>4,435,764</v>
      </c>
      <c r="C3" s="22" t="s">
        <v>59</v>
      </c>
      <c r="I3" s="25" t="s">
        <v>58</v>
      </c>
      <c r="J3" s="26" t="str">
        <f>RIGHT(INDEX(K:K,MATCH("*"&amp;I3&amp;"*",K:K,0)),(LEN(INDEX(K:K,MATCH("*"&amp;I3&amp;"*",K:K,0)))-SEARCH(":",INDEX(K:K,MATCH("*"&amp;I3&amp;"*",K:K,0)))))</f>
        <v>177,114,909</v>
      </c>
      <c r="K3" s="24" t="s">
        <v>60</v>
      </c>
    </row>
    <row r="4" spans="1:11">
      <c r="A4" s="25" t="s">
        <v>61</v>
      </c>
      <c r="B4" s="26" t="str">
        <f>RIGHT(INDEX(C:C,MATCH("*"&amp;A4&amp;"*",C:C,0)),(LEN(INDEX(C:C,MATCH("*"&amp;A4&amp;"*",C:C,0)))-SEARCH(":",INDEX(C:C,MATCH("*"&amp;A4&amp;"*",C:C,0)))))</f>
        <v>2,212,018</v>
      </c>
      <c r="C4" s="22" t="s">
        <v>62</v>
      </c>
      <c r="I4" s="25" t="s">
        <v>61</v>
      </c>
      <c r="J4" s="26" t="str">
        <f>RIGHT(INDEX(K:K,MATCH("*"&amp;I4&amp;"*",K:K,0)),(LEN(INDEX(K:K,MATCH("*"&amp;I4&amp;"*",K:K,0)))-SEARCH(":",INDEX(K:K,MATCH("*"&amp;I4&amp;"*",K:K,0)))))</f>
        <v>6,571,403</v>
      </c>
      <c r="K4" s="24" t="s">
        <v>63</v>
      </c>
    </row>
    <row r="5" spans="1:11">
      <c r="A5" s="27" t="s">
        <v>64</v>
      </c>
      <c r="B5" s="28">
        <f>B4/B$3</f>
        <v>0.4986780180370281</v>
      </c>
      <c r="C5" s="22" t="s">
        <v>65</v>
      </c>
      <c r="I5" s="27" t="s">
        <v>64</v>
      </c>
      <c r="J5" s="28">
        <f>J4/J$3</f>
        <v>3.7102483563368455E-2</v>
      </c>
      <c r="K5" s="24" t="s">
        <v>66</v>
      </c>
    </row>
    <row r="6" spans="1:11">
      <c r="A6" s="25" t="s">
        <v>67</v>
      </c>
      <c r="B6" s="26" t="str">
        <f>RIGHT(INDEX(C:C,MATCH("*"&amp;A6&amp;"*",C:C,0)),(LEN(INDEX(C:C,MATCH("*"&amp;A6&amp;"*",C:C,0)))-SEARCH(":",INDEX(C:C,MATCH("*"&amp;A6&amp;"*",C:C,0)))))</f>
        <v>968,053</v>
      </c>
      <c r="C6" s="22" t="s">
        <v>68</v>
      </c>
      <c r="I6" s="25" t="s">
        <v>67</v>
      </c>
      <c r="J6" s="26" t="str">
        <f>RIGHT(INDEX(K:K,MATCH("*"&amp;I6&amp;"*",K:K,0)),(LEN(INDEX(K:K,MATCH("*"&amp;I6&amp;"*",K:K,0)))-SEARCH(":",INDEX(K:K,MATCH("*"&amp;I6&amp;"*",K:K,0)))))</f>
        <v>2,986,367</v>
      </c>
      <c r="K6" s="24" t="s">
        <v>69</v>
      </c>
    </row>
    <row r="7" spans="1:11">
      <c r="A7" s="27" t="s">
        <v>70</v>
      </c>
      <c r="B7" s="28">
        <f>B6/B$3</f>
        <v>0.21823816596194026</v>
      </c>
      <c r="C7" s="22" t="s">
        <v>71</v>
      </c>
      <c r="I7" s="27" t="s">
        <v>70</v>
      </c>
      <c r="J7" s="28">
        <f>J6/J$3</f>
        <v>1.6861183605949289E-2</v>
      </c>
      <c r="K7" s="24" t="s">
        <v>72</v>
      </c>
    </row>
    <row r="8" spans="1:11">
      <c r="A8" s="25" t="s">
        <v>73</v>
      </c>
      <c r="B8" s="26" t="str">
        <f>RIGHT(INDEX(C:C,MATCH("*"&amp;A8&amp;"*",C:C,0)),(LEN(INDEX(C:C,MATCH("*"&amp;A8&amp;"*",C:C,0)))-SEARCH(":",INDEX(C:C,MATCH("*"&amp;A8&amp;"*",C:C,0)))))</f>
        <v>1,357,702</v>
      </c>
      <c r="C8" s="22" t="s">
        <v>74</v>
      </c>
      <c r="I8" s="25" t="s">
        <v>73</v>
      </c>
      <c r="J8" s="26" t="str">
        <f>RIGHT(INDEX(K:K,MATCH("*"&amp;I8&amp;"*",K:K,0)),(LEN(INDEX(K:K,MATCH("*"&amp;I8&amp;"*",K:K,0)))-SEARCH(":",INDEX(K:K,MATCH("*"&amp;I8&amp;"*",K:K,0)))))</f>
        <v>2,980,397</v>
      </c>
      <c r="K8" s="24" t="s">
        <v>75</v>
      </c>
    </row>
    <row r="9" spans="1:11">
      <c r="A9" s="27" t="s">
        <v>76</v>
      </c>
      <c r="B9" s="28">
        <f>B8/B$3</f>
        <v>0.30608075632517873</v>
      </c>
      <c r="C9" s="22" t="s">
        <v>77</v>
      </c>
      <c r="I9" s="27" t="s">
        <v>76</v>
      </c>
      <c r="J9" s="28">
        <f>J8/J$3</f>
        <v>1.6827476675043772E-2</v>
      </c>
      <c r="K9" s="24" t="s">
        <v>78</v>
      </c>
    </row>
    <row r="10" spans="1:11">
      <c r="A10" s="25" t="s">
        <v>79</v>
      </c>
      <c r="B10" s="26" t="str">
        <f>RIGHT(INDEX(C:C,MATCH("*"&amp;A10&amp;"*",C:C,0)),(LEN(INDEX(C:C,MATCH("*"&amp;A10&amp;"*",C:C,0)))-SEARCH(":",INDEX(C:C,MATCH("*"&amp;A10&amp;"*",C:C,0)))))</f>
        <v>1,181,654</v>
      </c>
      <c r="C10" s="22" t="s">
        <v>80</v>
      </c>
      <c r="I10" s="25" t="s">
        <v>79</v>
      </c>
      <c r="J10" s="26" t="str">
        <f>RIGHT(INDEX(K:K,MATCH("*"&amp;I10&amp;"*",K:K,0)),(LEN(INDEX(K:K,MATCH("*"&amp;I10&amp;"*",K:K,0)))-SEARCH(":",INDEX(K:K,MATCH("*"&amp;I10&amp;"*",K:K,0)))))</f>
        <v>2,456,299</v>
      </c>
      <c r="K10" s="24" t="s">
        <v>81</v>
      </c>
    </row>
    <row r="11" spans="1:11">
      <c r="A11" s="27" t="s">
        <v>82</v>
      </c>
      <c r="B11" s="28">
        <f>B10/B$3</f>
        <v>0.26639244107666682</v>
      </c>
      <c r="C11" s="22" t="s">
        <v>83</v>
      </c>
      <c r="I11" s="27" t="s">
        <v>82</v>
      </c>
      <c r="J11" s="28">
        <f>J10/J$3</f>
        <v>1.3868392073080646E-2</v>
      </c>
      <c r="K11" s="24" t="s">
        <v>84</v>
      </c>
    </row>
    <row r="12" spans="1:11">
      <c r="C12" s="22" t="s">
        <v>85</v>
      </c>
      <c r="K12" s="24" t="s">
        <v>86</v>
      </c>
    </row>
    <row r="13" spans="1:11">
      <c r="C13" s="22" t="s">
        <v>87</v>
      </c>
      <c r="K13" s="24" t="s">
        <v>88</v>
      </c>
    </row>
    <row r="14" spans="1:11">
      <c r="C14" s="29" t="s">
        <v>89</v>
      </c>
      <c r="K14" s="30" t="s">
        <v>89</v>
      </c>
    </row>
    <row r="16" spans="1:11">
      <c r="A16" s="52">
        <v>527856</v>
      </c>
      <c r="B16" s="52">
        <v>331623</v>
      </c>
      <c r="C16" s="52">
        <v>488294</v>
      </c>
      <c r="D16" s="52">
        <v>562339</v>
      </c>
      <c r="E16" s="52">
        <v>471836</v>
      </c>
    </row>
    <row r="17" spans="1:5">
      <c r="A17" s="52">
        <v>125408</v>
      </c>
      <c r="B17" s="52">
        <v>47815</v>
      </c>
      <c r="C17" s="52">
        <v>122370</v>
      </c>
      <c r="D17" s="52">
        <v>123775</v>
      </c>
      <c r="E17" s="52">
        <v>93051</v>
      </c>
    </row>
    <row r="18" spans="1:5">
      <c r="A18" s="53">
        <f>A17/A16</f>
        <v>0.2375799460458913</v>
      </c>
      <c r="B18" s="53">
        <f t="shared" ref="B18:E18" si="0">B17/B16</f>
        <v>0.14418481227176644</v>
      </c>
      <c r="C18" s="53">
        <f t="shared" si="0"/>
        <v>0.25060721614437204</v>
      </c>
      <c r="D18" s="53">
        <f t="shared" si="0"/>
        <v>0.22010744408621846</v>
      </c>
      <c r="E18" s="53">
        <f t="shared" si="0"/>
        <v>0.19721047143499013</v>
      </c>
    </row>
    <row r="23" spans="1:5">
      <c r="D23" s="32"/>
    </row>
    <row r="26" spans="1:5">
      <c r="D26" s="32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28"/>
  <dimension ref="A1:M12"/>
  <sheetViews>
    <sheetView workbookViewId="0">
      <selection activeCell="K8" sqref="K8"/>
    </sheetView>
  </sheetViews>
  <sheetFormatPr defaultColWidth="8.75" defaultRowHeight="16.5"/>
  <cols>
    <col min="1" max="1" width="8.75" style="36"/>
    <col min="2" max="2" width="10.625" style="36" customWidth="1"/>
    <col min="3" max="6" width="10.625" style="38" customWidth="1"/>
    <col min="7" max="11" width="10.625" style="35" customWidth="1"/>
    <col min="12" max="13" width="8.75" style="35"/>
    <col min="14" max="16384" width="8.75" style="23"/>
  </cols>
  <sheetData>
    <row r="1" spans="1:7">
      <c r="A1" s="33" t="s">
        <v>90</v>
      </c>
      <c r="B1" s="33" t="s">
        <v>91</v>
      </c>
      <c r="C1" s="34" t="s">
        <v>92</v>
      </c>
      <c r="D1" s="34" t="s">
        <v>93</v>
      </c>
      <c r="E1" s="34" t="s">
        <v>94</v>
      </c>
      <c r="F1" s="34" t="s">
        <v>95</v>
      </c>
    </row>
    <row r="2" spans="1:7" s="39" customFormat="1">
      <c r="A2" s="36">
        <v>28</v>
      </c>
      <c r="B2" s="36">
        <v>46</v>
      </c>
      <c r="C2" s="37">
        <v>0.13500000000000001</v>
      </c>
      <c r="D2" s="37">
        <v>0.10349999999999999</v>
      </c>
      <c r="E2" s="38">
        <f>$B2*$A2*2000*C2</f>
        <v>347760</v>
      </c>
      <c r="F2" s="38">
        <f>$B2*$A2*2000*D2</f>
        <v>266616</v>
      </c>
    </row>
    <row r="4" spans="1:7">
      <c r="A4" s="40" t="s">
        <v>96</v>
      </c>
      <c r="B4" s="40" t="s">
        <v>97</v>
      </c>
      <c r="C4" s="41" t="s">
        <v>98</v>
      </c>
    </row>
    <row r="5" spans="1:7" s="39" customFormat="1">
      <c r="A5" s="36">
        <f>B2*2000*A2</f>
        <v>2576000</v>
      </c>
      <c r="B5" s="36">
        <v>6</v>
      </c>
      <c r="C5" s="42">
        <f>A5/B5</f>
        <v>429333.33333333331</v>
      </c>
      <c r="D5" s="38"/>
      <c r="E5" s="38"/>
      <c r="F5" s="38"/>
    </row>
    <row r="7" spans="1:7">
      <c r="A7" s="33" t="s">
        <v>99</v>
      </c>
      <c r="B7" s="33" t="s">
        <v>100</v>
      </c>
      <c r="C7" s="34" t="s">
        <v>101</v>
      </c>
      <c r="D7" s="34" t="s">
        <v>102</v>
      </c>
      <c r="E7" s="34" t="s">
        <v>103</v>
      </c>
      <c r="F7" s="34" t="s">
        <v>104</v>
      </c>
      <c r="G7" s="34" t="s">
        <v>105</v>
      </c>
    </row>
    <row r="8" spans="1:7">
      <c r="A8" s="36" t="s">
        <v>106</v>
      </c>
      <c r="B8" s="36">
        <v>26.8</v>
      </c>
      <c r="C8" s="43">
        <f>($B8-$A$2)/$A$2*$B$5</f>
        <v>-0.25714285714285701</v>
      </c>
      <c r="D8" s="38">
        <f>$C8*$C$5</f>
        <v>-110399.99999999994</v>
      </c>
      <c r="E8" s="43">
        <f>D8/3070000</f>
        <v>-3.5960912052117246E-2</v>
      </c>
      <c r="F8" s="42">
        <f>$C$5+D8</f>
        <v>318933.33333333337</v>
      </c>
      <c r="G8" s="42">
        <f>IF(F8&gt;F2,0,$E$2-F8)</f>
        <v>0</v>
      </c>
    </row>
    <row r="9" spans="1:7">
      <c r="A9" s="36" t="s">
        <v>107</v>
      </c>
      <c r="B9" s="36">
        <v>35</v>
      </c>
      <c r="C9" s="43">
        <f>($B9-$A$2)/$A$2*$B$5</f>
        <v>1.5</v>
      </c>
      <c r="D9" s="38">
        <f>$C9*$C$5</f>
        <v>644000</v>
      </c>
      <c r="E9" s="43">
        <f>D9/3070000</f>
        <v>0.20977198697068403</v>
      </c>
      <c r="F9" s="42">
        <f>$C$5+D9</f>
        <v>1073333.3333333333</v>
      </c>
      <c r="G9" s="42">
        <f>IF(F9&gt;F3,0,$E$2-F9)</f>
        <v>0</v>
      </c>
    </row>
    <row r="10" spans="1:7">
      <c r="C10" s="43"/>
      <c r="E10" s="43"/>
      <c r="F10" s="42"/>
      <c r="G10" s="42"/>
    </row>
    <row r="11" spans="1:7">
      <c r="A11" s="33"/>
      <c r="B11" s="33" t="s">
        <v>108</v>
      </c>
      <c r="C11" s="34" t="s">
        <v>109</v>
      </c>
    </row>
    <row r="12" spans="1:7">
      <c r="B12" s="36" t="str">
        <f>TEXT(100*B8/$A$2-100,"0.0")&amp;"~"&amp;TEXT(B9/$A$2-1,"0.0%")</f>
        <v>-4.3~25.0%</v>
      </c>
      <c r="C12" s="44">
        <f>ABS(C9/C8)</f>
        <v>5.8333333333333366</v>
      </c>
    </row>
  </sheetData>
  <phoneticPr fontId="3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9"/>
  <dimension ref="A1:J15"/>
  <sheetViews>
    <sheetView workbookViewId="0">
      <selection activeCell="K8" sqref="K8"/>
    </sheetView>
  </sheetViews>
  <sheetFormatPr defaultColWidth="8.75" defaultRowHeight="16.5" outlineLevelCol="1"/>
  <cols>
    <col min="1" max="2" width="15.5" style="20" customWidth="1"/>
    <col min="3" max="3" width="15.5" style="20" hidden="1" customWidth="1" outlineLevel="1"/>
    <col min="4" max="4" width="15.5" style="20" customWidth="1" collapsed="1"/>
    <col min="5" max="5" width="15.5" style="20" hidden="1" customWidth="1" outlineLevel="1"/>
    <col min="6" max="6" width="15.5" style="20" customWidth="1" collapsed="1"/>
    <col min="7" max="7" width="15.5" style="20" hidden="1" customWidth="1" outlineLevel="1"/>
    <col min="8" max="8" width="15.5" style="20" customWidth="1" collapsed="1"/>
    <col min="9" max="9" width="15.5" style="20" hidden="1" customWidth="1" outlineLevel="1"/>
    <col min="10" max="10" width="15.5" style="20" customWidth="1" collapsed="1"/>
    <col min="11" max="16384" width="8.75" style="23"/>
  </cols>
  <sheetData>
    <row r="1" spans="1:10">
      <c r="A1" s="20" t="s">
        <v>110</v>
      </c>
    </row>
    <row r="2" spans="1:10">
      <c r="A2" s="25" t="s">
        <v>111</v>
      </c>
      <c r="B2" s="25" t="s">
        <v>112</v>
      </c>
      <c r="C2" s="25" t="s">
        <v>113</v>
      </c>
      <c r="D2" s="25" t="s">
        <v>114</v>
      </c>
      <c r="E2" s="25" t="s">
        <v>115</v>
      </c>
      <c r="F2" s="25" t="s">
        <v>116</v>
      </c>
      <c r="G2" s="25" t="s">
        <v>117</v>
      </c>
      <c r="H2" s="25" t="s">
        <v>118</v>
      </c>
      <c r="I2" s="25"/>
      <c r="J2" s="25" t="s">
        <v>119</v>
      </c>
    </row>
    <row r="3" spans="1:10" s="45" customFormat="1" ht="30" customHeight="1">
      <c r="A3" s="355" t="s">
        <v>346</v>
      </c>
      <c r="B3" s="355"/>
      <c r="C3" s="355"/>
      <c r="D3" s="355"/>
      <c r="E3" s="355"/>
      <c r="F3" s="355"/>
      <c r="G3" s="355"/>
      <c r="H3" s="355"/>
      <c r="I3" s="355"/>
      <c r="J3" s="355"/>
    </row>
    <row r="4" spans="1:10">
      <c r="A4" s="20" t="s">
        <v>120</v>
      </c>
      <c r="B4" s="46">
        <v>456570</v>
      </c>
      <c r="C4" s="46">
        <v>839439</v>
      </c>
      <c r="D4" s="46">
        <f>C4-B4</f>
        <v>382869</v>
      </c>
      <c r="E4" s="46">
        <v>1208379</v>
      </c>
      <c r="F4" s="46">
        <f>E4-C4</f>
        <v>368940</v>
      </c>
      <c r="G4" s="46">
        <v>1663011</v>
      </c>
      <c r="H4" s="46">
        <f>G4-E4</f>
        <v>454632</v>
      </c>
      <c r="I4" s="46"/>
      <c r="J4" s="46">
        <v>463164</v>
      </c>
    </row>
    <row r="5" spans="1:10">
      <c r="A5" s="20" t="s">
        <v>61</v>
      </c>
      <c r="B5" s="46">
        <v>53699</v>
      </c>
      <c r="C5" s="46">
        <v>99197</v>
      </c>
      <c r="D5" s="46">
        <f>C5-B5</f>
        <v>45498</v>
      </c>
      <c r="E5" s="46">
        <v>140877</v>
      </c>
      <c r="F5" s="46">
        <f>E5-C5</f>
        <v>41680</v>
      </c>
      <c r="G5" s="46">
        <v>166937</v>
      </c>
      <c r="H5" s="46">
        <f>G5-E5</f>
        <v>26060</v>
      </c>
      <c r="I5" s="46"/>
      <c r="J5" s="46">
        <v>31326</v>
      </c>
    </row>
    <row r="6" spans="1:10">
      <c r="A6" s="20" t="s">
        <v>64</v>
      </c>
      <c r="B6" s="47">
        <f>B5/B4</f>
        <v>0.11761394747793329</v>
      </c>
      <c r="C6" s="47">
        <f t="shared" ref="C6:J6" si="0">C5/C4</f>
        <v>0.11817058773776296</v>
      </c>
      <c r="D6" s="47">
        <f t="shared" si="0"/>
        <v>0.11883437938302657</v>
      </c>
      <c r="E6" s="47">
        <f t="shared" si="0"/>
        <v>0.11658345601835186</v>
      </c>
      <c r="F6" s="47">
        <f t="shared" si="0"/>
        <v>0.11297229901881065</v>
      </c>
      <c r="G6" s="47">
        <f t="shared" si="0"/>
        <v>0.10038237870946133</v>
      </c>
      <c r="H6" s="47">
        <f t="shared" si="0"/>
        <v>5.7321086065213182E-2</v>
      </c>
      <c r="I6" s="47"/>
      <c r="J6" s="47">
        <f t="shared" si="0"/>
        <v>6.7634790268673736E-2</v>
      </c>
    </row>
    <row r="7" spans="1:10">
      <c r="A7" s="20" t="s">
        <v>121</v>
      </c>
      <c r="B7" s="48"/>
      <c r="C7" s="48"/>
      <c r="D7" s="48">
        <f>D5/B5-1</f>
        <v>-0.15272165217229372</v>
      </c>
      <c r="E7" s="48"/>
      <c r="F7" s="48">
        <f>F5/D5-1</f>
        <v>-8.3915776517649143E-2</v>
      </c>
      <c r="G7" s="48"/>
      <c r="H7" s="48">
        <f>H5/F5-1</f>
        <v>-0.37476007677543188</v>
      </c>
      <c r="I7" s="48"/>
      <c r="J7" s="48">
        <f>J5/H5-1</f>
        <v>0.20207214121258632</v>
      </c>
    </row>
    <row r="8" spans="1:10" ht="35.1" customHeight="1">
      <c r="A8" s="355" t="s">
        <v>347</v>
      </c>
      <c r="B8" s="355"/>
      <c r="C8" s="355"/>
      <c r="D8" s="355"/>
      <c r="E8" s="355"/>
      <c r="F8" s="355"/>
      <c r="G8" s="355"/>
      <c r="H8" s="355"/>
      <c r="I8" s="355"/>
      <c r="J8" s="355"/>
    </row>
    <row r="9" spans="1:10">
      <c r="A9" s="20" t="s">
        <v>120</v>
      </c>
      <c r="B9" s="49">
        <v>379272</v>
      </c>
      <c r="C9" s="49">
        <v>779281</v>
      </c>
      <c r="D9" s="49">
        <f>C9-B9</f>
        <v>400009</v>
      </c>
      <c r="E9" s="49">
        <v>1250112</v>
      </c>
      <c r="F9" s="49">
        <f>E9-C9</f>
        <v>470831</v>
      </c>
      <c r="G9" s="49">
        <v>1648646</v>
      </c>
      <c r="H9" s="49">
        <f>G9-E9</f>
        <v>398534</v>
      </c>
      <c r="I9" s="49"/>
      <c r="J9" s="49">
        <v>651336</v>
      </c>
    </row>
    <row r="10" spans="1:10">
      <c r="A10" s="20" t="s">
        <v>61</v>
      </c>
      <c r="B10" s="49">
        <v>54108</v>
      </c>
      <c r="C10" s="49">
        <v>114299</v>
      </c>
      <c r="D10" s="49">
        <f>C10-B10</f>
        <v>60191</v>
      </c>
      <c r="E10" s="49">
        <v>205238</v>
      </c>
      <c r="F10" s="49">
        <f>E10-C10</f>
        <v>90939</v>
      </c>
      <c r="G10" s="49">
        <v>269163</v>
      </c>
      <c r="H10" s="49">
        <f>G10-E10</f>
        <v>63925</v>
      </c>
      <c r="I10" s="49"/>
      <c r="J10" s="49">
        <v>165466</v>
      </c>
    </row>
    <row r="11" spans="1:10">
      <c r="A11" s="20" t="s">
        <v>64</v>
      </c>
      <c r="B11" s="47">
        <f t="shared" ref="B11:H11" si="1">B10/B9</f>
        <v>0.14266278554704803</v>
      </c>
      <c r="C11" s="47">
        <f t="shared" si="1"/>
        <v>0.14667238133612906</v>
      </c>
      <c r="D11" s="47">
        <f t="shared" si="1"/>
        <v>0.15047411433242752</v>
      </c>
      <c r="E11" s="47">
        <f t="shared" si="1"/>
        <v>0.1641756898581887</v>
      </c>
      <c r="F11" s="47">
        <f t="shared" si="1"/>
        <v>0.19314573594347018</v>
      </c>
      <c r="G11" s="47">
        <f t="shared" si="1"/>
        <v>0.16326306557017092</v>
      </c>
      <c r="H11" s="47">
        <f t="shared" si="1"/>
        <v>0.16040036734632429</v>
      </c>
      <c r="I11" s="47"/>
      <c r="J11" s="47">
        <f>J10/J9</f>
        <v>0.25404092511391968</v>
      </c>
    </row>
    <row r="12" spans="1:10">
      <c r="A12" s="20" t="s">
        <v>121</v>
      </c>
      <c r="D12" s="48">
        <f>D10/B10-1</f>
        <v>0.11242330154505797</v>
      </c>
      <c r="F12" s="48">
        <f>F10/D10-1</f>
        <v>0.51084049110332108</v>
      </c>
      <c r="H12" s="48">
        <f>H10/F10-1</f>
        <v>-0.29705626848766753</v>
      </c>
      <c r="J12" s="48">
        <f>J10/H10-1</f>
        <v>1.5884395776300351</v>
      </c>
    </row>
    <row r="13" spans="1:10">
      <c r="A13" s="27" t="s">
        <v>122</v>
      </c>
      <c r="B13" s="50">
        <f>B9/(B9+B4)</f>
        <v>0.45376039969276488</v>
      </c>
      <c r="C13" s="50">
        <f>C9/(C9+C4)</f>
        <v>0.48141803400217453</v>
      </c>
      <c r="D13" s="50">
        <f t="shared" ref="D13:J13" si="2">D9/(D9+D4)</f>
        <v>0.51094678864395215</v>
      </c>
      <c r="E13" s="50">
        <f t="shared" si="2"/>
        <v>0.50848752344425907</v>
      </c>
      <c r="F13" s="50">
        <f t="shared" si="2"/>
        <v>0.56066594345363197</v>
      </c>
      <c r="G13" s="50">
        <f t="shared" si="2"/>
        <v>0.49783114616036622</v>
      </c>
      <c r="H13" s="50">
        <f t="shared" si="2"/>
        <v>0.46712363127457024</v>
      </c>
      <c r="I13" s="50" t="e">
        <f t="shared" si="2"/>
        <v>#DIV/0!</v>
      </c>
      <c r="J13" s="50">
        <f t="shared" si="2"/>
        <v>0.58441991924629877</v>
      </c>
    </row>
    <row r="14" spans="1:10">
      <c r="A14" s="27" t="s">
        <v>123</v>
      </c>
      <c r="B14" s="50">
        <f t="shared" ref="B14:J14" si="3">B10/(B10+B5)</f>
        <v>0.5018969083640209</v>
      </c>
      <c r="C14" s="50">
        <f>C10/(C10+C5)</f>
        <v>0.53536834413759504</v>
      </c>
      <c r="D14" s="50">
        <f t="shared" si="3"/>
        <v>0.569510545089839</v>
      </c>
      <c r="E14" s="50">
        <f t="shared" si="3"/>
        <v>0.59297632289845859</v>
      </c>
      <c r="F14" s="50">
        <f t="shared" si="3"/>
        <v>0.68571622467368931</v>
      </c>
      <c r="G14" s="50">
        <f t="shared" si="3"/>
        <v>0.61720476954826875</v>
      </c>
      <c r="H14" s="50">
        <f t="shared" si="3"/>
        <v>0.71039617714063452</v>
      </c>
      <c r="I14" s="50" t="e">
        <f t="shared" si="3"/>
        <v>#DIV/0!</v>
      </c>
      <c r="J14" s="50">
        <f t="shared" si="3"/>
        <v>0.84081669986584817</v>
      </c>
    </row>
    <row r="15" spans="1:10">
      <c r="A15" s="25" t="s">
        <v>124</v>
      </c>
      <c r="B15" s="25"/>
      <c r="C15" s="25"/>
      <c r="D15" s="25"/>
      <c r="E15" s="25"/>
      <c r="F15" s="25"/>
      <c r="G15" s="25"/>
      <c r="H15" s="25"/>
      <c r="I15" s="25"/>
      <c r="J15" s="25"/>
    </row>
  </sheetData>
  <mergeCells count="2">
    <mergeCell ref="A3:J3"/>
    <mergeCell ref="A8:J8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30"/>
  <dimension ref="A1:I15"/>
  <sheetViews>
    <sheetView workbookViewId="0">
      <selection activeCell="K8" sqref="K8"/>
    </sheetView>
  </sheetViews>
  <sheetFormatPr defaultColWidth="8.75" defaultRowHeight="16.5" outlineLevelCol="1"/>
  <cols>
    <col min="1" max="6" width="15.5" style="20" customWidth="1"/>
    <col min="7" max="7" width="15.5" style="20" hidden="1" customWidth="1" outlineLevel="1"/>
    <col min="8" max="8" width="15.5" style="20" customWidth="1" collapsed="1"/>
    <col min="9" max="9" width="15.5" style="20" customWidth="1"/>
    <col min="10" max="16384" width="8.75" style="23"/>
  </cols>
  <sheetData>
    <row r="1" spans="1:9">
      <c r="A1" s="20" t="s">
        <v>355</v>
      </c>
    </row>
    <row r="2" spans="1:9" s="35" customFormat="1">
      <c r="A2" s="65" t="s">
        <v>111</v>
      </c>
      <c r="B2" s="26" t="s">
        <v>112</v>
      </c>
      <c r="C2" s="26" t="s">
        <v>114</v>
      </c>
      <c r="D2" s="26" t="s">
        <v>116</v>
      </c>
      <c r="E2" s="66" t="s">
        <v>118</v>
      </c>
      <c r="F2" s="66" t="s">
        <v>119</v>
      </c>
      <c r="G2" s="66" t="s">
        <v>351</v>
      </c>
      <c r="H2" s="66">
        <v>2020</v>
      </c>
      <c r="I2" s="66">
        <v>2019</v>
      </c>
    </row>
    <row r="3" spans="1:9" s="45" customFormat="1" ht="14.25">
      <c r="A3" s="54" t="s">
        <v>352</v>
      </c>
      <c r="B3" s="54"/>
      <c r="C3" s="54"/>
      <c r="D3" s="54"/>
      <c r="E3" s="58"/>
      <c r="F3" s="58"/>
      <c r="G3" s="58"/>
      <c r="H3" s="58"/>
      <c r="I3" s="58"/>
    </row>
    <row r="4" spans="1:9">
      <c r="A4" s="20" t="s">
        <v>120</v>
      </c>
      <c r="B4" s="46">
        <v>2556358</v>
      </c>
      <c r="C4" s="46">
        <v>1941079</v>
      </c>
      <c r="D4" s="46">
        <v>2068943</v>
      </c>
      <c r="E4" s="59">
        <f>H4-G4</f>
        <v>1743368</v>
      </c>
      <c r="F4" s="59">
        <v>2556358</v>
      </c>
      <c r="G4" s="59">
        <f>SUM(B4:D4)</f>
        <v>6566380</v>
      </c>
      <c r="H4" s="59">
        <v>8309748</v>
      </c>
      <c r="I4" s="59">
        <v>9938161</v>
      </c>
    </row>
    <row r="5" spans="1:9">
      <c r="A5" s="20" t="s">
        <v>67</v>
      </c>
      <c r="B5" s="46">
        <v>258054</v>
      </c>
      <c r="C5" s="46">
        <v>279768</v>
      </c>
      <c r="D5" s="46">
        <v>312084</v>
      </c>
      <c r="E5" s="59">
        <f>H5-G5</f>
        <v>142561</v>
      </c>
      <c r="F5" s="59">
        <v>258054</v>
      </c>
      <c r="G5" s="59">
        <f>SUM(B5:D5)</f>
        <v>849906</v>
      </c>
      <c r="H5" s="59">
        <v>992467</v>
      </c>
      <c r="I5" s="59">
        <v>690899</v>
      </c>
    </row>
    <row r="6" spans="1:9">
      <c r="A6" s="20" t="s">
        <v>70</v>
      </c>
      <c r="B6" s="47">
        <f>B5/B4</f>
        <v>0.10094595514399783</v>
      </c>
      <c r="C6" s="47">
        <f t="shared" ref="C6:H6" si="0">C5/C4</f>
        <v>0.14413014617127898</v>
      </c>
      <c r="D6" s="47">
        <f t="shared" si="0"/>
        <v>0.15084224166639681</v>
      </c>
      <c r="E6" s="60">
        <f>E5/E4</f>
        <v>8.177332611359163E-2</v>
      </c>
      <c r="F6" s="60">
        <f>F5/F4</f>
        <v>0.10094595514399783</v>
      </c>
      <c r="G6" s="60">
        <f>G5/G4</f>
        <v>0.12943296001754392</v>
      </c>
      <c r="H6" s="60">
        <f t="shared" si="0"/>
        <v>0.11943406707399551</v>
      </c>
      <c r="I6" s="60">
        <f t="shared" ref="I6" si="1">I5/I4</f>
        <v>6.9519803512943693E-2</v>
      </c>
    </row>
    <row r="7" spans="1:9">
      <c r="B7" s="48"/>
      <c r="C7" s="48"/>
      <c r="D7" s="48"/>
      <c r="E7" s="61"/>
      <c r="F7" s="61"/>
      <c r="G7" s="61"/>
      <c r="H7" s="61"/>
      <c r="I7" s="61"/>
    </row>
    <row r="8" spans="1:9">
      <c r="A8" s="55" t="s">
        <v>353</v>
      </c>
      <c r="B8" s="55"/>
      <c r="C8" s="55"/>
      <c r="D8" s="55"/>
      <c r="E8" s="62"/>
      <c r="F8" s="62"/>
      <c r="G8" s="62"/>
      <c r="H8" s="62"/>
      <c r="I8" s="62"/>
    </row>
    <row r="9" spans="1:9">
      <c r="A9" s="20" t="s">
        <v>120</v>
      </c>
      <c r="B9" s="49">
        <v>400349</v>
      </c>
      <c r="C9" s="49">
        <v>393209</v>
      </c>
      <c r="D9" s="49">
        <v>390380</v>
      </c>
      <c r="E9" s="59">
        <f>H9-G9</f>
        <v>409657</v>
      </c>
      <c r="F9" s="63">
        <v>400349</v>
      </c>
      <c r="G9" s="59">
        <f>SUM(B9:D9)</f>
        <v>1183938</v>
      </c>
      <c r="H9" s="63">
        <v>1593595</v>
      </c>
      <c r="I9" s="63">
        <v>2639644</v>
      </c>
    </row>
    <row r="10" spans="1:9">
      <c r="A10" s="20" t="s">
        <v>67</v>
      </c>
      <c r="B10" s="49">
        <v>78523</v>
      </c>
      <c r="C10" s="49">
        <v>104344</v>
      </c>
      <c r="D10" s="49">
        <v>80630</v>
      </c>
      <c r="E10" s="59">
        <f>H10-G10</f>
        <v>69367</v>
      </c>
      <c r="F10" s="63">
        <v>78523</v>
      </c>
      <c r="G10" s="59">
        <f>SUM(B10:D10)</f>
        <v>263497</v>
      </c>
      <c r="H10" s="63">
        <v>332864</v>
      </c>
      <c r="I10" s="63">
        <v>1034371</v>
      </c>
    </row>
    <row r="11" spans="1:9">
      <c r="A11" s="20" t="s">
        <v>70</v>
      </c>
      <c r="B11" s="47">
        <f t="shared" ref="B11:H11" si="2">B10/B9</f>
        <v>0.19613637101628828</v>
      </c>
      <c r="C11" s="47">
        <f t="shared" si="2"/>
        <v>0.26536523833381231</v>
      </c>
      <c r="D11" s="47">
        <f t="shared" si="2"/>
        <v>0.20654234335775398</v>
      </c>
      <c r="E11" s="60">
        <f>E10/E9</f>
        <v>0.16932946342916147</v>
      </c>
      <c r="F11" s="60">
        <f>F10/F9</f>
        <v>0.19613637101628828</v>
      </c>
      <c r="G11" s="60">
        <f t="shared" ref="G11" si="3">G10/G9</f>
        <v>0.22255979620554456</v>
      </c>
      <c r="H11" s="60">
        <f t="shared" si="2"/>
        <v>0.20887615736746162</v>
      </c>
      <c r="I11" s="60">
        <f>I10/I9</f>
        <v>0.39186003870218861</v>
      </c>
    </row>
    <row r="12" spans="1:9">
      <c r="C12" s="48"/>
      <c r="D12" s="48"/>
      <c r="E12" s="61"/>
      <c r="F12" s="61"/>
      <c r="G12" s="61"/>
      <c r="H12" s="67"/>
      <c r="I12" s="61"/>
    </row>
    <row r="13" spans="1:9">
      <c r="A13" s="25" t="s">
        <v>122</v>
      </c>
      <c r="B13" s="56">
        <f>B9/(B9+B4)</f>
        <v>0.13540367713134915</v>
      </c>
      <c r="C13" s="56">
        <f>C9/(C9+C4)</f>
        <v>0.16844922306073629</v>
      </c>
      <c r="D13" s="56">
        <f t="shared" ref="D13" si="4">D9/(D9+D4)</f>
        <v>0.15873474122756548</v>
      </c>
      <c r="E13" s="64">
        <f>E9/(E9+E4)</f>
        <v>0.19027043345989944</v>
      </c>
      <c r="F13" s="64">
        <f>F9/(F9+F4)</f>
        <v>0.13540367713134915</v>
      </c>
      <c r="G13" s="64">
        <f t="shared" ref="G13" si="5">G9/(G9+G4)</f>
        <v>0.15275992546370357</v>
      </c>
      <c r="H13" s="64">
        <f>H9/(H9+H4)</f>
        <v>0.16091485471118186</v>
      </c>
      <c r="I13" s="64">
        <f>I9/(I9+I4)</f>
        <v>0.20986523483230976</v>
      </c>
    </row>
    <row r="14" spans="1:9">
      <c r="A14" s="25" t="s">
        <v>354</v>
      </c>
      <c r="B14" s="56">
        <f t="shared" ref="B14:D14" si="6">B10/(B10+B5)</f>
        <v>0.23329876967231866</v>
      </c>
      <c r="C14" s="56">
        <f t="shared" si="6"/>
        <v>0.27164993543549798</v>
      </c>
      <c r="D14" s="56">
        <f t="shared" si="6"/>
        <v>0.2053148092504978</v>
      </c>
      <c r="E14" s="64">
        <f>E10/(E10+E5)</f>
        <v>0.32731399343173151</v>
      </c>
      <c r="F14" s="64">
        <f>F10/(F10+F5)</f>
        <v>0.23329876967231866</v>
      </c>
      <c r="G14" s="64">
        <f t="shared" ref="G14" si="7">G10/(G10+G5)</f>
        <v>0.23665914318535158</v>
      </c>
      <c r="H14" s="64">
        <f>H10/(H10+H5)</f>
        <v>0.25115537175241504</v>
      </c>
      <c r="I14" s="64">
        <f>I10/(I10+I5)</f>
        <v>0.59954152103728686</v>
      </c>
    </row>
    <row r="15" spans="1:9">
      <c r="A15" s="25"/>
      <c r="B15" s="25"/>
      <c r="C15" s="25"/>
      <c r="D15" s="25"/>
      <c r="E15" s="57"/>
      <c r="F15" s="57"/>
      <c r="G15" s="57"/>
      <c r="H15" s="57"/>
      <c r="I15" s="57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45</vt:i4>
      </vt:variant>
    </vt:vector>
  </HeadingPairs>
  <TitlesOfParts>
    <vt:vector size="60" baseType="lpstr">
      <vt:lpstr>匯入</vt:lpstr>
      <vt:lpstr>交易明細</vt:lpstr>
      <vt:lpstr>進出策略</vt:lpstr>
      <vt:lpstr>部位明細</vt:lpstr>
      <vt:lpstr>資產明細</vt:lpstr>
      <vt:lpstr>資產配置</vt:lpstr>
      <vt:lpstr>資產變動</vt:lpstr>
      <vt:lpstr>TWN</vt:lpstr>
      <vt:lpstr>TWO</vt:lpstr>
      <vt:lpstr>TW</vt:lpstr>
      <vt:lpstr>自訂</vt:lpstr>
      <vt:lpstr>利潤率試算</vt:lpstr>
      <vt:lpstr>風險控制</vt:lpstr>
      <vt:lpstr>聚和</vt:lpstr>
      <vt:lpstr>台肥</vt:lpstr>
      <vt:lpstr>代號1</vt:lpstr>
      <vt:lpstr>代號2</vt:lpstr>
      <vt:lpstr>代號3</vt:lpstr>
      <vt:lpstr>代號4</vt:lpstr>
      <vt:lpstr>台肥!交易部位</vt:lpstr>
      <vt:lpstr>交易部位</vt:lpstr>
      <vt:lpstr>台肥!交易部位類型</vt:lpstr>
      <vt:lpstr>交易部位類型</vt:lpstr>
      <vt:lpstr>台肥!交易摘要</vt:lpstr>
      <vt:lpstr>交易摘要</vt:lpstr>
      <vt:lpstr>台肥!交易標的代號</vt:lpstr>
      <vt:lpstr>交易標的代號</vt:lpstr>
      <vt:lpstr>多單代號</vt:lpstr>
      <vt:lpstr>多單市值</vt:lpstr>
      <vt:lpstr>多單輔助欄</vt:lpstr>
      <vt:lpstr>多單標的</vt:lpstr>
      <vt:lpstr>多單類型</vt:lpstr>
      <vt:lpstr>收盤1</vt:lpstr>
      <vt:lpstr>收盤2</vt:lpstr>
      <vt:lpstr>收盤3</vt:lpstr>
      <vt:lpstr>收盤4</vt:lpstr>
      <vt:lpstr>台肥!明細日期</vt:lpstr>
      <vt:lpstr>明細日期</vt:lpstr>
      <vt:lpstr>台肥!明細未入帳款</vt:lpstr>
      <vt:lpstr>明細未入帳款</vt:lpstr>
      <vt:lpstr>台肥!明細其他投資</vt:lpstr>
      <vt:lpstr>台肥!明細其他增減</vt:lpstr>
      <vt:lpstr>明細其他增減</vt:lpstr>
      <vt:lpstr>明細其他權益</vt:lpstr>
      <vt:lpstr>明細長持其他</vt:lpstr>
      <vt:lpstr>明細長持證券</vt:lpstr>
      <vt:lpstr>台肥!明細長期部位</vt:lpstr>
      <vt:lpstr>明細非長持現股</vt:lpstr>
      <vt:lpstr>台肥!明細期貨權益</vt:lpstr>
      <vt:lpstr>台肥!明細資產總值</vt:lpstr>
      <vt:lpstr>明細資產總值</vt:lpstr>
      <vt:lpstr>台肥!明細銀行餘額</vt:lpstr>
      <vt:lpstr>明細銀行餘額</vt:lpstr>
      <vt:lpstr>空單市值</vt:lpstr>
      <vt:lpstr>空單輔助欄</vt:lpstr>
      <vt:lpstr>空單標的</vt:lpstr>
      <vt:lpstr>股名1</vt:lpstr>
      <vt:lpstr>股名2</vt:lpstr>
      <vt:lpstr>股名3</vt:lpstr>
      <vt:lpstr>股名4</vt:lpstr>
    </vt:vector>
  </TitlesOfParts>
  <Company>W.X.C.Z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ZiyouXP</dc:creator>
  <cp:lastModifiedBy>人豪 鄭</cp:lastModifiedBy>
  <cp:lastPrinted>2020-06-05T13:15:11Z</cp:lastPrinted>
  <dcterms:created xsi:type="dcterms:W3CDTF">2017-08-28T06:58:00Z</dcterms:created>
  <dcterms:modified xsi:type="dcterms:W3CDTF">2021-12-28T16:13:51Z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1033-10.2.0.5824</vt:lpwstr>
  </property>
</Properties>
</file>